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Km114+220 - Km114+420\SLQT\"/>
    </mc:Choice>
  </mc:AlternateContent>
  <xr:revisionPtr revIDLastSave="0" documentId="13_ncr:1_{C5EC236A-949C-4871-8EE8-91F1E4F70356}" xr6:coauthVersionLast="47" xr6:coauthVersionMax="47" xr10:uidLastSave="{00000000-0000-0000-0000-000000000000}"/>
  <bookViews>
    <workbookView xWindow="-120" yWindow="-120" windowWidth="29040" windowHeight="15840" activeTab="2" xr2:uid="{4CB1BC17-4C81-4CA0-9583-DA9A2F922A29}"/>
  </bookViews>
  <sheets>
    <sheet name="114+320" sheetId="2" r:id="rId1"/>
    <sheet name="BC.114+320" sheetId="3" r:id="rId2"/>
    <sheet name="SL.114+32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'114+320'!$A$2:$AB$832</definedName>
    <definedName name="_xlnm.Print_Area" localSheetId="1">'BC.114+320'!$A$1:$AB$566</definedName>
    <definedName name="_xlnm.Print_Area" localSheetId="2">'SL.114+320'!$A$1:$O$628</definedName>
    <definedName name="_xlnm.Print_Titles" localSheetId="0">'114+320'!$12:$13</definedName>
    <definedName name="_xlnm.Print_Titles" localSheetId="1">'BC.114+320'!$1:$12</definedName>
    <definedName name="_xlnm.Print_Titles" localSheetId="2">'SL.114+320'!$12:$13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'114+320'!#REF!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76" i="2" l="1"/>
  <c r="A774" i="4"/>
  <c r="B774" i="4"/>
  <c r="A774" i="2"/>
  <c r="B774" i="2"/>
  <c r="C774" i="2"/>
  <c r="D774" i="2"/>
  <c r="I774" i="2"/>
  <c r="K774" i="2"/>
  <c r="L774" i="2"/>
  <c r="M774" i="2"/>
  <c r="O774" i="2"/>
  <c r="A772" i="4"/>
  <c r="B772" i="4"/>
  <c r="A773" i="4"/>
  <c r="B773" i="4"/>
  <c r="A754" i="4"/>
  <c r="B754" i="4"/>
  <c r="A755" i="4"/>
  <c r="B755" i="4"/>
  <c r="A756" i="4"/>
  <c r="B756" i="4"/>
  <c r="A757" i="4"/>
  <c r="B757" i="4"/>
  <c r="A758" i="4"/>
  <c r="B758" i="4"/>
  <c r="A759" i="4"/>
  <c r="B759" i="4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A760" i="4"/>
  <c r="A761" i="4"/>
  <c r="A762" i="4"/>
  <c r="A763" i="4"/>
  <c r="A764" i="4"/>
  <c r="A765" i="4"/>
  <c r="A766" i="4"/>
  <c r="A767" i="4"/>
  <c r="A768" i="4"/>
  <c r="A769" i="4"/>
  <c r="A770" i="4"/>
  <c r="A771" i="4"/>
  <c r="A739" i="4"/>
  <c r="B739" i="4"/>
  <c r="A740" i="4"/>
  <c r="B740" i="4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19" i="4"/>
  <c r="B719" i="4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B768" i="3"/>
  <c r="C768" i="3" s="1"/>
  <c r="D768" i="3"/>
  <c r="K768" i="3"/>
  <c r="N768" i="3"/>
  <c r="Q768" i="3"/>
  <c r="R768" i="3"/>
  <c r="R769" i="3" s="1"/>
  <c r="R770" i="3" s="1"/>
  <c r="W768" i="3"/>
  <c r="B769" i="3"/>
  <c r="C769" i="3"/>
  <c r="D769" i="3"/>
  <c r="K769" i="3"/>
  <c r="N769" i="3"/>
  <c r="P769" i="3"/>
  <c r="I770" i="4" s="1"/>
  <c r="Q769" i="3"/>
  <c r="W769" i="3"/>
  <c r="B770" i="3"/>
  <c r="C770" i="3"/>
  <c r="D770" i="3"/>
  <c r="E770" i="3"/>
  <c r="F770" i="3" s="1"/>
  <c r="K770" i="3"/>
  <c r="N770" i="3"/>
  <c r="P770" i="3"/>
  <c r="Q770" i="3"/>
  <c r="W770" i="3"/>
  <c r="B771" i="3"/>
  <c r="C771" i="3"/>
  <c r="D771" i="3"/>
  <c r="E771" i="3"/>
  <c r="K771" i="3"/>
  <c r="N771" i="3"/>
  <c r="P771" i="3"/>
  <c r="Q771" i="3"/>
  <c r="R771" i="3" s="1"/>
  <c r="W771" i="3"/>
  <c r="B772" i="3"/>
  <c r="C772" i="3" s="1"/>
  <c r="K772" i="3"/>
  <c r="N772" i="3"/>
  <c r="Q772" i="3"/>
  <c r="W772" i="3"/>
  <c r="B773" i="3"/>
  <c r="K773" i="3"/>
  <c r="Q773" i="3"/>
  <c r="W773" i="3"/>
  <c r="B774" i="3"/>
  <c r="J774" i="3" s="1"/>
  <c r="E774" i="3"/>
  <c r="G774" i="3"/>
  <c r="H774" i="3"/>
  <c r="K774" i="3"/>
  <c r="N774" i="3"/>
  <c r="P774" i="3"/>
  <c r="Q774" i="3"/>
  <c r="S774" i="3"/>
  <c r="T774" i="3"/>
  <c r="W774" i="3"/>
  <c r="B775" i="3"/>
  <c r="H775" i="3" s="1"/>
  <c r="C775" i="3"/>
  <c r="E775" i="3"/>
  <c r="N775" i="3"/>
  <c r="P775" i="3"/>
  <c r="Q775" i="3"/>
  <c r="B776" i="3"/>
  <c r="C776" i="3" s="1"/>
  <c r="K776" i="3"/>
  <c r="M776" i="3"/>
  <c r="N776" i="3"/>
  <c r="Q776" i="3"/>
  <c r="W776" i="3"/>
  <c r="B777" i="3"/>
  <c r="M777" i="3" s="1"/>
  <c r="E777" i="3"/>
  <c r="G777" i="3"/>
  <c r="H777" i="3"/>
  <c r="J777" i="3"/>
  <c r="K777" i="3"/>
  <c r="N777" i="3"/>
  <c r="P777" i="3"/>
  <c r="Q777" i="3"/>
  <c r="S777" i="3"/>
  <c r="T777" i="3"/>
  <c r="V777" i="3"/>
  <c r="W777" i="3"/>
  <c r="B778" i="3"/>
  <c r="M778" i="3" s="1"/>
  <c r="E778" i="3"/>
  <c r="G778" i="3"/>
  <c r="H778" i="3"/>
  <c r="K778" i="3"/>
  <c r="N778" i="3"/>
  <c r="P778" i="3"/>
  <c r="Q778" i="3"/>
  <c r="S778" i="3"/>
  <c r="Y778" i="3" s="1"/>
  <c r="Z778" i="3" s="1"/>
  <c r="T778" i="3"/>
  <c r="W778" i="3"/>
  <c r="B779" i="3"/>
  <c r="H779" i="3" s="1"/>
  <c r="C779" i="3"/>
  <c r="E779" i="3"/>
  <c r="K779" i="3"/>
  <c r="P779" i="3"/>
  <c r="Q779" i="3"/>
  <c r="W779" i="3"/>
  <c r="B780" i="3"/>
  <c r="C780" i="3" s="1"/>
  <c r="K780" i="3"/>
  <c r="Q780" i="3"/>
  <c r="W780" i="3"/>
  <c r="B781" i="3"/>
  <c r="M781" i="3" s="1"/>
  <c r="E781" i="3"/>
  <c r="G781" i="3"/>
  <c r="H781" i="3"/>
  <c r="J781" i="3"/>
  <c r="K781" i="3"/>
  <c r="N781" i="3"/>
  <c r="P781" i="3"/>
  <c r="Q781" i="3"/>
  <c r="S781" i="3"/>
  <c r="T781" i="3"/>
  <c r="V781" i="3"/>
  <c r="W781" i="3"/>
  <c r="B749" i="3"/>
  <c r="C749" i="3"/>
  <c r="D749" i="3"/>
  <c r="E749" i="3"/>
  <c r="F749" i="3" s="1"/>
  <c r="H749" i="3"/>
  <c r="J749" i="3"/>
  <c r="K749" i="3"/>
  <c r="L749" i="3"/>
  <c r="N749" i="3"/>
  <c r="P749" i="3"/>
  <c r="Q749" i="3"/>
  <c r="R749" i="3"/>
  <c r="T749" i="3"/>
  <c r="V749" i="3"/>
  <c r="W749" i="3"/>
  <c r="X749" i="3"/>
  <c r="B750" i="3"/>
  <c r="C750" i="3"/>
  <c r="D750" i="3"/>
  <c r="E750" i="3"/>
  <c r="F750" i="3" s="1"/>
  <c r="H750" i="3"/>
  <c r="J750" i="3"/>
  <c r="K750" i="3"/>
  <c r="L750" i="3"/>
  <c r="N750" i="3"/>
  <c r="P750" i="3"/>
  <c r="Q750" i="3"/>
  <c r="R750" i="3"/>
  <c r="T750" i="3"/>
  <c r="V750" i="3"/>
  <c r="W750" i="3"/>
  <c r="X750" i="3"/>
  <c r="B751" i="3"/>
  <c r="C751" i="3"/>
  <c r="D751" i="3"/>
  <c r="E751" i="3"/>
  <c r="F751" i="3" s="1"/>
  <c r="H751" i="3"/>
  <c r="J751" i="3"/>
  <c r="K751" i="3"/>
  <c r="L751" i="3"/>
  <c r="N751" i="3"/>
  <c r="P751" i="3"/>
  <c r="Q751" i="3"/>
  <c r="R751" i="3"/>
  <c r="R752" i="3" s="1"/>
  <c r="T751" i="3"/>
  <c r="V751" i="3"/>
  <c r="K752" i="4" s="1"/>
  <c r="W751" i="3"/>
  <c r="X751" i="3"/>
  <c r="B752" i="3"/>
  <c r="C752" i="3"/>
  <c r="D752" i="3"/>
  <c r="E752" i="3"/>
  <c r="H752" i="3"/>
  <c r="J752" i="3"/>
  <c r="G753" i="4" s="1"/>
  <c r="K752" i="3"/>
  <c r="L752" i="3"/>
  <c r="N752" i="3"/>
  <c r="P752" i="3"/>
  <c r="I753" i="4" s="1"/>
  <c r="Q752" i="3"/>
  <c r="T752" i="3"/>
  <c r="V752" i="3"/>
  <c r="K753" i="4" s="1"/>
  <c r="W752" i="3"/>
  <c r="X752" i="3"/>
  <c r="B753" i="3"/>
  <c r="C753" i="3"/>
  <c r="E753" i="3"/>
  <c r="H753" i="3"/>
  <c r="J753" i="3"/>
  <c r="K753" i="3"/>
  <c r="L753" i="3"/>
  <c r="L754" i="3" s="1"/>
  <c r="L755" i="3" s="1"/>
  <c r="L756" i="3" s="1"/>
  <c r="L757" i="3" s="1"/>
  <c r="L758" i="3" s="1"/>
  <c r="N753" i="3"/>
  <c r="P753" i="3"/>
  <c r="I754" i="4" s="1"/>
  <c r="Q753" i="3"/>
  <c r="T753" i="3"/>
  <c r="V753" i="3"/>
  <c r="K754" i="4" s="1"/>
  <c r="W753" i="3"/>
  <c r="X753" i="3"/>
  <c r="X754" i="3" s="1"/>
  <c r="X755" i="3" s="1"/>
  <c r="X756" i="3" s="1"/>
  <c r="B754" i="3"/>
  <c r="C754" i="3"/>
  <c r="E754" i="3"/>
  <c r="H754" i="3"/>
  <c r="J754" i="3"/>
  <c r="G755" i="4" s="1"/>
  <c r="K754" i="3"/>
  <c r="N754" i="3"/>
  <c r="P754" i="3"/>
  <c r="I755" i="4" s="1"/>
  <c r="Q754" i="3"/>
  <c r="T754" i="3"/>
  <c r="V754" i="3"/>
  <c r="K755" i="4" s="1"/>
  <c r="W754" i="3"/>
  <c r="B755" i="3"/>
  <c r="C755" i="3"/>
  <c r="E755" i="3"/>
  <c r="H755" i="3"/>
  <c r="J755" i="3"/>
  <c r="G756" i="4" s="1"/>
  <c r="K755" i="3"/>
  <c r="N755" i="3"/>
  <c r="P755" i="3"/>
  <c r="I756" i="4" s="1"/>
  <c r="Q755" i="3"/>
  <c r="T755" i="3"/>
  <c r="V755" i="3"/>
  <c r="K756" i="4" s="1"/>
  <c r="W755" i="3"/>
  <c r="B756" i="3"/>
  <c r="C756" i="3"/>
  <c r="E756" i="3"/>
  <c r="K756" i="3"/>
  <c r="N756" i="3"/>
  <c r="P756" i="3"/>
  <c r="I757" i="4" s="1"/>
  <c r="Q756" i="3"/>
  <c r="T756" i="3"/>
  <c r="V756" i="3"/>
  <c r="K757" i="4" s="1"/>
  <c r="W756" i="3"/>
  <c r="B757" i="3"/>
  <c r="C757" i="3"/>
  <c r="E757" i="3"/>
  <c r="K757" i="3"/>
  <c r="N757" i="3"/>
  <c r="P757" i="3"/>
  <c r="Q757" i="3"/>
  <c r="W757" i="3"/>
  <c r="B758" i="3"/>
  <c r="C758" i="3"/>
  <c r="E758" i="3"/>
  <c r="K758" i="3"/>
  <c r="N758" i="3"/>
  <c r="P758" i="3"/>
  <c r="Q758" i="3"/>
  <c r="W758" i="3"/>
  <c r="B759" i="3"/>
  <c r="C759" i="3"/>
  <c r="E759" i="3"/>
  <c r="K759" i="3"/>
  <c r="N759" i="3"/>
  <c r="P759" i="3"/>
  <c r="Q759" i="3"/>
  <c r="W759" i="3"/>
  <c r="B760" i="3"/>
  <c r="C760" i="3"/>
  <c r="E760" i="3"/>
  <c r="K760" i="3"/>
  <c r="N760" i="3"/>
  <c r="P760" i="3"/>
  <c r="I761" i="4" s="1"/>
  <c r="Q760" i="3"/>
  <c r="W760" i="3"/>
  <c r="B761" i="3"/>
  <c r="C761" i="3"/>
  <c r="E761" i="3"/>
  <c r="K761" i="3"/>
  <c r="N761" i="3"/>
  <c r="P761" i="3"/>
  <c r="I762" i="4" s="1"/>
  <c r="Q761" i="3"/>
  <c r="W761" i="3"/>
  <c r="B762" i="3"/>
  <c r="C762" i="3"/>
  <c r="E762" i="3"/>
  <c r="K762" i="3"/>
  <c r="N762" i="3"/>
  <c r="P762" i="3"/>
  <c r="I763" i="4" s="1"/>
  <c r="Q762" i="3"/>
  <c r="W762" i="3"/>
  <c r="B763" i="3"/>
  <c r="C763" i="3"/>
  <c r="E763" i="3"/>
  <c r="K763" i="3"/>
  <c r="N763" i="3"/>
  <c r="P763" i="3"/>
  <c r="I764" i="4" s="1"/>
  <c r="Q763" i="3"/>
  <c r="W763" i="3"/>
  <c r="B764" i="3"/>
  <c r="C764" i="3"/>
  <c r="E764" i="3"/>
  <c r="K764" i="3"/>
  <c r="N764" i="3"/>
  <c r="P764" i="3"/>
  <c r="Q764" i="3"/>
  <c r="W764" i="3"/>
  <c r="B765" i="3"/>
  <c r="C765" i="3"/>
  <c r="E765" i="3"/>
  <c r="K765" i="3"/>
  <c r="N765" i="3"/>
  <c r="P765" i="3"/>
  <c r="Q765" i="3"/>
  <c r="W765" i="3"/>
  <c r="B766" i="3"/>
  <c r="C766" i="3"/>
  <c r="E766" i="3"/>
  <c r="K766" i="3"/>
  <c r="N766" i="3"/>
  <c r="P766" i="3"/>
  <c r="Q766" i="3"/>
  <c r="W766" i="3"/>
  <c r="B767" i="3"/>
  <c r="C767" i="3"/>
  <c r="E767" i="3"/>
  <c r="K767" i="3"/>
  <c r="N767" i="3"/>
  <c r="P767" i="3"/>
  <c r="I768" i="4" s="1"/>
  <c r="Q767" i="3"/>
  <c r="W767" i="3"/>
  <c r="B736" i="3"/>
  <c r="C736" i="3" s="1"/>
  <c r="D736" i="3"/>
  <c r="K736" i="3"/>
  <c r="L736" i="3"/>
  <c r="N736" i="3"/>
  <c r="Q736" i="3"/>
  <c r="R736" i="3"/>
  <c r="V736" i="3"/>
  <c r="W736" i="3"/>
  <c r="X736" i="3"/>
  <c r="B737" i="3"/>
  <c r="C737" i="3"/>
  <c r="D737" i="3"/>
  <c r="H737" i="3"/>
  <c r="J737" i="3"/>
  <c r="G738" i="4" s="1"/>
  <c r="K737" i="3"/>
  <c r="L737" i="3" s="1"/>
  <c r="N737" i="3"/>
  <c r="Q737" i="3"/>
  <c r="R737" i="3" s="1"/>
  <c r="R738" i="3" s="1"/>
  <c r="T737" i="3"/>
  <c r="V737" i="3"/>
  <c r="K738" i="4" s="1"/>
  <c r="W737" i="3"/>
  <c r="X737" i="3" s="1"/>
  <c r="B738" i="3"/>
  <c r="J738" i="3" s="1"/>
  <c r="D738" i="3"/>
  <c r="E738" i="3"/>
  <c r="F738" i="3" s="1"/>
  <c r="H738" i="3"/>
  <c r="K738" i="3"/>
  <c r="L738" i="3" s="1"/>
  <c r="N738" i="3"/>
  <c r="P738" i="3"/>
  <c r="Q738" i="3"/>
  <c r="T738" i="3"/>
  <c r="W738" i="3"/>
  <c r="X738" i="3" s="1"/>
  <c r="B739" i="3"/>
  <c r="C739" i="3"/>
  <c r="D739" i="3"/>
  <c r="E739" i="3"/>
  <c r="K739" i="3"/>
  <c r="N739" i="3"/>
  <c r="P739" i="3"/>
  <c r="I740" i="4" s="1"/>
  <c r="Q739" i="3"/>
  <c r="R739" i="3" s="1"/>
  <c r="W739" i="3"/>
  <c r="B740" i="3"/>
  <c r="C740" i="3" s="1"/>
  <c r="K740" i="3"/>
  <c r="N740" i="3"/>
  <c r="Q740" i="3"/>
  <c r="W740" i="3"/>
  <c r="B741" i="3"/>
  <c r="H741" i="3"/>
  <c r="J741" i="3"/>
  <c r="G742" i="4" s="1"/>
  <c r="K741" i="3"/>
  <c r="N741" i="3"/>
  <c r="Q741" i="3"/>
  <c r="T741" i="3"/>
  <c r="V741" i="3"/>
  <c r="K742" i="4" s="1"/>
  <c r="W741" i="3"/>
  <c r="B742" i="3"/>
  <c r="J742" i="3" s="1"/>
  <c r="E742" i="3"/>
  <c r="H742" i="3"/>
  <c r="K742" i="3"/>
  <c r="P742" i="3"/>
  <c r="Q742" i="3"/>
  <c r="T742" i="3"/>
  <c r="W742" i="3"/>
  <c r="B743" i="3"/>
  <c r="H743" i="3" s="1"/>
  <c r="E743" i="3"/>
  <c r="K743" i="3"/>
  <c r="N743" i="3"/>
  <c r="P743" i="3"/>
  <c r="Q743" i="3"/>
  <c r="W743" i="3"/>
  <c r="B744" i="3"/>
  <c r="C744" i="3" s="1"/>
  <c r="K744" i="3"/>
  <c r="N744" i="3"/>
  <c r="Q744" i="3"/>
  <c r="W744" i="3"/>
  <c r="B745" i="3"/>
  <c r="H745" i="3"/>
  <c r="J745" i="3"/>
  <c r="K745" i="3"/>
  <c r="N745" i="3"/>
  <c r="Q745" i="3"/>
  <c r="T745" i="3"/>
  <c r="V745" i="3"/>
  <c r="K746" i="4" s="1"/>
  <c r="W745" i="3"/>
  <c r="B746" i="3"/>
  <c r="J746" i="3" s="1"/>
  <c r="G747" i="4" s="1"/>
  <c r="E746" i="3"/>
  <c r="H746" i="3"/>
  <c r="K746" i="3"/>
  <c r="N746" i="3"/>
  <c r="P746" i="3"/>
  <c r="I747" i="4" s="1"/>
  <c r="Q746" i="3"/>
  <c r="T746" i="3"/>
  <c r="W746" i="3"/>
  <c r="B747" i="3"/>
  <c r="E747" i="3"/>
  <c r="K747" i="3"/>
  <c r="N747" i="3"/>
  <c r="P747" i="3"/>
  <c r="I748" i="4" s="1"/>
  <c r="Q747" i="3"/>
  <c r="W747" i="3"/>
  <c r="B748" i="3"/>
  <c r="C748" i="3" s="1"/>
  <c r="K748" i="3"/>
  <c r="N748" i="3"/>
  <c r="Q748" i="3"/>
  <c r="W748" i="3"/>
  <c r="B718" i="3"/>
  <c r="C718" i="3" s="1"/>
  <c r="D718" i="3"/>
  <c r="D719" i="3" s="1"/>
  <c r="K718" i="3"/>
  <c r="L718" i="3"/>
  <c r="M718" i="3"/>
  <c r="C719" i="4" s="1"/>
  <c r="N718" i="3"/>
  <c r="Q718" i="3"/>
  <c r="R718" i="3" s="1"/>
  <c r="V718" i="3"/>
  <c r="K719" i="4" s="1"/>
  <c r="W718" i="3"/>
  <c r="X718" i="3"/>
  <c r="B719" i="3"/>
  <c r="M719" i="3" s="1"/>
  <c r="C720" i="4" s="1"/>
  <c r="E719" i="3"/>
  <c r="G719" i="3"/>
  <c r="H719" i="3"/>
  <c r="J719" i="3"/>
  <c r="G720" i="4" s="1"/>
  <c r="K719" i="3"/>
  <c r="L719" i="3" s="1"/>
  <c r="N719" i="3"/>
  <c r="Q719" i="3"/>
  <c r="S719" i="3"/>
  <c r="T719" i="3"/>
  <c r="V719" i="3"/>
  <c r="K720" i="4" s="1"/>
  <c r="W719" i="3"/>
  <c r="X719" i="3" s="1"/>
  <c r="B720" i="3"/>
  <c r="J720" i="3" s="1"/>
  <c r="G721" i="4" s="1"/>
  <c r="E720" i="3"/>
  <c r="G720" i="3"/>
  <c r="H720" i="3"/>
  <c r="K720" i="3"/>
  <c r="N720" i="3"/>
  <c r="P720" i="3"/>
  <c r="I721" i="4" s="1"/>
  <c r="Q720" i="3"/>
  <c r="S720" i="3"/>
  <c r="Y720" i="3" s="1"/>
  <c r="Z720" i="3" s="1"/>
  <c r="T720" i="3"/>
  <c r="W720" i="3"/>
  <c r="X720" i="3" s="1"/>
  <c r="B721" i="3"/>
  <c r="H721" i="3" s="1"/>
  <c r="C721" i="3"/>
  <c r="E721" i="3"/>
  <c r="K721" i="3"/>
  <c r="N721" i="3"/>
  <c r="P721" i="3"/>
  <c r="Q721" i="3"/>
  <c r="W721" i="3"/>
  <c r="B722" i="3"/>
  <c r="C722" i="3" s="1"/>
  <c r="K722" i="3"/>
  <c r="M722" i="3"/>
  <c r="C723" i="4" s="1"/>
  <c r="N722" i="3"/>
  <c r="Q722" i="3"/>
  <c r="W722" i="3"/>
  <c r="B723" i="3"/>
  <c r="M723" i="3" s="1"/>
  <c r="C724" i="4" s="1"/>
  <c r="G723" i="3"/>
  <c r="H723" i="3"/>
  <c r="J723" i="3"/>
  <c r="K723" i="3"/>
  <c r="N723" i="3"/>
  <c r="Q723" i="3"/>
  <c r="S723" i="3"/>
  <c r="T723" i="3"/>
  <c r="V723" i="3"/>
  <c r="W723" i="3"/>
  <c r="B724" i="3"/>
  <c r="J724" i="3" s="1"/>
  <c r="E724" i="3"/>
  <c r="G724" i="3"/>
  <c r="H724" i="3"/>
  <c r="K724" i="3"/>
  <c r="N724" i="3"/>
  <c r="P724" i="3"/>
  <c r="Q724" i="3"/>
  <c r="S724" i="3"/>
  <c r="Y724" i="3" s="1"/>
  <c r="Z724" i="3" s="1"/>
  <c r="T724" i="3"/>
  <c r="W724" i="3"/>
  <c r="B725" i="3"/>
  <c r="G725" i="3" s="1"/>
  <c r="C725" i="3"/>
  <c r="E725" i="3"/>
  <c r="K725" i="3"/>
  <c r="N725" i="3"/>
  <c r="P725" i="3"/>
  <c r="I726" i="4" s="1"/>
  <c r="Q725" i="3"/>
  <c r="W725" i="3"/>
  <c r="B726" i="3"/>
  <c r="C726" i="3" s="1"/>
  <c r="K726" i="3"/>
  <c r="M726" i="3"/>
  <c r="C727" i="4" s="1"/>
  <c r="N726" i="3"/>
  <c r="Q726" i="3"/>
  <c r="W726" i="3"/>
  <c r="B727" i="3"/>
  <c r="M727" i="3" s="1"/>
  <c r="C728" i="4" s="1"/>
  <c r="G727" i="3"/>
  <c r="H727" i="3"/>
  <c r="J727" i="3"/>
  <c r="G728" i="4" s="1"/>
  <c r="K727" i="3"/>
  <c r="N727" i="3"/>
  <c r="Q727" i="3"/>
  <c r="S727" i="3"/>
  <c r="T727" i="3"/>
  <c r="V727" i="3"/>
  <c r="W727" i="3"/>
  <c r="B728" i="3"/>
  <c r="J728" i="3" s="1"/>
  <c r="E728" i="3"/>
  <c r="G728" i="3"/>
  <c r="H728" i="3"/>
  <c r="K728" i="3"/>
  <c r="N728" i="3"/>
  <c r="P728" i="3"/>
  <c r="Q728" i="3"/>
  <c r="S728" i="3"/>
  <c r="T728" i="3"/>
  <c r="W728" i="3"/>
  <c r="B729" i="3"/>
  <c r="H729" i="3" s="1"/>
  <c r="C729" i="3"/>
  <c r="E729" i="3"/>
  <c r="K729" i="3"/>
  <c r="N729" i="3"/>
  <c r="P729" i="3"/>
  <c r="Q729" i="3"/>
  <c r="W729" i="3"/>
  <c r="B730" i="3"/>
  <c r="C730" i="3" s="1"/>
  <c r="K730" i="3"/>
  <c r="N730" i="3"/>
  <c r="Q730" i="3"/>
  <c r="W730" i="3"/>
  <c r="B731" i="3"/>
  <c r="H731" i="3"/>
  <c r="J731" i="3"/>
  <c r="G732" i="4" s="1"/>
  <c r="K731" i="3"/>
  <c r="N731" i="3"/>
  <c r="Q731" i="3"/>
  <c r="T731" i="3"/>
  <c r="V731" i="3"/>
  <c r="K732" i="4" s="1"/>
  <c r="W731" i="3"/>
  <c r="B732" i="3"/>
  <c r="J732" i="3" s="1"/>
  <c r="G733" i="4" s="1"/>
  <c r="E732" i="3"/>
  <c r="H732" i="3"/>
  <c r="K732" i="3"/>
  <c r="P732" i="3"/>
  <c r="I733" i="4" s="1"/>
  <c r="Q732" i="3"/>
  <c r="T732" i="3"/>
  <c r="W732" i="3"/>
  <c r="B733" i="3"/>
  <c r="C733" i="3"/>
  <c r="E733" i="3"/>
  <c r="K733" i="3"/>
  <c r="N733" i="3"/>
  <c r="P733" i="3"/>
  <c r="Q733" i="3"/>
  <c r="W733" i="3"/>
  <c r="B734" i="3"/>
  <c r="C734" i="3" s="1"/>
  <c r="K734" i="3"/>
  <c r="N734" i="3"/>
  <c r="Q734" i="3"/>
  <c r="W734" i="3"/>
  <c r="B735" i="3"/>
  <c r="H735" i="3"/>
  <c r="J735" i="3"/>
  <c r="K735" i="3"/>
  <c r="N735" i="3"/>
  <c r="Q735" i="3"/>
  <c r="T735" i="3"/>
  <c r="V735" i="3"/>
  <c r="W735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X757" i="3" l="1"/>
  <c r="X758" i="3" s="1"/>
  <c r="X759" i="3"/>
  <c r="X760" i="3" s="1"/>
  <c r="X761" i="3" s="1"/>
  <c r="X762" i="3" s="1"/>
  <c r="X763" i="3" s="1"/>
  <c r="X764" i="3" s="1"/>
  <c r="X765" i="3" s="1"/>
  <c r="X766" i="3" s="1"/>
  <c r="X767" i="3" s="1"/>
  <c r="X768" i="3" s="1"/>
  <c r="X769" i="3" s="1"/>
  <c r="X770" i="3" s="1"/>
  <c r="X771" i="3" s="1"/>
  <c r="X772" i="3" s="1"/>
  <c r="X773" i="3" s="1"/>
  <c r="X774" i="3" s="1"/>
  <c r="L759" i="3"/>
  <c r="L760" i="3" s="1"/>
  <c r="L761" i="3" s="1"/>
  <c r="L762" i="3" s="1"/>
  <c r="L763" i="3" s="1"/>
  <c r="L764" i="3" s="1"/>
  <c r="L765" i="3" s="1"/>
  <c r="L766" i="3" s="1"/>
  <c r="L767" i="3" s="1"/>
  <c r="L768" i="3" s="1"/>
  <c r="L769" i="3" s="1"/>
  <c r="L770" i="3" s="1"/>
  <c r="L771" i="3" s="1"/>
  <c r="L772" i="3" s="1"/>
  <c r="L773" i="3" s="1"/>
  <c r="L774" i="3" s="1"/>
  <c r="Y728" i="3"/>
  <c r="Z728" i="3" s="1"/>
  <c r="F774" i="2"/>
  <c r="N773" i="3" s="1"/>
  <c r="I749" i="3"/>
  <c r="F750" i="4" s="1"/>
  <c r="F771" i="3"/>
  <c r="F752" i="3"/>
  <c r="U752" i="3" s="1"/>
  <c r="J753" i="4" s="1"/>
  <c r="E773" i="3"/>
  <c r="I751" i="3"/>
  <c r="F752" i="4" s="1"/>
  <c r="P773" i="3"/>
  <c r="I774" i="4" s="1"/>
  <c r="O750" i="3"/>
  <c r="H751" i="4" s="1"/>
  <c r="U750" i="3"/>
  <c r="J751" i="4" s="1"/>
  <c r="I750" i="3"/>
  <c r="F751" i="4" s="1"/>
  <c r="O749" i="3"/>
  <c r="H750" i="4" s="1"/>
  <c r="I722" i="4"/>
  <c r="G729" i="4"/>
  <c r="I734" i="4"/>
  <c r="U749" i="3"/>
  <c r="J750" i="4" s="1"/>
  <c r="F739" i="3"/>
  <c r="O739" i="3" s="1"/>
  <c r="H740" i="4" s="1"/>
  <c r="I738" i="3"/>
  <c r="F739" i="4" s="1"/>
  <c r="I772" i="4"/>
  <c r="I767" i="4"/>
  <c r="I766" i="4"/>
  <c r="I760" i="4"/>
  <c r="I771" i="4"/>
  <c r="I765" i="4"/>
  <c r="I759" i="4"/>
  <c r="G754" i="4"/>
  <c r="I758" i="4"/>
  <c r="I751" i="4"/>
  <c r="G746" i="4"/>
  <c r="I739" i="4"/>
  <c r="I752" i="4"/>
  <c r="K751" i="4"/>
  <c r="G752" i="4"/>
  <c r="K750" i="4"/>
  <c r="G751" i="4"/>
  <c r="I750" i="4"/>
  <c r="I744" i="4"/>
  <c r="G739" i="4"/>
  <c r="G750" i="4"/>
  <c r="I743" i="4"/>
  <c r="G743" i="4"/>
  <c r="I725" i="4"/>
  <c r="K724" i="4"/>
  <c r="K736" i="4"/>
  <c r="I730" i="4"/>
  <c r="G725" i="4"/>
  <c r="G736" i="4"/>
  <c r="I729" i="4"/>
  <c r="K728" i="4"/>
  <c r="G724" i="4"/>
  <c r="K737" i="4"/>
  <c r="O771" i="3"/>
  <c r="H772" i="4" s="1"/>
  <c r="R772" i="3"/>
  <c r="R773" i="3" s="1"/>
  <c r="N779" i="3"/>
  <c r="V776" i="3"/>
  <c r="C778" i="3"/>
  <c r="C774" i="3"/>
  <c r="O770" i="3"/>
  <c r="H771" i="4" s="1"/>
  <c r="T776" i="3"/>
  <c r="H776" i="3"/>
  <c r="E769" i="3"/>
  <c r="F769" i="3" s="1"/>
  <c r="V780" i="3"/>
  <c r="J776" i="3"/>
  <c r="H780" i="3"/>
  <c r="S776" i="3"/>
  <c r="G776" i="3"/>
  <c r="V775" i="3"/>
  <c r="J775" i="3"/>
  <c r="M774" i="3"/>
  <c r="M780" i="3"/>
  <c r="J780" i="3"/>
  <c r="M779" i="3"/>
  <c r="M775" i="3"/>
  <c r="C781" i="3"/>
  <c r="C777" i="3"/>
  <c r="C773" i="3"/>
  <c r="E768" i="3"/>
  <c r="F768" i="3" s="1"/>
  <c r="N780" i="3"/>
  <c r="T780" i="3"/>
  <c r="T779" i="3"/>
  <c r="E772" i="3"/>
  <c r="P780" i="3"/>
  <c r="S779" i="3"/>
  <c r="Y779" i="3" s="1"/>
  <c r="Z779" i="3" s="1"/>
  <c r="G779" i="3"/>
  <c r="V778" i="3"/>
  <c r="J778" i="3"/>
  <c r="P776" i="3"/>
  <c r="S775" i="3"/>
  <c r="Y775" i="3" s="1"/>
  <c r="Z775" i="3" s="1"/>
  <c r="G775" i="3"/>
  <c r="V774" i="3"/>
  <c r="P772" i="3"/>
  <c r="I773" i="4" s="1"/>
  <c r="D772" i="3"/>
  <c r="P768" i="3"/>
  <c r="I769" i="4" s="1"/>
  <c r="S780" i="3"/>
  <c r="G780" i="3"/>
  <c r="V779" i="3"/>
  <c r="J779" i="3"/>
  <c r="E780" i="3"/>
  <c r="E776" i="3"/>
  <c r="T775" i="3"/>
  <c r="R753" i="3"/>
  <c r="O751" i="3"/>
  <c r="H752" i="4" s="1"/>
  <c r="D753" i="3"/>
  <c r="U751" i="3"/>
  <c r="J752" i="4" s="1"/>
  <c r="X739" i="3"/>
  <c r="X740" i="3" s="1"/>
  <c r="L739" i="3"/>
  <c r="L740" i="3" s="1"/>
  <c r="L741" i="3" s="1"/>
  <c r="L742" i="3" s="1"/>
  <c r="L743" i="3" s="1"/>
  <c r="L744" i="3" s="1"/>
  <c r="L745" i="3" s="1"/>
  <c r="L746" i="3" s="1"/>
  <c r="L747" i="3" s="1"/>
  <c r="L748" i="3" s="1"/>
  <c r="X741" i="3"/>
  <c r="R740" i="3"/>
  <c r="X742" i="3"/>
  <c r="X743" i="3" s="1"/>
  <c r="X744" i="3" s="1"/>
  <c r="X745" i="3" s="1"/>
  <c r="X746" i="3" s="1"/>
  <c r="X747" i="3" s="1"/>
  <c r="X748" i="3" s="1"/>
  <c r="C747" i="3"/>
  <c r="C743" i="3"/>
  <c r="J736" i="3"/>
  <c r="G737" i="4" s="1"/>
  <c r="V740" i="3"/>
  <c r="K741" i="4" s="1"/>
  <c r="C746" i="3"/>
  <c r="C742" i="3"/>
  <c r="O738" i="3"/>
  <c r="H739" i="4" s="1"/>
  <c r="C738" i="3"/>
  <c r="V744" i="3"/>
  <c r="K745" i="4" s="1"/>
  <c r="J744" i="3"/>
  <c r="G745" i="4" s="1"/>
  <c r="E737" i="3"/>
  <c r="F737" i="3" s="1"/>
  <c r="T736" i="3"/>
  <c r="H736" i="3"/>
  <c r="T744" i="3"/>
  <c r="N742" i="3"/>
  <c r="T740" i="3"/>
  <c r="H740" i="3"/>
  <c r="V747" i="3"/>
  <c r="K748" i="4" s="1"/>
  <c r="J747" i="3"/>
  <c r="G748" i="4" s="1"/>
  <c r="P745" i="3"/>
  <c r="I746" i="4" s="1"/>
  <c r="V743" i="3"/>
  <c r="K744" i="4" s="1"/>
  <c r="J743" i="3"/>
  <c r="G744" i="4" s="1"/>
  <c r="P741" i="3"/>
  <c r="I742" i="4" s="1"/>
  <c r="V739" i="3"/>
  <c r="K740" i="4" s="1"/>
  <c r="J739" i="3"/>
  <c r="G740" i="4" s="1"/>
  <c r="P737" i="3"/>
  <c r="I738" i="4" s="1"/>
  <c r="J740" i="3"/>
  <c r="G741" i="4" s="1"/>
  <c r="T748" i="3"/>
  <c r="H748" i="3"/>
  <c r="E745" i="3"/>
  <c r="H744" i="3"/>
  <c r="E741" i="3"/>
  <c r="C745" i="3"/>
  <c r="C741" i="3"/>
  <c r="T747" i="3"/>
  <c r="E736" i="3"/>
  <c r="F736" i="3" s="1"/>
  <c r="E748" i="3"/>
  <c r="H747" i="3"/>
  <c r="E740" i="3"/>
  <c r="T739" i="3"/>
  <c r="H739" i="3"/>
  <c r="P748" i="3"/>
  <c r="I749" i="4" s="1"/>
  <c r="V746" i="3"/>
  <c r="K747" i="4" s="1"/>
  <c r="P744" i="3"/>
  <c r="I745" i="4" s="1"/>
  <c r="V742" i="3"/>
  <c r="K743" i="4" s="1"/>
  <c r="P740" i="3"/>
  <c r="I741" i="4" s="1"/>
  <c r="D740" i="3"/>
  <c r="V738" i="3"/>
  <c r="K739" i="4" s="1"/>
  <c r="P736" i="3"/>
  <c r="I737" i="4" s="1"/>
  <c r="V748" i="3"/>
  <c r="K749" i="4" s="1"/>
  <c r="J748" i="3"/>
  <c r="G749" i="4" s="1"/>
  <c r="E744" i="3"/>
  <c r="T743" i="3"/>
  <c r="U738" i="3"/>
  <c r="J739" i="4" s="1"/>
  <c r="R719" i="3"/>
  <c r="R720" i="3" s="1"/>
  <c r="X721" i="3"/>
  <c r="X722" i="3" s="1"/>
  <c r="X723" i="3" s="1"/>
  <c r="X724" i="3" s="1"/>
  <c r="X725" i="3" s="1"/>
  <c r="X726" i="3" s="1"/>
  <c r="X727" i="3" s="1"/>
  <c r="X728" i="3" s="1"/>
  <c r="X729" i="3" s="1"/>
  <c r="X730" i="3" s="1"/>
  <c r="X731" i="3" s="1"/>
  <c r="X732" i="3" s="1"/>
  <c r="X733" i="3" s="1"/>
  <c r="X734" i="3" s="1"/>
  <c r="X735" i="3" s="1"/>
  <c r="AB718" i="3"/>
  <c r="E719" i="4" s="1"/>
  <c r="L723" i="3"/>
  <c r="R721" i="3"/>
  <c r="R722" i="3" s="1"/>
  <c r="L724" i="3"/>
  <c r="L720" i="3"/>
  <c r="F719" i="3"/>
  <c r="D720" i="3"/>
  <c r="L725" i="3"/>
  <c r="L726" i="3" s="1"/>
  <c r="L727" i="3" s="1"/>
  <c r="L728" i="3" s="1"/>
  <c r="L729" i="3" s="1"/>
  <c r="L730" i="3" s="1"/>
  <c r="L731" i="3" s="1"/>
  <c r="L732" i="3" s="1"/>
  <c r="L733" i="3" s="1"/>
  <c r="L734" i="3" s="1"/>
  <c r="L735" i="3" s="1"/>
  <c r="L721" i="3"/>
  <c r="L722" i="3" s="1"/>
  <c r="J718" i="3"/>
  <c r="G719" i="4" s="1"/>
  <c r="J734" i="3"/>
  <c r="G735" i="4" s="1"/>
  <c r="J726" i="3"/>
  <c r="G727" i="4" s="1"/>
  <c r="M725" i="3"/>
  <c r="C726" i="4" s="1"/>
  <c r="C732" i="3"/>
  <c r="C728" i="3"/>
  <c r="C724" i="3"/>
  <c r="C720" i="3"/>
  <c r="M721" i="3"/>
  <c r="E735" i="3"/>
  <c r="H734" i="3"/>
  <c r="E731" i="3"/>
  <c r="H730" i="3"/>
  <c r="T718" i="3"/>
  <c r="H718" i="3"/>
  <c r="V726" i="3"/>
  <c r="K727" i="4" s="1"/>
  <c r="E727" i="3"/>
  <c r="T726" i="3"/>
  <c r="H726" i="3"/>
  <c r="P735" i="3"/>
  <c r="I736" i="4" s="1"/>
  <c r="V733" i="3"/>
  <c r="K734" i="4" s="1"/>
  <c r="J733" i="3"/>
  <c r="G734" i="4" s="1"/>
  <c r="P731" i="3"/>
  <c r="I732" i="4" s="1"/>
  <c r="V729" i="3"/>
  <c r="K730" i="4" s="1"/>
  <c r="J729" i="3"/>
  <c r="G730" i="4" s="1"/>
  <c r="M728" i="3"/>
  <c r="C729" i="4" s="1"/>
  <c r="P727" i="3"/>
  <c r="I728" i="4" s="1"/>
  <c r="S726" i="3"/>
  <c r="Y727" i="3" s="1"/>
  <c r="Z727" i="3" s="1"/>
  <c r="G726" i="3"/>
  <c r="V725" i="3"/>
  <c r="K726" i="4" s="1"/>
  <c r="J725" i="3"/>
  <c r="G726" i="4" s="1"/>
  <c r="M724" i="3"/>
  <c r="C725" i="4" s="1"/>
  <c r="P723" i="3"/>
  <c r="I724" i="4" s="1"/>
  <c r="S722" i="3"/>
  <c r="Y723" i="3" s="1"/>
  <c r="Z723" i="3" s="1"/>
  <c r="G722" i="3"/>
  <c r="V721" i="3"/>
  <c r="K722" i="4" s="1"/>
  <c r="J721" i="3"/>
  <c r="G722" i="4" s="1"/>
  <c r="M720" i="3"/>
  <c r="P719" i="3"/>
  <c r="I720" i="4" s="1"/>
  <c r="S718" i="3"/>
  <c r="G718" i="3"/>
  <c r="V730" i="3"/>
  <c r="K731" i="4" s="1"/>
  <c r="J730" i="3"/>
  <c r="G731" i="4" s="1"/>
  <c r="V722" i="3"/>
  <c r="K723" i="4" s="1"/>
  <c r="J722" i="3"/>
  <c r="G723" i="4" s="1"/>
  <c r="T734" i="3"/>
  <c r="N732" i="3"/>
  <c r="T730" i="3"/>
  <c r="E723" i="3"/>
  <c r="T722" i="3"/>
  <c r="H722" i="3"/>
  <c r="C735" i="3"/>
  <c r="C731" i="3"/>
  <c r="C727" i="3"/>
  <c r="C723" i="3"/>
  <c r="C719" i="3"/>
  <c r="V734" i="3"/>
  <c r="K735" i="4" s="1"/>
  <c r="E734" i="3"/>
  <c r="T733" i="3"/>
  <c r="H733" i="3"/>
  <c r="E726" i="3"/>
  <c r="T725" i="3"/>
  <c r="H725" i="3"/>
  <c r="E718" i="3"/>
  <c r="F718" i="3" s="1"/>
  <c r="P734" i="3"/>
  <c r="I735" i="4" s="1"/>
  <c r="V732" i="3"/>
  <c r="K733" i="4" s="1"/>
  <c r="P730" i="3"/>
  <c r="I731" i="4" s="1"/>
  <c r="V728" i="3"/>
  <c r="K729" i="4" s="1"/>
  <c r="P726" i="3"/>
  <c r="I727" i="4" s="1"/>
  <c r="S725" i="3"/>
  <c r="Y725" i="3" s="1"/>
  <c r="Z725" i="3" s="1"/>
  <c r="V724" i="3"/>
  <c r="K725" i="4" s="1"/>
  <c r="P722" i="3"/>
  <c r="I723" i="4" s="1"/>
  <c r="S721" i="3"/>
  <c r="Y721" i="3" s="1"/>
  <c r="Z721" i="3" s="1"/>
  <c r="G721" i="3"/>
  <c r="V720" i="3"/>
  <c r="K721" i="4" s="1"/>
  <c r="P718" i="3"/>
  <c r="I719" i="4" s="1"/>
  <c r="E730" i="3"/>
  <c r="T729" i="3"/>
  <c r="E722" i="3"/>
  <c r="T721" i="3"/>
  <c r="O752" i="3" l="1"/>
  <c r="H753" i="4" s="1"/>
  <c r="I752" i="3"/>
  <c r="F753" i="4" s="1"/>
  <c r="I739" i="3"/>
  <c r="F740" i="4" s="1"/>
  <c r="U739" i="3"/>
  <c r="J740" i="4" s="1"/>
  <c r="Y780" i="3"/>
  <c r="Z780" i="3" s="1"/>
  <c r="AB720" i="3"/>
  <c r="E721" i="4" s="1"/>
  <c r="C721" i="4"/>
  <c r="Y719" i="3"/>
  <c r="Z719" i="3" s="1"/>
  <c r="AB721" i="3"/>
  <c r="E722" i="4" s="1"/>
  <c r="C722" i="4"/>
  <c r="O769" i="3"/>
  <c r="H770" i="4" s="1"/>
  <c r="R774" i="3"/>
  <c r="R775" i="3" s="1"/>
  <c r="R776" i="3" s="1"/>
  <c r="F772" i="3"/>
  <c r="D773" i="3"/>
  <c r="Y781" i="3"/>
  <c r="Z781" i="3" s="1"/>
  <c r="O768" i="3"/>
  <c r="H769" i="4" s="1"/>
  <c r="Y776" i="3"/>
  <c r="Z776" i="3" s="1"/>
  <c r="Y777" i="3"/>
  <c r="Z777" i="3" s="1"/>
  <c r="R754" i="3"/>
  <c r="F753" i="3"/>
  <c r="D754" i="3"/>
  <c r="F740" i="3"/>
  <c r="D741" i="3"/>
  <c r="R741" i="3"/>
  <c r="O736" i="3"/>
  <c r="H737" i="4" s="1"/>
  <c r="I736" i="3"/>
  <c r="F737" i="4" s="1"/>
  <c r="U736" i="3"/>
  <c r="J737" i="4" s="1"/>
  <c r="O737" i="3"/>
  <c r="H738" i="4" s="1"/>
  <c r="I737" i="3"/>
  <c r="F738" i="4" s="1"/>
  <c r="U737" i="3"/>
  <c r="J738" i="4" s="1"/>
  <c r="AB722" i="3"/>
  <c r="E723" i="4" s="1"/>
  <c r="R723" i="3"/>
  <c r="D721" i="3"/>
  <c r="F720" i="3"/>
  <c r="I719" i="3"/>
  <c r="F720" i="4" s="1"/>
  <c r="O719" i="3"/>
  <c r="H720" i="4" s="1"/>
  <c r="U719" i="3"/>
  <c r="J720" i="4" s="1"/>
  <c r="Y722" i="3"/>
  <c r="Z722" i="3" s="1"/>
  <c r="AB719" i="3"/>
  <c r="E720" i="4" s="1"/>
  <c r="O718" i="3"/>
  <c r="H719" i="4" s="1"/>
  <c r="I718" i="3"/>
  <c r="F719" i="4" s="1"/>
  <c r="U718" i="3"/>
  <c r="J719" i="4" s="1"/>
  <c r="Y726" i="3"/>
  <c r="Z726" i="3" s="1"/>
  <c r="AB775" i="3" l="1"/>
  <c r="O772" i="3"/>
  <c r="H773" i="4" s="1"/>
  <c r="R777" i="3"/>
  <c r="AB776" i="3"/>
  <c r="F773" i="3"/>
  <c r="D774" i="3"/>
  <c r="AB774" i="3"/>
  <c r="R755" i="3"/>
  <c r="F754" i="3"/>
  <c r="D755" i="3"/>
  <c r="O753" i="3"/>
  <c r="H754" i="4" s="1"/>
  <c r="I753" i="3"/>
  <c r="F754" i="4" s="1"/>
  <c r="U753" i="3"/>
  <c r="J754" i="4" s="1"/>
  <c r="O740" i="3"/>
  <c r="H741" i="4" s="1"/>
  <c r="I740" i="3"/>
  <c r="F741" i="4" s="1"/>
  <c r="U740" i="3"/>
  <c r="J741" i="4" s="1"/>
  <c r="R742" i="3"/>
  <c r="D742" i="3"/>
  <c r="F741" i="3"/>
  <c r="I720" i="3"/>
  <c r="F721" i="4" s="1"/>
  <c r="U720" i="3"/>
  <c r="J721" i="4" s="1"/>
  <c r="O720" i="3"/>
  <c r="H721" i="4" s="1"/>
  <c r="F721" i="3"/>
  <c r="D722" i="3"/>
  <c r="R724" i="3"/>
  <c r="AB723" i="3"/>
  <c r="E724" i="4" s="1"/>
  <c r="R778" i="3" l="1"/>
  <c r="AB777" i="3"/>
  <c r="O773" i="3"/>
  <c r="H774" i="4" s="1"/>
  <c r="F774" i="3"/>
  <c r="D775" i="3"/>
  <c r="D756" i="3"/>
  <c r="F755" i="3"/>
  <c r="O754" i="3"/>
  <c r="H755" i="4" s="1"/>
  <c r="U754" i="3"/>
  <c r="J755" i="4" s="1"/>
  <c r="I754" i="3"/>
  <c r="F755" i="4" s="1"/>
  <c r="R756" i="3"/>
  <c r="O741" i="3"/>
  <c r="H742" i="4" s="1"/>
  <c r="I741" i="3"/>
  <c r="F742" i="4" s="1"/>
  <c r="U741" i="3"/>
  <c r="J742" i="4" s="1"/>
  <c r="F742" i="3"/>
  <c r="D743" i="3"/>
  <c r="R743" i="3"/>
  <c r="R725" i="3"/>
  <c r="AB724" i="3"/>
  <c r="E725" i="4" s="1"/>
  <c r="F722" i="3"/>
  <c r="D723" i="3"/>
  <c r="I721" i="3"/>
  <c r="F722" i="4" s="1"/>
  <c r="U721" i="3"/>
  <c r="J722" i="4" s="1"/>
  <c r="O721" i="3"/>
  <c r="H722" i="4" s="1"/>
  <c r="F775" i="3" l="1"/>
  <c r="D776" i="3"/>
  <c r="I774" i="3"/>
  <c r="U774" i="3"/>
  <c r="O774" i="3"/>
  <c r="AB778" i="3"/>
  <c r="R779" i="3"/>
  <c r="F756" i="3"/>
  <c r="D757" i="3"/>
  <c r="U755" i="3"/>
  <c r="J756" i="4" s="1"/>
  <c r="I755" i="3"/>
  <c r="F756" i="4" s="1"/>
  <c r="O755" i="3"/>
  <c r="H756" i="4" s="1"/>
  <c r="R757" i="3"/>
  <c r="R744" i="3"/>
  <c r="F743" i="3"/>
  <c r="D744" i="3"/>
  <c r="I742" i="3"/>
  <c r="F743" i="4" s="1"/>
  <c r="U742" i="3"/>
  <c r="J743" i="4" s="1"/>
  <c r="O742" i="3"/>
  <c r="H743" i="4" s="1"/>
  <c r="O722" i="3"/>
  <c r="H723" i="4" s="1"/>
  <c r="I722" i="3"/>
  <c r="F723" i="4" s="1"/>
  <c r="U722" i="3"/>
  <c r="J723" i="4" s="1"/>
  <c r="F723" i="3"/>
  <c r="D724" i="3"/>
  <c r="R726" i="3"/>
  <c r="AB725" i="3"/>
  <c r="E726" i="4" s="1"/>
  <c r="R780" i="3" l="1"/>
  <c r="AB779" i="3"/>
  <c r="F776" i="3"/>
  <c r="D777" i="3"/>
  <c r="O775" i="3"/>
  <c r="I775" i="3"/>
  <c r="U775" i="3"/>
  <c r="R758" i="3"/>
  <c r="F757" i="3"/>
  <c r="D758" i="3"/>
  <c r="U756" i="3"/>
  <c r="J757" i="4" s="1"/>
  <c r="O756" i="3"/>
  <c r="H757" i="4" s="1"/>
  <c r="F744" i="3"/>
  <c r="D745" i="3"/>
  <c r="I743" i="3"/>
  <c r="F744" i="4" s="1"/>
  <c r="U743" i="3"/>
  <c r="J744" i="4" s="1"/>
  <c r="O743" i="3"/>
  <c r="H744" i="4" s="1"/>
  <c r="R745" i="3"/>
  <c r="AB726" i="3"/>
  <c r="E727" i="4" s="1"/>
  <c r="R727" i="3"/>
  <c r="D725" i="3"/>
  <c r="F724" i="3"/>
  <c r="O723" i="3"/>
  <c r="H724" i="4" s="1"/>
  <c r="I723" i="3"/>
  <c r="F724" i="4" s="1"/>
  <c r="U723" i="3"/>
  <c r="J724" i="4" s="1"/>
  <c r="D778" i="3" l="1"/>
  <c r="F777" i="3"/>
  <c r="O776" i="3"/>
  <c r="I776" i="3"/>
  <c r="U776" i="3"/>
  <c r="R781" i="3"/>
  <c r="AB781" i="3" s="1"/>
  <c r="AB780" i="3"/>
  <c r="F758" i="3"/>
  <c r="D759" i="3"/>
  <c r="O757" i="3"/>
  <c r="H758" i="4" s="1"/>
  <c r="R759" i="3"/>
  <c r="R746" i="3"/>
  <c r="D746" i="3"/>
  <c r="F745" i="3"/>
  <c r="O744" i="3"/>
  <c r="H745" i="4" s="1"/>
  <c r="I744" i="3"/>
  <c r="F745" i="4" s="1"/>
  <c r="U744" i="3"/>
  <c r="J745" i="4" s="1"/>
  <c r="F725" i="3"/>
  <c r="D726" i="3"/>
  <c r="I724" i="3"/>
  <c r="F725" i="4" s="1"/>
  <c r="U724" i="3"/>
  <c r="J725" i="4" s="1"/>
  <c r="O724" i="3"/>
  <c r="H725" i="4" s="1"/>
  <c r="R728" i="3"/>
  <c r="AB727" i="3"/>
  <c r="E728" i="4" s="1"/>
  <c r="I777" i="3" l="1"/>
  <c r="O777" i="3"/>
  <c r="U777" i="3"/>
  <c r="F778" i="3"/>
  <c r="D779" i="3"/>
  <c r="R760" i="3"/>
  <c r="D760" i="3"/>
  <c r="F759" i="3"/>
  <c r="O758" i="3"/>
  <c r="H759" i="4" s="1"/>
  <c r="R747" i="3"/>
  <c r="D747" i="3"/>
  <c r="F746" i="3"/>
  <c r="O745" i="3"/>
  <c r="H746" i="4" s="1"/>
  <c r="I745" i="3"/>
  <c r="F746" i="4" s="1"/>
  <c r="U745" i="3"/>
  <c r="J746" i="4" s="1"/>
  <c r="R729" i="3"/>
  <c r="AB728" i="3"/>
  <c r="E729" i="4" s="1"/>
  <c r="F726" i="3"/>
  <c r="D727" i="3"/>
  <c r="I725" i="3"/>
  <c r="F726" i="4" s="1"/>
  <c r="U725" i="3"/>
  <c r="J726" i="4" s="1"/>
  <c r="O725" i="3"/>
  <c r="H726" i="4" s="1"/>
  <c r="I778" i="3" l="1"/>
  <c r="U778" i="3"/>
  <c r="O778" i="3"/>
  <c r="F779" i="3"/>
  <c r="D780" i="3"/>
  <c r="R761" i="3"/>
  <c r="O759" i="3"/>
  <c r="H760" i="4" s="1"/>
  <c r="F760" i="3"/>
  <c r="D761" i="3"/>
  <c r="I746" i="3"/>
  <c r="F747" i="4" s="1"/>
  <c r="U746" i="3"/>
  <c r="J747" i="4" s="1"/>
  <c r="O746" i="3"/>
  <c r="H747" i="4" s="1"/>
  <c r="F747" i="3"/>
  <c r="D748" i="3"/>
  <c r="F748" i="3" s="1"/>
  <c r="R748" i="3"/>
  <c r="O726" i="3"/>
  <c r="H727" i="4" s="1"/>
  <c r="I726" i="3"/>
  <c r="F727" i="4" s="1"/>
  <c r="U726" i="3"/>
  <c r="J727" i="4" s="1"/>
  <c r="D728" i="3"/>
  <c r="F727" i="3"/>
  <c r="R730" i="3"/>
  <c r="D781" i="3" l="1"/>
  <c r="F781" i="3" s="1"/>
  <c r="F780" i="3"/>
  <c r="O779" i="3"/>
  <c r="I779" i="3"/>
  <c r="U779" i="3"/>
  <c r="F761" i="3"/>
  <c r="D762" i="3"/>
  <c r="O760" i="3"/>
  <c r="H761" i="4" s="1"/>
  <c r="R762" i="3"/>
  <c r="O748" i="3"/>
  <c r="H749" i="4" s="1"/>
  <c r="I748" i="3"/>
  <c r="F749" i="4" s="1"/>
  <c r="U748" i="3"/>
  <c r="J749" i="4" s="1"/>
  <c r="I747" i="3"/>
  <c r="F748" i="4" s="1"/>
  <c r="U747" i="3"/>
  <c r="J748" i="4" s="1"/>
  <c r="O747" i="3"/>
  <c r="H748" i="4" s="1"/>
  <c r="R731" i="3"/>
  <c r="D729" i="3"/>
  <c r="F728" i="3"/>
  <c r="U727" i="3"/>
  <c r="J728" i="4" s="1"/>
  <c r="O727" i="3"/>
  <c r="H728" i="4" s="1"/>
  <c r="I727" i="3"/>
  <c r="F728" i="4" s="1"/>
  <c r="O780" i="3" l="1"/>
  <c r="I780" i="3"/>
  <c r="U780" i="3"/>
  <c r="I781" i="3"/>
  <c r="U781" i="3"/>
  <c r="O781" i="3"/>
  <c r="R763" i="3"/>
  <c r="F762" i="3"/>
  <c r="D763" i="3"/>
  <c r="O761" i="3"/>
  <c r="H762" i="4" s="1"/>
  <c r="I728" i="3"/>
  <c r="F729" i="4" s="1"/>
  <c r="U728" i="3"/>
  <c r="J729" i="4" s="1"/>
  <c r="O728" i="3"/>
  <c r="H729" i="4" s="1"/>
  <c r="F729" i="3"/>
  <c r="D730" i="3"/>
  <c r="R732" i="3"/>
  <c r="O762" i="3" l="1"/>
  <c r="H763" i="4" s="1"/>
  <c r="R764" i="3"/>
  <c r="D764" i="3"/>
  <c r="F763" i="3"/>
  <c r="R733" i="3"/>
  <c r="F730" i="3"/>
  <c r="D731" i="3"/>
  <c r="O729" i="3"/>
  <c r="H730" i="4" s="1"/>
  <c r="I729" i="3"/>
  <c r="F730" i="4" s="1"/>
  <c r="U729" i="3"/>
  <c r="J730" i="4" s="1"/>
  <c r="O763" i="3" l="1"/>
  <c r="H764" i="4" s="1"/>
  <c r="F764" i="3"/>
  <c r="D765" i="3"/>
  <c r="R765" i="3"/>
  <c r="F731" i="3"/>
  <c r="D732" i="3"/>
  <c r="O730" i="3"/>
  <c r="H731" i="4" s="1"/>
  <c r="I730" i="3"/>
  <c r="F731" i="4" s="1"/>
  <c r="U730" i="3"/>
  <c r="J731" i="4" s="1"/>
  <c r="R734" i="3"/>
  <c r="O764" i="3" l="1"/>
  <c r="H765" i="4" s="1"/>
  <c r="R766" i="3"/>
  <c r="F765" i="3"/>
  <c r="D766" i="3"/>
  <c r="R735" i="3"/>
  <c r="F732" i="3"/>
  <c r="D733" i="3"/>
  <c r="U731" i="3"/>
  <c r="J732" i="4" s="1"/>
  <c r="O731" i="3"/>
  <c r="H732" i="4" s="1"/>
  <c r="I731" i="3"/>
  <c r="F732" i="4" s="1"/>
  <c r="F766" i="3" l="1"/>
  <c r="D767" i="3"/>
  <c r="F767" i="3" s="1"/>
  <c r="O765" i="3"/>
  <c r="H766" i="4" s="1"/>
  <c r="R767" i="3"/>
  <c r="F733" i="3"/>
  <c r="D734" i="3"/>
  <c r="I732" i="3"/>
  <c r="F733" i="4" s="1"/>
  <c r="U732" i="3"/>
  <c r="J733" i="4" s="1"/>
  <c r="O732" i="3"/>
  <c r="H733" i="4" s="1"/>
  <c r="O767" i="3" l="1"/>
  <c r="H768" i="4" s="1"/>
  <c r="O766" i="3"/>
  <c r="H767" i="4" s="1"/>
  <c r="F734" i="3"/>
  <c r="D735" i="3"/>
  <c r="F735" i="3" s="1"/>
  <c r="I733" i="3"/>
  <c r="F734" i="4" s="1"/>
  <c r="U733" i="3"/>
  <c r="J734" i="4" s="1"/>
  <c r="O733" i="3"/>
  <c r="H734" i="4" s="1"/>
  <c r="I735" i="3" l="1"/>
  <c r="F736" i="4" s="1"/>
  <c r="O735" i="3"/>
  <c r="H736" i="4" s="1"/>
  <c r="U735" i="3"/>
  <c r="J736" i="4" s="1"/>
  <c r="O734" i="3"/>
  <c r="H735" i="4" s="1"/>
  <c r="I734" i="3"/>
  <c r="F735" i="4" s="1"/>
  <c r="U734" i="3"/>
  <c r="J735" i="4" s="1"/>
  <c r="B769" i="2" l="1"/>
  <c r="B770" i="2" s="1"/>
  <c r="B771" i="2" s="1"/>
  <c r="B772" i="2" s="1"/>
  <c r="B773" i="2" s="1"/>
  <c r="B768" i="2"/>
  <c r="B760" i="2"/>
  <c r="B761" i="2" s="1"/>
  <c r="B762" i="2" s="1"/>
  <c r="B763" i="2" s="1"/>
  <c r="B764" i="2" s="1"/>
  <c r="B765" i="2" s="1"/>
  <c r="B766" i="2" s="1"/>
  <c r="B767" i="2" s="1"/>
  <c r="A3" i="4"/>
  <c r="F5" i="4"/>
  <c r="B7" i="4"/>
  <c r="M7" i="4"/>
  <c r="B8" i="4"/>
  <c r="B9" i="4"/>
  <c r="E14" i="4"/>
  <c r="B16" i="4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3" i="3"/>
  <c r="J5" i="3"/>
  <c r="C7" i="3"/>
  <c r="N7" i="3"/>
  <c r="C8" i="3"/>
  <c r="C9" i="3"/>
  <c r="B13" i="3"/>
  <c r="A14" i="4" s="1"/>
  <c r="J13" i="3"/>
  <c r="K13" i="3"/>
  <c r="P13" i="3"/>
  <c r="Q13" i="3"/>
  <c r="V13" i="3"/>
  <c r="W13" i="3"/>
  <c r="Z13" i="3"/>
  <c r="AA13" i="3" s="1"/>
  <c r="K14" i="3"/>
  <c r="L14" i="3" s="1"/>
  <c r="L15" i="3" s="1"/>
  <c r="Q14" i="3"/>
  <c r="R14" i="3" s="1"/>
  <c r="W14" i="3"/>
  <c r="X14" i="3" s="1"/>
  <c r="K15" i="3"/>
  <c r="Q15" i="3"/>
  <c r="W15" i="3"/>
  <c r="A16" i="3"/>
  <c r="K16" i="3"/>
  <c r="Q16" i="3"/>
  <c r="W16" i="3"/>
  <c r="A17" i="3"/>
  <c r="A18" i="3" s="1"/>
  <c r="A19" i="3" s="1"/>
  <c r="A20" i="3" s="1"/>
  <c r="A21" i="3" s="1"/>
  <c r="K17" i="3"/>
  <c r="Q17" i="3"/>
  <c r="W17" i="3"/>
  <c r="K18" i="3"/>
  <c r="Q18" i="3"/>
  <c r="W18" i="3"/>
  <c r="K19" i="3"/>
  <c r="Q19" i="3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K491" i="3"/>
  <c r="Q491" i="3"/>
  <c r="W491" i="3"/>
  <c r="K492" i="3"/>
  <c r="Q492" i="3"/>
  <c r="W492" i="3"/>
  <c r="K493" i="3"/>
  <c r="Q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K499" i="3"/>
  <c r="Q499" i="3"/>
  <c r="W499" i="3"/>
  <c r="K500" i="3"/>
  <c r="Q500" i="3"/>
  <c r="W500" i="3"/>
  <c r="K501" i="3"/>
  <c r="Q501" i="3"/>
  <c r="W501" i="3"/>
  <c r="K502" i="3"/>
  <c r="Q502" i="3"/>
  <c r="W502" i="3"/>
  <c r="K503" i="3"/>
  <c r="Q503" i="3"/>
  <c r="W503" i="3"/>
  <c r="K504" i="3"/>
  <c r="Q504" i="3"/>
  <c r="W504" i="3"/>
  <c r="K505" i="3"/>
  <c r="Q505" i="3"/>
  <c r="W505" i="3"/>
  <c r="K506" i="3"/>
  <c r="Q506" i="3"/>
  <c r="W506" i="3"/>
  <c r="K507" i="3"/>
  <c r="Q507" i="3"/>
  <c r="W507" i="3"/>
  <c r="K508" i="3"/>
  <c r="Q508" i="3"/>
  <c r="W508" i="3"/>
  <c r="K509" i="3"/>
  <c r="Q509" i="3"/>
  <c r="W509" i="3"/>
  <c r="K510" i="3"/>
  <c r="Q510" i="3"/>
  <c r="W510" i="3"/>
  <c r="K511" i="3"/>
  <c r="Q511" i="3"/>
  <c r="W511" i="3"/>
  <c r="K512" i="3"/>
  <c r="Q512" i="3"/>
  <c r="W512" i="3"/>
  <c r="K513" i="3"/>
  <c r="Q513" i="3"/>
  <c r="W513" i="3"/>
  <c r="K514" i="3"/>
  <c r="Q514" i="3"/>
  <c r="W514" i="3"/>
  <c r="K515" i="3"/>
  <c r="Q515" i="3"/>
  <c r="W515" i="3"/>
  <c r="K516" i="3"/>
  <c r="Q516" i="3"/>
  <c r="W516" i="3"/>
  <c r="K517" i="3"/>
  <c r="Q517" i="3"/>
  <c r="W517" i="3"/>
  <c r="K518" i="3"/>
  <c r="Q518" i="3"/>
  <c r="W518" i="3"/>
  <c r="K519" i="3"/>
  <c r="Q519" i="3"/>
  <c r="W519" i="3"/>
  <c r="K520" i="3"/>
  <c r="Q520" i="3"/>
  <c r="W520" i="3"/>
  <c r="K521" i="3"/>
  <c r="Q521" i="3"/>
  <c r="W521" i="3"/>
  <c r="K522" i="3"/>
  <c r="Q522" i="3"/>
  <c r="W522" i="3"/>
  <c r="K523" i="3"/>
  <c r="Q523" i="3"/>
  <c r="W523" i="3"/>
  <c r="K524" i="3"/>
  <c r="Q524" i="3"/>
  <c r="W524" i="3"/>
  <c r="K525" i="3"/>
  <c r="Q525" i="3"/>
  <c r="W525" i="3"/>
  <c r="K526" i="3"/>
  <c r="Q526" i="3"/>
  <c r="W526" i="3"/>
  <c r="K527" i="3"/>
  <c r="Q527" i="3"/>
  <c r="W527" i="3"/>
  <c r="K528" i="3"/>
  <c r="Q528" i="3"/>
  <c r="W528" i="3"/>
  <c r="K529" i="3"/>
  <c r="Q529" i="3"/>
  <c r="W529" i="3"/>
  <c r="K530" i="3"/>
  <c r="Q530" i="3"/>
  <c r="W530" i="3"/>
  <c r="K531" i="3"/>
  <c r="Q531" i="3"/>
  <c r="W531" i="3"/>
  <c r="K532" i="3"/>
  <c r="Q532" i="3"/>
  <c r="W532" i="3"/>
  <c r="K533" i="3"/>
  <c r="Q533" i="3"/>
  <c r="W533" i="3"/>
  <c r="K534" i="3"/>
  <c r="Q534" i="3"/>
  <c r="W534" i="3"/>
  <c r="K535" i="3"/>
  <c r="Q535" i="3"/>
  <c r="W535" i="3"/>
  <c r="K536" i="3"/>
  <c r="Q536" i="3"/>
  <c r="W536" i="3"/>
  <c r="K537" i="3"/>
  <c r="Q537" i="3"/>
  <c r="W537" i="3"/>
  <c r="K538" i="3"/>
  <c r="Q538" i="3"/>
  <c r="W538" i="3"/>
  <c r="K539" i="3"/>
  <c r="Q539" i="3"/>
  <c r="W539" i="3"/>
  <c r="K540" i="3"/>
  <c r="Q540" i="3"/>
  <c r="W540" i="3"/>
  <c r="K541" i="3"/>
  <c r="Q541" i="3"/>
  <c r="W541" i="3"/>
  <c r="K542" i="3"/>
  <c r="Q542" i="3"/>
  <c r="W542" i="3"/>
  <c r="K543" i="3"/>
  <c r="Q543" i="3"/>
  <c r="W543" i="3"/>
  <c r="K544" i="3"/>
  <c r="Q544" i="3"/>
  <c r="W544" i="3"/>
  <c r="K545" i="3"/>
  <c r="Q545" i="3"/>
  <c r="W545" i="3"/>
  <c r="K546" i="3"/>
  <c r="Q546" i="3"/>
  <c r="W546" i="3"/>
  <c r="K547" i="3"/>
  <c r="Q547" i="3"/>
  <c r="W547" i="3"/>
  <c r="K548" i="3"/>
  <c r="Q548" i="3"/>
  <c r="W548" i="3"/>
  <c r="K549" i="3"/>
  <c r="Q549" i="3"/>
  <c r="W549" i="3"/>
  <c r="K550" i="3"/>
  <c r="Q550" i="3"/>
  <c r="W550" i="3"/>
  <c r="K551" i="3"/>
  <c r="Q551" i="3"/>
  <c r="W551" i="3"/>
  <c r="K552" i="3"/>
  <c r="Q552" i="3"/>
  <c r="W552" i="3"/>
  <c r="K553" i="3"/>
  <c r="Q553" i="3"/>
  <c r="W553" i="3"/>
  <c r="K554" i="3"/>
  <c r="Q554" i="3"/>
  <c r="W554" i="3"/>
  <c r="K555" i="3"/>
  <c r="Q555" i="3"/>
  <c r="W555" i="3"/>
  <c r="K556" i="3"/>
  <c r="Q556" i="3"/>
  <c r="W556" i="3"/>
  <c r="K557" i="3"/>
  <c r="Q557" i="3"/>
  <c r="W557" i="3"/>
  <c r="K558" i="3"/>
  <c r="Q558" i="3"/>
  <c r="W558" i="3"/>
  <c r="K559" i="3"/>
  <c r="Q559" i="3"/>
  <c r="W559" i="3"/>
  <c r="K560" i="3"/>
  <c r="Q560" i="3"/>
  <c r="W560" i="3"/>
  <c r="K561" i="3"/>
  <c r="Q561" i="3"/>
  <c r="W561" i="3"/>
  <c r="K562" i="3"/>
  <c r="Q562" i="3"/>
  <c r="W562" i="3"/>
  <c r="K563" i="3"/>
  <c r="Q563" i="3"/>
  <c r="W563" i="3"/>
  <c r="K564" i="3"/>
  <c r="Q564" i="3"/>
  <c r="W564" i="3"/>
  <c r="K565" i="3"/>
  <c r="Q565" i="3"/>
  <c r="W565" i="3"/>
  <c r="K566" i="3"/>
  <c r="Q566" i="3"/>
  <c r="W566" i="3"/>
  <c r="K567" i="3"/>
  <c r="Q567" i="3"/>
  <c r="W567" i="3"/>
  <c r="K568" i="3"/>
  <c r="Q568" i="3"/>
  <c r="W568" i="3"/>
  <c r="K569" i="3"/>
  <c r="Q569" i="3"/>
  <c r="W569" i="3"/>
  <c r="K570" i="3"/>
  <c r="Q570" i="3"/>
  <c r="W570" i="3"/>
  <c r="K571" i="3"/>
  <c r="Q571" i="3"/>
  <c r="W571" i="3"/>
  <c r="K572" i="3"/>
  <c r="Q572" i="3"/>
  <c r="W572" i="3"/>
  <c r="K573" i="3"/>
  <c r="Q573" i="3"/>
  <c r="W573" i="3"/>
  <c r="K574" i="3"/>
  <c r="Q574" i="3"/>
  <c r="W574" i="3"/>
  <c r="K575" i="3"/>
  <c r="Q575" i="3"/>
  <c r="W575" i="3"/>
  <c r="K576" i="3"/>
  <c r="Q576" i="3"/>
  <c r="W576" i="3"/>
  <c r="K577" i="3"/>
  <c r="Q577" i="3"/>
  <c r="W577" i="3"/>
  <c r="K578" i="3"/>
  <c r="Q578" i="3"/>
  <c r="W578" i="3"/>
  <c r="K579" i="3"/>
  <c r="Q579" i="3"/>
  <c r="W579" i="3"/>
  <c r="K580" i="3"/>
  <c r="Q580" i="3"/>
  <c r="W580" i="3"/>
  <c r="K581" i="3"/>
  <c r="Q581" i="3"/>
  <c r="W581" i="3"/>
  <c r="K582" i="3"/>
  <c r="Q582" i="3"/>
  <c r="W582" i="3"/>
  <c r="K583" i="3"/>
  <c r="Q583" i="3"/>
  <c r="W583" i="3"/>
  <c r="K584" i="3"/>
  <c r="Q584" i="3"/>
  <c r="W584" i="3"/>
  <c r="K585" i="3"/>
  <c r="Q585" i="3"/>
  <c r="W585" i="3"/>
  <c r="K586" i="3"/>
  <c r="Q586" i="3"/>
  <c r="W586" i="3"/>
  <c r="K587" i="3"/>
  <c r="Q587" i="3"/>
  <c r="W587" i="3"/>
  <c r="K588" i="3"/>
  <c r="Q588" i="3"/>
  <c r="W588" i="3"/>
  <c r="K589" i="3"/>
  <c r="Q589" i="3"/>
  <c r="W589" i="3"/>
  <c r="K590" i="3"/>
  <c r="Q590" i="3"/>
  <c r="W590" i="3"/>
  <c r="K591" i="3"/>
  <c r="Q591" i="3"/>
  <c r="W591" i="3"/>
  <c r="K592" i="3"/>
  <c r="Q592" i="3"/>
  <c r="W592" i="3"/>
  <c r="K593" i="3"/>
  <c r="Q593" i="3"/>
  <c r="W593" i="3"/>
  <c r="K594" i="3"/>
  <c r="Q594" i="3"/>
  <c r="W594" i="3"/>
  <c r="K595" i="3"/>
  <c r="Q595" i="3"/>
  <c r="W595" i="3"/>
  <c r="K596" i="3"/>
  <c r="Q596" i="3"/>
  <c r="W596" i="3"/>
  <c r="K597" i="3"/>
  <c r="Q597" i="3"/>
  <c r="W597" i="3"/>
  <c r="K598" i="3"/>
  <c r="Q598" i="3"/>
  <c r="W598" i="3"/>
  <c r="K599" i="3"/>
  <c r="Q599" i="3"/>
  <c r="W599" i="3"/>
  <c r="K600" i="3"/>
  <c r="Q600" i="3"/>
  <c r="W600" i="3"/>
  <c r="K601" i="3"/>
  <c r="Q601" i="3"/>
  <c r="W601" i="3"/>
  <c r="K602" i="3"/>
  <c r="Q602" i="3"/>
  <c r="W602" i="3"/>
  <c r="K603" i="3"/>
  <c r="Q603" i="3"/>
  <c r="W603" i="3"/>
  <c r="K604" i="3"/>
  <c r="Q604" i="3"/>
  <c r="W604" i="3"/>
  <c r="K605" i="3"/>
  <c r="Q605" i="3"/>
  <c r="W605" i="3"/>
  <c r="K606" i="3"/>
  <c r="Q606" i="3"/>
  <c r="W606" i="3"/>
  <c r="K607" i="3"/>
  <c r="Q607" i="3"/>
  <c r="W607" i="3"/>
  <c r="K608" i="3"/>
  <c r="Q608" i="3"/>
  <c r="W608" i="3"/>
  <c r="K609" i="3"/>
  <c r="Q609" i="3"/>
  <c r="W609" i="3"/>
  <c r="K610" i="3"/>
  <c r="Q610" i="3"/>
  <c r="W610" i="3"/>
  <c r="K611" i="3"/>
  <c r="Q611" i="3"/>
  <c r="W611" i="3"/>
  <c r="K612" i="3"/>
  <c r="Q612" i="3"/>
  <c r="W612" i="3"/>
  <c r="K613" i="3"/>
  <c r="Q613" i="3"/>
  <c r="W613" i="3"/>
  <c r="K614" i="3"/>
  <c r="Q614" i="3"/>
  <c r="W614" i="3"/>
  <c r="K615" i="3"/>
  <c r="Q615" i="3"/>
  <c r="W615" i="3"/>
  <c r="K616" i="3"/>
  <c r="Q616" i="3"/>
  <c r="W616" i="3"/>
  <c r="K617" i="3"/>
  <c r="Q617" i="3"/>
  <c r="W617" i="3"/>
  <c r="K618" i="3"/>
  <c r="Q618" i="3"/>
  <c r="W618" i="3"/>
  <c r="K619" i="3"/>
  <c r="Q619" i="3"/>
  <c r="W619" i="3"/>
  <c r="K620" i="3"/>
  <c r="Q620" i="3"/>
  <c r="W620" i="3"/>
  <c r="K621" i="3"/>
  <c r="Q621" i="3"/>
  <c r="W621" i="3"/>
  <c r="K622" i="3"/>
  <c r="Q622" i="3"/>
  <c r="W622" i="3"/>
  <c r="K623" i="3"/>
  <c r="Q623" i="3"/>
  <c r="W623" i="3"/>
  <c r="K624" i="3"/>
  <c r="Q624" i="3"/>
  <c r="W624" i="3"/>
  <c r="K625" i="3"/>
  <c r="Q625" i="3"/>
  <c r="W625" i="3"/>
  <c r="K626" i="3"/>
  <c r="Q626" i="3"/>
  <c r="W626" i="3"/>
  <c r="K627" i="3"/>
  <c r="Q627" i="3"/>
  <c r="W627" i="3"/>
  <c r="K628" i="3"/>
  <c r="Q628" i="3"/>
  <c r="W628" i="3"/>
  <c r="K629" i="3"/>
  <c r="Q629" i="3"/>
  <c r="W629" i="3"/>
  <c r="K630" i="3"/>
  <c r="Q630" i="3"/>
  <c r="W630" i="3"/>
  <c r="K631" i="3"/>
  <c r="Q631" i="3"/>
  <c r="W631" i="3"/>
  <c r="K632" i="3"/>
  <c r="Q632" i="3"/>
  <c r="W632" i="3"/>
  <c r="K633" i="3"/>
  <c r="Q633" i="3"/>
  <c r="W633" i="3"/>
  <c r="K634" i="3"/>
  <c r="Q634" i="3"/>
  <c r="W634" i="3"/>
  <c r="K635" i="3"/>
  <c r="Q635" i="3"/>
  <c r="W635" i="3"/>
  <c r="K636" i="3"/>
  <c r="Q636" i="3"/>
  <c r="W636" i="3"/>
  <c r="K637" i="3"/>
  <c r="Q637" i="3"/>
  <c r="W637" i="3"/>
  <c r="K638" i="3"/>
  <c r="Q638" i="3"/>
  <c r="W638" i="3"/>
  <c r="K639" i="3"/>
  <c r="Q639" i="3"/>
  <c r="W639" i="3"/>
  <c r="K640" i="3"/>
  <c r="Q640" i="3"/>
  <c r="W640" i="3"/>
  <c r="K641" i="3"/>
  <c r="Q641" i="3"/>
  <c r="W641" i="3"/>
  <c r="K642" i="3"/>
  <c r="Q642" i="3"/>
  <c r="W642" i="3"/>
  <c r="K643" i="3"/>
  <c r="Q643" i="3"/>
  <c r="W643" i="3"/>
  <c r="K644" i="3"/>
  <c r="Q644" i="3"/>
  <c r="W644" i="3"/>
  <c r="K645" i="3"/>
  <c r="Q645" i="3"/>
  <c r="W645" i="3"/>
  <c r="K646" i="3"/>
  <c r="Q646" i="3"/>
  <c r="W646" i="3"/>
  <c r="K647" i="3"/>
  <c r="Q647" i="3"/>
  <c r="W647" i="3"/>
  <c r="K648" i="3"/>
  <c r="Q648" i="3"/>
  <c r="W648" i="3"/>
  <c r="K649" i="3"/>
  <c r="Q649" i="3"/>
  <c r="W649" i="3"/>
  <c r="K650" i="3"/>
  <c r="Q650" i="3"/>
  <c r="W650" i="3"/>
  <c r="K651" i="3"/>
  <c r="Q651" i="3"/>
  <c r="W651" i="3"/>
  <c r="K652" i="3"/>
  <c r="Q652" i="3"/>
  <c r="W652" i="3"/>
  <c r="K653" i="3"/>
  <c r="Q653" i="3"/>
  <c r="W653" i="3"/>
  <c r="K654" i="3"/>
  <c r="Q654" i="3"/>
  <c r="W654" i="3"/>
  <c r="K655" i="3"/>
  <c r="Q655" i="3"/>
  <c r="W655" i="3"/>
  <c r="K656" i="3"/>
  <c r="Q656" i="3"/>
  <c r="W656" i="3"/>
  <c r="K657" i="3"/>
  <c r="Q657" i="3"/>
  <c r="W657" i="3"/>
  <c r="K658" i="3"/>
  <c r="Q658" i="3"/>
  <c r="W658" i="3"/>
  <c r="K659" i="3"/>
  <c r="Q659" i="3"/>
  <c r="W659" i="3"/>
  <c r="K660" i="3"/>
  <c r="Q660" i="3"/>
  <c r="W660" i="3"/>
  <c r="K661" i="3"/>
  <c r="Q661" i="3"/>
  <c r="W661" i="3"/>
  <c r="K662" i="3"/>
  <c r="Q662" i="3"/>
  <c r="W662" i="3"/>
  <c r="K663" i="3"/>
  <c r="Q663" i="3"/>
  <c r="W663" i="3"/>
  <c r="K664" i="3"/>
  <c r="Q664" i="3"/>
  <c r="W664" i="3"/>
  <c r="K665" i="3"/>
  <c r="Q665" i="3"/>
  <c r="W665" i="3"/>
  <c r="K666" i="3"/>
  <c r="Q666" i="3"/>
  <c r="W666" i="3"/>
  <c r="K667" i="3"/>
  <c r="Q667" i="3"/>
  <c r="W667" i="3"/>
  <c r="K668" i="3"/>
  <c r="Q668" i="3"/>
  <c r="W668" i="3"/>
  <c r="K669" i="3"/>
  <c r="Q669" i="3"/>
  <c r="W669" i="3"/>
  <c r="K670" i="3"/>
  <c r="Q670" i="3"/>
  <c r="W670" i="3"/>
  <c r="K671" i="3"/>
  <c r="Q671" i="3"/>
  <c r="W671" i="3"/>
  <c r="K672" i="3"/>
  <c r="Q672" i="3"/>
  <c r="W672" i="3"/>
  <c r="K673" i="3"/>
  <c r="Q673" i="3"/>
  <c r="W673" i="3"/>
  <c r="K674" i="3"/>
  <c r="Q674" i="3"/>
  <c r="W674" i="3"/>
  <c r="K675" i="3"/>
  <c r="Q675" i="3"/>
  <c r="W675" i="3"/>
  <c r="K676" i="3"/>
  <c r="Q676" i="3"/>
  <c r="W676" i="3"/>
  <c r="K677" i="3"/>
  <c r="Q677" i="3"/>
  <c r="W677" i="3"/>
  <c r="K678" i="3"/>
  <c r="Q678" i="3"/>
  <c r="W678" i="3"/>
  <c r="K679" i="3"/>
  <c r="Q679" i="3"/>
  <c r="W679" i="3"/>
  <c r="K680" i="3"/>
  <c r="Q680" i="3"/>
  <c r="W680" i="3"/>
  <c r="K681" i="3"/>
  <c r="Q681" i="3"/>
  <c r="W681" i="3"/>
  <c r="K682" i="3"/>
  <c r="Q682" i="3"/>
  <c r="W682" i="3"/>
  <c r="K683" i="3"/>
  <c r="Q683" i="3"/>
  <c r="W683" i="3"/>
  <c r="K684" i="3"/>
  <c r="Q684" i="3"/>
  <c r="W684" i="3"/>
  <c r="K685" i="3"/>
  <c r="Q685" i="3"/>
  <c r="W685" i="3"/>
  <c r="K686" i="3"/>
  <c r="Q686" i="3"/>
  <c r="W686" i="3"/>
  <c r="K687" i="3"/>
  <c r="Q687" i="3"/>
  <c r="W687" i="3"/>
  <c r="K688" i="3"/>
  <c r="Q688" i="3"/>
  <c r="W688" i="3"/>
  <c r="K689" i="3"/>
  <c r="Q689" i="3"/>
  <c r="W689" i="3"/>
  <c r="K690" i="3"/>
  <c r="Q690" i="3"/>
  <c r="W690" i="3"/>
  <c r="K691" i="3"/>
  <c r="Q691" i="3"/>
  <c r="W691" i="3"/>
  <c r="K692" i="3"/>
  <c r="Q692" i="3"/>
  <c r="W692" i="3"/>
  <c r="K693" i="3"/>
  <c r="Q693" i="3"/>
  <c r="W693" i="3"/>
  <c r="K694" i="3"/>
  <c r="Q694" i="3"/>
  <c r="W694" i="3"/>
  <c r="K695" i="3"/>
  <c r="Q695" i="3"/>
  <c r="W695" i="3"/>
  <c r="K696" i="3"/>
  <c r="Q696" i="3"/>
  <c r="W696" i="3"/>
  <c r="K697" i="3"/>
  <c r="Q697" i="3"/>
  <c r="W697" i="3"/>
  <c r="K698" i="3"/>
  <c r="Q698" i="3"/>
  <c r="W698" i="3"/>
  <c r="K699" i="3"/>
  <c r="Q699" i="3"/>
  <c r="W699" i="3"/>
  <c r="K700" i="3"/>
  <c r="Q700" i="3"/>
  <c r="W700" i="3"/>
  <c r="K701" i="3"/>
  <c r="Q701" i="3"/>
  <c r="W701" i="3"/>
  <c r="K702" i="3"/>
  <c r="Q702" i="3"/>
  <c r="W702" i="3"/>
  <c r="K703" i="3"/>
  <c r="Q703" i="3"/>
  <c r="W703" i="3"/>
  <c r="K704" i="3"/>
  <c r="Q704" i="3"/>
  <c r="W704" i="3"/>
  <c r="K705" i="3"/>
  <c r="Q705" i="3"/>
  <c r="W705" i="3"/>
  <c r="K706" i="3"/>
  <c r="Q706" i="3"/>
  <c r="W706" i="3"/>
  <c r="K707" i="3"/>
  <c r="Q707" i="3"/>
  <c r="W707" i="3"/>
  <c r="K708" i="3"/>
  <c r="Q708" i="3"/>
  <c r="W708" i="3"/>
  <c r="K709" i="3"/>
  <c r="Q709" i="3"/>
  <c r="W709" i="3"/>
  <c r="K710" i="3"/>
  <c r="Q710" i="3"/>
  <c r="W710" i="3"/>
  <c r="K711" i="3"/>
  <c r="Q711" i="3"/>
  <c r="W711" i="3"/>
  <c r="K712" i="3"/>
  <c r="Q712" i="3"/>
  <c r="W712" i="3"/>
  <c r="K713" i="3"/>
  <c r="Q713" i="3"/>
  <c r="W713" i="3"/>
  <c r="K714" i="3"/>
  <c r="Q714" i="3"/>
  <c r="W714" i="3"/>
  <c r="K715" i="3"/>
  <c r="Q715" i="3"/>
  <c r="W715" i="3"/>
  <c r="K716" i="3"/>
  <c r="Q716" i="3"/>
  <c r="W716" i="3"/>
  <c r="K717" i="3"/>
  <c r="Q717" i="3"/>
  <c r="W717" i="3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3" i="3" s="1"/>
  <c r="G14" i="2"/>
  <c r="T13" i="3" s="1"/>
  <c r="H14" i="2"/>
  <c r="I14" i="2"/>
  <c r="F14" i="2" s="1"/>
  <c r="N13" i="3" s="1"/>
  <c r="J14" i="2"/>
  <c r="U14" i="2"/>
  <c r="G13" i="3" s="1"/>
  <c r="V14" i="2"/>
  <c r="T14" i="2" s="1"/>
  <c r="W14" i="2"/>
  <c r="B15" i="2"/>
  <c r="C15" i="2"/>
  <c r="C16" i="2" s="1"/>
  <c r="C17" i="2" s="1"/>
  <c r="C18" i="2" s="1"/>
  <c r="D15" i="2"/>
  <c r="D16" i="2" s="1"/>
  <c r="K15" i="2"/>
  <c r="K16" i="2" s="1"/>
  <c r="L15" i="2"/>
  <c r="M15" i="2"/>
  <c r="M16" i="2" s="1"/>
  <c r="N15" i="2"/>
  <c r="O15" i="2"/>
  <c r="V15" i="2" s="1"/>
  <c r="P15" i="2"/>
  <c r="W15" i="2" s="1"/>
  <c r="U15" i="2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N16" i="2"/>
  <c r="N17" i="2" s="1"/>
  <c r="P16" i="2"/>
  <c r="W16" i="2" s="1"/>
  <c r="AB43" i="2"/>
  <c r="AB47" i="2" s="1"/>
  <c r="AB355" i="2"/>
  <c r="AB360" i="2"/>
  <c r="AB364" i="2" s="1"/>
  <c r="AB369" i="2" s="1"/>
  <c r="A506" i="2"/>
  <c r="A507" i="2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T15" i="2" l="1"/>
  <c r="X15" i="3"/>
  <c r="R15" i="3"/>
  <c r="R16" i="3" s="1"/>
  <c r="O16" i="2"/>
  <c r="M17" i="2"/>
  <c r="J16" i="2"/>
  <c r="G16" i="2" s="1"/>
  <c r="L16" i="2"/>
  <c r="I15" i="2"/>
  <c r="F15" i="2" s="1"/>
  <c r="H16" i="2"/>
  <c r="E16" i="2" s="1"/>
  <c r="K17" i="2"/>
  <c r="U17" i="2"/>
  <c r="N18" i="2"/>
  <c r="C19" i="2"/>
  <c r="U16" i="2"/>
  <c r="J15" i="2"/>
  <c r="H15" i="2"/>
  <c r="E15" i="2" s="1"/>
  <c r="G15" i="2"/>
  <c r="P17" i="2"/>
  <c r="D17" i="2"/>
  <c r="M8" i="4"/>
  <c r="N8" i="3"/>
  <c r="M9" i="4"/>
  <c r="N9" i="3"/>
  <c r="D14" i="4"/>
  <c r="R17" i="3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R538" i="3" s="1"/>
  <c r="R539" i="3" s="1"/>
  <c r="R540" i="3" s="1"/>
  <c r="R541" i="3" s="1"/>
  <c r="R542" i="3" s="1"/>
  <c r="R543" i="3" s="1"/>
  <c r="R544" i="3" s="1"/>
  <c r="R545" i="3" s="1"/>
  <c r="R546" i="3" s="1"/>
  <c r="R547" i="3" s="1"/>
  <c r="R548" i="3" s="1"/>
  <c r="R549" i="3" s="1"/>
  <c r="R550" i="3" s="1"/>
  <c r="R551" i="3" s="1"/>
  <c r="R552" i="3" s="1"/>
  <c r="R553" i="3" s="1"/>
  <c r="R554" i="3" s="1"/>
  <c r="R555" i="3" s="1"/>
  <c r="R556" i="3" s="1"/>
  <c r="R557" i="3" s="1"/>
  <c r="R558" i="3" s="1"/>
  <c r="R559" i="3" s="1"/>
  <c r="R560" i="3" s="1"/>
  <c r="R561" i="3" s="1"/>
  <c r="R562" i="3" s="1"/>
  <c r="R563" i="3" s="1"/>
  <c r="R564" i="3" s="1"/>
  <c r="R565" i="3" s="1"/>
  <c r="R566" i="3" s="1"/>
  <c r="R567" i="3" s="1"/>
  <c r="R568" i="3" s="1"/>
  <c r="R569" i="3" s="1"/>
  <c r="R570" i="3" s="1"/>
  <c r="R571" i="3" s="1"/>
  <c r="R572" i="3" s="1"/>
  <c r="R573" i="3" s="1"/>
  <c r="R574" i="3" s="1"/>
  <c r="R575" i="3" s="1"/>
  <c r="R576" i="3" s="1"/>
  <c r="R577" i="3" s="1"/>
  <c r="R578" i="3" s="1"/>
  <c r="R579" i="3" s="1"/>
  <c r="R580" i="3" s="1"/>
  <c r="R581" i="3" s="1"/>
  <c r="R582" i="3" s="1"/>
  <c r="R583" i="3" s="1"/>
  <c r="R584" i="3" s="1"/>
  <c r="R585" i="3" s="1"/>
  <c r="R586" i="3" s="1"/>
  <c r="R587" i="3" s="1"/>
  <c r="R588" i="3" s="1"/>
  <c r="R589" i="3" s="1"/>
  <c r="R590" i="3" s="1"/>
  <c r="R591" i="3" s="1"/>
  <c r="R592" i="3" s="1"/>
  <c r="R593" i="3" s="1"/>
  <c r="R594" i="3" s="1"/>
  <c r="R595" i="3" s="1"/>
  <c r="R596" i="3" s="1"/>
  <c r="R597" i="3" s="1"/>
  <c r="R598" i="3" s="1"/>
  <c r="R599" i="3" s="1"/>
  <c r="R600" i="3" s="1"/>
  <c r="R601" i="3" s="1"/>
  <c r="R602" i="3" s="1"/>
  <c r="R603" i="3" s="1"/>
  <c r="R604" i="3" s="1"/>
  <c r="R605" i="3" s="1"/>
  <c r="R606" i="3" s="1"/>
  <c r="R607" i="3" s="1"/>
  <c r="R608" i="3" s="1"/>
  <c r="R609" i="3" s="1"/>
  <c r="R610" i="3" s="1"/>
  <c r="R611" i="3" s="1"/>
  <c r="R612" i="3" s="1"/>
  <c r="R613" i="3" s="1"/>
  <c r="R614" i="3" s="1"/>
  <c r="R615" i="3" s="1"/>
  <c r="R616" i="3" s="1"/>
  <c r="R617" i="3" s="1"/>
  <c r="R618" i="3" s="1"/>
  <c r="R619" i="3" s="1"/>
  <c r="R620" i="3" s="1"/>
  <c r="R621" i="3" s="1"/>
  <c r="R622" i="3" s="1"/>
  <c r="R623" i="3" s="1"/>
  <c r="R624" i="3" s="1"/>
  <c r="R625" i="3" s="1"/>
  <c r="R626" i="3" s="1"/>
  <c r="R627" i="3" s="1"/>
  <c r="R628" i="3" s="1"/>
  <c r="R629" i="3" s="1"/>
  <c r="R630" i="3" s="1"/>
  <c r="R631" i="3" s="1"/>
  <c r="R632" i="3" s="1"/>
  <c r="R633" i="3" s="1"/>
  <c r="R634" i="3" s="1"/>
  <c r="R635" i="3" s="1"/>
  <c r="R636" i="3" s="1"/>
  <c r="R637" i="3" s="1"/>
  <c r="R638" i="3" s="1"/>
  <c r="R639" i="3" s="1"/>
  <c r="R640" i="3" s="1"/>
  <c r="R641" i="3" s="1"/>
  <c r="R642" i="3" s="1"/>
  <c r="R643" i="3" s="1"/>
  <c r="R644" i="3" s="1"/>
  <c r="R645" i="3" s="1"/>
  <c r="R646" i="3" s="1"/>
  <c r="R647" i="3" s="1"/>
  <c r="R648" i="3" s="1"/>
  <c r="R649" i="3" s="1"/>
  <c r="R650" i="3" s="1"/>
  <c r="R651" i="3" s="1"/>
  <c r="R652" i="3" s="1"/>
  <c r="R653" i="3" s="1"/>
  <c r="R654" i="3" s="1"/>
  <c r="R655" i="3" s="1"/>
  <c r="R656" i="3" s="1"/>
  <c r="R657" i="3" s="1"/>
  <c r="R658" i="3" s="1"/>
  <c r="R659" i="3" s="1"/>
  <c r="R660" i="3" s="1"/>
  <c r="R661" i="3" s="1"/>
  <c r="R662" i="3" s="1"/>
  <c r="R663" i="3" s="1"/>
  <c r="R664" i="3" s="1"/>
  <c r="R665" i="3" s="1"/>
  <c r="R666" i="3" s="1"/>
  <c r="R667" i="3" s="1"/>
  <c r="R668" i="3" s="1"/>
  <c r="R669" i="3" s="1"/>
  <c r="R670" i="3" s="1"/>
  <c r="R671" i="3" s="1"/>
  <c r="R672" i="3" s="1"/>
  <c r="R673" i="3" s="1"/>
  <c r="R674" i="3" s="1"/>
  <c r="R675" i="3" s="1"/>
  <c r="R676" i="3" s="1"/>
  <c r="R677" i="3" s="1"/>
  <c r="R678" i="3" s="1"/>
  <c r="R679" i="3" s="1"/>
  <c r="R680" i="3" s="1"/>
  <c r="R681" i="3" s="1"/>
  <c r="R682" i="3" s="1"/>
  <c r="R683" i="3" s="1"/>
  <c r="R684" i="3" s="1"/>
  <c r="R685" i="3" s="1"/>
  <c r="R686" i="3" s="1"/>
  <c r="R687" i="3" s="1"/>
  <c r="R688" i="3" s="1"/>
  <c r="R689" i="3" s="1"/>
  <c r="R690" i="3" s="1"/>
  <c r="R691" i="3" s="1"/>
  <c r="R692" i="3" s="1"/>
  <c r="R693" i="3" s="1"/>
  <c r="R694" i="3" s="1"/>
  <c r="R695" i="3" s="1"/>
  <c r="R696" i="3" s="1"/>
  <c r="R697" i="3" s="1"/>
  <c r="R698" i="3" s="1"/>
  <c r="R699" i="3" s="1"/>
  <c r="R700" i="3" s="1"/>
  <c r="R701" i="3" s="1"/>
  <c r="R702" i="3" s="1"/>
  <c r="R703" i="3" s="1"/>
  <c r="R704" i="3" s="1"/>
  <c r="R705" i="3" s="1"/>
  <c r="R706" i="3" s="1"/>
  <c r="R707" i="3" s="1"/>
  <c r="R708" i="3" s="1"/>
  <c r="R709" i="3" s="1"/>
  <c r="R710" i="3" s="1"/>
  <c r="R711" i="3" s="1"/>
  <c r="R712" i="3" s="1"/>
  <c r="R713" i="3" s="1"/>
  <c r="R714" i="3" s="1"/>
  <c r="R715" i="3" s="1"/>
  <c r="R716" i="3" s="1"/>
  <c r="R717" i="3" s="1"/>
  <c r="L16" i="3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L552" i="3" s="1"/>
  <c r="L553" i="3" s="1"/>
  <c r="L554" i="3" s="1"/>
  <c r="L555" i="3" s="1"/>
  <c r="L556" i="3" s="1"/>
  <c r="L557" i="3" s="1"/>
  <c r="L558" i="3" s="1"/>
  <c r="L559" i="3" s="1"/>
  <c r="L560" i="3" s="1"/>
  <c r="L561" i="3" s="1"/>
  <c r="L562" i="3" s="1"/>
  <c r="L563" i="3" s="1"/>
  <c r="L564" i="3" s="1"/>
  <c r="L565" i="3" s="1"/>
  <c r="L566" i="3" s="1"/>
  <c r="L567" i="3" s="1"/>
  <c r="L568" i="3" s="1"/>
  <c r="L569" i="3" s="1"/>
  <c r="L570" i="3" s="1"/>
  <c r="L571" i="3" s="1"/>
  <c r="L572" i="3" s="1"/>
  <c r="L573" i="3" s="1"/>
  <c r="L574" i="3" s="1"/>
  <c r="L575" i="3" s="1"/>
  <c r="L576" i="3" s="1"/>
  <c r="L577" i="3" s="1"/>
  <c r="L578" i="3" s="1"/>
  <c r="L579" i="3" s="1"/>
  <c r="L580" i="3" s="1"/>
  <c r="L581" i="3" s="1"/>
  <c r="L582" i="3" s="1"/>
  <c r="L583" i="3" s="1"/>
  <c r="L584" i="3" s="1"/>
  <c r="L585" i="3" s="1"/>
  <c r="L586" i="3" s="1"/>
  <c r="L587" i="3" s="1"/>
  <c r="L588" i="3" s="1"/>
  <c r="L589" i="3" s="1"/>
  <c r="L590" i="3" s="1"/>
  <c r="L591" i="3" s="1"/>
  <c r="L592" i="3" s="1"/>
  <c r="L593" i="3" s="1"/>
  <c r="L594" i="3" s="1"/>
  <c r="L595" i="3" s="1"/>
  <c r="L596" i="3" s="1"/>
  <c r="L597" i="3" s="1"/>
  <c r="L598" i="3" s="1"/>
  <c r="L599" i="3" s="1"/>
  <c r="L600" i="3" s="1"/>
  <c r="L601" i="3" s="1"/>
  <c r="L602" i="3" s="1"/>
  <c r="L603" i="3" s="1"/>
  <c r="L604" i="3" s="1"/>
  <c r="L605" i="3" s="1"/>
  <c r="L606" i="3" s="1"/>
  <c r="L607" i="3" s="1"/>
  <c r="L608" i="3" s="1"/>
  <c r="L609" i="3" s="1"/>
  <c r="L610" i="3" s="1"/>
  <c r="L611" i="3" s="1"/>
  <c r="L612" i="3" s="1"/>
  <c r="L613" i="3" s="1"/>
  <c r="L614" i="3" s="1"/>
  <c r="L615" i="3" s="1"/>
  <c r="L616" i="3" s="1"/>
  <c r="L617" i="3" s="1"/>
  <c r="L618" i="3" s="1"/>
  <c r="L619" i="3" s="1"/>
  <c r="L620" i="3" s="1"/>
  <c r="L621" i="3" s="1"/>
  <c r="L622" i="3" s="1"/>
  <c r="L623" i="3" s="1"/>
  <c r="L624" i="3" s="1"/>
  <c r="L625" i="3" s="1"/>
  <c r="L626" i="3" s="1"/>
  <c r="L627" i="3" s="1"/>
  <c r="L628" i="3" s="1"/>
  <c r="L629" i="3" s="1"/>
  <c r="L630" i="3" s="1"/>
  <c r="L631" i="3" s="1"/>
  <c r="L632" i="3" s="1"/>
  <c r="L633" i="3" s="1"/>
  <c r="L634" i="3" s="1"/>
  <c r="L635" i="3" s="1"/>
  <c r="L636" i="3" s="1"/>
  <c r="L637" i="3" s="1"/>
  <c r="L638" i="3" s="1"/>
  <c r="L639" i="3" s="1"/>
  <c r="L640" i="3" s="1"/>
  <c r="L641" i="3" s="1"/>
  <c r="L642" i="3" s="1"/>
  <c r="L643" i="3" s="1"/>
  <c r="L644" i="3" s="1"/>
  <c r="L645" i="3" s="1"/>
  <c r="L646" i="3" s="1"/>
  <c r="L647" i="3" s="1"/>
  <c r="L648" i="3" s="1"/>
  <c r="L649" i="3" s="1"/>
  <c r="L650" i="3" s="1"/>
  <c r="L651" i="3" s="1"/>
  <c r="L652" i="3" s="1"/>
  <c r="L653" i="3" s="1"/>
  <c r="L654" i="3" s="1"/>
  <c r="L655" i="3" s="1"/>
  <c r="L656" i="3" s="1"/>
  <c r="L657" i="3" s="1"/>
  <c r="L658" i="3" s="1"/>
  <c r="L659" i="3" s="1"/>
  <c r="L660" i="3" s="1"/>
  <c r="L661" i="3" s="1"/>
  <c r="L662" i="3" s="1"/>
  <c r="L663" i="3" s="1"/>
  <c r="L664" i="3" s="1"/>
  <c r="L665" i="3" s="1"/>
  <c r="L666" i="3" s="1"/>
  <c r="L667" i="3" s="1"/>
  <c r="L668" i="3" s="1"/>
  <c r="L669" i="3" s="1"/>
  <c r="L670" i="3" s="1"/>
  <c r="L671" i="3" s="1"/>
  <c r="L672" i="3" s="1"/>
  <c r="L673" i="3" s="1"/>
  <c r="L674" i="3" s="1"/>
  <c r="L675" i="3" s="1"/>
  <c r="L676" i="3" s="1"/>
  <c r="L677" i="3" s="1"/>
  <c r="L678" i="3" s="1"/>
  <c r="L679" i="3" s="1"/>
  <c r="L680" i="3" s="1"/>
  <c r="L681" i="3" s="1"/>
  <c r="L682" i="3" s="1"/>
  <c r="L683" i="3" s="1"/>
  <c r="L684" i="3" s="1"/>
  <c r="L685" i="3" s="1"/>
  <c r="L686" i="3" s="1"/>
  <c r="L687" i="3" s="1"/>
  <c r="L688" i="3" s="1"/>
  <c r="L689" i="3" s="1"/>
  <c r="L690" i="3" s="1"/>
  <c r="L691" i="3" s="1"/>
  <c r="L692" i="3" s="1"/>
  <c r="L693" i="3" s="1"/>
  <c r="L694" i="3" s="1"/>
  <c r="L695" i="3" s="1"/>
  <c r="L696" i="3" s="1"/>
  <c r="L697" i="3" s="1"/>
  <c r="L698" i="3" s="1"/>
  <c r="L699" i="3" s="1"/>
  <c r="L700" i="3" s="1"/>
  <c r="L701" i="3" s="1"/>
  <c r="L702" i="3" s="1"/>
  <c r="L703" i="3" s="1"/>
  <c r="L704" i="3" s="1"/>
  <c r="L705" i="3" s="1"/>
  <c r="L706" i="3" s="1"/>
  <c r="L707" i="3" s="1"/>
  <c r="L708" i="3" s="1"/>
  <c r="L709" i="3" s="1"/>
  <c r="L710" i="3" s="1"/>
  <c r="L711" i="3" s="1"/>
  <c r="L712" i="3" s="1"/>
  <c r="L713" i="3" s="1"/>
  <c r="L714" i="3" s="1"/>
  <c r="L715" i="3" s="1"/>
  <c r="L716" i="3" s="1"/>
  <c r="L717" i="3" s="1"/>
  <c r="X16" i="3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X535" i="3" s="1"/>
  <c r="X536" i="3" s="1"/>
  <c r="X537" i="3" s="1"/>
  <c r="X538" i="3" s="1"/>
  <c r="X539" i="3" s="1"/>
  <c r="X540" i="3" s="1"/>
  <c r="X541" i="3" s="1"/>
  <c r="X542" i="3" s="1"/>
  <c r="X543" i="3" s="1"/>
  <c r="X544" i="3" s="1"/>
  <c r="X545" i="3" s="1"/>
  <c r="X546" i="3" s="1"/>
  <c r="X547" i="3" s="1"/>
  <c r="X548" i="3" s="1"/>
  <c r="X549" i="3" s="1"/>
  <c r="X550" i="3" s="1"/>
  <c r="X551" i="3" s="1"/>
  <c r="X552" i="3" s="1"/>
  <c r="X553" i="3" s="1"/>
  <c r="X554" i="3" s="1"/>
  <c r="X555" i="3" s="1"/>
  <c r="X556" i="3" s="1"/>
  <c r="X557" i="3" s="1"/>
  <c r="X558" i="3" s="1"/>
  <c r="X559" i="3" s="1"/>
  <c r="X560" i="3" s="1"/>
  <c r="X561" i="3" s="1"/>
  <c r="X562" i="3" s="1"/>
  <c r="X563" i="3" s="1"/>
  <c r="X564" i="3" s="1"/>
  <c r="X565" i="3" s="1"/>
  <c r="X566" i="3" s="1"/>
  <c r="X567" i="3" s="1"/>
  <c r="X568" i="3" s="1"/>
  <c r="X569" i="3" s="1"/>
  <c r="X570" i="3" s="1"/>
  <c r="X571" i="3" s="1"/>
  <c r="X572" i="3" s="1"/>
  <c r="X573" i="3" s="1"/>
  <c r="X574" i="3" s="1"/>
  <c r="X575" i="3" s="1"/>
  <c r="X576" i="3" s="1"/>
  <c r="X577" i="3" s="1"/>
  <c r="X578" i="3" s="1"/>
  <c r="X579" i="3" s="1"/>
  <c r="X580" i="3" s="1"/>
  <c r="X581" i="3" s="1"/>
  <c r="X582" i="3" s="1"/>
  <c r="X583" i="3" s="1"/>
  <c r="X584" i="3" s="1"/>
  <c r="X585" i="3" s="1"/>
  <c r="X586" i="3" s="1"/>
  <c r="X587" i="3" s="1"/>
  <c r="X588" i="3" s="1"/>
  <c r="X589" i="3" s="1"/>
  <c r="X590" i="3" s="1"/>
  <c r="X591" i="3" s="1"/>
  <c r="X592" i="3" s="1"/>
  <c r="X593" i="3" s="1"/>
  <c r="X594" i="3" s="1"/>
  <c r="X595" i="3" s="1"/>
  <c r="X596" i="3" s="1"/>
  <c r="X597" i="3" s="1"/>
  <c r="X598" i="3" s="1"/>
  <c r="X599" i="3" s="1"/>
  <c r="X600" i="3" s="1"/>
  <c r="X601" i="3" s="1"/>
  <c r="X602" i="3" s="1"/>
  <c r="X603" i="3" s="1"/>
  <c r="X604" i="3" s="1"/>
  <c r="X605" i="3" s="1"/>
  <c r="X606" i="3" s="1"/>
  <c r="X607" i="3" s="1"/>
  <c r="X608" i="3" s="1"/>
  <c r="X609" i="3" s="1"/>
  <c r="X610" i="3" s="1"/>
  <c r="X611" i="3" s="1"/>
  <c r="X612" i="3" s="1"/>
  <c r="X613" i="3" s="1"/>
  <c r="X614" i="3" s="1"/>
  <c r="X615" i="3" s="1"/>
  <c r="X616" i="3" s="1"/>
  <c r="X617" i="3" s="1"/>
  <c r="X618" i="3" s="1"/>
  <c r="X619" i="3" s="1"/>
  <c r="X620" i="3" s="1"/>
  <c r="X621" i="3" s="1"/>
  <c r="X622" i="3" s="1"/>
  <c r="X623" i="3" s="1"/>
  <c r="X624" i="3" s="1"/>
  <c r="X625" i="3" s="1"/>
  <c r="X626" i="3" s="1"/>
  <c r="X627" i="3" s="1"/>
  <c r="X628" i="3" s="1"/>
  <c r="X629" i="3" s="1"/>
  <c r="X630" i="3" s="1"/>
  <c r="X631" i="3" s="1"/>
  <c r="X632" i="3" s="1"/>
  <c r="X633" i="3" s="1"/>
  <c r="X634" i="3" s="1"/>
  <c r="X635" i="3" s="1"/>
  <c r="X636" i="3" s="1"/>
  <c r="X637" i="3" s="1"/>
  <c r="X638" i="3" s="1"/>
  <c r="X639" i="3" s="1"/>
  <c r="X640" i="3" s="1"/>
  <c r="X641" i="3" s="1"/>
  <c r="X642" i="3" s="1"/>
  <c r="X643" i="3" s="1"/>
  <c r="X644" i="3" s="1"/>
  <c r="X645" i="3" s="1"/>
  <c r="X646" i="3" s="1"/>
  <c r="X647" i="3" s="1"/>
  <c r="X648" i="3" s="1"/>
  <c r="X649" i="3" s="1"/>
  <c r="X650" i="3" s="1"/>
  <c r="X651" i="3" s="1"/>
  <c r="X652" i="3" s="1"/>
  <c r="X653" i="3" s="1"/>
  <c r="X654" i="3" s="1"/>
  <c r="X655" i="3" s="1"/>
  <c r="X656" i="3" s="1"/>
  <c r="X657" i="3" s="1"/>
  <c r="X658" i="3" s="1"/>
  <c r="X659" i="3" s="1"/>
  <c r="X660" i="3" s="1"/>
  <c r="X661" i="3" s="1"/>
  <c r="X662" i="3" s="1"/>
  <c r="X663" i="3" s="1"/>
  <c r="X664" i="3" s="1"/>
  <c r="X665" i="3" s="1"/>
  <c r="X666" i="3" s="1"/>
  <c r="X667" i="3" s="1"/>
  <c r="X668" i="3" s="1"/>
  <c r="X669" i="3" s="1"/>
  <c r="X670" i="3" s="1"/>
  <c r="X671" i="3" s="1"/>
  <c r="X672" i="3" s="1"/>
  <c r="X673" i="3" s="1"/>
  <c r="X674" i="3" s="1"/>
  <c r="X675" i="3" s="1"/>
  <c r="X676" i="3" s="1"/>
  <c r="X677" i="3" s="1"/>
  <c r="X678" i="3" s="1"/>
  <c r="X679" i="3" s="1"/>
  <c r="X680" i="3" s="1"/>
  <c r="X681" i="3" s="1"/>
  <c r="X682" i="3" s="1"/>
  <c r="X683" i="3" s="1"/>
  <c r="X684" i="3" s="1"/>
  <c r="X685" i="3" s="1"/>
  <c r="X686" i="3" s="1"/>
  <c r="X687" i="3" s="1"/>
  <c r="X688" i="3" s="1"/>
  <c r="X689" i="3" s="1"/>
  <c r="X690" i="3" s="1"/>
  <c r="X691" i="3" s="1"/>
  <c r="X692" i="3" s="1"/>
  <c r="X693" i="3" s="1"/>
  <c r="X694" i="3" s="1"/>
  <c r="X695" i="3" s="1"/>
  <c r="X696" i="3" s="1"/>
  <c r="X697" i="3" s="1"/>
  <c r="X698" i="3" s="1"/>
  <c r="X699" i="3" s="1"/>
  <c r="X700" i="3" s="1"/>
  <c r="X701" i="3" s="1"/>
  <c r="X702" i="3" s="1"/>
  <c r="X703" i="3" s="1"/>
  <c r="X704" i="3" s="1"/>
  <c r="X705" i="3" s="1"/>
  <c r="X706" i="3" s="1"/>
  <c r="X707" i="3" s="1"/>
  <c r="X708" i="3" s="1"/>
  <c r="X709" i="3" s="1"/>
  <c r="X710" i="3" s="1"/>
  <c r="X711" i="3" s="1"/>
  <c r="X712" i="3" s="1"/>
  <c r="X713" i="3" s="1"/>
  <c r="X714" i="3" s="1"/>
  <c r="X715" i="3" s="1"/>
  <c r="X716" i="3" s="1"/>
  <c r="X717" i="3" s="1"/>
  <c r="M13" i="3"/>
  <c r="C14" i="4" s="1"/>
  <c r="S13" i="3"/>
  <c r="E13" i="3"/>
  <c r="D13" i="3"/>
  <c r="G14" i="4"/>
  <c r="I14" i="4"/>
  <c r="M774" i="4" s="1"/>
  <c r="K14" i="4"/>
  <c r="N746" i="4" l="1"/>
  <c r="N756" i="4"/>
  <c r="N753" i="4"/>
  <c r="N720" i="4"/>
  <c r="N732" i="4"/>
  <c r="N754" i="4"/>
  <c r="N757" i="4"/>
  <c r="N742" i="4"/>
  <c r="N719" i="4"/>
  <c r="N738" i="4"/>
  <c r="N752" i="4"/>
  <c r="N755" i="4"/>
  <c r="N735" i="4"/>
  <c r="N744" i="4"/>
  <c r="N727" i="4"/>
  <c r="N724" i="4"/>
  <c r="N726" i="4"/>
  <c r="N750" i="4"/>
  <c r="N736" i="4"/>
  <c r="N723" i="4"/>
  <c r="N747" i="4"/>
  <c r="N725" i="4"/>
  <c r="N743" i="4"/>
  <c r="N749" i="4"/>
  <c r="N722" i="4"/>
  <c r="N745" i="4"/>
  <c r="N731" i="4"/>
  <c r="N734" i="4"/>
  <c r="N730" i="4"/>
  <c r="N739" i="4"/>
  <c r="N733" i="4"/>
  <c r="N740" i="4"/>
  <c r="N751" i="4"/>
  <c r="N748" i="4"/>
  <c r="N741" i="4"/>
  <c r="N729" i="4"/>
  <c r="N737" i="4"/>
  <c r="N721" i="4"/>
  <c r="N728" i="4"/>
  <c r="M14" i="4"/>
  <c r="M761" i="4"/>
  <c r="M754" i="4"/>
  <c r="M733" i="4"/>
  <c r="M755" i="4"/>
  <c r="M726" i="4"/>
  <c r="M770" i="4"/>
  <c r="M740" i="4"/>
  <c r="M757" i="4"/>
  <c r="M764" i="4"/>
  <c r="M721" i="4"/>
  <c r="M748" i="4"/>
  <c r="M756" i="4"/>
  <c r="M763" i="4"/>
  <c r="M762" i="4"/>
  <c r="M753" i="4"/>
  <c r="M747" i="4"/>
  <c r="M768" i="4"/>
  <c r="M734" i="4"/>
  <c r="M760" i="4"/>
  <c r="M739" i="4"/>
  <c r="M723" i="4"/>
  <c r="M767" i="4"/>
  <c r="M772" i="4"/>
  <c r="M759" i="4"/>
  <c r="M766" i="4"/>
  <c r="M731" i="4"/>
  <c r="M735" i="4"/>
  <c r="M728" i="4"/>
  <c r="M736" i="4"/>
  <c r="M727" i="4"/>
  <c r="M729" i="4"/>
  <c r="M751" i="4"/>
  <c r="M771" i="4"/>
  <c r="M732" i="4"/>
  <c r="M719" i="4"/>
  <c r="M769" i="4"/>
  <c r="M758" i="4"/>
  <c r="M765" i="4"/>
  <c r="M725" i="4"/>
  <c r="M722" i="4"/>
  <c r="M752" i="4"/>
  <c r="M741" i="4"/>
  <c r="M742" i="4"/>
  <c r="M745" i="4"/>
  <c r="M737" i="4"/>
  <c r="M749" i="4"/>
  <c r="M724" i="4"/>
  <c r="M720" i="4"/>
  <c r="M773" i="4"/>
  <c r="M738" i="4"/>
  <c r="M730" i="4"/>
  <c r="M743" i="4"/>
  <c r="M746" i="4"/>
  <c r="M744" i="4"/>
  <c r="M750" i="4"/>
  <c r="L14" i="4"/>
  <c r="L721" i="4"/>
  <c r="L738" i="4"/>
  <c r="L728" i="4"/>
  <c r="L747" i="4"/>
  <c r="L756" i="4"/>
  <c r="L742" i="4"/>
  <c r="L753" i="4"/>
  <c r="L755" i="4"/>
  <c r="L720" i="4"/>
  <c r="L732" i="4"/>
  <c r="L733" i="4"/>
  <c r="L737" i="4"/>
  <c r="L736" i="4"/>
  <c r="L730" i="4"/>
  <c r="L729" i="4"/>
  <c r="L740" i="4"/>
  <c r="L735" i="4"/>
  <c r="L745" i="4"/>
  <c r="L739" i="4"/>
  <c r="L752" i="4"/>
  <c r="L749" i="4"/>
  <c r="L750" i="4"/>
  <c r="L723" i="4"/>
  <c r="L727" i="4"/>
  <c r="L744" i="4"/>
  <c r="L722" i="4"/>
  <c r="L748" i="4"/>
  <c r="L731" i="4"/>
  <c r="L746" i="4"/>
  <c r="L724" i="4"/>
  <c r="L726" i="4"/>
  <c r="L741" i="4"/>
  <c r="L751" i="4"/>
  <c r="L725" i="4"/>
  <c r="L734" i="4"/>
  <c r="L743" i="4"/>
  <c r="L754" i="4"/>
  <c r="L719" i="4"/>
  <c r="V16" i="2"/>
  <c r="T16" i="2" s="1"/>
  <c r="O17" i="2"/>
  <c r="A15" i="4"/>
  <c r="G14" i="3"/>
  <c r="S14" i="3"/>
  <c r="Y14" i="3" s="1"/>
  <c r="Z14" i="3" s="1"/>
  <c r="AA14" i="3" s="1"/>
  <c r="N14" i="3"/>
  <c r="C14" i="3"/>
  <c r="T14" i="3"/>
  <c r="E14" i="3"/>
  <c r="V14" i="3"/>
  <c r="H14" i="3"/>
  <c r="J14" i="3"/>
  <c r="M14" i="3"/>
  <c r="P14" i="3"/>
  <c r="L17" i="2"/>
  <c r="I16" i="2"/>
  <c r="F16" i="2" s="1"/>
  <c r="U18" i="2"/>
  <c r="N19" i="2"/>
  <c r="D18" i="2"/>
  <c r="K18" i="2"/>
  <c r="H17" i="2"/>
  <c r="E17" i="2" s="1"/>
  <c r="F13" i="3"/>
  <c r="D14" i="3"/>
  <c r="W17" i="2"/>
  <c r="P18" i="2"/>
  <c r="C20" i="2"/>
  <c r="M18" i="2"/>
  <c r="J17" i="2"/>
  <c r="G17" i="2" s="1"/>
  <c r="O18" i="2" l="1"/>
  <c r="V17" i="2"/>
  <c r="T17" i="2" s="1"/>
  <c r="C15" i="4"/>
  <c r="AB14" i="3"/>
  <c r="E15" i="4" s="1"/>
  <c r="D19" i="2"/>
  <c r="K19" i="2"/>
  <c r="H18" i="2"/>
  <c r="E18" i="2" s="1"/>
  <c r="M19" i="2"/>
  <c r="J18" i="2"/>
  <c r="G18" i="2" s="1"/>
  <c r="U19" i="2"/>
  <c r="N20" i="2"/>
  <c r="C21" i="2"/>
  <c r="W18" i="2"/>
  <c r="P19" i="2"/>
  <c r="L18" i="2"/>
  <c r="I17" i="2"/>
  <c r="F17" i="2" s="1"/>
  <c r="D15" i="4"/>
  <c r="F14" i="3"/>
  <c r="D15" i="3"/>
  <c r="I13" i="3"/>
  <c r="F14" i="4" s="1"/>
  <c r="O13" i="3"/>
  <c r="H14" i="4" s="1"/>
  <c r="U13" i="3"/>
  <c r="J14" i="4" s="1"/>
  <c r="G15" i="4"/>
  <c r="L15" i="4" s="1"/>
  <c r="I15" i="4"/>
  <c r="M15" i="4" s="1"/>
  <c r="K15" i="4"/>
  <c r="N15" i="4" s="1"/>
  <c r="A16" i="4"/>
  <c r="C15" i="3"/>
  <c r="P15" i="3"/>
  <c r="H15" i="3"/>
  <c r="V15" i="3"/>
  <c r="J15" i="3"/>
  <c r="M15" i="3"/>
  <c r="N15" i="3"/>
  <c r="E15" i="3"/>
  <c r="S15" i="3"/>
  <c r="Y15" i="3" s="1"/>
  <c r="Z15" i="3" s="1"/>
  <c r="AA15" i="3" s="1"/>
  <c r="T15" i="3"/>
  <c r="G15" i="3"/>
  <c r="V18" i="2" l="1"/>
  <c r="T18" i="2" s="1"/>
  <c r="O19" i="2"/>
  <c r="D16" i="4"/>
  <c r="U14" i="3"/>
  <c r="J15" i="4" s="1"/>
  <c r="I14" i="3"/>
  <c r="F15" i="4" s="1"/>
  <c r="O14" i="3"/>
  <c r="H15" i="4" s="1"/>
  <c r="J19" i="2"/>
  <c r="M20" i="2"/>
  <c r="A17" i="4"/>
  <c r="G16" i="3"/>
  <c r="S16" i="3"/>
  <c r="Y16" i="3" s="1"/>
  <c r="Z16" i="3" s="1"/>
  <c r="AA16" i="3" s="1"/>
  <c r="J16" i="3"/>
  <c r="M16" i="3"/>
  <c r="N16" i="3"/>
  <c r="P16" i="3"/>
  <c r="C16" i="3"/>
  <c r="E16" i="3"/>
  <c r="T16" i="3"/>
  <c r="H16" i="3"/>
  <c r="V16" i="3"/>
  <c r="K20" i="2"/>
  <c r="H19" i="2"/>
  <c r="E19" i="2" s="1"/>
  <c r="L19" i="2"/>
  <c r="I18" i="2"/>
  <c r="F18" i="2" s="1"/>
  <c r="C16" i="4"/>
  <c r="AB15" i="3"/>
  <c r="E16" i="4" s="1"/>
  <c r="P20" i="2"/>
  <c r="W19" i="2"/>
  <c r="D20" i="2"/>
  <c r="G19" i="2"/>
  <c r="D16" i="3"/>
  <c r="F15" i="3"/>
  <c r="C22" i="2"/>
  <c r="G16" i="4"/>
  <c r="L16" i="4" s="1"/>
  <c r="I16" i="4"/>
  <c r="M16" i="4" s="1"/>
  <c r="K16" i="4"/>
  <c r="N16" i="4" s="1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U713" i="2" s="1"/>
  <c r="U714" i="2" s="1"/>
  <c r="U715" i="2" s="1"/>
  <c r="U716" i="2" s="1"/>
  <c r="U717" i="2" s="1"/>
  <c r="U718" i="2" s="1"/>
  <c r="U719" i="2" s="1"/>
  <c r="U720" i="2" s="1"/>
  <c r="U721" i="2" s="1"/>
  <c r="U722" i="2" s="1"/>
  <c r="U723" i="2" s="1"/>
  <c r="U724" i="2" s="1"/>
  <c r="U725" i="2" s="1"/>
  <c r="U726" i="2" s="1"/>
  <c r="U727" i="2" s="1"/>
  <c r="U728" i="2" s="1"/>
  <c r="U729" i="2" s="1"/>
  <c r="U730" i="2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N690" i="2" s="1"/>
  <c r="N691" i="2" s="1"/>
  <c r="N692" i="2" s="1"/>
  <c r="N693" i="2" s="1"/>
  <c r="N694" i="2" s="1"/>
  <c r="N695" i="2" s="1"/>
  <c r="N696" i="2" s="1"/>
  <c r="N697" i="2" s="1"/>
  <c r="N698" i="2" s="1"/>
  <c r="N699" i="2" s="1"/>
  <c r="N700" i="2" s="1"/>
  <c r="N701" i="2" s="1"/>
  <c r="N702" i="2" s="1"/>
  <c r="N703" i="2" s="1"/>
  <c r="N704" i="2" s="1"/>
  <c r="N705" i="2" s="1"/>
  <c r="N706" i="2" s="1"/>
  <c r="N707" i="2" s="1"/>
  <c r="N708" i="2" s="1"/>
  <c r="N709" i="2" s="1"/>
  <c r="N710" i="2" s="1"/>
  <c r="N711" i="2" s="1"/>
  <c r="N712" i="2" s="1"/>
  <c r="N713" i="2" s="1"/>
  <c r="N714" i="2" s="1"/>
  <c r="N715" i="2" s="1"/>
  <c r="N716" i="2" s="1"/>
  <c r="N717" i="2" s="1"/>
  <c r="N718" i="2" s="1"/>
  <c r="N719" i="2" s="1"/>
  <c r="U731" i="2" l="1"/>
  <c r="G729" i="3"/>
  <c r="N720" i="2"/>
  <c r="N721" i="2" s="1"/>
  <c r="N722" i="2" s="1"/>
  <c r="N723" i="2" s="1"/>
  <c r="N724" i="2" s="1"/>
  <c r="N725" i="2" s="1"/>
  <c r="N726" i="2" s="1"/>
  <c r="N727" i="2" s="1"/>
  <c r="N728" i="2" s="1"/>
  <c r="N729" i="2" s="1"/>
  <c r="N730" i="2" s="1"/>
  <c r="N731" i="2" s="1"/>
  <c r="N732" i="2" s="1"/>
  <c r="N733" i="2" s="1"/>
  <c r="N734" i="2" s="1"/>
  <c r="N735" i="2" s="1"/>
  <c r="N736" i="2" s="1"/>
  <c r="N737" i="2" s="1"/>
  <c r="N738" i="2" s="1"/>
  <c r="N739" i="2" s="1"/>
  <c r="N740" i="2" s="1"/>
  <c r="N741" i="2" s="1"/>
  <c r="N742" i="2" s="1"/>
  <c r="N743" i="2" s="1"/>
  <c r="N744" i="2" s="1"/>
  <c r="N745" i="2" s="1"/>
  <c r="N746" i="2" s="1"/>
  <c r="N747" i="2" s="1"/>
  <c r="N748" i="2" s="1"/>
  <c r="N749" i="2" s="1"/>
  <c r="N750" i="2" s="1"/>
  <c r="N751" i="2" s="1"/>
  <c r="N752" i="2" s="1"/>
  <c r="N753" i="2" s="1"/>
  <c r="N754" i="2" s="1"/>
  <c r="N755" i="2" s="1"/>
  <c r="N756" i="2" s="1"/>
  <c r="N757" i="2" s="1"/>
  <c r="O20" i="2"/>
  <c r="V19" i="2"/>
  <c r="T19" i="2" s="1"/>
  <c r="D17" i="4"/>
  <c r="C23" i="2"/>
  <c r="C17" i="4"/>
  <c r="AB16" i="3"/>
  <c r="E17" i="4" s="1"/>
  <c r="O15" i="3"/>
  <c r="H16" i="4" s="1"/>
  <c r="I15" i="3"/>
  <c r="F16" i="4" s="1"/>
  <c r="U15" i="3"/>
  <c r="J16" i="4" s="1"/>
  <c r="L20" i="2"/>
  <c r="I19" i="2"/>
  <c r="F19" i="2" s="1"/>
  <c r="D17" i="3"/>
  <c r="F16" i="3"/>
  <c r="K21" i="2"/>
  <c r="H20" i="2"/>
  <c r="G17" i="4"/>
  <c r="L17" i="4" s="1"/>
  <c r="I17" i="4"/>
  <c r="M17" i="4" s="1"/>
  <c r="K17" i="4"/>
  <c r="N17" i="4" s="1"/>
  <c r="M21" i="2"/>
  <c r="J20" i="2"/>
  <c r="G20" i="2" s="1"/>
  <c r="D21" i="2"/>
  <c r="E20" i="2"/>
  <c r="A18" i="4"/>
  <c r="G17" i="3"/>
  <c r="S17" i="3"/>
  <c r="Y17" i="3" s="1"/>
  <c r="Z17" i="3" s="1"/>
  <c r="AA17" i="3" s="1"/>
  <c r="H17" i="3"/>
  <c r="T17" i="3"/>
  <c r="C17" i="3"/>
  <c r="M17" i="3"/>
  <c r="N17" i="3"/>
  <c r="P17" i="3"/>
  <c r="E17" i="3"/>
  <c r="V17" i="3"/>
  <c r="J17" i="3"/>
  <c r="W20" i="2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W687" i="2" s="1"/>
  <c r="W688" i="2" s="1"/>
  <c r="W689" i="2" s="1"/>
  <c r="W690" i="2" s="1"/>
  <c r="W691" i="2" s="1"/>
  <c r="W692" i="2" s="1"/>
  <c r="W693" i="2" s="1"/>
  <c r="W694" i="2" s="1"/>
  <c r="W695" i="2" s="1"/>
  <c r="W696" i="2" s="1"/>
  <c r="W697" i="2" s="1"/>
  <c r="W698" i="2" s="1"/>
  <c r="W699" i="2" s="1"/>
  <c r="W700" i="2" s="1"/>
  <c r="W701" i="2" s="1"/>
  <c r="W702" i="2" s="1"/>
  <c r="W703" i="2" s="1"/>
  <c r="W704" i="2" s="1"/>
  <c r="W705" i="2" s="1"/>
  <c r="W706" i="2" s="1"/>
  <c r="W707" i="2" s="1"/>
  <c r="W708" i="2" s="1"/>
  <c r="W709" i="2" s="1"/>
  <c r="W710" i="2" s="1"/>
  <c r="W711" i="2" s="1"/>
  <c r="W712" i="2" s="1"/>
  <c r="W713" i="2" s="1"/>
  <c r="W714" i="2" s="1"/>
  <c r="W715" i="2" s="1"/>
  <c r="W716" i="2" s="1"/>
  <c r="W717" i="2" s="1"/>
  <c r="W718" i="2" s="1"/>
  <c r="W719" i="2" s="1"/>
  <c r="W720" i="2" s="1"/>
  <c r="W721" i="2" s="1"/>
  <c r="W722" i="2" s="1"/>
  <c r="W723" i="2" s="1"/>
  <c r="W724" i="2" s="1"/>
  <c r="W725" i="2" s="1"/>
  <c r="W726" i="2" s="1"/>
  <c r="W727" i="2" s="1"/>
  <c r="W728" i="2" s="1"/>
  <c r="W729" i="2" s="1"/>
  <c r="W730" i="2" s="1"/>
  <c r="P21" i="2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P680" i="2" s="1"/>
  <c r="P681" i="2" s="1"/>
  <c r="P682" i="2" s="1"/>
  <c r="P683" i="2" s="1"/>
  <c r="P684" i="2" s="1"/>
  <c r="P685" i="2" s="1"/>
  <c r="P686" i="2" s="1"/>
  <c r="P687" i="2" s="1"/>
  <c r="P688" i="2" s="1"/>
  <c r="P689" i="2" s="1"/>
  <c r="P690" i="2" s="1"/>
  <c r="P691" i="2" s="1"/>
  <c r="P692" i="2" s="1"/>
  <c r="P693" i="2" s="1"/>
  <c r="P694" i="2" s="1"/>
  <c r="P695" i="2" s="1"/>
  <c r="P696" i="2" s="1"/>
  <c r="P697" i="2" s="1"/>
  <c r="P698" i="2" s="1"/>
  <c r="P699" i="2" s="1"/>
  <c r="P700" i="2" s="1"/>
  <c r="P701" i="2" s="1"/>
  <c r="P702" i="2" s="1"/>
  <c r="P703" i="2" s="1"/>
  <c r="P704" i="2" s="1"/>
  <c r="P705" i="2" s="1"/>
  <c r="P706" i="2" s="1"/>
  <c r="P707" i="2" s="1"/>
  <c r="P708" i="2" s="1"/>
  <c r="P709" i="2" s="1"/>
  <c r="P710" i="2" s="1"/>
  <c r="P711" i="2" s="1"/>
  <c r="P712" i="2" s="1"/>
  <c r="P713" i="2" s="1"/>
  <c r="P714" i="2" s="1"/>
  <c r="P715" i="2" s="1"/>
  <c r="P716" i="2" s="1"/>
  <c r="P717" i="2" s="1"/>
  <c r="P718" i="2" s="1"/>
  <c r="P719" i="2" s="1"/>
  <c r="W731" i="2" l="1"/>
  <c r="S729" i="3"/>
  <c r="Y729" i="3" s="1"/>
  <c r="Z729" i="3" s="1"/>
  <c r="U732" i="2"/>
  <c r="G730" i="3"/>
  <c r="N758" i="2"/>
  <c r="J756" i="3"/>
  <c r="G757" i="4" s="1"/>
  <c r="L757" i="4" s="1"/>
  <c r="V20" i="2"/>
  <c r="O21" i="2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O688" i="2" s="1"/>
  <c r="O689" i="2" s="1"/>
  <c r="O690" i="2" s="1"/>
  <c r="O691" i="2" s="1"/>
  <c r="O692" i="2" s="1"/>
  <c r="O693" i="2" s="1"/>
  <c r="O694" i="2" s="1"/>
  <c r="O695" i="2" s="1"/>
  <c r="O696" i="2" s="1"/>
  <c r="O697" i="2" s="1"/>
  <c r="O698" i="2" s="1"/>
  <c r="O699" i="2" s="1"/>
  <c r="O700" i="2" s="1"/>
  <c r="O701" i="2" s="1"/>
  <c r="O702" i="2" s="1"/>
  <c r="O703" i="2" s="1"/>
  <c r="O704" i="2" s="1"/>
  <c r="O705" i="2" s="1"/>
  <c r="O706" i="2" s="1"/>
  <c r="O707" i="2" s="1"/>
  <c r="O708" i="2" s="1"/>
  <c r="O709" i="2" s="1"/>
  <c r="O710" i="2" s="1"/>
  <c r="O711" i="2" s="1"/>
  <c r="O712" i="2" s="1"/>
  <c r="O713" i="2" s="1"/>
  <c r="O714" i="2" s="1"/>
  <c r="O715" i="2" s="1"/>
  <c r="O716" i="2" s="1"/>
  <c r="O717" i="2" s="1"/>
  <c r="O718" i="2" s="1"/>
  <c r="O719" i="2" s="1"/>
  <c r="O720" i="2" s="1"/>
  <c r="O721" i="2" s="1"/>
  <c r="O722" i="2" s="1"/>
  <c r="O723" i="2" s="1"/>
  <c r="O724" i="2" s="1"/>
  <c r="O725" i="2" s="1"/>
  <c r="O726" i="2" s="1"/>
  <c r="O727" i="2" s="1"/>
  <c r="O728" i="2" s="1"/>
  <c r="O729" i="2" s="1"/>
  <c r="O730" i="2" s="1"/>
  <c r="O731" i="2" s="1"/>
  <c r="O732" i="2" s="1"/>
  <c r="O733" i="2" s="1"/>
  <c r="O734" i="2" s="1"/>
  <c r="O735" i="2" s="1"/>
  <c r="O736" i="2" s="1"/>
  <c r="O737" i="2" s="1"/>
  <c r="O738" i="2" s="1"/>
  <c r="O739" i="2" s="1"/>
  <c r="O740" i="2" s="1"/>
  <c r="O741" i="2" s="1"/>
  <c r="O742" i="2" s="1"/>
  <c r="O743" i="2" s="1"/>
  <c r="O744" i="2" s="1"/>
  <c r="O745" i="2" s="1"/>
  <c r="O746" i="2" s="1"/>
  <c r="O747" i="2" s="1"/>
  <c r="O748" i="2" s="1"/>
  <c r="O749" i="2" s="1"/>
  <c r="O750" i="2" s="1"/>
  <c r="O751" i="2" s="1"/>
  <c r="O752" i="2" s="1"/>
  <c r="O753" i="2" s="1"/>
  <c r="O754" i="2" s="1"/>
  <c r="O755" i="2" s="1"/>
  <c r="O756" i="2" s="1"/>
  <c r="O757" i="2" s="1"/>
  <c r="O758" i="2" s="1"/>
  <c r="O759" i="2" s="1"/>
  <c r="P720" i="2"/>
  <c r="P721" i="2" s="1"/>
  <c r="P722" i="2" s="1"/>
  <c r="P723" i="2" s="1"/>
  <c r="P724" i="2" s="1"/>
  <c r="P725" i="2" s="1"/>
  <c r="P726" i="2" s="1"/>
  <c r="P727" i="2" s="1"/>
  <c r="P728" i="2" s="1"/>
  <c r="P729" i="2" s="1"/>
  <c r="P730" i="2" s="1"/>
  <c r="P731" i="2" s="1"/>
  <c r="P732" i="2" s="1"/>
  <c r="P733" i="2" s="1"/>
  <c r="P734" i="2" s="1"/>
  <c r="P735" i="2" s="1"/>
  <c r="P736" i="2" s="1"/>
  <c r="P737" i="2" s="1"/>
  <c r="P738" i="2" s="1"/>
  <c r="P739" i="2" s="1"/>
  <c r="P740" i="2" s="1"/>
  <c r="P741" i="2" s="1"/>
  <c r="P742" i="2" s="1"/>
  <c r="P743" i="2" s="1"/>
  <c r="P744" i="2" s="1"/>
  <c r="P745" i="2" s="1"/>
  <c r="P746" i="2" s="1"/>
  <c r="P747" i="2" s="1"/>
  <c r="P748" i="2" s="1"/>
  <c r="P749" i="2" s="1"/>
  <c r="P750" i="2" s="1"/>
  <c r="P751" i="2" s="1"/>
  <c r="P752" i="2" s="1"/>
  <c r="P753" i="2" s="1"/>
  <c r="P754" i="2" s="1"/>
  <c r="P755" i="2" s="1"/>
  <c r="P756" i="2" s="1"/>
  <c r="P757" i="2" s="1"/>
  <c r="P758" i="2" s="1"/>
  <c r="D18" i="4"/>
  <c r="M22" i="2"/>
  <c r="J21" i="2"/>
  <c r="G21" i="2" s="1"/>
  <c r="L21" i="2"/>
  <c r="I20" i="2"/>
  <c r="F20" i="2" s="1"/>
  <c r="G18" i="4"/>
  <c r="L18" i="4" s="1"/>
  <c r="I18" i="4"/>
  <c r="M18" i="4" s="1"/>
  <c r="K18" i="4"/>
  <c r="N18" i="4" s="1"/>
  <c r="C18" i="4"/>
  <c r="AB17" i="3"/>
  <c r="E18" i="4" s="1"/>
  <c r="C24" i="2"/>
  <c r="D22" i="2"/>
  <c r="H21" i="2"/>
  <c r="E21" i="2" s="1"/>
  <c r="K22" i="2"/>
  <c r="A19" i="4"/>
  <c r="C18" i="3"/>
  <c r="P18" i="3"/>
  <c r="M18" i="3"/>
  <c r="N18" i="3"/>
  <c r="E18" i="3"/>
  <c r="S18" i="3"/>
  <c r="Y18" i="3" s="1"/>
  <c r="Z18" i="3" s="1"/>
  <c r="AA18" i="3" s="1"/>
  <c r="T18" i="3"/>
  <c r="G18" i="3"/>
  <c r="H18" i="3"/>
  <c r="V18" i="3"/>
  <c r="J18" i="3"/>
  <c r="I16" i="3"/>
  <c r="F17" i="4" s="1"/>
  <c r="O16" i="3"/>
  <c r="H17" i="4" s="1"/>
  <c r="U16" i="3"/>
  <c r="J17" i="4" s="1"/>
  <c r="D18" i="3"/>
  <c r="F17" i="3"/>
  <c r="U733" i="2" l="1"/>
  <c r="G731" i="3"/>
  <c r="W732" i="2"/>
  <c r="S730" i="3"/>
  <c r="Y730" i="3" s="1"/>
  <c r="Z730" i="3" s="1"/>
  <c r="P759" i="2"/>
  <c r="V757" i="3"/>
  <c r="K758" i="4" s="1"/>
  <c r="N758" i="4" s="1"/>
  <c r="N759" i="2"/>
  <c r="J757" i="3"/>
  <c r="G758" i="4" s="1"/>
  <c r="L758" i="4" s="1"/>
  <c r="O760" i="2"/>
  <c r="O761" i="2" s="1"/>
  <c r="O762" i="2" s="1"/>
  <c r="O763" i="2" s="1"/>
  <c r="O764" i="2" s="1"/>
  <c r="O765" i="2" s="1"/>
  <c r="O766" i="2" s="1"/>
  <c r="O767" i="2" s="1"/>
  <c r="O768" i="2" s="1"/>
  <c r="O769" i="2" s="1"/>
  <c r="O770" i="2" s="1"/>
  <c r="O771" i="2" s="1"/>
  <c r="O772" i="2" s="1"/>
  <c r="O773" i="2" s="1"/>
  <c r="V21" i="2"/>
  <c r="T20" i="2"/>
  <c r="D19" i="4"/>
  <c r="O17" i="3"/>
  <c r="H18" i="4" s="1"/>
  <c r="U17" i="3"/>
  <c r="J18" i="4" s="1"/>
  <c r="I17" i="3"/>
  <c r="F18" i="4" s="1"/>
  <c r="A20" i="4"/>
  <c r="G19" i="3"/>
  <c r="S19" i="3"/>
  <c r="Y19" i="3" s="1"/>
  <c r="Z19" i="3" s="1"/>
  <c r="AA19" i="3" s="1"/>
  <c r="P19" i="3"/>
  <c r="C19" i="3"/>
  <c r="E19" i="3"/>
  <c r="T19" i="3"/>
  <c r="H19" i="3"/>
  <c r="V19" i="3"/>
  <c r="J19" i="3"/>
  <c r="M19" i="3"/>
  <c r="N19" i="3"/>
  <c r="G22" i="2"/>
  <c r="D23" i="2"/>
  <c r="I21" i="2"/>
  <c r="F21" i="2" s="1"/>
  <c r="L22" i="2"/>
  <c r="C19" i="4"/>
  <c r="AB18" i="3"/>
  <c r="E19" i="4" s="1"/>
  <c r="C25" i="2"/>
  <c r="M23" i="2"/>
  <c r="J22" i="2"/>
  <c r="K23" i="2"/>
  <c r="H22" i="2"/>
  <c r="E22" i="2" s="1"/>
  <c r="D19" i="3"/>
  <c r="F18" i="3"/>
  <c r="K19" i="4"/>
  <c r="N19" i="4" s="1"/>
  <c r="G19" i="4"/>
  <c r="L19" i="4" s="1"/>
  <c r="I19" i="4"/>
  <c r="M19" i="4" s="1"/>
  <c r="W733" i="2" l="1"/>
  <c r="S731" i="3"/>
  <c r="Y731" i="3" s="1"/>
  <c r="Z731" i="3" s="1"/>
  <c r="U734" i="2"/>
  <c r="G732" i="3"/>
  <c r="P760" i="2"/>
  <c r="V758" i="3"/>
  <c r="K759" i="4" s="1"/>
  <c r="N759" i="4" s="1"/>
  <c r="N760" i="2"/>
  <c r="J758" i="3"/>
  <c r="G759" i="4" s="1"/>
  <c r="L759" i="4" s="1"/>
  <c r="V22" i="2"/>
  <c r="T21" i="2"/>
  <c r="D20" i="4"/>
  <c r="D20" i="3"/>
  <c r="F19" i="3"/>
  <c r="A21" i="4"/>
  <c r="G20" i="3"/>
  <c r="S20" i="3"/>
  <c r="Y20" i="3" s="1"/>
  <c r="Z20" i="3" s="1"/>
  <c r="AA20" i="3" s="1"/>
  <c r="H20" i="3"/>
  <c r="T20" i="3"/>
  <c r="C20" i="3"/>
  <c r="E20" i="3"/>
  <c r="V20" i="3"/>
  <c r="J20" i="3"/>
  <c r="M20" i="3"/>
  <c r="N20" i="3"/>
  <c r="P20" i="3"/>
  <c r="O18" i="3"/>
  <c r="H19" i="4" s="1"/>
  <c r="U18" i="3"/>
  <c r="J19" i="4" s="1"/>
  <c r="I18" i="3"/>
  <c r="F19" i="4" s="1"/>
  <c r="K24" i="2"/>
  <c r="H23" i="2"/>
  <c r="E23" i="2" s="1"/>
  <c r="G23" i="2"/>
  <c r="D24" i="2"/>
  <c r="M24" i="2"/>
  <c r="J23" i="2"/>
  <c r="C26" i="2"/>
  <c r="I20" i="4"/>
  <c r="M20" i="4" s="1"/>
  <c r="K20" i="4"/>
  <c r="N20" i="4" s="1"/>
  <c r="G20" i="4"/>
  <c r="L20" i="4" s="1"/>
  <c r="C20" i="4"/>
  <c r="AB19" i="3"/>
  <c r="E20" i="4" s="1"/>
  <c r="L23" i="2"/>
  <c r="I22" i="2"/>
  <c r="F22" i="2" s="1"/>
  <c r="U735" i="2" l="1"/>
  <c r="G733" i="3"/>
  <c r="W734" i="2"/>
  <c r="S732" i="3"/>
  <c r="Y732" i="3" s="1"/>
  <c r="Z732" i="3" s="1"/>
  <c r="V759" i="3"/>
  <c r="K760" i="4" s="1"/>
  <c r="N760" i="4" s="1"/>
  <c r="P761" i="2"/>
  <c r="N761" i="2"/>
  <c r="J759" i="3"/>
  <c r="G760" i="4" s="1"/>
  <c r="L760" i="4" s="1"/>
  <c r="V23" i="2"/>
  <c r="T22" i="2"/>
  <c r="D21" i="4"/>
  <c r="D25" i="2"/>
  <c r="K25" i="2"/>
  <c r="H24" i="2"/>
  <c r="E24" i="2" s="1"/>
  <c r="C27" i="2"/>
  <c r="G21" i="4"/>
  <c r="L21" i="4" s="1"/>
  <c r="I21" i="4"/>
  <c r="M21" i="4" s="1"/>
  <c r="K21" i="4"/>
  <c r="N21" i="4" s="1"/>
  <c r="Y92" i="4"/>
  <c r="M25" i="2"/>
  <c r="J24" i="2"/>
  <c r="G24" i="2" s="1"/>
  <c r="O19" i="3"/>
  <c r="H20" i="4" s="1"/>
  <c r="U19" i="3"/>
  <c r="J20" i="4" s="1"/>
  <c r="I19" i="3"/>
  <c r="F20" i="4" s="1"/>
  <c r="L24" i="2"/>
  <c r="I23" i="2"/>
  <c r="F23" i="2" s="1"/>
  <c r="A22" i="4"/>
  <c r="C21" i="3"/>
  <c r="P21" i="3"/>
  <c r="T21" i="3"/>
  <c r="G21" i="3"/>
  <c r="H21" i="3"/>
  <c r="V21" i="3"/>
  <c r="J21" i="3"/>
  <c r="M21" i="3"/>
  <c r="N21" i="3"/>
  <c r="E21" i="3"/>
  <c r="S21" i="3"/>
  <c r="Y21" i="3" s="1"/>
  <c r="Z21" i="3" s="1"/>
  <c r="AA21" i="3" s="1"/>
  <c r="D21" i="3"/>
  <c r="F20" i="3"/>
  <c r="C21" i="4"/>
  <c r="AB20" i="3"/>
  <c r="E21" i="4" s="1"/>
  <c r="W735" i="2" l="1"/>
  <c r="S733" i="3"/>
  <c r="Y733" i="3" s="1"/>
  <c r="Z733" i="3" s="1"/>
  <c r="U736" i="2"/>
  <c r="G734" i="3"/>
  <c r="V760" i="3"/>
  <c r="K761" i="4" s="1"/>
  <c r="N761" i="4" s="1"/>
  <c r="P762" i="2"/>
  <c r="N762" i="2"/>
  <c r="J760" i="3"/>
  <c r="G761" i="4" s="1"/>
  <c r="L761" i="4" s="1"/>
  <c r="V24" i="2"/>
  <c r="T23" i="2"/>
  <c r="D22" i="4"/>
  <c r="C28" i="2"/>
  <c r="M26" i="2"/>
  <c r="J25" i="2"/>
  <c r="K26" i="2"/>
  <c r="H25" i="2"/>
  <c r="C22" i="4"/>
  <c r="AB21" i="3"/>
  <c r="E22" i="4" s="1"/>
  <c r="A23" i="4"/>
  <c r="M22" i="3"/>
  <c r="H22" i="3"/>
  <c r="T22" i="3"/>
  <c r="G22" i="3"/>
  <c r="J22" i="3"/>
  <c r="N22" i="3"/>
  <c r="P22" i="3"/>
  <c r="C22" i="3"/>
  <c r="S22" i="3"/>
  <c r="Y22" i="3" s="1"/>
  <c r="Z22" i="3" s="1"/>
  <c r="AA22" i="3" s="1"/>
  <c r="V22" i="3"/>
  <c r="E22" i="3"/>
  <c r="O20" i="3"/>
  <c r="H21" i="4" s="1"/>
  <c r="U20" i="3"/>
  <c r="J21" i="4" s="1"/>
  <c r="I20" i="3"/>
  <c r="F21" i="4" s="1"/>
  <c r="F21" i="3"/>
  <c r="D22" i="3"/>
  <c r="G22" i="4"/>
  <c r="L22" i="4" s="1"/>
  <c r="I22" i="4"/>
  <c r="M22" i="4" s="1"/>
  <c r="K22" i="4"/>
  <c r="N22" i="4" s="1"/>
  <c r="G25" i="2"/>
  <c r="D26" i="2"/>
  <c r="E25" i="2"/>
  <c r="L25" i="2"/>
  <c r="I24" i="2"/>
  <c r="F24" i="2" s="1"/>
  <c r="U737" i="2" l="1"/>
  <c r="G735" i="3"/>
  <c r="W736" i="2"/>
  <c r="S734" i="3"/>
  <c r="Y734" i="3" s="1"/>
  <c r="Z734" i="3" s="1"/>
  <c r="P763" i="2"/>
  <c r="V761" i="3"/>
  <c r="K762" i="4" s="1"/>
  <c r="N762" i="4" s="1"/>
  <c r="N763" i="2"/>
  <c r="J761" i="3"/>
  <c r="G762" i="4" s="1"/>
  <c r="L762" i="4" s="1"/>
  <c r="V25" i="2"/>
  <c r="T24" i="2"/>
  <c r="D23" i="4"/>
  <c r="K27" i="2"/>
  <c r="H26" i="2"/>
  <c r="A24" i="4"/>
  <c r="J23" i="3"/>
  <c r="V23" i="3"/>
  <c r="E23" i="3"/>
  <c r="M23" i="3"/>
  <c r="N23" i="3"/>
  <c r="P23" i="3"/>
  <c r="C23" i="3"/>
  <c r="S23" i="3"/>
  <c r="Y23" i="3" s="1"/>
  <c r="Z23" i="3" s="1"/>
  <c r="AA23" i="3" s="1"/>
  <c r="T23" i="3"/>
  <c r="G23" i="3"/>
  <c r="H23" i="3"/>
  <c r="J26" i="2"/>
  <c r="G26" i="2" s="1"/>
  <c r="M27" i="2"/>
  <c r="D23" i="3"/>
  <c r="F22" i="3"/>
  <c r="C29" i="2"/>
  <c r="O21" i="3"/>
  <c r="H22" i="4" s="1"/>
  <c r="U21" i="3"/>
  <c r="J22" i="4" s="1"/>
  <c r="I21" i="3"/>
  <c r="F22" i="4" s="1"/>
  <c r="G23" i="4"/>
  <c r="L23" i="4" s="1"/>
  <c r="I23" i="4"/>
  <c r="M23" i="4" s="1"/>
  <c r="K23" i="4"/>
  <c r="N23" i="4" s="1"/>
  <c r="L26" i="2"/>
  <c r="I25" i="2"/>
  <c r="F25" i="2" s="1"/>
  <c r="D27" i="2"/>
  <c r="E26" i="2"/>
  <c r="C23" i="4"/>
  <c r="AB22" i="3"/>
  <c r="E23" i="4" s="1"/>
  <c r="W737" i="2" l="1"/>
  <c r="S735" i="3"/>
  <c r="Y735" i="3" s="1"/>
  <c r="Z735" i="3" s="1"/>
  <c r="U738" i="2"/>
  <c r="G736" i="3"/>
  <c r="V762" i="3"/>
  <c r="K763" i="4" s="1"/>
  <c r="N763" i="4" s="1"/>
  <c r="P764" i="2"/>
  <c r="N764" i="2"/>
  <c r="J762" i="3"/>
  <c r="G763" i="4" s="1"/>
  <c r="L763" i="4" s="1"/>
  <c r="V26" i="2"/>
  <c r="T25" i="2"/>
  <c r="D24" i="4"/>
  <c r="C24" i="4"/>
  <c r="AB23" i="3"/>
  <c r="E24" i="4" s="1"/>
  <c r="I22" i="3"/>
  <c r="F23" i="4" s="1"/>
  <c r="O22" i="3"/>
  <c r="H23" i="4" s="1"/>
  <c r="U22" i="3"/>
  <c r="J23" i="4" s="1"/>
  <c r="A25" i="4"/>
  <c r="G24" i="3"/>
  <c r="S24" i="3"/>
  <c r="Y24" i="3" s="1"/>
  <c r="Z24" i="3" s="1"/>
  <c r="AA24" i="3" s="1"/>
  <c r="N24" i="3"/>
  <c r="P24" i="3"/>
  <c r="C24" i="3"/>
  <c r="T24" i="3"/>
  <c r="E24" i="3"/>
  <c r="V24" i="3"/>
  <c r="H24" i="3"/>
  <c r="J24" i="3"/>
  <c r="M24" i="3"/>
  <c r="D24" i="3"/>
  <c r="F23" i="3"/>
  <c r="M28" i="2"/>
  <c r="J27" i="2"/>
  <c r="G27" i="2" s="1"/>
  <c r="G24" i="4"/>
  <c r="L24" i="4" s="1"/>
  <c r="I24" i="4"/>
  <c r="M24" i="4" s="1"/>
  <c r="K24" i="4"/>
  <c r="N24" i="4" s="1"/>
  <c r="D28" i="2"/>
  <c r="I26" i="2"/>
  <c r="F26" i="2" s="1"/>
  <c r="L27" i="2"/>
  <c r="K28" i="2"/>
  <c r="H27" i="2"/>
  <c r="E27" i="2" s="1"/>
  <c r="C30" i="2"/>
  <c r="U739" i="2" l="1"/>
  <c r="G737" i="3"/>
  <c r="W738" i="2"/>
  <c r="S736" i="3"/>
  <c r="Y736" i="3" s="1"/>
  <c r="Z736" i="3" s="1"/>
  <c r="P765" i="2"/>
  <c r="V763" i="3"/>
  <c r="K764" i="4" s="1"/>
  <c r="N764" i="4" s="1"/>
  <c r="N765" i="2"/>
  <c r="J763" i="3"/>
  <c r="G764" i="4" s="1"/>
  <c r="L764" i="4" s="1"/>
  <c r="V27" i="2"/>
  <c r="T26" i="2"/>
  <c r="D25" i="4"/>
  <c r="M29" i="2"/>
  <c r="J28" i="2"/>
  <c r="I23" i="3"/>
  <c r="F24" i="4" s="1"/>
  <c r="U23" i="3"/>
  <c r="J24" i="4" s="1"/>
  <c r="O23" i="3"/>
  <c r="H24" i="4" s="1"/>
  <c r="C25" i="4"/>
  <c r="AB24" i="3"/>
  <c r="E25" i="4" s="1"/>
  <c r="K25" i="4"/>
  <c r="N25" i="4" s="1"/>
  <c r="G25" i="4"/>
  <c r="L25" i="4" s="1"/>
  <c r="I25" i="4"/>
  <c r="M25" i="4" s="1"/>
  <c r="A26" i="4"/>
  <c r="C25" i="3"/>
  <c r="P25" i="3"/>
  <c r="T25" i="3"/>
  <c r="G25" i="3"/>
  <c r="H25" i="3"/>
  <c r="V25" i="3"/>
  <c r="J25" i="3"/>
  <c r="M25" i="3"/>
  <c r="N25" i="3"/>
  <c r="E25" i="3"/>
  <c r="S25" i="3"/>
  <c r="Y25" i="3" s="1"/>
  <c r="Z25" i="3" s="1"/>
  <c r="AA25" i="3" s="1"/>
  <c r="F24" i="3"/>
  <c r="D25" i="3"/>
  <c r="C31" i="2"/>
  <c r="G28" i="2"/>
  <c r="D29" i="2"/>
  <c r="E28" i="2"/>
  <c r="H28" i="2"/>
  <c r="K29" i="2"/>
  <c r="L28" i="2"/>
  <c r="I27" i="2"/>
  <c r="F27" i="2" s="1"/>
  <c r="W739" i="2" l="1"/>
  <c r="S737" i="3"/>
  <c r="Y737" i="3" s="1"/>
  <c r="Z737" i="3" s="1"/>
  <c r="U740" i="2"/>
  <c r="G738" i="3"/>
  <c r="V764" i="3"/>
  <c r="K765" i="4" s="1"/>
  <c r="N765" i="4" s="1"/>
  <c r="P766" i="2"/>
  <c r="N766" i="2"/>
  <c r="J764" i="3"/>
  <c r="G765" i="4" s="1"/>
  <c r="L765" i="4" s="1"/>
  <c r="V28" i="2"/>
  <c r="T27" i="2"/>
  <c r="D26" i="4"/>
  <c r="C26" i="4"/>
  <c r="AB25" i="3"/>
  <c r="E26" i="4" s="1"/>
  <c r="C32" i="2"/>
  <c r="L29" i="2"/>
  <c r="I28" i="2"/>
  <c r="F28" i="2" s="1"/>
  <c r="U24" i="3"/>
  <c r="J25" i="4" s="1"/>
  <c r="I24" i="3"/>
  <c r="F25" i="4" s="1"/>
  <c r="O24" i="3"/>
  <c r="H25" i="4" s="1"/>
  <c r="K30" i="2"/>
  <c r="H29" i="2"/>
  <c r="E29" i="2" s="1"/>
  <c r="I26" i="4"/>
  <c r="M26" i="4" s="1"/>
  <c r="K26" i="4"/>
  <c r="N26" i="4" s="1"/>
  <c r="G26" i="4"/>
  <c r="L26" i="4" s="1"/>
  <c r="M30" i="2"/>
  <c r="J29" i="2"/>
  <c r="G29" i="2" s="1"/>
  <c r="D30" i="2"/>
  <c r="A27" i="4"/>
  <c r="M26" i="3"/>
  <c r="H26" i="3"/>
  <c r="T26" i="3"/>
  <c r="G26" i="3"/>
  <c r="V26" i="3"/>
  <c r="J26" i="3"/>
  <c r="N26" i="3"/>
  <c r="P26" i="3"/>
  <c r="C26" i="3"/>
  <c r="S26" i="3"/>
  <c r="Y26" i="3" s="1"/>
  <c r="Z26" i="3" s="1"/>
  <c r="AA26" i="3" s="1"/>
  <c r="E26" i="3"/>
  <c r="F25" i="3"/>
  <c r="D26" i="3"/>
  <c r="U741" i="2" l="1"/>
  <c r="G739" i="3"/>
  <c r="W740" i="2"/>
  <c r="S738" i="3"/>
  <c r="Y738" i="3" s="1"/>
  <c r="Z738" i="3" s="1"/>
  <c r="V765" i="3"/>
  <c r="K766" i="4" s="1"/>
  <c r="N766" i="4" s="1"/>
  <c r="P767" i="2"/>
  <c r="J765" i="3"/>
  <c r="G766" i="4" s="1"/>
  <c r="L766" i="4" s="1"/>
  <c r="N767" i="2"/>
  <c r="V29" i="2"/>
  <c r="T28" i="2"/>
  <c r="D27" i="4"/>
  <c r="M31" i="2"/>
  <c r="J30" i="2"/>
  <c r="G30" i="2" s="1"/>
  <c r="L30" i="2"/>
  <c r="I29" i="2"/>
  <c r="F29" i="2" s="1"/>
  <c r="A28" i="4"/>
  <c r="J27" i="3"/>
  <c r="E27" i="3"/>
  <c r="H27" i="3"/>
  <c r="V27" i="3"/>
  <c r="M27" i="3"/>
  <c r="N27" i="3"/>
  <c r="P27" i="3"/>
  <c r="C27" i="3"/>
  <c r="G27" i="3"/>
  <c r="S27" i="3"/>
  <c r="Y27" i="3" s="1"/>
  <c r="Z27" i="3" s="1"/>
  <c r="AA27" i="3" s="1"/>
  <c r="T27" i="3"/>
  <c r="F26" i="3"/>
  <c r="D27" i="3"/>
  <c r="C27" i="4"/>
  <c r="AB26" i="3"/>
  <c r="E27" i="4" s="1"/>
  <c r="C33" i="2"/>
  <c r="O25" i="3"/>
  <c r="H26" i="4" s="1"/>
  <c r="U25" i="3"/>
  <c r="J26" i="4" s="1"/>
  <c r="I25" i="3"/>
  <c r="F26" i="4" s="1"/>
  <c r="G27" i="4"/>
  <c r="L27" i="4" s="1"/>
  <c r="I27" i="4"/>
  <c r="M27" i="4" s="1"/>
  <c r="K27" i="4"/>
  <c r="N27" i="4" s="1"/>
  <c r="D31" i="2"/>
  <c r="K31" i="2"/>
  <c r="H30" i="2"/>
  <c r="E30" i="2" s="1"/>
  <c r="W741" i="2" l="1"/>
  <c r="S739" i="3"/>
  <c r="Y739" i="3" s="1"/>
  <c r="Z739" i="3" s="1"/>
  <c r="U742" i="2"/>
  <c r="G740" i="3"/>
  <c r="V766" i="3"/>
  <c r="K767" i="4" s="1"/>
  <c r="N767" i="4" s="1"/>
  <c r="P768" i="2"/>
  <c r="N768" i="2"/>
  <c r="J766" i="3"/>
  <c r="G767" i="4" s="1"/>
  <c r="L767" i="4" s="1"/>
  <c r="V30" i="2"/>
  <c r="T29" i="2"/>
  <c r="D28" i="4"/>
  <c r="C28" i="4"/>
  <c r="AB27" i="3"/>
  <c r="E28" i="4" s="1"/>
  <c r="D28" i="3"/>
  <c r="F27" i="3"/>
  <c r="U26" i="3"/>
  <c r="J27" i="4" s="1"/>
  <c r="I26" i="3"/>
  <c r="F27" i="4" s="1"/>
  <c r="O26" i="3"/>
  <c r="H27" i="4" s="1"/>
  <c r="G28" i="4"/>
  <c r="L28" i="4" s="1"/>
  <c r="I28" i="4"/>
  <c r="M28" i="4" s="1"/>
  <c r="K28" i="4"/>
  <c r="N28" i="4" s="1"/>
  <c r="L31" i="2"/>
  <c r="I30" i="2"/>
  <c r="F30" i="2" s="1"/>
  <c r="A29" i="4"/>
  <c r="G28" i="3"/>
  <c r="S28" i="3"/>
  <c r="Y28" i="3" s="1"/>
  <c r="Z28" i="3" s="1"/>
  <c r="AA28" i="3" s="1"/>
  <c r="H28" i="3"/>
  <c r="T28" i="3"/>
  <c r="J28" i="3"/>
  <c r="V28" i="3"/>
  <c r="M28" i="3"/>
  <c r="N28" i="3"/>
  <c r="C28" i="3"/>
  <c r="E28" i="3"/>
  <c r="P28" i="3"/>
  <c r="K32" i="2"/>
  <c r="H31" i="2"/>
  <c r="E31" i="2" s="1"/>
  <c r="J31" i="2"/>
  <c r="G31" i="2" s="1"/>
  <c r="M32" i="2"/>
  <c r="D32" i="2"/>
  <c r="C34" i="2"/>
  <c r="U743" i="2" l="1"/>
  <c r="G741" i="3"/>
  <c r="W742" i="2"/>
  <c r="S740" i="3"/>
  <c r="Y740" i="3" s="1"/>
  <c r="Z740" i="3" s="1"/>
  <c r="P769" i="2"/>
  <c r="V767" i="3"/>
  <c r="K768" i="4" s="1"/>
  <c r="N768" i="4" s="1"/>
  <c r="N769" i="2"/>
  <c r="J767" i="3"/>
  <c r="G768" i="4" s="1"/>
  <c r="L768" i="4" s="1"/>
  <c r="V31" i="2"/>
  <c r="T30" i="2"/>
  <c r="D29" i="4"/>
  <c r="D33" i="2"/>
  <c r="K33" i="2"/>
  <c r="H32" i="2"/>
  <c r="E32" i="2" s="1"/>
  <c r="A30" i="4"/>
  <c r="C29" i="3"/>
  <c r="P29" i="3"/>
  <c r="E29" i="3"/>
  <c r="G29" i="3"/>
  <c r="S29" i="3"/>
  <c r="Y29" i="3" s="1"/>
  <c r="Z29" i="3" s="1"/>
  <c r="AA29" i="3" s="1"/>
  <c r="H29" i="3"/>
  <c r="T29" i="3"/>
  <c r="J29" i="3"/>
  <c r="V29" i="3"/>
  <c r="M29" i="3"/>
  <c r="N29" i="3"/>
  <c r="G29" i="4"/>
  <c r="L29" i="4" s="1"/>
  <c r="I29" i="4"/>
  <c r="M29" i="4" s="1"/>
  <c r="K29" i="4"/>
  <c r="N29" i="4" s="1"/>
  <c r="U27" i="3"/>
  <c r="J28" i="4" s="1"/>
  <c r="I27" i="3"/>
  <c r="F28" i="4" s="1"/>
  <c r="O27" i="3"/>
  <c r="H28" i="4" s="1"/>
  <c r="F28" i="3"/>
  <c r="D29" i="3"/>
  <c r="M33" i="2"/>
  <c r="J32" i="2"/>
  <c r="G32" i="2" s="1"/>
  <c r="L32" i="2"/>
  <c r="I31" i="2"/>
  <c r="F31" i="2" s="1"/>
  <c r="C35" i="2"/>
  <c r="C29" i="4"/>
  <c r="AB28" i="3"/>
  <c r="E29" i="4" s="1"/>
  <c r="W743" i="2" l="1"/>
  <c r="S741" i="3"/>
  <c r="Y741" i="3" s="1"/>
  <c r="Z741" i="3" s="1"/>
  <c r="U744" i="2"/>
  <c r="G742" i="3"/>
  <c r="P770" i="2"/>
  <c r="V768" i="3"/>
  <c r="K769" i="4" s="1"/>
  <c r="N769" i="4" s="1"/>
  <c r="J768" i="3"/>
  <c r="G769" i="4" s="1"/>
  <c r="L769" i="4" s="1"/>
  <c r="N770" i="2"/>
  <c r="V32" i="2"/>
  <c r="T31" i="2"/>
  <c r="D30" i="4"/>
  <c r="G30" i="4"/>
  <c r="L30" i="4" s="1"/>
  <c r="I30" i="4"/>
  <c r="M30" i="4" s="1"/>
  <c r="K30" i="4"/>
  <c r="N30" i="4" s="1"/>
  <c r="C30" i="4"/>
  <c r="AB29" i="3"/>
  <c r="E30" i="4" s="1"/>
  <c r="H33" i="2"/>
  <c r="E33" i="2" s="1"/>
  <c r="K34" i="2"/>
  <c r="L33" i="2"/>
  <c r="I32" i="2"/>
  <c r="F32" i="2" s="1"/>
  <c r="M34" i="2"/>
  <c r="J33" i="2"/>
  <c r="G33" i="2" s="1"/>
  <c r="D34" i="2"/>
  <c r="I28" i="3"/>
  <c r="F29" i="4" s="1"/>
  <c r="U28" i="3"/>
  <c r="J29" i="4" s="1"/>
  <c r="O28" i="3"/>
  <c r="H29" i="4" s="1"/>
  <c r="F29" i="3"/>
  <c r="D30" i="3"/>
  <c r="A31" i="4"/>
  <c r="M30" i="3"/>
  <c r="N30" i="3"/>
  <c r="C30" i="3"/>
  <c r="P30" i="3"/>
  <c r="E30" i="3"/>
  <c r="G30" i="3"/>
  <c r="S30" i="3"/>
  <c r="Y30" i="3" s="1"/>
  <c r="Z30" i="3" s="1"/>
  <c r="AA30" i="3" s="1"/>
  <c r="H30" i="3"/>
  <c r="J30" i="3"/>
  <c r="T30" i="3"/>
  <c r="V30" i="3"/>
  <c r="C36" i="2"/>
  <c r="U745" i="2" l="1"/>
  <c r="G743" i="3"/>
  <c r="W744" i="2"/>
  <c r="S742" i="3"/>
  <c r="Y742" i="3" s="1"/>
  <c r="Z742" i="3" s="1"/>
  <c r="P771" i="2"/>
  <c r="V769" i="3"/>
  <c r="K770" i="4" s="1"/>
  <c r="N770" i="4" s="1"/>
  <c r="N771" i="2"/>
  <c r="J769" i="3"/>
  <c r="G770" i="4" s="1"/>
  <c r="L770" i="4" s="1"/>
  <c r="V33" i="2"/>
  <c r="T32" i="2"/>
  <c r="D31" i="4"/>
  <c r="K35" i="2"/>
  <c r="H34" i="2"/>
  <c r="D35" i="2"/>
  <c r="E34" i="2"/>
  <c r="A32" i="4"/>
  <c r="J31" i="3"/>
  <c r="V31" i="3"/>
  <c r="M31" i="3"/>
  <c r="N31" i="3"/>
  <c r="C31" i="3"/>
  <c r="P31" i="3"/>
  <c r="H31" i="3"/>
  <c r="S31" i="3"/>
  <c r="Y31" i="3" s="1"/>
  <c r="Z31" i="3" s="1"/>
  <c r="AA31" i="3" s="1"/>
  <c r="T31" i="3"/>
  <c r="G31" i="3"/>
  <c r="E31" i="3"/>
  <c r="K31" i="4"/>
  <c r="N31" i="4" s="1"/>
  <c r="G31" i="4"/>
  <c r="L31" i="4" s="1"/>
  <c r="I31" i="4"/>
  <c r="M31" i="4" s="1"/>
  <c r="M35" i="2"/>
  <c r="J34" i="2"/>
  <c r="G34" i="2" s="1"/>
  <c r="F30" i="3"/>
  <c r="D31" i="3"/>
  <c r="C37" i="2"/>
  <c r="C31" i="4"/>
  <c r="AB30" i="3"/>
  <c r="E31" i="4" s="1"/>
  <c r="O29" i="3"/>
  <c r="H30" i="4" s="1"/>
  <c r="I29" i="3"/>
  <c r="F30" i="4" s="1"/>
  <c r="U29" i="3"/>
  <c r="J30" i="4" s="1"/>
  <c r="I33" i="2"/>
  <c r="F33" i="2" s="1"/>
  <c r="L34" i="2"/>
  <c r="W745" i="2" l="1"/>
  <c r="S743" i="3"/>
  <c r="Y743" i="3" s="1"/>
  <c r="Z743" i="3" s="1"/>
  <c r="U746" i="2"/>
  <c r="G744" i="3"/>
  <c r="P772" i="2"/>
  <c r="V770" i="3"/>
  <c r="K771" i="4" s="1"/>
  <c r="N771" i="4" s="1"/>
  <c r="N772" i="2"/>
  <c r="J770" i="3"/>
  <c r="G771" i="4" s="1"/>
  <c r="L771" i="4" s="1"/>
  <c r="V34" i="2"/>
  <c r="T33" i="2"/>
  <c r="D32" i="4"/>
  <c r="C38" i="2"/>
  <c r="I32" i="4"/>
  <c r="M32" i="4" s="1"/>
  <c r="K32" i="4"/>
  <c r="N32" i="4" s="1"/>
  <c r="G32" i="4"/>
  <c r="L32" i="4" s="1"/>
  <c r="F31" i="3"/>
  <c r="D32" i="3"/>
  <c r="A33" i="4"/>
  <c r="G32" i="3"/>
  <c r="S32" i="3"/>
  <c r="Y32" i="3" s="1"/>
  <c r="Z32" i="3" s="1"/>
  <c r="AA32" i="3" s="1"/>
  <c r="H32" i="3"/>
  <c r="T32" i="3"/>
  <c r="J32" i="3"/>
  <c r="V32" i="3"/>
  <c r="M32" i="3"/>
  <c r="C32" i="3"/>
  <c r="E32" i="3"/>
  <c r="N32" i="3"/>
  <c r="P32" i="3"/>
  <c r="G35" i="2"/>
  <c r="D36" i="2"/>
  <c r="E35" i="2"/>
  <c r="O30" i="3"/>
  <c r="H31" i="4" s="1"/>
  <c r="I30" i="3"/>
  <c r="F31" i="4" s="1"/>
  <c r="U30" i="3"/>
  <c r="J31" i="4" s="1"/>
  <c r="L35" i="2"/>
  <c r="I34" i="2"/>
  <c r="F34" i="2" s="1"/>
  <c r="M36" i="2"/>
  <c r="J35" i="2"/>
  <c r="K36" i="2"/>
  <c r="H35" i="2"/>
  <c r="C32" i="4"/>
  <c r="AB31" i="3"/>
  <c r="E32" i="4" s="1"/>
  <c r="U747" i="2" l="1"/>
  <c r="G745" i="3"/>
  <c r="W746" i="2"/>
  <c r="S744" i="3"/>
  <c r="V771" i="3"/>
  <c r="K772" i="4" s="1"/>
  <c r="N772" i="4" s="1"/>
  <c r="P773" i="2"/>
  <c r="N773" i="2"/>
  <c r="J771" i="3"/>
  <c r="G772" i="4" s="1"/>
  <c r="L772" i="4" s="1"/>
  <c r="V35" i="2"/>
  <c r="T34" i="2"/>
  <c r="D33" i="4"/>
  <c r="I31" i="3"/>
  <c r="F32" i="4" s="1"/>
  <c r="U31" i="3"/>
  <c r="J32" i="4" s="1"/>
  <c r="O31" i="3"/>
  <c r="H32" i="4" s="1"/>
  <c r="C33" i="4"/>
  <c r="AB32" i="3"/>
  <c r="E33" i="4" s="1"/>
  <c r="A34" i="4"/>
  <c r="C33" i="3"/>
  <c r="P33" i="3"/>
  <c r="E33" i="3"/>
  <c r="G33" i="3"/>
  <c r="S33" i="3"/>
  <c r="Y33" i="3" s="1"/>
  <c r="Z33" i="3" s="1"/>
  <c r="AA33" i="3" s="1"/>
  <c r="H33" i="3"/>
  <c r="T33" i="3"/>
  <c r="J33" i="3"/>
  <c r="V33" i="3"/>
  <c r="M33" i="3"/>
  <c r="N33" i="3"/>
  <c r="C39" i="2"/>
  <c r="D37" i="2"/>
  <c r="G33" i="4"/>
  <c r="L33" i="4" s="1"/>
  <c r="I33" i="4"/>
  <c r="M33" i="4" s="1"/>
  <c r="K33" i="4"/>
  <c r="N33" i="4" s="1"/>
  <c r="L36" i="2"/>
  <c r="I35" i="2"/>
  <c r="F35" i="2" s="1"/>
  <c r="K37" i="2"/>
  <c r="H36" i="2"/>
  <c r="E36" i="2" s="1"/>
  <c r="M37" i="2"/>
  <c r="J36" i="2"/>
  <c r="G36" i="2" s="1"/>
  <c r="F32" i="3"/>
  <c r="D33" i="3"/>
  <c r="Y744" i="3" l="1"/>
  <c r="Z744" i="3" s="1"/>
  <c r="W747" i="2"/>
  <c r="S745" i="3"/>
  <c r="Y745" i="3" s="1"/>
  <c r="Z745" i="3" s="1"/>
  <c r="U748" i="2"/>
  <c r="G746" i="3"/>
  <c r="V772" i="3"/>
  <c r="K773" i="4" s="1"/>
  <c r="N773" i="4" s="1"/>
  <c r="P774" i="2"/>
  <c r="N774" i="2"/>
  <c r="J772" i="3"/>
  <c r="G773" i="4" s="1"/>
  <c r="L773" i="4" s="1"/>
  <c r="V36" i="2"/>
  <c r="T35" i="2"/>
  <c r="D34" i="4"/>
  <c r="C40" i="2"/>
  <c r="G34" i="4"/>
  <c r="L34" i="4" s="1"/>
  <c r="I34" i="4"/>
  <c r="M34" i="4" s="1"/>
  <c r="K34" i="4"/>
  <c r="N34" i="4" s="1"/>
  <c r="D38" i="2"/>
  <c r="C34" i="4"/>
  <c r="AB33" i="3"/>
  <c r="E34" i="4" s="1"/>
  <c r="L37" i="2"/>
  <c r="I36" i="2"/>
  <c r="F36" i="2" s="1"/>
  <c r="A35" i="4"/>
  <c r="M34" i="3"/>
  <c r="N34" i="3"/>
  <c r="C34" i="3"/>
  <c r="P34" i="3"/>
  <c r="E34" i="3"/>
  <c r="G34" i="3"/>
  <c r="S34" i="3"/>
  <c r="Y34" i="3" s="1"/>
  <c r="Z34" i="3" s="1"/>
  <c r="AA34" i="3" s="1"/>
  <c r="H34" i="3"/>
  <c r="J34" i="3"/>
  <c r="T34" i="3"/>
  <c r="V34" i="3"/>
  <c r="F33" i="3"/>
  <c r="D34" i="3"/>
  <c r="I32" i="3"/>
  <c r="F33" i="4" s="1"/>
  <c r="U32" i="3"/>
  <c r="J33" i="4" s="1"/>
  <c r="O32" i="3"/>
  <c r="H33" i="4" s="1"/>
  <c r="M38" i="2"/>
  <c r="J37" i="2"/>
  <c r="G37" i="2" s="1"/>
  <c r="K38" i="2"/>
  <c r="H37" i="2"/>
  <c r="E37" i="2" s="1"/>
  <c r="U749" i="2" l="1"/>
  <c r="G747" i="3"/>
  <c r="W748" i="2"/>
  <c r="S746" i="3"/>
  <c r="Y746" i="3" s="1"/>
  <c r="Z746" i="3" s="1"/>
  <c r="S776" i="2"/>
  <c r="W775" i="3" s="1"/>
  <c r="X775" i="3" s="1"/>
  <c r="X776" i="3" s="1"/>
  <c r="X777" i="3" s="1"/>
  <c r="X778" i="3" s="1"/>
  <c r="X779" i="3" s="1"/>
  <c r="X780" i="3" s="1"/>
  <c r="X781" i="3" s="1"/>
  <c r="V773" i="3"/>
  <c r="K774" i="4" s="1"/>
  <c r="N774" i="4" s="1"/>
  <c r="J774" i="2"/>
  <c r="G774" i="2" s="1"/>
  <c r="T773" i="3" s="1"/>
  <c r="U773" i="3" s="1"/>
  <c r="J774" i="4" s="1"/>
  <c r="Q776" i="2"/>
  <c r="K775" i="3" s="1"/>
  <c r="L775" i="3" s="1"/>
  <c r="L776" i="3" s="1"/>
  <c r="L777" i="3" s="1"/>
  <c r="L778" i="3" s="1"/>
  <c r="L779" i="3" s="1"/>
  <c r="L780" i="3" s="1"/>
  <c r="L781" i="3" s="1"/>
  <c r="H774" i="2"/>
  <c r="E774" i="2" s="1"/>
  <c r="H773" i="3" s="1"/>
  <c r="I773" i="3" s="1"/>
  <c r="F774" i="4" s="1"/>
  <c r="J773" i="3"/>
  <c r="G774" i="4" s="1"/>
  <c r="L774" i="4" s="1"/>
  <c r="V37" i="2"/>
  <c r="T36" i="2"/>
  <c r="D35" i="4"/>
  <c r="G35" i="4"/>
  <c r="L35" i="4" s="1"/>
  <c r="I35" i="4"/>
  <c r="M35" i="4" s="1"/>
  <c r="K35" i="4"/>
  <c r="N35" i="4" s="1"/>
  <c r="L38" i="2"/>
  <c r="I37" i="2"/>
  <c r="F37" i="2" s="1"/>
  <c r="C41" i="2"/>
  <c r="J38" i="2"/>
  <c r="M39" i="2"/>
  <c r="A36" i="4"/>
  <c r="J35" i="3"/>
  <c r="V35" i="3"/>
  <c r="M35" i="3"/>
  <c r="N35" i="3"/>
  <c r="C35" i="3"/>
  <c r="P35" i="3"/>
  <c r="S35" i="3"/>
  <c r="Y35" i="3" s="1"/>
  <c r="Z35" i="3" s="1"/>
  <c r="AA35" i="3" s="1"/>
  <c r="T35" i="3"/>
  <c r="E35" i="3"/>
  <c r="H35" i="3"/>
  <c r="G35" i="3"/>
  <c r="F34" i="3"/>
  <c r="D35" i="3"/>
  <c r="O33" i="3"/>
  <c r="H34" i="4" s="1"/>
  <c r="I33" i="3"/>
  <c r="F34" i="4" s="1"/>
  <c r="U33" i="3"/>
  <c r="J34" i="4" s="1"/>
  <c r="D39" i="2"/>
  <c r="G38" i="2"/>
  <c r="C35" i="4"/>
  <c r="AB34" i="3"/>
  <c r="E35" i="4" s="1"/>
  <c r="K39" i="2"/>
  <c r="H38" i="2"/>
  <c r="E38" i="2" s="1"/>
  <c r="W749" i="2" l="1"/>
  <c r="S747" i="3"/>
  <c r="Y747" i="3" s="1"/>
  <c r="Z747" i="3" s="1"/>
  <c r="U750" i="2"/>
  <c r="G748" i="3"/>
  <c r="V38" i="2"/>
  <c r="T37" i="2"/>
  <c r="D36" i="4"/>
  <c r="C42" i="2"/>
  <c r="I38" i="2"/>
  <c r="F38" i="2" s="1"/>
  <c r="L39" i="2"/>
  <c r="C36" i="4"/>
  <c r="AB35" i="3"/>
  <c r="E36" i="4" s="1"/>
  <c r="F35" i="3"/>
  <c r="D36" i="3"/>
  <c r="D40" i="2"/>
  <c r="G36" i="4"/>
  <c r="L36" i="4" s="1"/>
  <c r="I36" i="4"/>
  <c r="M36" i="4" s="1"/>
  <c r="K36" i="4"/>
  <c r="N36" i="4" s="1"/>
  <c r="O34" i="3"/>
  <c r="H35" i="4" s="1"/>
  <c r="I34" i="3"/>
  <c r="F35" i="4" s="1"/>
  <c r="U34" i="3"/>
  <c r="J35" i="4" s="1"/>
  <c r="M40" i="2"/>
  <c r="J39" i="2"/>
  <c r="G39" i="2" s="1"/>
  <c r="K40" i="2"/>
  <c r="H39" i="2"/>
  <c r="E39" i="2" s="1"/>
  <c r="A37" i="4"/>
  <c r="G36" i="3"/>
  <c r="S36" i="3"/>
  <c r="Y36" i="3" s="1"/>
  <c r="Z36" i="3" s="1"/>
  <c r="AA36" i="3" s="1"/>
  <c r="J36" i="3"/>
  <c r="V36" i="3"/>
  <c r="M36" i="3"/>
  <c r="C36" i="3"/>
  <c r="E36" i="3"/>
  <c r="H36" i="3"/>
  <c r="P36" i="3"/>
  <c r="T36" i="3"/>
  <c r="N36" i="3"/>
  <c r="U751" i="2" l="1"/>
  <c r="G749" i="3"/>
  <c r="W750" i="2"/>
  <c r="S748" i="3"/>
  <c r="V39" i="2"/>
  <c r="T38" i="2"/>
  <c r="D37" i="4"/>
  <c r="F36" i="3"/>
  <c r="D37" i="3"/>
  <c r="I35" i="3"/>
  <c r="F36" i="4" s="1"/>
  <c r="U35" i="3"/>
  <c r="J36" i="4" s="1"/>
  <c r="O35" i="3"/>
  <c r="H36" i="4" s="1"/>
  <c r="L40" i="2"/>
  <c r="I39" i="2"/>
  <c r="F39" i="2" s="1"/>
  <c r="C43" i="2"/>
  <c r="C37" i="4"/>
  <c r="AB36" i="3"/>
  <c r="E37" i="4" s="1"/>
  <c r="H40" i="2"/>
  <c r="E40" i="2" s="1"/>
  <c r="K41" i="2"/>
  <c r="M41" i="2"/>
  <c r="J40" i="2"/>
  <c r="G40" i="2"/>
  <c r="D41" i="2"/>
  <c r="K37" i="4"/>
  <c r="N37" i="4" s="1"/>
  <c r="G37" i="4"/>
  <c r="L37" i="4" s="1"/>
  <c r="I37" i="4"/>
  <c r="M37" i="4" s="1"/>
  <c r="A38" i="4"/>
  <c r="C37" i="3"/>
  <c r="P37" i="3"/>
  <c r="G37" i="3"/>
  <c r="S37" i="3"/>
  <c r="Y37" i="3" s="1"/>
  <c r="Z37" i="3" s="1"/>
  <c r="AA37" i="3" s="1"/>
  <c r="H37" i="3"/>
  <c r="T37" i="3"/>
  <c r="J37" i="3"/>
  <c r="V37" i="3"/>
  <c r="E37" i="3"/>
  <c r="M37" i="3"/>
  <c r="N37" i="3"/>
  <c r="Y748" i="3" l="1"/>
  <c r="Z748" i="3" s="1"/>
  <c r="W751" i="2"/>
  <c r="S749" i="3"/>
  <c r="Y749" i="3" s="1"/>
  <c r="Z749" i="3" s="1"/>
  <c r="U752" i="2"/>
  <c r="G750" i="3"/>
  <c r="V40" i="2"/>
  <c r="T39" i="2"/>
  <c r="D38" i="4"/>
  <c r="C44" i="2"/>
  <c r="D42" i="2"/>
  <c r="L41" i="2"/>
  <c r="I40" i="2"/>
  <c r="F40" i="2" s="1"/>
  <c r="K42" i="2"/>
  <c r="H41" i="2"/>
  <c r="E41" i="2" s="1"/>
  <c r="F37" i="3"/>
  <c r="D38" i="3"/>
  <c r="I38" i="4"/>
  <c r="M38" i="4" s="1"/>
  <c r="K38" i="4"/>
  <c r="N38" i="4" s="1"/>
  <c r="G38" i="4"/>
  <c r="L38" i="4" s="1"/>
  <c r="M42" i="2"/>
  <c r="J41" i="2"/>
  <c r="G41" i="2" s="1"/>
  <c r="A39" i="4"/>
  <c r="M38" i="3"/>
  <c r="C38" i="3"/>
  <c r="P38" i="3"/>
  <c r="E38" i="3"/>
  <c r="G38" i="3"/>
  <c r="S38" i="3"/>
  <c r="Y38" i="3" s="1"/>
  <c r="Z38" i="3" s="1"/>
  <c r="AA38" i="3" s="1"/>
  <c r="H38" i="3"/>
  <c r="J38" i="3"/>
  <c r="N38" i="3"/>
  <c r="T38" i="3"/>
  <c r="V38" i="3"/>
  <c r="I36" i="3"/>
  <c r="F37" i="4" s="1"/>
  <c r="U36" i="3"/>
  <c r="J37" i="4" s="1"/>
  <c r="O36" i="3"/>
  <c r="H37" i="4" s="1"/>
  <c r="C38" i="4"/>
  <c r="AB37" i="3"/>
  <c r="E38" i="4" s="1"/>
  <c r="W752" i="2" l="1"/>
  <c r="S750" i="3"/>
  <c r="Y750" i="3" s="1"/>
  <c r="Z750" i="3" s="1"/>
  <c r="U753" i="2"/>
  <c r="G751" i="3"/>
  <c r="V41" i="2"/>
  <c r="T40" i="2"/>
  <c r="D39" i="4"/>
  <c r="M43" i="2"/>
  <c r="J42" i="2"/>
  <c r="L42" i="2"/>
  <c r="I41" i="2"/>
  <c r="F41" i="2" s="1"/>
  <c r="G42" i="2"/>
  <c r="D43" i="2"/>
  <c r="A40" i="4"/>
  <c r="J39" i="3"/>
  <c r="V39" i="3"/>
  <c r="M39" i="3"/>
  <c r="N39" i="3"/>
  <c r="C39" i="3"/>
  <c r="P39" i="3"/>
  <c r="H39" i="3"/>
  <c r="S39" i="3"/>
  <c r="Y39" i="3" s="1"/>
  <c r="Z39" i="3" s="1"/>
  <c r="AA39" i="3" s="1"/>
  <c r="T39" i="3"/>
  <c r="G39" i="3"/>
  <c r="E39" i="3"/>
  <c r="F38" i="3"/>
  <c r="D39" i="3"/>
  <c r="O37" i="3"/>
  <c r="H38" i="4" s="1"/>
  <c r="I37" i="3"/>
  <c r="F38" i="4" s="1"/>
  <c r="U37" i="3"/>
  <c r="J38" i="4" s="1"/>
  <c r="C45" i="2"/>
  <c r="C39" i="4"/>
  <c r="AB38" i="3"/>
  <c r="E39" i="4" s="1"/>
  <c r="G39" i="4"/>
  <c r="L39" i="4" s="1"/>
  <c r="I39" i="4"/>
  <c r="M39" i="4" s="1"/>
  <c r="K39" i="4"/>
  <c r="N39" i="4" s="1"/>
  <c r="K43" i="2"/>
  <c r="H42" i="2"/>
  <c r="E42" i="2" s="1"/>
  <c r="U754" i="2" l="1"/>
  <c r="G752" i="3"/>
  <c r="W753" i="2"/>
  <c r="S751" i="3"/>
  <c r="Y751" i="3" s="1"/>
  <c r="Z751" i="3" s="1"/>
  <c r="V42" i="2"/>
  <c r="T41" i="2"/>
  <c r="D40" i="4"/>
  <c r="A41" i="4"/>
  <c r="G40" i="3"/>
  <c r="S40" i="3"/>
  <c r="Y40" i="3" s="1"/>
  <c r="Z40" i="3" s="1"/>
  <c r="AA40" i="3" s="1"/>
  <c r="J40" i="3"/>
  <c r="V40" i="3"/>
  <c r="M40" i="3"/>
  <c r="C40" i="3"/>
  <c r="P40" i="3"/>
  <c r="T40" i="3"/>
  <c r="H40" i="3"/>
  <c r="E40" i="3"/>
  <c r="N40" i="3"/>
  <c r="D44" i="2"/>
  <c r="L43" i="2"/>
  <c r="I42" i="2"/>
  <c r="F42" i="2" s="1"/>
  <c r="G40" i="4"/>
  <c r="L40" i="4" s="1"/>
  <c r="I40" i="4"/>
  <c r="M40" i="4" s="1"/>
  <c r="K40" i="4"/>
  <c r="N40" i="4" s="1"/>
  <c r="C40" i="4"/>
  <c r="AB39" i="3"/>
  <c r="E40" i="4" s="1"/>
  <c r="J43" i="2"/>
  <c r="G43" i="2" s="1"/>
  <c r="M44" i="2"/>
  <c r="K44" i="2"/>
  <c r="H43" i="2"/>
  <c r="E43" i="2" s="1"/>
  <c r="F39" i="3"/>
  <c r="D40" i="3"/>
  <c r="C46" i="2"/>
  <c r="O38" i="3"/>
  <c r="H39" i="4" s="1"/>
  <c r="I38" i="3"/>
  <c r="F39" i="4" s="1"/>
  <c r="U38" i="3"/>
  <c r="J39" i="4" s="1"/>
  <c r="W754" i="2" l="1"/>
  <c r="S752" i="3"/>
  <c r="Y752" i="3" s="1"/>
  <c r="Z752" i="3" s="1"/>
  <c r="U755" i="2"/>
  <c r="G753" i="3"/>
  <c r="V43" i="2"/>
  <c r="T42" i="2"/>
  <c r="D41" i="4"/>
  <c r="K45" i="2"/>
  <c r="H44" i="2"/>
  <c r="I43" i="2"/>
  <c r="F43" i="2" s="1"/>
  <c r="L44" i="2"/>
  <c r="F40" i="3"/>
  <c r="D41" i="3"/>
  <c r="M45" i="2"/>
  <c r="J44" i="2"/>
  <c r="G44" i="2" s="1"/>
  <c r="C41" i="4"/>
  <c r="AB40" i="3"/>
  <c r="E41" i="4" s="1"/>
  <c r="I39" i="3"/>
  <c r="F40" i="4" s="1"/>
  <c r="U39" i="3"/>
  <c r="J40" i="4" s="1"/>
  <c r="O39" i="3"/>
  <c r="H40" i="4" s="1"/>
  <c r="D45" i="2"/>
  <c r="E44" i="2"/>
  <c r="G41" i="4"/>
  <c r="L41" i="4" s="1"/>
  <c r="I41" i="4"/>
  <c r="M41" i="4" s="1"/>
  <c r="K41" i="4"/>
  <c r="N41" i="4" s="1"/>
  <c r="A42" i="4"/>
  <c r="C41" i="3"/>
  <c r="P41" i="3"/>
  <c r="G41" i="3"/>
  <c r="S41" i="3"/>
  <c r="Y41" i="3" s="1"/>
  <c r="Z41" i="3" s="1"/>
  <c r="AA41" i="3" s="1"/>
  <c r="H41" i="3"/>
  <c r="T41" i="3"/>
  <c r="J41" i="3"/>
  <c r="V41" i="3"/>
  <c r="E41" i="3"/>
  <c r="M41" i="3"/>
  <c r="N41" i="3"/>
  <c r="C47" i="2"/>
  <c r="U756" i="2" l="1"/>
  <c r="G754" i="3"/>
  <c r="W755" i="2"/>
  <c r="S753" i="3"/>
  <c r="Y753" i="3" s="1"/>
  <c r="Z753" i="3" s="1"/>
  <c r="V44" i="2"/>
  <c r="T43" i="2"/>
  <c r="D42" i="4"/>
  <c r="M46" i="2"/>
  <c r="J45" i="2"/>
  <c r="F41" i="3"/>
  <c r="D42" i="3"/>
  <c r="I40" i="3"/>
  <c r="F41" i="4" s="1"/>
  <c r="U40" i="3"/>
  <c r="J41" i="4" s="1"/>
  <c r="O40" i="3"/>
  <c r="H41" i="4" s="1"/>
  <c r="G45" i="2"/>
  <c r="D46" i="2"/>
  <c r="L45" i="2"/>
  <c r="I44" i="2"/>
  <c r="F44" i="2" s="1"/>
  <c r="A43" i="4"/>
  <c r="M42" i="3"/>
  <c r="C42" i="3"/>
  <c r="P42" i="3"/>
  <c r="E42" i="3"/>
  <c r="G42" i="3"/>
  <c r="S42" i="3"/>
  <c r="Y42" i="3" s="1"/>
  <c r="Z42" i="3" s="1"/>
  <c r="AA42" i="3" s="1"/>
  <c r="H42" i="3"/>
  <c r="J42" i="3"/>
  <c r="N42" i="3"/>
  <c r="T42" i="3"/>
  <c r="V42" i="3"/>
  <c r="C48" i="2"/>
  <c r="G42" i="4"/>
  <c r="L42" i="4" s="1"/>
  <c r="I42" i="4"/>
  <c r="M42" i="4" s="1"/>
  <c r="K42" i="4"/>
  <c r="N42" i="4" s="1"/>
  <c r="H45" i="2"/>
  <c r="E45" i="2" s="1"/>
  <c r="K46" i="2"/>
  <c r="C42" i="4"/>
  <c r="AB41" i="3"/>
  <c r="E42" i="4" s="1"/>
  <c r="W756" i="2" l="1"/>
  <c r="S754" i="3"/>
  <c r="Y754" i="3" s="1"/>
  <c r="Z754" i="3" s="1"/>
  <c r="U757" i="2"/>
  <c r="G755" i="3"/>
  <c r="V45" i="2"/>
  <c r="T44" i="2"/>
  <c r="D43" i="4"/>
  <c r="D47" i="2"/>
  <c r="C43" i="4"/>
  <c r="AB42" i="3"/>
  <c r="E43" i="4" s="1"/>
  <c r="F42" i="3"/>
  <c r="D43" i="3"/>
  <c r="K43" i="4"/>
  <c r="N43" i="4" s="1"/>
  <c r="G43" i="4"/>
  <c r="L43" i="4" s="1"/>
  <c r="I43" i="4"/>
  <c r="M43" i="4" s="1"/>
  <c r="O41" i="3"/>
  <c r="H42" i="4" s="1"/>
  <c r="I41" i="3"/>
  <c r="F42" i="4" s="1"/>
  <c r="U41" i="3"/>
  <c r="J42" i="4" s="1"/>
  <c r="A44" i="4"/>
  <c r="J43" i="3"/>
  <c r="V43" i="3"/>
  <c r="M43" i="3"/>
  <c r="N43" i="3"/>
  <c r="C43" i="3"/>
  <c r="P43" i="3"/>
  <c r="E43" i="3"/>
  <c r="G43" i="3"/>
  <c r="H43" i="3"/>
  <c r="S43" i="3"/>
  <c r="Y43" i="3" s="1"/>
  <c r="Z43" i="3" s="1"/>
  <c r="AA43" i="3" s="1"/>
  <c r="T43" i="3"/>
  <c r="C49" i="2"/>
  <c r="K47" i="2"/>
  <c r="H46" i="2"/>
  <c r="E46" i="2" s="1"/>
  <c r="L46" i="2"/>
  <c r="I45" i="2"/>
  <c r="F45" i="2" s="1"/>
  <c r="M47" i="2"/>
  <c r="J46" i="2"/>
  <c r="G46" i="2" s="1"/>
  <c r="U758" i="2" l="1"/>
  <c r="G756" i="3"/>
  <c r="W757" i="2"/>
  <c r="S755" i="3"/>
  <c r="Y755" i="3" s="1"/>
  <c r="Z755" i="3" s="1"/>
  <c r="V46" i="2"/>
  <c r="T45" i="2"/>
  <c r="D44" i="4"/>
  <c r="F43" i="3"/>
  <c r="D44" i="3"/>
  <c r="C44" i="4"/>
  <c r="AB43" i="3"/>
  <c r="E44" i="4" s="1"/>
  <c r="C50" i="2"/>
  <c r="O42" i="3"/>
  <c r="H43" i="4" s="1"/>
  <c r="I42" i="3"/>
  <c r="F43" i="4" s="1"/>
  <c r="U42" i="3"/>
  <c r="J43" i="4" s="1"/>
  <c r="A45" i="4"/>
  <c r="G44" i="3"/>
  <c r="S44" i="3"/>
  <c r="Y44" i="3" s="1"/>
  <c r="Z44" i="3" s="1"/>
  <c r="AA44" i="3" s="1"/>
  <c r="J44" i="3"/>
  <c r="V44" i="3"/>
  <c r="M44" i="3"/>
  <c r="C44" i="3"/>
  <c r="H44" i="3"/>
  <c r="N44" i="3"/>
  <c r="P44" i="3"/>
  <c r="T44" i="3"/>
  <c r="E44" i="3"/>
  <c r="I44" i="4"/>
  <c r="M44" i="4" s="1"/>
  <c r="K44" i="4"/>
  <c r="N44" i="4" s="1"/>
  <c r="G44" i="4"/>
  <c r="L44" i="4" s="1"/>
  <c r="D48" i="2"/>
  <c r="M48" i="2"/>
  <c r="J47" i="2"/>
  <c r="G47" i="2" s="1"/>
  <c r="L47" i="2"/>
  <c r="I46" i="2"/>
  <c r="F46" i="2" s="1"/>
  <c r="K48" i="2"/>
  <c r="H47" i="2"/>
  <c r="E47" i="2" s="1"/>
  <c r="W758" i="2" l="1"/>
  <c r="S756" i="3"/>
  <c r="Y756" i="3" s="1"/>
  <c r="Z756" i="3" s="1"/>
  <c r="G757" i="3"/>
  <c r="U759" i="2"/>
  <c r="V47" i="2"/>
  <c r="T46" i="2"/>
  <c r="D45" i="4"/>
  <c r="C51" i="2"/>
  <c r="C45" i="4"/>
  <c r="AB44" i="3"/>
  <c r="E45" i="4" s="1"/>
  <c r="A46" i="4"/>
  <c r="C45" i="3"/>
  <c r="P45" i="3"/>
  <c r="G45" i="3"/>
  <c r="S45" i="3"/>
  <c r="Y45" i="3" s="1"/>
  <c r="Z45" i="3" s="1"/>
  <c r="AA45" i="3" s="1"/>
  <c r="H45" i="3"/>
  <c r="T45" i="3"/>
  <c r="J45" i="3"/>
  <c r="V45" i="3"/>
  <c r="M45" i="3"/>
  <c r="N45" i="3"/>
  <c r="E45" i="3"/>
  <c r="F44" i="3"/>
  <c r="D45" i="3"/>
  <c r="I43" i="3"/>
  <c r="F44" i="4" s="1"/>
  <c r="U43" i="3"/>
  <c r="J44" i="4" s="1"/>
  <c r="O43" i="3"/>
  <c r="H44" i="4" s="1"/>
  <c r="D49" i="2"/>
  <c r="K49" i="2"/>
  <c r="H48" i="2"/>
  <c r="E48" i="2" s="1"/>
  <c r="L48" i="2"/>
  <c r="I47" i="2"/>
  <c r="F47" i="2" s="1"/>
  <c r="J48" i="2"/>
  <c r="G48" i="2" s="1"/>
  <c r="M49" i="2"/>
  <c r="G45" i="4"/>
  <c r="L45" i="4" s="1"/>
  <c r="I45" i="4"/>
  <c r="M45" i="4" s="1"/>
  <c r="K45" i="4"/>
  <c r="N45" i="4" s="1"/>
  <c r="G758" i="3" l="1"/>
  <c r="U760" i="2"/>
  <c r="W759" i="2"/>
  <c r="S757" i="3"/>
  <c r="Y757" i="3" s="1"/>
  <c r="Z757" i="3" s="1"/>
  <c r="V48" i="2"/>
  <c r="T47" i="2"/>
  <c r="D46" i="4"/>
  <c r="M50" i="2"/>
  <c r="J49" i="2"/>
  <c r="I48" i="2"/>
  <c r="F48" i="2" s="1"/>
  <c r="L49" i="2"/>
  <c r="I44" i="3"/>
  <c r="F45" i="4" s="1"/>
  <c r="U44" i="3"/>
  <c r="J45" i="4" s="1"/>
  <c r="O44" i="3"/>
  <c r="H45" i="4" s="1"/>
  <c r="G46" i="4"/>
  <c r="L46" i="4" s="1"/>
  <c r="I46" i="4"/>
  <c r="M46" i="4" s="1"/>
  <c r="K46" i="4"/>
  <c r="N46" i="4" s="1"/>
  <c r="A47" i="4"/>
  <c r="M46" i="3"/>
  <c r="C46" i="3"/>
  <c r="P46" i="3"/>
  <c r="E46" i="3"/>
  <c r="G46" i="3"/>
  <c r="S46" i="3"/>
  <c r="Y46" i="3" s="1"/>
  <c r="Z46" i="3" s="1"/>
  <c r="AA46" i="3" s="1"/>
  <c r="T46" i="3"/>
  <c r="V46" i="3"/>
  <c r="H46" i="3"/>
  <c r="J46" i="3"/>
  <c r="N46" i="3"/>
  <c r="F45" i="3"/>
  <c r="D46" i="3"/>
  <c r="C46" i="4"/>
  <c r="AB45" i="3"/>
  <c r="E46" i="4" s="1"/>
  <c r="K50" i="2"/>
  <c r="H49" i="2"/>
  <c r="E49" i="2" s="1"/>
  <c r="C52" i="2"/>
  <c r="G49" i="2"/>
  <c r="D50" i="2"/>
  <c r="S758" i="3" l="1"/>
  <c r="Y758" i="3" s="1"/>
  <c r="Z758" i="3" s="1"/>
  <c r="W760" i="2"/>
  <c r="G759" i="3"/>
  <c r="U761" i="2"/>
  <c r="V49" i="2"/>
  <c r="T48" i="2"/>
  <c r="D47" i="4"/>
  <c r="A48" i="4"/>
  <c r="J47" i="3"/>
  <c r="V47" i="3"/>
  <c r="M47" i="3"/>
  <c r="N47" i="3"/>
  <c r="C47" i="3"/>
  <c r="P47" i="3"/>
  <c r="E47" i="3"/>
  <c r="G47" i="3"/>
  <c r="H47" i="3"/>
  <c r="S47" i="3"/>
  <c r="Y47" i="3" s="1"/>
  <c r="Z47" i="3" s="1"/>
  <c r="AA47" i="3" s="1"/>
  <c r="T47" i="3"/>
  <c r="F46" i="3"/>
  <c r="D47" i="3"/>
  <c r="L50" i="2"/>
  <c r="I49" i="2"/>
  <c r="F49" i="2" s="1"/>
  <c r="C47" i="4"/>
  <c r="AB46" i="3"/>
  <c r="E47" i="4" s="1"/>
  <c r="H50" i="2"/>
  <c r="E50" i="2" s="1"/>
  <c r="K51" i="2"/>
  <c r="G50" i="2"/>
  <c r="D51" i="2"/>
  <c r="G47" i="4"/>
  <c r="L47" i="4" s="1"/>
  <c r="I47" i="4"/>
  <c r="M47" i="4" s="1"/>
  <c r="K47" i="4"/>
  <c r="N47" i="4" s="1"/>
  <c r="O45" i="3"/>
  <c r="H46" i="4" s="1"/>
  <c r="I45" i="3"/>
  <c r="F46" i="4" s="1"/>
  <c r="U45" i="3"/>
  <c r="J46" i="4" s="1"/>
  <c r="M51" i="2"/>
  <c r="J50" i="2"/>
  <c r="C53" i="2"/>
  <c r="U762" i="2" l="1"/>
  <c r="G760" i="3"/>
  <c r="W761" i="2"/>
  <c r="S759" i="3"/>
  <c r="Y759" i="3" s="1"/>
  <c r="Z759" i="3" s="1"/>
  <c r="V50" i="2"/>
  <c r="T49" i="2"/>
  <c r="D48" i="4"/>
  <c r="K52" i="2"/>
  <c r="H51" i="2"/>
  <c r="A49" i="4"/>
  <c r="G48" i="3"/>
  <c r="S48" i="3"/>
  <c r="Y48" i="3" s="1"/>
  <c r="Z48" i="3" s="1"/>
  <c r="AA48" i="3" s="1"/>
  <c r="J48" i="3"/>
  <c r="V48" i="3"/>
  <c r="M48" i="3"/>
  <c r="C48" i="3"/>
  <c r="E48" i="3"/>
  <c r="H48" i="3"/>
  <c r="N48" i="3"/>
  <c r="P48" i="3"/>
  <c r="T48" i="3"/>
  <c r="L51" i="2"/>
  <c r="I50" i="2"/>
  <c r="F50" i="2" s="1"/>
  <c r="C48" i="4"/>
  <c r="AB47" i="3"/>
  <c r="E48" i="4" s="1"/>
  <c r="F47" i="3"/>
  <c r="D48" i="3"/>
  <c r="O46" i="3"/>
  <c r="H47" i="4" s="1"/>
  <c r="I46" i="3"/>
  <c r="F47" i="4" s="1"/>
  <c r="U46" i="3"/>
  <c r="J47" i="4" s="1"/>
  <c r="G48" i="4"/>
  <c r="L48" i="4" s="1"/>
  <c r="I48" i="4"/>
  <c r="M48" i="4" s="1"/>
  <c r="K48" i="4"/>
  <c r="N48" i="4" s="1"/>
  <c r="C54" i="2"/>
  <c r="M52" i="2"/>
  <c r="J51" i="2"/>
  <c r="G51" i="2"/>
  <c r="D52" i="2"/>
  <c r="E51" i="2"/>
  <c r="W762" i="2" l="1"/>
  <c r="S760" i="3"/>
  <c r="Y760" i="3" s="1"/>
  <c r="Z760" i="3" s="1"/>
  <c r="G761" i="3"/>
  <c r="U763" i="2"/>
  <c r="V51" i="2"/>
  <c r="T50" i="2"/>
  <c r="D49" i="4"/>
  <c r="M53" i="2"/>
  <c r="J52" i="2"/>
  <c r="A50" i="4"/>
  <c r="C49" i="3"/>
  <c r="P49" i="3"/>
  <c r="G49" i="3"/>
  <c r="S49" i="3"/>
  <c r="Y49" i="3" s="1"/>
  <c r="Z49" i="3" s="1"/>
  <c r="AA49" i="3" s="1"/>
  <c r="H49" i="3"/>
  <c r="T49" i="3"/>
  <c r="J49" i="3"/>
  <c r="V49" i="3"/>
  <c r="E49" i="3"/>
  <c r="M49" i="3"/>
  <c r="N49" i="3"/>
  <c r="I47" i="3"/>
  <c r="F48" i="4" s="1"/>
  <c r="U47" i="3"/>
  <c r="J48" i="4" s="1"/>
  <c r="O47" i="3"/>
  <c r="H48" i="4" s="1"/>
  <c r="C49" i="4"/>
  <c r="AB48" i="3"/>
  <c r="E49" i="4" s="1"/>
  <c r="C55" i="2"/>
  <c r="L52" i="2"/>
  <c r="I51" i="2"/>
  <c r="F51" i="2" s="1"/>
  <c r="K49" i="4"/>
  <c r="N49" i="4" s="1"/>
  <c r="G49" i="4"/>
  <c r="L49" i="4" s="1"/>
  <c r="I49" i="4"/>
  <c r="M49" i="4" s="1"/>
  <c r="G52" i="2"/>
  <c r="D53" i="2"/>
  <c r="K53" i="2"/>
  <c r="H52" i="2"/>
  <c r="E52" i="2" s="1"/>
  <c r="F48" i="3"/>
  <c r="D49" i="3"/>
  <c r="G762" i="3" l="1"/>
  <c r="U764" i="2"/>
  <c r="W763" i="2"/>
  <c r="S761" i="3"/>
  <c r="Y761" i="3" s="1"/>
  <c r="Z761" i="3" s="1"/>
  <c r="V52" i="2"/>
  <c r="T51" i="2"/>
  <c r="D50" i="4"/>
  <c r="D54" i="2"/>
  <c r="A51" i="4"/>
  <c r="M50" i="3"/>
  <c r="C50" i="3"/>
  <c r="P50" i="3"/>
  <c r="E50" i="3"/>
  <c r="G50" i="3"/>
  <c r="S50" i="3"/>
  <c r="Y50" i="3" s="1"/>
  <c r="Z50" i="3" s="1"/>
  <c r="AA50" i="3" s="1"/>
  <c r="N50" i="3"/>
  <c r="T50" i="3"/>
  <c r="V50" i="3"/>
  <c r="H50" i="3"/>
  <c r="J50" i="3"/>
  <c r="I50" i="4"/>
  <c r="M50" i="4" s="1"/>
  <c r="K50" i="4"/>
  <c r="N50" i="4" s="1"/>
  <c r="G50" i="4"/>
  <c r="L50" i="4" s="1"/>
  <c r="I48" i="3"/>
  <c r="F49" i="4" s="1"/>
  <c r="U48" i="3"/>
  <c r="J49" i="4" s="1"/>
  <c r="O48" i="3"/>
  <c r="H49" i="4" s="1"/>
  <c r="K54" i="2"/>
  <c r="H53" i="2"/>
  <c r="E53" i="2" s="1"/>
  <c r="C50" i="4"/>
  <c r="AB49" i="3"/>
  <c r="E50" i="4" s="1"/>
  <c r="J53" i="2"/>
  <c r="G53" i="2" s="1"/>
  <c r="M54" i="2"/>
  <c r="F49" i="3"/>
  <c r="D50" i="3"/>
  <c r="L53" i="2"/>
  <c r="I52" i="2"/>
  <c r="F52" i="2" s="1"/>
  <c r="C56" i="2"/>
  <c r="S762" i="3" l="1"/>
  <c r="Y762" i="3" s="1"/>
  <c r="Z762" i="3" s="1"/>
  <c r="W764" i="2"/>
  <c r="U765" i="2"/>
  <c r="G763" i="3"/>
  <c r="V53" i="2"/>
  <c r="T52" i="2"/>
  <c r="D51" i="4"/>
  <c r="C51" i="4"/>
  <c r="AB50" i="3"/>
  <c r="E51" i="4" s="1"/>
  <c r="G51" i="4"/>
  <c r="L51" i="4" s="1"/>
  <c r="I51" i="4"/>
  <c r="M51" i="4" s="1"/>
  <c r="K51" i="4"/>
  <c r="N51" i="4" s="1"/>
  <c r="M55" i="2"/>
  <c r="J54" i="2"/>
  <c r="G54" i="2" s="1"/>
  <c r="D55" i="2"/>
  <c r="O49" i="3"/>
  <c r="H50" i="4" s="1"/>
  <c r="I49" i="3"/>
  <c r="F50" i="4" s="1"/>
  <c r="U49" i="3"/>
  <c r="J50" i="4" s="1"/>
  <c r="L54" i="2"/>
  <c r="I53" i="2"/>
  <c r="F53" i="2" s="1"/>
  <c r="K55" i="2"/>
  <c r="H54" i="2"/>
  <c r="E54" i="2" s="1"/>
  <c r="C57" i="2"/>
  <c r="F50" i="3"/>
  <c r="D51" i="3"/>
  <c r="A52" i="4"/>
  <c r="J51" i="3"/>
  <c r="V51" i="3"/>
  <c r="M51" i="3"/>
  <c r="N51" i="3"/>
  <c r="C51" i="3"/>
  <c r="P51" i="3"/>
  <c r="S51" i="3"/>
  <c r="Y51" i="3" s="1"/>
  <c r="Z51" i="3" s="1"/>
  <c r="AA51" i="3" s="1"/>
  <c r="T51" i="3"/>
  <c r="E51" i="3"/>
  <c r="H51" i="3"/>
  <c r="G51" i="3"/>
  <c r="G764" i="3" l="1"/>
  <c r="U766" i="2"/>
  <c r="W765" i="2"/>
  <c r="S763" i="3"/>
  <c r="Y763" i="3" s="1"/>
  <c r="Z763" i="3" s="1"/>
  <c r="V54" i="2"/>
  <c r="T53" i="2"/>
  <c r="D52" i="4"/>
  <c r="H55" i="2"/>
  <c r="K56" i="2"/>
  <c r="M56" i="2"/>
  <c r="J55" i="2"/>
  <c r="L55" i="2"/>
  <c r="I54" i="2"/>
  <c r="F54" i="2" s="1"/>
  <c r="C52" i="4"/>
  <c r="AB51" i="3"/>
  <c r="E52" i="4" s="1"/>
  <c r="O50" i="3"/>
  <c r="H51" i="4" s="1"/>
  <c r="I50" i="3"/>
  <c r="F51" i="4" s="1"/>
  <c r="U50" i="3"/>
  <c r="J51" i="4" s="1"/>
  <c r="A53" i="4"/>
  <c r="G52" i="3"/>
  <c r="S52" i="3"/>
  <c r="Y52" i="3" s="1"/>
  <c r="Z52" i="3" s="1"/>
  <c r="AA52" i="3" s="1"/>
  <c r="J52" i="3"/>
  <c r="V52" i="3"/>
  <c r="M52" i="3"/>
  <c r="C52" i="3"/>
  <c r="E52" i="3"/>
  <c r="H52" i="3"/>
  <c r="N52" i="3"/>
  <c r="P52" i="3"/>
  <c r="T52" i="3"/>
  <c r="C58" i="2"/>
  <c r="D56" i="2"/>
  <c r="G55" i="2"/>
  <c r="E55" i="2"/>
  <c r="G52" i="4"/>
  <c r="L52" i="4" s="1"/>
  <c r="I52" i="4"/>
  <c r="M52" i="4" s="1"/>
  <c r="K52" i="4"/>
  <c r="N52" i="4" s="1"/>
  <c r="F51" i="3"/>
  <c r="D52" i="3"/>
  <c r="W766" i="2" l="1"/>
  <c r="S764" i="3"/>
  <c r="Y764" i="3" s="1"/>
  <c r="Z764" i="3" s="1"/>
  <c r="G765" i="3"/>
  <c r="U767" i="2"/>
  <c r="V55" i="2"/>
  <c r="T54" i="2"/>
  <c r="D53" i="4"/>
  <c r="A54" i="4"/>
  <c r="C53" i="3"/>
  <c r="P53" i="3"/>
  <c r="G53" i="3"/>
  <c r="S53" i="3"/>
  <c r="Y53" i="3" s="1"/>
  <c r="Z53" i="3" s="1"/>
  <c r="AA53" i="3" s="1"/>
  <c r="H53" i="3"/>
  <c r="T53" i="3"/>
  <c r="J53" i="3"/>
  <c r="V53" i="3"/>
  <c r="E53" i="3"/>
  <c r="M53" i="3"/>
  <c r="N53" i="3"/>
  <c r="C53" i="4"/>
  <c r="AB52" i="3"/>
  <c r="E53" i="4" s="1"/>
  <c r="I55" i="2"/>
  <c r="F55" i="2" s="1"/>
  <c r="L56" i="2"/>
  <c r="G56" i="2"/>
  <c r="D57" i="2"/>
  <c r="I51" i="3"/>
  <c r="F52" i="4" s="1"/>
  <c r="U51" i="3"/>
  <c r="J52" i="4" s="1"/>
  <c r="O51" i="3"/>
  <c r="H52" i="4" s="1"/>
  <c r="M57" i="2"/>
  <c r="J56" i="2"/>
  <c r="C59" i="2"/>
  <c r="K57" i="2"/>
  <c r="H56" i="2"/>
  <c r="E56" i="2" s="1"/>
  <c r="F52" i="3"/>
  <c r="D53" i="3"/>
  <c r="G53" i="4"/>
  <c r="L53" i="4" s="1"/>
  <c r="I53" i="4"/>
  <c r="M53" i="4" s="1"/>
  <c r="K53" i="4"/>
  <c r="N53" i="4" s="1"/>
  <c r="U768" i="2" l="1"/>
  <c r="G766" i="3"/>
  <c r="S765" i="3"/>
  <c r="Y765" i="3" s="1"/>
  <c r="Z765" i="3" s="1"/>
  <c r="W767" i="2"/>
  <c r="V56" i="2"/>
  <c r="T55" i="2"/>
  <c r="D54" i="4"/>
  <c r="D58" i="2"/>
  <c r="F53" i="3"/>
  <c r="D54" i="3"/>
  <c r="L57" i="2"/>
  <c r="I56" i="2"/>
  <c r="F56" i="2" s="1"/>
  <c r="A55" i="4"/>
  <c r="M54" i="3"/>
  <c r="C54" i="3"/>
  <c r="P54" i="3"/>
  <c r="E54" i="3"/>
  <c r="G54" i="3"/>
  <c r="S54" i="3"/>
  <c r="Y54" i="3" s="1"/>
  <c r="Z54" i="3" s="1"/>
  <c r="AA54" i="3" s="1"/>
  <c r="H54" i="3"/>
  <c r="J54" i="3"/>
  <c r="N54" i="3"/>
  <c r="T54" i="3"/>
  <c r="V54" i="3"/>
  <c r="M58" i="2"/>
  <c r="J57" i="2"/>
  <c r="G57" i="2" s="1"/>
  <c r="I52" i="3"/>
  <c r="F53" i="4" s="1"/>
  <c r="U52" i="3"/>
  <c r="J53" i="4" s="1"/>
  <c r="O52" i="3"/>
  <c r="H53" i="4" s="1"/>
  <c r="K58" i="2"/>
  <c r="H57" i="2"/>
  <c r="E57" i="2" s="1"/>
  <c r="C60" i="2"/>
  <c r="G54" i="4"/>
  <c r="L54" i="4" s="1"/>
  <c r="I54" i="4"/>
  <c r="M54" i="4" s="1"/>
  <c r="K54" i="4"/>
  <c r="N54" i="4" s="1"/>
  <c r="C54" i="4"/>
  <c r="AB53" i="3"/>
  <c r="E54" i="4" s="1"/>
  <c r="S766" i="3" l="1"/>
  <c r="Y766" i="3" s="1"/>
  <c r="Z766" i="3" s="1"/>
  <c r="W768" i="2"/>
  <c r="G767" i="3"/>
  <c r="U769" i="2"/>
  <c r="V57" i="2"/>
  <c r="T56" i="2"/>
  <c r="D55" i="4"/>
  <c r="L58" i="2"/>
  <c r="I57" i="2"/>
  <c r="F57" i="2" s="1"/>
  <c r="C61" i="2"/>
  <c r="F54" i="3"/>
  <c r="D55" i="3"/>
  <c r="O53" i="3"/>
  <c r="H54" i="4" s="1"/>
  <c r="I53" i="3"/>
  <c r="F54" i="4" s="1"/>
  <c r="U53" i="3"/>
  <c r="J54" i="4" s="1"/>
  <c r="K59" i="2"/>
  <c r="H58" i="2"/>
  <c r="E58" i="2" s="1"/>
  <c r="A56" i="4"/>
  <c r="J55" i="3"/>
  <c r="V55" i="3"/>
  <c r="M55" i="3"/>
  <c r="N55" i="3"/>
  <c r="C55" i="3"/>
  <c r="P55" i="3"/>
  <c r="H55" i="3"/>
  <c r="S55" i="3"/>
  <c r="Y55" i="3" s="1"/>
  <c r="Z55" i="3" s="1"/>
  <c r="AA55" i="3" s="1"/>
  <c r="T55" i="3"/>
  <c r="E55" i="3"/>
  <c r="G55" i="3"/>
  <c r="D59" i="2"/>
  <c r="K55" i="4"/>
  <c r="N55" i="4" s="1"/>
  <c r="G55" i="4"/>
  <c r="L55" i="4" s="1"/>
  <c r="I55" i="4"/>
  <c r="M55" i="4" s="1"/>
  <c r="M59" i="2"/>
  <c r="J58" i="2"/>
  <c r="G58" i="2" s="1"/>
  <c r="C55" i="4"/>
  <c r="AB54" i="3"/>
  <c r="E55" i="4" s="1"/>
  <c r="U770" i="2" l="1"/>
  <c r="G768" i="3"/>
  <c r="W769" i="2"/>
  <c r="S767" i="3"/>
  <c r="Y767" i="3" s="1"/>
  <c r="Z767" i="3" s="1"/>
  <c r="V58" i="2"/>
  <c r="T57" i="2"/>
  <c r="D56" i="4"/>
  <c r="F55" i="3"/>
  <c r="D56" i="3"/>
  <c r="O54" i="3"/>
  <c r="H55" i="4" s="1"/>
  <c r="I54" i="3"/>
  <c r="F55" i="4" s="1"/>
  <c r="U54" i="3"/>
  <c r="J55" i="4" s="1"/>
  <c r="C56" i="4"/>
  <c r="AB55" i="3"/>
  <c r="E56" i="4" s="1"/>
  <c r="C62" i="2"/>
  <c r="D60" i="2"/>
  <c r="M60" i="2"/>
  <c r="J59" i="2"/>
  <c r="G59" i="2" s="1"/>
  <c r="I56" i="4"/>
  <c r="M56" i="4" s="1"/>
  <c r="K56" i="4"/>
  <c r="N56" i="4" s="1"/>
  <c r="G56" i="4"/>
  <c r="L56" i="4" s="1"/>
  <c r="L59" i="2"/>
  <c r="I58" i="2"/>
  <c r="F58" i="2" s="1"/>
  <c r="A57" i="4"/>
  <c r="G56" i="3"/>
  <c r="S56" i="3"/>
  <c r="Y56" i="3" s="1"/>
  <c r="Z56" i="3" s="1"/>
  <c r="AA56" i="3" s="1"/>
  <c r="J56" i="3"/>
  <c r="V56" i="3"/>
  <c r="M56" i="3"/>
  <c r="C56" i="3"/>
  <c r="P56" i="3"/>
  <c r="T56" i="3"/>
  <c r="N56" i="3"/>
  <c r="E56" i="3"/>
  <c r="H56" i="3"/>
  <c r="K60" i="2"/>
  <c r="H59" i="2"/>
  <c r="E59" i="2" s="1"/>
  <c r="S768" i="3" l="1"/>
  <c r="Y768" i="3" s="1"/>
  <c r="Z768" i="3" s="1"/>
  <c r="W770" i="2"/>
  <c r="U771" i="2"/>
  <c r="G769" i="3"/>
  <c r="V59" i="2"/>
  <c r="T58" i="2"/>
  <c r="D57" i="4"/>
  <c r="C57" i="4"/>
  <c r="AB56" i="3"/>
  <c r="E57" i="4" s="1"/>
  <c r="G57" i="4"/>
  <c r="L57" i="4" s="1"/>
  <c r="I57" i="4"/>
  <c r="M57" i="4" s="1"/>
  <c r="K57" i="4"/>
  <c r="N57" i="4" s="1"/>
  <c r="F56" i="3"/>
  <c r="D57" i="3"/>
  <c r="C63" i="2"/>
  <c r="D61" i="2"/>
  <c r="G60" i="2"/>
  <c r="I55" i="3"/>
  <c r="F56" i="4" s="1"/>
  <c r="U55" i="3"/>
  <c r="J56" i="4" s="1"/>
  <c r="O55" i="3"/>
  <c r="H56" i="4" s="1"/>
  <c r="L60" i="2"/>
  <c r="I59" i="2"/>
  <c r="F59" i="2" s="1"/>
  <c r="J60" i="2"/>
  <c r="M61" i="2"/>
  <c r="K61" i="2"/>
  <c r="H60" i="2"/>
  <c r="E60" i="2" s="1"/>
  <c r="A58" i="4"/>
  <c r="C57" i="3"/>
  <c r="P57" i="3"/>
  <c r="G57" i="3"/>
  <c r="S57" i="3"/>
  <c r="Y57" i="3" s="1"/>
  <c r="Z57" i="3" s="1"/>
  <c r="AA57" i="3" s="1"/>
  <c r="H57" i="3"/>
  <c r="T57" i="3"/>
  <c r="J57" i="3"/>
  <c r="V57" i="3"/>
  <c r="E57" i="3"/>
  <c r="M57" i="3"/>
  <c r="N57" i="3"/>
  <c r="G770" i="3" l="1"/>
  <c r="U772" i="2"/>
  <c r="S769" i="3"/>
  <c r="Y769" i="3" s="1"/>
  <c r="Z769" i="3" s="1"/>
  <c r="W771" i="2"/>
  <c r="V60" i="2"/>
  <c r="T59" i="2"/>
  <c r="D58" i="4"/>
  <c r="I56" i="3"/>
  <c r="F57" i="4" s="1"/>
  <c r="U56" i="3"/>
  <c r="J57" i="4" s="1"/>
  <c r="O56" i="3"/>
  <c r="H57" i="4" s="1"/>
  <c r="G58" i="4"/>
  <c r="L58" i="4" s="1"/>
  <c r="I58" i="4"/>
  <c r="M58" i="4" s="1"/>
  <c r="K58" i="4"/>
  <c r="N58" i="4" s="1"/>
  <c r="K62" i="2"/>
  <c r="H61" i="2"/>
  <c r="E61" i="2" s="1"/>
  <c r="D62" i="2"/>
  <c r="I60" i="2"/>
  <c r="F60" i="2" s="1"/>
  <c r="L61" i="2"/>
  <c r="A59" i="4"/>
  <c r="M58" i="3"/>
  <c r="C58" i="3"/>
  <c r="P58" i="3"/>
  <c r="E58" i="3"/>
  <c r="G58" i="3"/>
  <c r="H58" i="3"/>
  <c r="J58" i="3"/>
  <c r="N58" i="3"/>
  <c r="V58" i="3"/>
  <c r="T58" i="3"/>
  <c r="S58" i="3"/>
  <c r="Y58" i="3" s="1"/>
  <c r="Z58" i="3" s="1"/>
  <c r="AA58" i="3" s="1"/>
  <c r="M62" i="2"/>
  <c r="J61" i="2"/>
  <c r="G61" i="2" s="1"/>
  <c r="F57" i="3"/>
  <c r="D58" i="3"/>
  <c r="C58" i="4"/>
  <c r="AB57" i="3"/>
  <c r="E58" i="4" s="1"/>
  <c r="C64" i="2"/>
  <c r="S770" i="3" l="1"/>
  <c r="Y770" i="3" s="1"/>
  <c r="Z770" i="3" s="1"/>
  <c r="W772" i="2"/>
  <c r="G771" i="3"/>
  <c r="U773" i="2"/>
  <c r="V61" i="2"/>
  <c r="T60" i="2"/>
  <c r="D59" i="4"/>
  <c r="C59" i="4"/>
  <c r="AB58" i="3"/>
  <c r="E59" i="4" s="1"/>
  <c r="G59" i="4"/>
  <c r="L59" i="4" s="1"/>
  <c r="I59" i="4"/>
  <c r="M59" i="4" s="1"/>
  <c r="K59" i="4"/>
  <c r="N59" i="4" s="1"/>
  <c r="O57" i="3"/>
  <c r="H58" i="4" s="1"/>
  <c r="I57" i="3"/>
  <c r="F58" i="4" s="1"/>
  <c r="U57" i="3"/>
  <c r="J58" i="4" s="1"/>
  <c r="D63" i="2"/>
  <c r="H62" i="2"/>
  <c r="E62" i="2" s="1"/>
  <c r="K63" i="2"/>
  <c r="M63" i="2"/>
  <c r="J62" i="2"/>
  <c r="G62" i="2" s="1"/>
  <c r="A60" i="4"/>
  <c r="J59" i="3"/>
  <c r="V59" i="3"/>
  <c r="M59" i="3"/>
  <c r="N59" i="3"/>
  <c r="T59" i="3"/>
  <c r="C59" i="3"/>
  <c r="E59" i="3"/>
  <c r="G59" i="3"/>
  <c r="H59" i="3"/>
  <c r="P59" i="3"/>
  <c r="S59" i="3"/>
  <c r="Y59" i="3" s="1"/>
  <c r="Z59" i="3" s="1"/>
  <c r="AA59" i="3" s="1"/>
  <c r="L62" i="2"/>
  <c r="I61" i="2"/>
  <c r="F61" i="2" s="1"/>
  <c r="C65" i="2"/>
  <c r="F58" i="3"/>
  <c r="D59" i="3"/>
  <c r="G772" i="3" l="1"/>
  <c r="U774" i="2"/>
  <c r="G773" i="3" s="1"/>
  <c r="W773" i="2"/>
  <c r="S771" i="3"/>
  <c r="Y771" i="3" s="1"/>
  <c r="Z771" i="3" s="1"/>
  <c r="V62" i="2"/>
  <c r="T61" i="2"/>
  <c r="D60" i="4"/>
  <c r="M64" i="2"/>
  <c r="J63" i="2"/>
  <c r="G63" i="2" s="1"/>
  <c r="L63" i="2"/>
  <c r="I62" i="2"/>
  <c r="F62" i="2" s="1"/>
  <c r="G60" i="4"/>
  <c r="L60" i="4" s="1"/>
  <c r="I60" i="4"/>
  <c r="M60" i="4" s="1"/>
  <c r="K60" i="4"/>
  <c r="N60" i="4" s="1"/>
  <c r="K64" i="2"/>
  <c r="H63" i="2"/>
  <c r="E63" i="2" s="1"/>
  <c r="D64" i="2"/>
  <c r="A61" i="4"/>
  <c r="G60" i="3"/>
  <c r="S60" i="3"/>
  <c r="Y60" i="3" s="1"/>
  <c r="Z60" i="3" s="1"/>
  <c r="AA60" i="3" s="1"/>
  <c r="J60" i="3"/>
  <c r="V60" i="3"/>
  <c r="C60" i="3"/>
  <c r="P60" i="3"/>
  <c r="T60" i="3"/>
  <c r="E60" i="3"/>
  <c r="H60" i="3"/>
  <c r="N60" i="3"/>
  <c r="M60" i="3"/>
  <c r="O58" i="3"/>
  <c r="H59" i="4" s="1"/>
  <c r="I58" i="3"/>
  <c r="F59" i="4" s="1"/>
  <c r="U58" i="3"/>
  <c r="J59" i="4" s="1"/>
  <c r="C66" i="2"/>
  <c r="C60" i="4"/>
  <c r="AB59" i="3"/>
  <c r="E60" i="4" s="1"/>
  <c r="F59" i="3"/>
  <c r="D60" i="3"/>
  <c r="S772" i="3" l="1"/>
  <c r="Y772" i="3" s="1"/>
  <c r="Z772" i="3" s="1"/>
  <c r="W774" i="2"/>
  <c r="S773" i="3" s="1"/>
  <c r="V63" i="2"/>
  <c r="T62" i="2"/>
  <c r="D61" i="4"/>
  <c r="K61" i="4"/>
  <c r="N61" i="4" s="1"/>
  <c r="G61" i="4"/>
  <c r="L61" i="4" s="1"/>
  <c r="I61" i="4"/>
  <c r="M61" i="4" s="1"/>
  <c r="G64" i="2"/>
  <c r="D65" i="2"/>
  <c r="E64" i="2"/>
  <c r="L64" i="2"/>
  <c r="I63" i="2"/>
  <c r="F63" i="2" s="1"/>
  <c r="A62" i="4"/>
  <c r="C61" i="3"/>
  <c r="P61" i="3"/>
  <c r="G61" i="3"/>
  <c r="S61" i="3"/>
  <c r="Y61" i="3" s="1"/>
  <c r="Z61" i="3" s="1"/>
  <c r="AA61" i="3" s="1"/>
  <c r="H61" i="3"/>
  <c r="M61" i="3"/>
  <c r="N61" i="3"/>
  <c r="T61" i="3"/>
  <c r="V61" i="3"/>
  <c r="E61" i="3"/>
  <c r="J61" i="3"/>
  <c r="M65" i="2"/>
  <c r="J64" i="2"/>
  <c r="C67" i="2"/>
  <c r="F60" i="3"/>
  <c r="D61" i="3"/>
  <c r="I59" i="3"/>
  <c r="F60" i="4" s="1"/>
  <c r="U59" i="3"/>
  <c r="J60" i="4" s="1"/>
  <c r="O59" i="3"/>
  <c r="H60" i="4" s="1"/>
  <c r="C61" i="4"/>
  <c r="AB60" i="3"/>
  <c r="E61" i="4" s="1"/>
  <c r="K65" i="2"/>
  <c r="H64" i="2"/>
  <c r="Y774" i="3" l="1"/>
  <c r="Z774" i="3" s="1"/>
  <c r="Y773" i="3"/>
  <c r="Z773" i="3" s="1"/>
  <c r="V64" i="2"/>
  <c r="T63" i="2"/>
  <c r="D62" i="4"/>
  <c r="D66" i="2"/>
  <c r="F61" i="3"/>
  <c r="D62" i="3"/>
  <c r="C68" i="2"/>
  <c r="J65" i="2"/>
  <c r="G65" i="2" s="1"/>
  <c r="M66" i="2"/>
  <c r="A63" i="4"/>
  <c r="M62" i="3"/>
  <c r="C62" i="3"/>
  <c r="P62" i="3"/>
  <c r="G62" i="3"/>
  <c r="H62" i="3"/>
  <c r="J62" i="3"/>
  <c r="N62" i="3"/>
  <c r="E62" i="3"/>
  <c r="S62" i="3"/>
  <c r="Y62" i="3" s="1"/>
  <c r="Z62" i="3" s="1"/>
  <c r="AA62" i="3" s="1"/>
  <c r="T62" i="3"/>
  <c r="V62" i="3"/>
  <c r="I62" i="4"/>
  <c r="M62" i="4" s="1"/>
  <c r="K62" i="4"/>
  <c r="N62" i="4" s="1"/>
  <c r="G62" i="4"/>
  <c r="L62" i="4" s="1"/>
  <c r="I60" i="3"/>
  <c r="F61" i="4" s="1"/>
  <c r="U60" i="3"/>
  <c r="J61" i="4" s="1"/>
  <c r="O60" i="3"/>
  <c r="H61" i="4" s="1"/>
  <c r="L65" i="2"/>
  <c r="I64" i="2"/>
  <c r="F64" i="2" s="1"/>
  <c r="C62" i="4"/>
  <c r="AB61" i="3"/>
  <c r="E62" i="4" s="1"/>
  <c r="K66" i="2"/>
  <c r="H65" i="2"/>
  <c r="E65" i="2" s="1"/>
  <c r="V65" i="2" l="1"/>
  <c r="T64" i="2"/>
  <c r="D63" i="4"/>
  <c r="C69" i="2"/>
  <c r="F62" i="3"/>
  <c r="D63" i="3"/>
  <c r="A64" i="4"/>
  <c r="J63" i="3"/>
  <c r="V63" i="3"/>
  <c r="M63" i="3"/>
  <c r="S63" i="3"/>
  <c r="Y63" i="3" s="1"/>
  <c r="Z63" i="3" s="1"/>
  <c r="AA63" i="3" s="1"/>
  <c r="T63" i="3"/>
  <c r="C63" i="3"/>
  <c r="E63" i="3"/>
  <c r="G63" i="3"/>
  <c r="H63" i="3"/>
  <c r="N63" i="3"/>
  <c r="P63" i="3"/>
  <c r="O61" i="3"/>
  <c r="H62" i="4" s="1"/>
  <c r="U61" i="3"/>
  <c r="J62" i="4" s="1"/>
  <c r="I61" i="3"/>
  <c r="F62" i="4" s="1"/>
  <c r="C63" i="4"/>
  <c r="AB62" i="3"/>
  <c r="E63" i="4" s="1"/>
  <c r="G63" i="4"/>
  <c r="L63" i="4" s="1"/>
  <c r="I63" i="4"/>
  <c r="M63" i="4" s="1"/>
  <c r="K63" i="4"/>
  <c r="N63" i="4" s="1"/>
  <c r="D67" i="2"/>
  <c r="M67" i="2"/>
  <c r="J66" i="2"/>
  <c r="G66" i="2" s="1"/>
  <c r="K67" i="2"/>
  <c r="H66" i="2"/>
  <c r="E66" i="2" s="1"/>
  <c r="L66" i="2"/>
  <c r="I65" i="2"/>
  <c r="F65" i="2" s="1"/>
  <c r="V66" i="2" l="1"/>
  <c r="T65" i="2"/>
  <c r="D64" i="4"/>
  <c r="C64" i="4"/>
  <c r="AB63" i="3"/>
  <c r="E64" i="4" s="1"/>
  <c r="G64" i="4"/>
  <c r="L64" i="4" s="1"/>
  <c r="I64" i="4"/>
  <c r="M64" i="4" s="1"/>
  <c r="K64" i="4"/>
  <c r="N64" i="4" s="1"/>
  <c r="F63" i="3"/>
  <c r="D64" i="3"/>
  <c r="A65" i="4"/>
  <c r="G64" i="3"/>
  <c r="S64" i="3"/>
  <c r="Y64" i="3" s="1"/>
  <c r="Z64" i="3" s="1"/>
  <c r="AA64" i="3" s="1"/>
  <c r="J64" i="3"/>
  <c r="V64" i="3"/>
  <c r="C64" i="3"/>
  <c r="M64" i="3"/>
  <c r="N64" i="3"/>
  <c r="P64" i="3"/>
  <c r="T64" i="3"/>
  <c r="E64" i="3"/>
  <c r="H64" i="3"/>
  <c r="O62" i="3"/>
  <c r="H63" i="4" s="1"/>
  <c r="I62" i="3"/>
  <c r="F63" i="4" s="1"/>
  <c r="U62" i="3"/>
  <c r="J63" i="4" s="1"/>
  <c r="C70" i="2"/>
  <c r="D68" i="2"/>
  <c r="L67" i="2"/>
  <c r="I66" i="2"/>
  <c r="F66" i="2" s="1"/>
  <c r="H67" i="2"/>
  <c r="E67" i="2" s="1"/>
  <c r="K68" i="2"/>
  <c r="M68" i="2"/>
  <c r="J67" i="2"/>
  <c r="G67" i="2" s="1"/>
  <c r="V67" i="2" l="1"/>
  <c r="T66" i="2"/>
  <c r="D65" i="4"/>
  <c r="I63" i="3"/>
  <c r="F64" i="4" s="1"/>
  <c r="U63" i="3"/>
  <c r="J64" i="4" s="1"/>
  <c r="O63" i="3"/>
  <c r="H64" i="4" s="1"/>
  <c r="C65" i="4"/>
  <c r="AB64" i="3"/>
  <c r="E65" i="4" s="1"/>
  <c r="M69" i="2"/>
  <c r="J68" i="2"/>
  <c r="G68" i="2" s="1"/>
  <c r="C71" i="2"/>
  <c r="F64" i="3"/>
  <c r="D65" i="3"/>
  <c r="D69" i="2"/>
  <c r="K69" i="2"/>
  <c r="H68" i="2"/>
  <c r="E68" i="2" s="1"/>
  <c r="I67" i="2"/>
  <c r="F67" i="2" s="1"/>
  <c r="L68" i="2"/>
  <c r="A66" i="4"/>
  <c r="C65" i="3"/>
  <c r="P65" i="3"/>
  <c r="G65" i="3"/>
  <c r="S65" i="3"/>
  <c r="Y65" i="3" s="1"/>
  <c r="Z65" i="3" s="1"/>
  <c r="AA65" i="3" s="1"/>
  <c r="H65" i="3"/>
  <c r="J65" i="3"/>
  <c r="M65" i="3"/>
  <c r="N65" i="3"/>
  <c r="T65" i="3"/>
  <c r="V65" i="3"/>
  <c r="E65" i="3"/>
  <c r="G65" i="4"/>
  <c r="L65" i="4" s="1"/>
  <c r="I65" i="4"/>
  <c r="M65" i="4" s="1"/>
  <c r="K65" i="4"/>
  <c r="N65" i="4" s="1"/>
  <c r="V68" i="2" l="1"/>
  <c r="T67" i="2"/>
  <c r="D66" i="4"/>
  <c r="L69" i="2"/>
  <c r="I68" i="2"/>
  <c r="F68" i="2" s="1"/>
  <c r="C66" i="4"/>
  <c r="AB65" i="3"/>
  <c r="E66" i="4" s="1"/>
  <c r="K70" i="2"/>
  <c r="H69" i="2"/>
  <c r="E69" i="2" s="1"/>
  <c r="M70" i="2"/>
  <c r="J69" i="2"/>
  <c r="G69" i="2" s="1"/>
  <c r="D70" i="2"/>
  <c r="C72" i="2"/>
  <c r="F65" i="3"/>
  <c r="D66" i="3"/>
  <c r="G66" i="4"/>
  <c r="L66" i="4" s="1"/>
  <c r="I66" i="4"/>
  <c r="M66" i="4" s="1"/>
  <c r="K66" i="4"/>
  <c r="N66" i="4" s="1"/>
  <c r="A67" i="4"/>
  <c r="C66" i="3"/>
  <c r="P66" i="3"/>
  <c r="S66" i="3"/>
  <c r="Y66" i="3" s="1"/>
  <c r="Z66" i="3" s="1"/>
  <c r="AA66" i="3" s="1"/>
  <c r="T66" i="3"/>
  <c r="E66" i="3"/>
  <c r="V66" i="3"/>
  <c r="G66" i="3"/>
  <c r="H66" i="3"/>
  <c r="J66" i="3"/>
  <c r="M66" i="3"/>
  <c r="N66" i="3"/>
  <c r="I64" i="3"/>
  <c r="F65" i="4" s="1"/>
  <c r="U64" i="3"/>
  <c r="J65" i="4" s="1"/>
  <c r="O64" i="3"/>
  <c r="H65" i="4" s="1"/>
  <c r="V69" i="2" l="1"/>
  <c r="T68" i="2"/>
  <c r="D67" i="4"/>
  <c r="M71" i="2"/>
  <c r="J70" i="2"/>
  <c r="D71" i="2"/>
  <c r="G70" i="2"/>
  <c r="E70" i="2"/>
  <c r="F66" i="3"/>
  <c r="D67" i="3"/>
  <c r="O65" i="3"/>
  <c r="H66" i="4" s="1"/>
  <c r="I65" i="3"/>
  <c r="F66" i="4" s="1"/>
  <c r="U65" i="3"/>
  <c r="J66" i="4" s="1"/>
  <c r="K71" i="2"/>
  <c r="H70" i="2"/>
  <c r="C73" i="2"/>
  <c r="K67" i="4"/>
  <c r="N67" i="4" s="1"/>
  <c r="G67" i="4"/>
  <c r="L67" i="4" s="1"/>
  <c r="I67" i="4"/>
  <c r="M67" i="4" s="1"/>
  <c r="L70" i="2"/>
  <c r="I69" i="2"/>
  <c r="F69" i="2" s="1"/>
  <c r="C67" i="4"/>
  <c r="AB66" i="3"/>
  <c r="E67" i="4" s="1"/>
  <c r="A68" i="4"/>
  <c r="M67" i="3"/>
  <c r="J67" i="3"/>
  <c r="N67" i="3"/>
  <c r="P67" i="3"/>
  <c r="S67" i="3"/>
  <c r="Y67" i="3" s="1"/>
  <c r="Z67" i="3" s="1"/>
  <c r="AA67" i="3" s="1"/>
  <c r="C67" i="3"/>
  <c r="T67" i="3"/>
  <c r="E67" i="3"/>
  <c r="G67" i="3"/>
  <c r="H67" i="3"/>
  <c r="V67" i="3"/>
  <c r="V70" i="2" l="1"/>
  <c r="T69" i="2"/>
  <c r="D68" i="4"/>
  <c r="F67" i="3"/>
  <c r="D68" i="3"/>
  <c r="O66" i="3"/>
  <c r="H67" i="4" s="1"/>
  <c r="I66" i="3"/>
  <c r="F67" i="4" s="1"/>
  <c r="U66" i="3"/>
  <c r="J67" i="4" s="1"/>
  <c r="C68" i="4"/>
  <c r="AB67" i="3"/>
  <c r="E68" i="4" s="1"/>
  <c r="A69" i="4"/>
  <c r="J68" i="3"/>
  <c r="V68" i="3"/>
  <c r="C68" i="3"/>
  <c r="S68" i="3"/>
  <c r="Y68" i="3" s="1"/>
  <c r="Z68" i="3" s="1"/>
  <c r="AA68" i="3" s="1"/>
  <c r="T68" i="3"/>
  <c r="E68" i="3"/>
  <c r="G68" i="3"/>
  <c r="H68" i="3"/>
  <c r="P68" i="3"/>
  <c r="M68" i="3"/>
  <c r="N68" i="3"/>
  <c r="C74" i="2"/>
  <c r="D72" i="2"/>
  <c r="I68" i="4"/>
  <c r="M68" i="4" s="1"/>
  <c r="K68" i="4"/>
  <c r="N68" i="4" s="1"/>
  <c r="G68" i="4"/>
  <c r="L68" i="4" s="1"/>
  <c r="K72" i="2"/>
  <c r="H71" i="2"/>
  <c r="E71" i="2" s="1"/>
  <c r="M72" i="2"/>
  <c r="J71" i="2"/>
  <c r="G71" i="2" s="1"/>
  <c r="L71" i="2"/>
  <c r="I70" i="2"/>
  <c r="F70" i="2" s="1"/>
  <c r="V71" i="2" l="1"/>
  <c r="T70" i="2"/>
  <c r="D69" i="4"/>
  <c r="G69" i="4"/>
  <c r="L69" i="4" s="1"/>
  <c r="I69" i="4"/>
  <c r="M69" i="4" s="1"/>
  <c r="K69" i="4"/>
  <c r="N69" i="4" s="1"/>
  <c r="C69" i="4"/>
  <c r="AB68" i="3"/>
  <c r="E69" i="4" s="1"/>
  <c r="L72" i="2"/>
  <c r="I71" i="2"/>
  <c r="F71" i="2" s="1"/>
  <c r="D73" i="2"/>
  <c r="F68" i="3"/>
  <c r="D69" i="3"/>
  <c r="I67" i="3"/>
  <c r="F68" i="4" s="1"/>
  <c r="U67" i="3"/>
  <c r="J68" i="4" s="1"/>
  <c r="O67" i="3"/>
  <c r="H68" i="4" s="1"/>
  <c r="A70" i="4"/>
  <c r="C69" i="3"/>
  <c r="G69" i="3"/>
  <c r="S69" i="3"/>
  <c r="Y69" i="3" s="1"/>
  <c r="Z69" i="3" s="1"/>
  <c r="AA69" i="3" s="1"/>
  <c r="J69" i="3"/>
  <c r="M69" i="3"/>
  <c r="N69" i="3"/>
  <c r="P69" i="3"/>
  <c r="T69" i="3"/>
  <c r="E69" i="3"/>
  <c r="H69" i="3"/>
  <c r="V69" i="3"/>
  <c r="J72" i="2"/>
  <c r="G72" i="2" s="1"/>
  <c r="M73" i="2"/>
  <c r="K73" i="2"/>
  <c r="H72" i="2"/>
  <c r="E72" i="2" s="1"/>
  <c r="C75" i="2"/>
  <c r="V72" i="2" l="1"/>
  <c r="T71" i="2"/>
  <c r="D70" i="4"/>
  <c r="I72" i="2"/>
  <c r="F72" i="2" s="1"/>
  <c r="L73" i="2"/>
  <c r="F69" i="3"/>
  <c r="D70" i="3"/>
  <c r="I68" i="3"/>
  <c r="F69" i="4" s="1"/>
  <c r="U68" i="3"/>
  <c r="J69" i="4" s="1"/>
  <c r="O68" i="3"/>
  <c r="H69" i="4" s="1"/>
  <c r="A71" i="4"/>
  <c r="C70" i="3"/>
  <c r="P70" i="3"/>
  <c r="S70" i="3"/>
  <c r="Y70" i="3" s="1"/>
  <c r="Z70" i="3" s="1"/>
  <c r="AA70" i="3" s="1"/>
  <c r="T70" i="3"/>
  <c r="E70" i="3"/>
  <c r="V70" i="3"/>
  <c r="G70" i="3"/>
  <c r="H70" i="3"/>
  <c r="J70" i="3"/>
  <c r="M70" i="3"/>
  <c r="N70" i="3"/>
  <c r="C70" i="4"/>
  <c r="AB69" i="3"/>
  <c r="E70" i="4" s="1"/>
  <c r="K74" i="2"/>
  <c r="H73" i="2"/>
  <c r="G70" i="4"/>
  <c r="L70" i="4" s="1"/>
  <c r="I70" i="4"/>
  <c r="M70" i="4" s="1"/>
  <c r="K70" i="4"/>
  <c r="N70" i="4" s="1"/>
  <c r="C76" i="2"/>
  <c r="M74" i="2"/>
  <c r="J73" i="2"/>
  <c r="G73" i="2"/>
  <c r="D74" i="2"/>
  <c r="E73" i="2"/>
  <c r="V73" i="2" l="1"/>
  <c r="T72" i="2"/>
  <c r="D71" i="4"/>
  <c r="C77" i="2"/>
  <c r="G71" i="4"/>
  <c r="L71" i="4" s="1"/>
  <c r="I71" i="4"/>
  <c r="M71" i="4" s="1"/>
  <c r="K71" i="4"/>
  <c r="N71" i="4" s="1"/>
  <c r="M75" i="2"/>
  <c r="J74" i="2"/>
  <c r="F70" i="3"/>
  <c r="D71" i="3"/>
  <c r="C71" i="4"/>
  <c r="AB70" i="3"/>
  <c r="E71" i="4" s="1"/>
  <c r="O69" i="3"/>
  <c r="H70" i="4" s="1"/>
  <c r="U69" i="3"/>
  <c r="J70" i="4" s="1"/>
  <c r="I69" i="3"/>
  <c r="F70" i="4" s="1"/>
  <c r="L74" i="2"/>
  <c r="I73" i="2"/>
  <c r="F73" i="2" s="1"/>
  <c r="A72" i="4"/>
  <c r="J71" i="3"/>
  <c r="M71" i="3"/>
  <c r="N71" i="3"/>
  <c r="P71" i="3"/>
  <c r="C71" i="3"/>
  <c r="S71" i="3"/>
  <c r="Y71" i="3" s="1"/>
  <c r="Z71" i="3" s="1"/>
  <c r="AA71" i="3" s="1"/>
  <c r="T71" i="3"/>
  <c r="V71" i="3"/>
  <c r="G71" i="3"/>
  <c r="E71" i="3"/>
  <c r="H71" i="3"/>
  <c r="G74" i="2"/>
  <c r="D75" i="2"/>
  <c r="H74" i="2"/>
  <c r="E74" i="2" s="1"/>
  <c r="K75" i="2"/>
  <c r="V74" i="2" l="1"/>
  <c r="T73" i="2"/>
  <c r="D72" i="4"/>
  <c r="L75" i="2"/>
  <c r="I74" i="2"/>
  <c r="F74" i="2" s="1"/>
  <c r="G72" i="4"/>
  <c r="L72" i="4" s="1"/>
  <c r="I72" i="4"/>
  <c r="M72" i="4" s="1"/>
  <c r="K72" i="4"/>
  <c r="N72" i="4" s="1"/>
  <c r="C78" i="2"/>
  <c r="M76" i="2"/>
  <c r="J75" i="2"/>
  <c r="A73" i="4"/>
  <c r="C72" i="3"/>
  <c r="M72" i="3"/>
  <c r="N72" i="3"/>
  <c r="P72" i="3"/>
  <c r="E72" i="3"/>
  <c r="S72" i="3"/>
  <c r="Y72" i="3" s="1"/>
  <c r="Z72" i="3" s="1"/>
  <c r="AA72" i="3" s="1"/>
  <c r="T72" i="3"/>
  <c r="V72" i="3"/>
  <c r="J72" i="3"/>
  <c r="H72" i="3"/>
  <c r="G72" i="3"/>
  <c r="F71" i="3"/>
  <c r="D72" i="3"/>
  <c r="O70" i="3"/>
  <c r="H71" i="4" s="1"/>
  <c r="I70" i="3"/>
  <c r="F71" i="4" s="1"/>
  <c r="U70" i="3"/>
  <c r="J71" i="4" s="1"/>
  <c r="K76" i="2"/>
  <c r="H75" i="2"/>
  <c r="E75" i="2" s="1"/>
  <c r="G75" i="2"/>
  <c r="D76" i="2"/>
  <c r="C72" i="4"/>
  <c r="AB71" i="3"/>
  <c r="E72" i="4" s="1"/>
  <c r="V75" i="2" l="1"/>
  <c r="T74" i="2"/>
  <c r="D73" i="4"/>
  <c r="C79" i="2"/>
  <c r="A74" i="4"/>
  <c r="M73" i="3"/>
  <c r="N73" i="3"/>
  <c r="P73" i="3"/>
  <c r="C73" i="3"/>
  <c r="S73" i="3"/>
  <c r="Y73" i="3" s="1"/>
  <c r="Z73" i="3" s="1"/>
  <c r="AA73" i="3" s="1"/>
  <c r="E73" i="3"/>
  <c r="T73" i="3"/>
  <c r="G73" i="3"/>
  <c r="H73" i="3"/>
  <c r="J73" i="3"/>
  <c r="V73" i="3"/>
  <c r="K77" i="2"/>
  <c r="H76" i="2"/>
  <c r="E76" i="2" s="1"/>
  <c r="C73" i="4"/>
  <c r="AB72" i="3"/>
  <c r="E73" i="4" s="1"/>
  <c r="I71" i="3"/>
  <c r="F72" i="4" s="1"/>
  <c r="O71" i="3"/>
  <c r="H72" i="4" s="1"/>
  <c r="U71" i="3"/>
  <c r="J72" i="4" s="1"/>
  <c r="K73" i="4"/>
  <c r="N73" i="4" s="1"/>
  <c r="G73" i="4"/>
  <c r="L73" i="4" s="1"/>
  <c r="I73" i="4"/>
  <c r="M73" i="4" s="1"/>
  <c r="L76" i="2"/>
  <c r="I75" i="2"/>
  <c r="F75" i="2" s="1"/>
  <c r="M77" i="2"/>
  <c r="J76" i="2"/>
  <c r="G76" i="2" s="1"/>
  <c r="D73" i="3"/>
  <c r="F72" i="3"/>
  <c r="D77" i="2"/>
  <c r="V76" i="2" l="1"/>
  <c r="T75" i="2"/>
  <c r="D74" i="4"/>
  <c r="F73" i="3"/>
  <c r="D74" i="3"/>
  <c r="J77" i="2"/>
  <c r="M78" i="2"/>
  <c r="A75" i="4"/>
  <c r="C74" i="3"/>
  <c r="N74" i="3"/>
  <c r="P74" i="3"/>
  <c r="E74" i="3"/>
  <c r="S74" i="3"/>
  <c r="Y74" i="3" s="1"/>
  <c r="Z74" i="3" s="1"/>
  <c r="AA74" i="3" s="1"/>
  <c r="T74" i="3"/>
  <c r="G74" i="3"/>
  <c r="V74" i="3"/>
  <c r="H74" i="3"/>
  <c r="J74" i="3"/>
  <c r="M74" i="3"/>
  <c r="K78" i="2"/>
  <c r="H77" i="2"/>
  <c r="E77" i="2" s="1"/>
  <c r="C74" i="4"/>
  <c r="AB73" i="3"/>
  <c r="E74" i="4" s="1"/>
  <c r="I74" i="4"/>
  <c r="M74" i="4" s="1"/>
  <c r="K74" i="4"/>
  <c r="N74" i="4" s="1"/>
  <c r="G74" i="4"/>
  <c r="L74" i="4" s="1"/>
  <c r="C80" i="2"/>
  <c r="L77" i="2"/>
  <c r="I76" i="2"/>
  <c r="F76" i="2" s="1"/>
  <c r="D78" i="2"/>
  <c r="G77" i="2"/>
  <c r="I72" i="3"/>
  <c r="F73" i="4" s="1"/>
  <c r="U72" i="3"/>
  <c r="J73" i="4" s="1"/>
  <c r="O72" i="3"/>
  <c r="H73" i="4" s="1"/>
  <c r="V77" i="2" l="1"/>
  <c r="T76" i="2"/>
  <c r="D75" i="4"/>
  <c r="A76" i="4"/>
  <c r="P75" i="3"/>
  <c r="C75" i="3"/>
  <c r="S75" i="3"/>
  <c r="Y75" i="3" s="1"/>
  <c r="Z75" i="3" s="1"/>
  <c r="AA75" i="3" s="1"/>
  <c r="E75" i="3"/>
  <c r="T75" i="3"/>
  <c r="G75" i="3"/>
  <c r="H75" i="3"/>
  <c r="V75" i="3"/>
  <c r="J75" i="3"/>
  <c r="M75" i="3"/>
  <c r="N75" i="3"/>
  <c r="L78" i="2"/>
  <c r="I77" i="2"/>
  <c r="F77" i="2" s="1"/>
  <c r="G78" i="2"/>
  <c r="D79" i="2"/>
  <c r="E78" i="2"/>
  <c r="K79" i="2"/>
  <c r="H78" i="2"/>
  <c r="C75" i="4"/>
  <c r="AB74" i="3"/>
  <c r="E75" i="4" s="1"/>
  <c r="G75" i="4"/>
  <c r="L75" i="4" s="1"/>
  <c r="I75" i="4"/>
  <c r="M75" i="4" s="1"/>
  <c r="K75" i="4"/>
  <c r="N75" i="4" s="1"/>
  <c r="C81" i="2"/>
  <c r="M79" i="2"/>
  <c r="J78" i="2"/>
  <c r="D75" i="3"/>
  <c r="F74" i="3"/>
  <c r="O73" i="3"/>
  <c r="H74" i="4" s="1"/>
  <c r="U73" i="3"/>
  <c r="J74" i="4" s="1"/>
  <c r="I73" i="3"/>
  <c r="F74" i="4" s="1"/>
  <c r="V78" i="2" l="1"/>
  <c r="T77" i="2"/>
  <c r="D76" i="4"/>
  <c r="M80" i="2"/>
  <c r="J79" i="2"/>
  <c r="C82" i="2"/>
  <c r="D80" i="2"/>
  <c r="G79" i="2"/>
  <c r="L79" i="2"/>
  <c r="I78" i="2"/>
  <c r="F78" i="2" s="1"/>
  <c r="O74" i="3"/>
  <c r="H75" i="4" s="1"/>
  <c r="I74" i="3"/>
  <c r="F75" i="4" s="1"/>
  <c r="U74" i="3"/>
  <c r="J75" i="4" s="1"/>
  <c r="A77" i="4"/>
  <c r="C76" i="3"/>
  <c r="E76" i="3"/>
  <c r="S76" i="3"/>
  <c r="Y76" i="3" s="1"/>
  <c r="Z76" i="3" s="1"/>
  <c r="AA76" i="3" s="1"/>
  <c r="T76" i="3"/>
  <c r="G76" i="3"/>
  <c r="V76" i="3"/>
  <c r="H76" i="3"/>
  <c r="J76" i="3"/>
  <c r="P76" i="3"/>
  <c r="M76" i="3"/>
  <c r="N76" i="3"/>
  <c r="G76" i="4"/>
  <c r="L76" i="4" s="1"/>
  <c r="I76" i="4"/>
  <c r="M76" i="4" s="1"/>
  <c r="K76" i="4"/>
  <c r="N76" i="4" s="1"/>
  <c r="F75" i="3"/>
  <c r="D76" i="3"/>
  <c r="H79" i="2"/>
  <c r="E79" i="2" s="1"/>
  <c r="K80" i="2"/>
  <c r="C76" i="4"/>
  <c r="AB75" i="3"/>
  <c r="E76" i="4" s="1"/>
  <c r="V79" i="2" l="1"/>
  <c r="T78" i="2"/>
  <c r="D77" i="4"/>
  <c r="D81" i="2"/>
  <c r="G77" i="4"/>
  <c r="L77" i="4" s="1"/>
  <c r="I77" i="4"/>
  <c r="M77" i="4" s="1"/>
  <c r="K77" i="4"/>
  <c r="N77" i="4" s="1"/>
  <c r="C83" i="2"/>
  <c r="K81" i="2"/>
  <c r="H80" i="2"/>
  <c r="E80" i="2" s="1"/>
  <c r="M81" i="2"/>
  <c r="J80" i="2"/>
  <c r="G80" i="2" s="1"/>
  <c r="A78" i="4"/>
  <c r="E77" i="3"/>
  <c r="S77" i="3"/>
  <c r="Y77" i="3" s="1"/>
  <c r="Z77" i="3" s="1"/>
  <c r="AA77" i="3" s="1"/>
  <c r="G77" i="3"/>
  <c r="T77" i="3"/>
  <c r="H77" i="3"/>
  <c r="V77" i="3"/>
  <c r="J77" i="3"/>
  <c r="M77" i="3"/>
  <c r="N77" i="3"/>
  <c r="C77" i="3"/>
  <c r="P77" i="3"/>
  <c r="F76" i="3"/>
  <c r="D77" i="3"/>
  <c r="C77" i="4"/>
  <c r="AB76" i="3"/>
  <c r="E77" i="4" s="1"/>
  <c r="U75" i="3"/>
  <c r="J76" i="4" s="1"/>
  <c r="I75" i="3"/>
  <c r="F76" i="4" s="1"/>
  <c r="O75" i="3"/>
  <c r="H76" i="4" s="1"/>
  <c r="I79" i="2"/>
  <c r="F79" i="2" s="1"/>
  <c r="L80" i="2"/>
  <c r="V80" i="2" l="1"/>
  <c r="T79" i="2"/>
  <c r="D78" i="4"/>
  <c r="A79" i="4"/>
  <c r="E78" i="3"/>
  <c r="G78" i="3"/>
  <c r="S78" i="3"/>
  <c r="Y78" i="3" s="1"/>
  <c r="Z78" i="3" s="1"/>
  <c r="AA78" i="3" s="1"/>
  <c r="H78" i="3"/>
  <c r="T78" i="3"/>
  <c r="J78" i="3"/>
  <c r="V78" i="3"/>
  <c r="C78" i="3"/>
  <c r="M78" i="3"/>
  <c r="P78" i="3"/>
  <c r="N78" i="3"/>
  <c r="M82" i="2"/>
  <c r="J81" i="2"/>
  <c r="I76" i="3"/>
  <c r="F77" i="4" s="1"/>
  <c r="U76" i="3"/>
  <c r="J77" i="4" s="1"/>
  <c r="O76" i="3"/>
  <c r="H77" i="4" s="1"/>
  <c r="L81" i="2"/>
  <c r="I80" i="2"/>
  <c r="F80" i="2" s="1"/>
  <c r="F77" i="3"/>
  <c r="D78" i="3"/>
  <c r="C78" i="4"/>
  <c r="AB77" i="3"/>
  <c r="E78" i="4" s="1"/>
  <c r="K82" i="2"/>
  <c r="H81" i="2"/>
  <c r="G81" i="2"/>
  <c r="D82" i="2"/>
  <c r="E81" i="2"/>
  <c r="C84" i="2"/>
  <c r="G78" i="4"/>
  <c r="L78" i="4" s="1"/>
  <c r="I78" i="4"/>
  <c r="M78" i="4" s="1"/>
  <c r="K78" i="4"/>
  <c r="N78" i="4" s="1"/>
  <c r="V81" i="2" l="1"/>
  <c r="T80" i="2"/>
  <c r="D79" i="4"/>
  <c r="C85" i="2"/>
  <c r="F78" i="3"/>
  <c r="D79" i="3"/>
  <c r="L82" i="2"/>
  <c r="I81" i="2"/>
  <c r="F81" i="2" s="1"/>
  <c r="A80" i="4"/>
  <c r="N79" i="3"/>
  <c r="C79" i="3"/>
  <c r="P79" i="3"/>
  <c r="E79" i="3"/>
  <c r="G79" i="3"/>
  <c r="S79" i="3"/>
  <c r="Y79" i="3" s="1"/>
  <c r="Z79" i="3" s="1"/>
  <c r="AA79" i="3" s="1"/>
  <c r="H79" i="3"/>
  <c r="T79" i="3"/>
  <c r="J79" i="3"/>
  <c r="V79" i="3"/>
  <c r="M79" i="3"/>
  <c r="M83" i="2"/>
  <c r="J82" i="2"/>
  <c r="G82" i="2" s="1"/>
  <c r="U77" i="3"/>
  <c r="J78" i="4" s="1"/>
  <c r="I77" i="3"/>
  <c r="F78" i="4" s="1"/>
  <c r="O77" i="3"/>
  <c r="H78" i="4" s="1"/>
  <c r="K83" i="2"/>
  <c r="H82" i="2"/>
  <c r="E82" i="2" s="1"/>
  <c r="K79" i="4"/>
  <c r="N79" i="4" s="1"/>
  <c r="G79" i="4"/>
  <c r="L79" i="4" s="1"/>
  <c r="I79" i="4"/>
  <c r="M79" i="4" s="1"/>
  <c r="D83" i="2"/>
  <c r="C79" i="4"/>
  <c r="AB78" i="3"/>
  <c r="E79" i="4" s="1"/>
  <c r="V82" i="2" l="1"/>
  <c r="T81" i="2"/>
  <c r="D80" i="4"/>
  <c r="M84" i="2"/>
  <c r="J83" i="2"/>
  <c r="G83" i="2" s="1"/>
  <c r="I80" i="4"/>
  <c r="M80" i="4" s="1"/>
  <c r="K80" i="4"/>
  <c r="N80" i="4" s="1"/>
  <c r="G80" i="4"/>
  <c r="L80" i="4" s="1"/>
  <c r="L83" i="2"/>
  <c r="I82" i="2"/>
  <c r="F82" i="2" s="1"/>
  <c r="D84" i="2"/>
  <c r="F79" i="3"/>
  <c r="D80" i="3"/>
  <c r="I78" i="3"/>
  <c r="F79" i="4" s="1"/>
  <c r="U78" i="3"/>
  <c r="J79" i="4" s="1"/>
  <c r="O78" i="3"/>
  <c r="H79" i="4" s="1"/>
  <c r="C80" i="4"/>
  <c r="AB79" i="3"/>
  <c r="E80" i="4" s="1"/>
  <c r="K84" i="2"/>
  <c r="H83" i="2"/>
  <c r="E83" i="2" s="1"/>
  <c r="A81" i="4"/>
  <c r="M80" i="3"/>
  <c r="N80" i="3"/>
  <c r="C80" i="3"/>
  <c r="P80" i="3"/>
  <c r="E80" i="3"/>
  <c r="G80" i="3"/>
  <c r="H80" i="3"/>
  <c r="J80" i="3"/>
  <c r="S80" i="3"/>
  <c r="Y80" i="3" s="1"/>
  <c r="Z80" i="3" s="1"/>
  <c r="AA80" i="3" s="1"/>
  <c r="T80" i="3"/>
  <c r="V80" i="3"/>
  <c r="C86" i="2"/>
  <c r="V83" i="2" l="1"/>
  <c r="T82" i="2"/>
  <c r="D81" i="4"/>
  <c r="L84" i="2"/>
  <c r="I83" i="2"/>
  <c r="F83" i="2" s="1"/>
  <c r="F80" i="3"/>
  <c r="D81" i="3"/>
  <c r="O79" i="3"/>
  <c r="H80" i="4" s="1"/>
  <c r="I79" i="3"/>
  <c r="F80" i="4" s="1"/>
  <c r="U79" i="3"/>
  <c r="J80" i="4" s="1"/>
  <c r="C81" i="4"/>
  <c r="AB80" i="3"/>
  <c r="E81" i="4" s="1"/>
  <c r="A82" i="4"/>
  <c r="H81" i="3"/>
  <c r="T81" i="3"/>
  <c r="J81" i="3"/>
  <c r="V81" i="3"/>
  <c r="M81" i="3"/>
  <c r="N81" i="3"/>
  <c r="C81" i="3"/>
  <c r="E81" i="3"/>
  <c r="G81" i="3"/>
  <c r="P81" i="3"/>
  <c r="S81" i="3"/>
  <c r="Y81" i="3" s="1"/>
  <c r="Z81" i="3" s="1"/>
  <c r="AA81" i="3" s="1"/>
  <c r="G81" i="4"/>
  <c r="L81" i="4" s="1"/>
  <c r="I81" i="4"/>
  <c r="M81" i="4" s="1"/>
  <c r="K81" i="4"/>
  <c r="N81" i="4" s="1"/>
  <c r="D85" i="2"/>
  <c r="J84" i="2"/>
  <c r="G84" i="2" s="1"/>
  <c r="M85" i="2"/>
  <c r="C87" i="2"/>
  <c r="K85" i="2"/>
  <c r="H84" i="2"/>
  <c r="E84" i="2" s="1"/>
  <c r="V84" i="2" l="1"/>
  <c r="T83" i="2"/>
  <c r="D82" i="4"/>
  <c r="G82" i="4"/>
  <c r="L82" i="4" s="1"/>
  <c r="I82" i="4"/>
  <c r="M82" i="4" s="1"/>
  <c r="K82" i="4"/>
  <c r="N82" i="4" s="1"/>
  <c r="M86" i="2"/>
  <c r="J85" i="2"/>
  <c r="G85" i="2" s="1"/>
  <c r="D86" i="2"/>
  <c r="D82" i="3"/>
  <c r="F81" i="3"/>
  <c r="C82" i="4"/>
  <c r="AB81" i="3"/>
  <c r="E82" i="4" s="1"/>
  <c r="O80" i="3"/>
  <c r="H81" i="4" s="1"/>
  <c r="I80" i="3"/>
  <c r="F81" i="4" s="1"/>
  <c r="U80" i="3"/>
  <c r="J81" i="4" s="1"/>
  <c r="I84" i="2"/>
  <c r="F84" i="2" s="1"/>
  <c r="L85" i="2"/>
  <c r="A83" i="4"/>
  <c r="E82" i="3"/>
  <c r="G82" i="3"/>
  <c r="S82" i="3"/>
  <c r="Y82" i="3" s="1"/>
  <c r="Z82" i="3" s="1"/>
  <c r="AA82" i="3" s="1"/>
  <c r="H82" i="3"/>
  <c r="T82" i="3"/>
  <c r="J82" i="3"/>
  <c r="V82" i="3"/>
  <c r="C82" i="3"/>
  <c r="M82" i="3"/>
  <c r="N82" i="3"/>
  <c r="P82" i="3"/>
  <c r="K86" i="2"/>
  <c r="H85" i="2"/>
  <c r="E85" i="2" s="1"/>
  <c r="C88" i="2"/>
  <c r="V85" i="2" l="1"/>
  <c r="T84" i="2"/>
  <c r="D83" i="4"/>
  <c r="C83" i="4"/>
  <c r="AB82" i="3"/>
  <c r="E83" i="4" s="1"/>
  <c r="M87" i="2"/>
  <c r="J86" i="2"/>
  <c r="G86" i="2" s="1"/>
  <c r="F82" i="3"/>
  <c r="D83" i="3"/>
  <c r="A84" i="4"/>
  <c r="N83" i="3"/>
  <c r="C83" i="3"/>
  <c r="P83" i="3"/>
  <c r="E83" i="3"/>
  <c r="G83" i="3"/>
  <c r="S83" i="3"/>
  <c r="Y83" i="3" s="1"/>
  <c r="Z83" i="3" s="1"/>
  <c r="AA83" i="3" s="1"/>
  <c r="H83" i="3"/>
  <c r="T83" i="3"/>
  <c r="J83" i="3"/>
  <c r="M83" i="3"/>
  <c r="V83" i="3"/>
  <c r="L86" i="2"/>
  <c r="I85" i="2"/>
  <c r="F85" i="2" s="1"/>
  <c r="H86" i="2"/>
  <c r="E86" i="2" s="1"/>
  <c r="K87" i="2"/>
  <c r="C89" i="2"/>
  <c r="I81" i="3"/>
  <c r="F82" i="4" s="1"/>
  <c r="U81" i="3"/>
  <c r="J82" i="4" s="1"/>
  <c r="O81" i="3"/>
  <c r="H82" i="4" s="1"/>
  <c r="I83" i="4"/>
  <c r="M83" i="4" s="1"/>
  <c r="K83" i="4"/>
  <c r="N83" i="4" s="1"/>
  <c r="G83" i="4"/>
  <c r="L83" i="4" s="1"/>
  <c r="D87" i="2"/>
  <c r="V86" i="2" l="1"/>
  <c r="T85" i="2"/>
  <c r="D84" i="4"/>
  <c r="G84" i="4"/>
  <c r="L84" i="4" s="1"/>
  <c r="I84" i="4"/>
  <c r="M84" i="4" s="1"/>
  <c r="K84" i="4"/>
  <c r="N84" i="4" s="1"/>
  <c r="C84" i="4"/>
  <c r="AB83" i="3"/>
  <c r="E84" i="4" s="1"/>
  <c r="F83" i="3"/>
  <c r="D84" i="3"/>
  <c r="I82" i="3"/>
  <c r="F83" i="4" s="1"/>
  <c r="U82" i="3"/>
  <c r="J83" i="4" s="1"/>
  <c r="O82" i="3"/>
  <c r="H83" i="4" s="1"/>
  <c r="L87" i="2"/>
  <c r="I86" i="2"/>
  <c r="F86" i="2" s="1"/>
  <c r="M88" i="2"/>
  <c r="J87" i="2"/>
  <c r="C90" i="2"/>
  <c r="G87" i="2"/>
  <c r="D88" i="2"/>
  <c r="A85" i="4"/>
  <c r="M84" i="3"/>
  <c r="N84" i="3"/>
  <c r="C84" i="3"/>
  <c r="P84" i="3"/>
  <c r="E84" i="3"/>
  <c r="J84" i="3"/>
  <c r="S84" i="3"/>
  <c r="Y84" i="3" s="1"/>
  <c r="Z84" i="3" s="1"/>
  <c r="AA84" i="3" s="1"/>
  <c r="T84" i="3"/>
  <c r="V84" i="3"/>
  <c r="G84" i="3"/>
  <c r="H84" i="3"/>
  <c r="K88" i="2"/>
  <c r="H87" i="2"/>
  <c r="E87" i="2" s="1"/>
  <c r="V87" i="2" l="1"/>
  <c r="T86" i="2"/>
  <c r="D85" i="4"/>
  <c r="O83" i="3"/>
  <c r="H84" i="4" s="1"/>
  <c r="I83" i="3"/>
  <c r="F84" i="4" s="1"/>
  <c r="U83" i="3"/>
  <c r="J84" i="4" s="1"/>
  <c r="C91" i="2"/>
  <c r="F84" i="3"/>
  <c r="D85" i="3"/>
  <c r="M89" i="2"/>
  <c r="J88" i="2"/>
  <c r="G88" i="2" s="1"/>
  <c r="C85" i="4"/>
  <c r="AB84" i="3"/>
  <c r="E85" i="4" s="1"/>
  <c r="K85" i="4"/>
  <c r="N85" i="4" s="1"/>
  <c r="G85" i="4"/>
  <c r="L85" i="4" s="1"/>
  <c r="I85" i="4"/>
  <c r="M85" i="4" s="1"/>
  <c r="L88" i="2"/>
  <c r="I87" i="2"/>
  <c r="F87" i="2" s="1"/>
  <c r="K89" i="2"/>
  <c r="H88" i="2"/>
  <c r="A86" i="4"/>
  <c r="H85" i="3"/>
  <c r="T85" i="3"/>
  <c r="J85" i="3"/>
  <c r="V85" i="3"/>
  <c r="M85" i="3"/>
  <c r="N85" i="3"/>
  <c r="C85" i="3"/>
  <c r="G85" i="3"/>
  <c r="P85" i="3"/>
  <c r="S85" i="3"/>
  <c r="Y85" i="3" s="1"/>
  <c r="Z85" i="3" s="1"/>
  <c r="AA85" i="3" s="1"/>
  <c r="E85" i="3"/>
  <c r="D89" i="2"/>
  <c r="E88" i="2"/>
  <c r="V88" i="2" l="1"/>
  <c r="T87" i="2"/>
  <c r="D86" i="4"/>
  <c r="J89" i="2"/>
  <c r="G89" i="2" s="1"/>
  <c r="M90" i="2"/>
  <c r="F85" i="3"/>
  <c r="D86" i="3"/>
  <c r="L89" i="2"/>
  <c r="I88" i="2"/>
  <c r="F88" i="2" s="1"/>
  <c r="O84" i="3"/>
  <c r="H85" i="4" s="1"/>
  <c r="I84" i="3"/>
  <c r="F85" i="4" s="1"/>
  <c r="U84" i="3"/>
  <c r="J85" i="4" s="1"/>
  <c r="C92" i="2"/>
  <c r="C86" i="4"/>
  <c r="AB85" i="3"/>
  <c r="E86" i="4" s="1"/>
  <c r="K90" i="2"/>
  <c r="H89" i="2"/>
  <c r="D90" i="2"/>
  <c r="E89" i="2"/>
  <c r="A87" i="4"/>
  <c r="E86" i="3"/>
  <c r="G86" i="3"/>
  <c r="S86" i="3"/>
  <c r="Y86" i="3" s="1"/>
  <c r="Z86" i="3" s="1"/>
  <c r="AA86" i="3" s="1"/>
  <c r="H86" i="3"/>
  <c r="T86" i="3"/>
  <c r="J86" i="3"/>
  <c r="V86" i="3"/>
  <c r="M86" i="3"/>
  <c r="N86" i="3"/>
  <c r="P86" i="3"/>
  <c r="C86" i="3"/>
  <c r="I86" i="4"/>
  <c r="M86" i="4" s="1"/>
  <c r="K86" i="4"/>
  <c r="N86" i="4" s="1"/>
  <c r="G86" i="4"/>
  <c r="L86" i="4" s="1"/>
  <c r="V89" i="2" l="1"/>
  <c r="T88" i="2"/>
  <c r="D87" i="4"/>
  <c r="K87" i="4"/>
  <c r="N87" i="4" s="1"/>
  <c r="G87" i="4"/>
  <c r="L87" i="4" s="1"/>
  <c r="I87" i="4"/>
  <c r="M87" i="4" s="1"/>
  <c r="C87" i="4"/>
  <c r="AB86" i="3"/>
  <c r="E87" i="4" s="1"/>
  <c r="D91" i="2"/>
  <c r="L90" i="2"/>
  <c r="I89" i="2"/>
  <c r="F89" i="2" s="1"/>
  <c r="F86" i="3"/>
  <c r="D87" i="3"/>
  <c r="K91" i="2"/>
  <c r="H90" i="2"/>
  <c r="E90" i="2" s="1"/>
  <c r="I85" i="3"/>
  <c r="F86" i="4" s="1"/>
  <c r="U85" i="3"/>
  <c r="J86" i="4" s="1"/>
  <c r="O85" i="3"/>
  <c r="H86" i="4" s="1"/>
  <c r="M91" i="2"/>
  <c r="J90" i="2"/>
  <c r="G90" i="2" s="1"/>
  <c r="C93" i="2"/>
  <c r="A88" i="4"/>
  <c r="N87" i="3"/>
  <c r="C87" i="3"/>
  <c r="P87" i="3"/>
  <c r="E87" i="3"/>
  <c r="G87" i="3"/>
  <c r="S87" i="3"/>
  <c r="Y87" i="3" s="1"/>
  <c r="Z87" i="3" s="1"/>
  <c r="AA87" i="3" s="1"/>
  <c r="H87" i="3"/>
  <c r="T87" i="3"/>
  <c r="M87" i="3"/>
  <c r="V87" i="3"/>
  <c r="J87" i="3"/>
  <c r="V90" i="2" l="1"/>
  <c r="T89" i="2"/>
  <c r="D88" i="4"/>
  <c r="H91" i="2"/>
  <c r="K92" i="2"/>
  <c r="F87" i="3"/>
  <c r="D88" i="3"/>
  <c r="I86" i="3"/>
  <c r="F87" i="4" s="1"/>
  <c r="U86" i="3"/>
  <c r="J87" i="4" s="1"/>
  <c r="O86" i="3"/>
  <c r="H87" i="4" s="1"/>
  <c r="I88" i="4"/>
  <c r="M88" i="4" s="1"/>
  <c r="K88" i="4"/>
  <c r="N88" i="4" s="1"/>
  <c r="G88" i="4"/>
  <c r="L88" i="4" s="1"/>
  <c r="C94" i="2"/>
  <c r="L91" i="2"/>
  <c r="I90" i="2"/>
  <c r="F90" i="2" s="1"/>
  <c r="A89" i="4"/>
  <c r="M88" i="3"/>
  <c r="N88" i="3"/>
  <c r="C88" i="3"/>
  <c r="P88" i="3"/>
  <c r="E88" i="3"/>
  <c r="J88" i="3"/>
  <c r="S88" i="3"/>
  <c r="Y88" i="3" s="1"/>
  <c r="Z88" i="3" s="1"/>
  <c r="AA88" i="3" s="1"/>
  <c r="T88" i="3"/>
  <c r="G88" i="3"/>
  <c r="V88" i="3"/>
  <c r="H88" i="3"/>
  <c r="C88" i="4"/>
  <c r="AB87" i="3"/>
  <c r="E88" i="4" s="1"/>
  <c r="M92" i="2"/>
  <c r="J91" i="2"/>
  <c r="G91" i="2" s="1"/>
  <c r="D92" i="2"/>
  <c r="E91" i="2"/>
  <c r="V91" i="2" l="1"/>
  <c r="T90" i="2"/>
  <c r="D89" i="4"/>
  <c r="C89" i="4"/>
  <c r="AB88" i="3"/>
  <c r="E89" i="4" s="1"/>
  <c r="M93" i="2"/>
  <c r="J92" i="2"/>
  <c r="G92" i="2" s="1"/>
  <c r="D89" i="3"/>
  <c r="F88" i="3"/>
  <c r="G89" i="4"/>
  <c r="L89" i="4" s="1"/>
  <c r="I89" i="4"/>
  <c r="M89" i="4" s="1"/>
  <c r="K89" i="4"/>
  <c r="N89" i="4" s="1"/>
  <c r="C95" i="2"/>
  <c r="O87" i="3"/>
  <c r="H88" i="4" s="1"/>
  <c r="I87" i="3"/>
  <c r="F88" i="4" s="1"/>
  <c r="U87" i="3"/>
  <c r="J88" i="4" s="1"/>
  <c r="K93" i="2"/>
  <c r="H92" i="2"/>
  <c r="E92" i="2" s="1"/>
  <c r="A90" i="4"/>
  <c r="H89" i="3"/>
  <c r="T89" i="3"/>
  <c r="J89" i="3"/>
  <c r="V89" i="3"/>
  <c r="M89" i="3"/>
  <c r="N89" i="3"/>
  <c r="G89" i="3"/>
  <c r="P89" i="3"/>
  <c r="C89" i="3"/>
  <c r="E89" i="3"/>
  <c r="S89" i="3"/>
  <c r="Y89" i="3" s="1"/>
  <c r="Z89" i="3" s="1"/>
  <c r="AA89" i="3" s="1"/>
  <c r="I91" i="2"/>
  <c r="F91" i="2" s="1"/>
  <c r="L92" i="2"/>
  <c r="D93" i="2"/>
  <c r="V92" i="2" l="1"/>
  <c r="T91" i="2"/>
  <c r="D90" i="4"/>
  <c r="O88" i="3"/>
  <c r="H89" i="4" s="1"/>
  <c r="U88" i="3"/>
  <c r="J89" i="4" s="1"/>
  <c r="I88" i="3"/>
  <c r="F89" i="4" s="1"/>
  <c r="F89" i="3"/>
  <c r="D90" i="3"/>
  <c r="K94" i="2"/>
  <c r="H93" i="2"/>
  <c r="E93" i="2" s="1"/>
  <c r="C96" i="2"/>
  <c r="M94" i="2"/>
  <c r="J93" i="2"/>
  <c r="A91" i="4"/>
  <c r="E90" i="3"/>
  <c r="G90" i="3"/>
  <c r="S90" i="3"/>
  <c r="Y90" i="3" s="1"/>
  <c r="Z90" i="3" s="1"/>
  <c r="AA90" i="3" s="1"/>
  <c r="H90" i="3"/>
  <c r="T90" i="3"/>
  <c r="J90" i="3"/>
  <c r="V90" i="3"/>
  <c r="C90" i="3"/>
  <c r="M90" i="3"/>
  <c r="N90" i="3"/>
  <c r="P90" i="3"/>
  <c r="G93" i="2"/>
  <c r="D94" i="2"/>
  <c r="C90" i="4"/>
  <c r="AB89" i="3"/>
  <c r="E90" i="4" s="1"/>
  <c r="G90" i="4"/>
  <c r="L90" i="4" s="1"/>
  <c r="I90" i="4"/>
  <c r="M90" i="4" s="1"/>
  <c r="K90" i="4"/>
  <c r="N90" i="4" s="1"/>
  <c r="L93" i="2"/>
  <c r="I92" i="2"/>
  <c r="F92" i="2" s="1"/>
  <c r="V93" i="2" l="1"/>
  <c r="T92" i="2"/>
  <c r="D91" i="4"/>
  <c r="C97" i="2"/>
  <c r="K95" i="2"/>
  <c r="H94" i="2"/>
  <c r="E94" i="2" s="1"/>
  <c r="F90" i="3"/>
  <c r="D91" i="3"/>
  <c r="I89" i="3"/>
  <c r="F90" i="4" s="1"/>
  <c r="U89" i="3"/>
  <c r="J90" i="4" s="1"/>
  <c r="O89" i="3"/>
  <c r="H90" i="4" s="1"/>
  <c r="L94" i="2"/>
  <c r="I93" i="2"/>
  <c r="F93" i="2" s="1"/>
  <c r="D95" i="2"/>
  <c r="A92" i="4"/>
  <c r="N91" i="3"/>
  <c r="C91" i="3"/>
  <c r="P91" i="3"/>
  <c r="E91" i="3"/>
  <c r="G91" i="3"/>
  <c r="S91" i="3"/>
  <c r="Y91" i="3" s="1"/>
  <c r="Z91" i="3" s="1"/>
  <c r="AA91" i="3" s="1"/>
  <c r="H91" i="3"/>
  <c r="T91" i="3"/>
  <c r="J91" i="3"/>
  <c r="M91" i="3"/>
  <c r="V91" i="3"/>
  <c r="G91" i="4"/>
  <c r="L91" i="4" s="1"/>
  <c r="I91" i="4"/>
  <c r="M91" i="4" s="1"/>
  <c r="K91" i="4"/>
  <c r="N91" i="4" s="1"/>
  <c r="C91" i="4"/>
  <c r="AB90" i="3"/>
  <c r="E91" i="4" s="1"/>
  <c r="M95" i="2"/>
  <c r="J94" i="2"/>
  <c r="G94" i="2" s="1"/>
  <c r="V94" i="2" l="1"/>
  <c r="T93" i="2"/>
  <c r="D92" i="4"/>
  <c r="F91" i="3"/>
  <c r="D92" i="3"/>
  <c r="G92" i="4"/>
  <c r="L92" i="4" s="1"/>
  <c r="K92" i="4"/>
  <c r="N92" i="4" s="1"/>
  <c r="I92" i="4"/>
  <c r="M92" i="4" s="1"/>
  <c r="I90" i="3"/>
  <c r="F91" i="4" s="1"/>
  <c r="U90" i="3"/>
  <c r="J91" i="4" s="1"/>
  <c r="O90" i="3"/>
  <c r="H91" i="4" s="1"/>
  <c r="C92" i="4"/>
  <c r="AB91" i="3"/>
  <c r="E92" i="4" s="1"/>
  <c r="K96" i="2"/>
  <c r="H95" i="2"/>
  <c r="M96" i="2"/>
  <c r="J95" i="2"/>
  <c r="G95" i="2"/>
  <c r="D96" i="2"/>
  <c r="E95" i="2"/>
  <c r="C98" i="2"/>
  <c r="A93" i="4"/>
  <c r="M92" i="3"/>
  <c r="N92" i="3"/>
  <c r="C92" i="3"/>
  <c r="P92" i="3"/>
  <c r="E92" i="3"/>
  <c r="V92" i="3"/>
  <c r="G92" i="3"/>
  <c r="H92" i="3"/>
  <c r="J92" i="3"/>
  <c r="S92" i="3"/>
  <c r="Y92" i="3" s="1"/>
  <c r="Z92" i="3" s="1"/>
  <c r="AA92" i="3" s="1"/>
  <c r="T92" i="3"/>
  <c r="L95" i="2"/>
  <c r="I94" i="2"/>
  <c r="F94" i="2" s="1"/>
  <c r="V95" i="2" l="1"/>
  <c r="T94" i="2"/>
  <c r="D93" i="4"/>
  <c r="D97" i="2"/>
  <c r="E96" i="2"/>
  <c r="J96" i="2"/>
  <c r="G96" i="2" s="1"/>
  <c r="M97" i="2"/>
  <c r="C93" i="4"/>
  <c r="AB92" i="3"/>
  <c r="E93" i="4" s="1"/>
  <c r="K93" i="4"/>
  <c r="N93" i="4" s="1"/>
  <c r="G93" i="4"/>
  <c r="L93" i="4" s="1"/>
  <c r="I93" i="4"/>
  <c r="M93" i="4" s="1"/>
  <c r="K97" i="2"/>
  <c r="H96" i="2"/>
  <c r="F92" i="3"/>
  <c r="D93" i="3"/>
  <c r="A94" i="4"/>
  <c r="H93" i="3"/>
  <c r="T93" i="3"/>
  <c r="J93" i="3"/>
  <c r="V93" i="3"/>
  <c r="M93" i="3"/>
  <c r="N93" i="3"/>
  <c r="S93" i="3"/>
  <c r="Y93" i="3" s="1"/>
  <c r="Z93" i="3" s="1"/>
  <c r="AA93" i="3" s="1"/>
  <c r="C93" i="3"/>
  <c r="E93" i="3"/>
  <c r="G93" i="3"/>
  <c r="P93" i="3"/>
  <c r="C99" i="2"/>
  <c r="O91" i="3"/>
  <c r="H92" i="4" s="1"/>
  <c r="I91" i="3"/>
  <c r="F92" i="4" s="1"/>
  <c r="U91" i="3"/>
  <c r="J92" i="4" s="1"/>
  <c r="L96" i="2"/>
  <c r="I95" i="2"/>
  <c r="F95" i="2" s="1"/>
  <c r="V96" i="2" l="1"/>
  <c r="T95" i="2"/>
  <c r="D94" i="4"/>
  <c r="C100" i="2"/>
  <c r="I94" i="4"/>
  <c r="M94" i="4" s="1"/>
  <c r="K94" i="4"/>
  <c r="N94" i="4" s="1"/>
  <c r="G94" i="4"/>
  <c r="L94" i="4" s="1"/>
  <c r="F93" i="3"/>
  <c r="D94" i="3"/>
  <c r="M98" i="2"/>
  <c r="J97" i="2"/>
  <c r="G97" i="2" s="1"/>
  <c r="O92" i="3"/>
  <c r="H93" i="4" s="1"/>
  <c r="U92" i="3"/>
  <c r="J93" i="4" s="1"/>
  <c r="I92" i="3"/>
  <c r="F93" i="4" s="1"/>
  <c r="A95" i="4"/>
  <c r="E94" i="3"/>
  <c r="G94" i="3"/>
  <c r="S94" i="3"/>
  <c r="Y94" i="3" s="1"/>
  <c r="Z94" i="3" s="1"/>
  <c r="AA94" i="3" s="1"/>
  <c r="H94" i="3"/>
  <c r="T94" i="3"/>
  <c r="J94" i="3"/>
  <c r="V94" i="3"/>
  <c r="P94" i="3"/>
  <c r="C94" i="3"/>
  <c r="M94" i="3"/>
  <c r="N94" i="3"/>
  <c r="K98" i="2"/>
  <c r="H97" i="2"/>
  <c r="E97" i="2" s="1"/>
  <c r="C94" i="4"/>
  <c r="AB93" i="3"/>
  <c r="E94" i="4" s="1"/>
  <c r="D98" i="2"/>
  <c r="I96" i="2"/>
  <c r="F96" i="2" s="1"/>
  <c r="L97" i="2"/>
  <c r="V97" i="2" l="1"/>
  <c r="T96" i="2"/>
  <c r="D95" i="4"/>
  <c r="A96" i="4"/>
  <c r="N95" i="3"/>
  <c r="C95" i="3"/>
  <c r="P95" i="3"/>
  <c r="E95" i="3"/>
  <c r="G95" i="3"/>
  <c r="S95" i="3"/>
  <c r="Y95" i="3" s="1"/>
  <c r="Z95" i="3" s="1"/>
  <c r="AA95" i="3" s="1"/>
  <c r="H95" i="3"/>
  <c r="T95" i="3"/>
  <c r="M95" i="3"/>
  <c r="V95" i="3"/>
  <c r="J95" i="3"/>
  <c r="G95" i="4"/>
  <c r="L95" i="4" s="1"/>
  <c r="I95" i="4"/>
  <c r="M95" i="4" s="1"/>
  <c r="K95" i="4"/>
  <c r="N95" i="4" s="1"/>
  <c r="C101" i="2"/>
  <c r="C95" i="4"/>
  <c r="AB94" i="3"/>
  <c r="E95" i="4" s="1"/>
  <c r="I93" i="3"/>
  <c r="F94" i="4" s="1"/>
  <c r="U93" i="3"/>
  <c r="J94" i="4" s="1"/>
  <c r="O93" i="3"/>
  <c r="H94" i="4" s="1"/>
  <c r="D99" i="2"/>
  <c r="M99" i="2"/>
  <c r="J98" i="2"/>
  <c r="G98" i="2" s="1"/>
  <c r="H98" i="2"/>
  <c r="E98" i="2" s="1"/>
  <c r="K99" i="2"/>
  <c r="L98" i="2"/>
  <c r="I97" i="2"/>
  <c r="F97" i="2" s="1"/>
  <c r="F94" i="3"/>
  <c r="D95" i="3"/>
  <c r="V98" i="2" l="1"/>
  <c r="T97" i="2"/>
  <c r="D96" i="4"/>
  <c r="A97" i="4"/>
  <c r="M96" i="3"/>
  <c r="N96" i="3"/>
  <c r="C96" i="3"/>
  <c r="P96" i="3"/>
  <c r="E96" i="3"/>
  <c r="J96" i="3"/>
  <c r="S96" i="3"/>
  <c r="Y96" i="3" s="1"/>
  <c r="Z96" i="3" s="1"/>
  <c r="AA96" i="3" s="1"/>
  <c r="T96" i="3"/>
  <c r="G96" i="3"/>
  <c r="H96" i="3"/>
  <c r="V96" i="3"/>
  <c r="M100" i="2"/>
  <c r="J99" i="2"/>
  <c r="G99" i="2" s="1"/>
  <c r="F95" i="3"/>
  <c r="D96" i="3"/>
  <c r="G96" i="4"/>
  <c r="L96" i="4" s="1"/>
  <c r="I96" i="4"/>
  <c r="M96" i="4" s="1"/>
  <c r="K96" i="4"/>
  <c r="N96" i="4" s="1"/>
  <c r="C102" i="2"/>
  <c r="D100" i="2"/>
  <c r="I94" i="3"/>
  <c r="F95" i="4" s="1"/>
  <c r="U94" i="3"/>
  <c r="J95" i="4" s="1"/>
  <c r="O94" i="3"/>
  <c r="H95" i="4" s="1"/>
  <c r="L99" i="2"/>
  <c r="I98" i="2"/>
  <c r="F98" i="2" s="1"/>
  <c r="K100" i="2"/>
  <c r="H99" i="2"/>
  <c r="E99" i="2" s="1"/>
  <c r="C96" i="4"/>
  <c r="AB95" i="3"/>
  <c r="E96" i="4" s="1"/>
  <c r="V99" i="2" l="1"/>
  <c r="T98" i="2"/>
  <c r="D97" i="4"/>
  <c r="A98" i="4"/>
  <c r="H97" i="3"/>
  <c r="T97" i="3"/>
  <c r="J97" i="3"/>
  <c r="V97" i="3"/>
  <c r="M97" i="3"/>
  <c r="N97" i="3"/>
  <c r="G97" i="3"/>
  <c r="P97" i="3"/>
  <c r="C97" i="3"/>
  <c r="E97" i="3"/>
  <c r="S97" i="3"/>
  <c r="Y97" i="3" s="1"/>
  <c r="Z97" i="3" s="1"/>
  <c r="AA97" i="3" s="1"/>
  <c r="O95" i="3"/>
  <c r="H96" i="4" s="1"/>
  <c r="U95" i="3"/>
  <c r="J96" i="4" s="1"/>
  <c r="I95" i="3"/>
  <c r="F96" i="4" s="1"/>
  <c r="D97" i="3"/>
  <c r="F96" i="3"/>
  <c r="M101" i="2"/>
  <c r="J100" i="2"/>
  <c r="G100" i="2" s="1"/>
  <c r="C97" i="4"/>
  <c r="AB96" i="3"/>
  <c r="E97" i="4" s="1"/>
  <c r="D101" i="2"/>
  <c r="K101" i="2"/>
  <c r="H100" i="2"/>
  <c r="E100" i="2" s="1"/>
  <c r="G97" i="4"/>
  <c r="L97" i="4" s="1"/>
  <c r="I97" i="4"/>
  <c r="M97" i="4" s="1"/>
  <c r="K97" i="4"/>
  <c r="N97" i="4" s="1"/>
  <c r="C103" i="2"/>
  <c r="L100" i="2"/>
  <c r="I99" i="2"/>
  <c r="F99" i="2" s="1"/>
  <c r="V100" i="2" l="1"/>
  <c r="T99" i="2"/>
  <c r="D98" i="4"/>
  <c r="C98" i="4"/>
  <c r="AB97" i="3"/>
  <c r="E98" i="4" s="1"/>
  <c r="J101" i="2"/>
  <c r="G101" i="2" s="1"/>
  <c r="M102" i="2"/>
  <c r="F97" i="3"/>
  <c r="D98" i="3"/>
  <c r="K102" i="2"/>
  <c r="H101" i="2"/>
  <c r="E101" i="2" s="1"/>
  <c r="G98" i="4"/>
  <c r="L98" i="4" s="1"/>
  <c r="I98" i="4"/>
  <c r="M98" i="4" s="1"/>
  <c r="K98" i="4"/>
  <c r="N98" i="4" s="1"/>
  <c r="D102" i="2"/>
  <c r="O96" i="3"/>
  <c r="H97" i="4" s="1"/>
  <c r="U96" i="3"/>
  <c r="J97" i="4" s="1"/>
  <c r="I96" i="3"/>
  <c r="F97" i="4" s="1"/>
  <c r="L101" i="2"/>
  <c r="I100" i="2"/>
  <c r="F100" i="2" s="1"/>
  <c r="C104" i="2"/>
  <c r="A99" i="4"/>
  <c r="E98" i="3"/>
  <c r="G98" i="3"/>
  <c r="S98" i="3"/>
  <c r="Y98" i="3" s="1"/>
  <c r="Z98" i="3" s="1"/>
  <c r="AA98" i="3" s="1"/>
  <c r="H98" i="3"/>
  <c r="T98" i="3"/>
  <c r="J98" i="3"/>
  <c r="V98" i="3"/>
  <c r="C98" i="3"/>
  <c r="M98" i="3"/>
  <c r="N98" i="3"/>
  <c r="P98" i="3"/>
  <c r="V101" i="2" l="1"/>
  <c r="T100" i="2"/>
  <c r="D99" i="4"/>
  <c r="K103" i="2"/>
  <c r="H102" i="2"/>
  <c r="F98" i="3"/>
  <c r="D99" i="3"/>
  <c r="A100" i="4"/>
  <c r="N99" i="3"/>
  <c r="C99" i="3"/>
  <c r="P99" i="3"/>
  <c r="E99" i="3"/>
  <c r="G99" i="3"/>
  <c r="S99" i="3"/>
  <c r="Y99" i="3" s="1"/>
  <c r="Z99" i="3" s="1"/>
  <c r="AA99" i="3" s="1"/>
  <c r="H99" i="3"/>
  <c r="T99" i="3"/>
  <c r="J99" i="3"/>
  <c r="M99" i="3"/>
  <c r="V99" i="3"/>
  <c r="I97" i="3"/>
  <c r="F98" i="4" s="1"/>
  <c r="U97" i="3"/>
  <c r="J98" i="4" s="1"/>
  <c r="O97" i="3"/>
  <c r="H98" i="4" s="1"/>
  <c r="K99" i="4"/>
  <c r="N99" i="4" s="1"/>
  <c r="G99" i="4"/>
  <c r="L99" i="4" s="1"/>
  <c r="I99" i="4"/>
  <c r="M99" i="4" s="1"/>
  <c r="M103" i="2"/>
  <c r="J102" i="2"/>
  <c r="G102" i="2"/>
  <c r="D103" i="2"/>
  <c r="E102" i="2"/>
  <c r="C99" i="4"/>
  <c r="AB98" i="3"/>
  <c r="E99" i="4" s="1"/>
  <c r="C105" i="2"/>
  <c r="L102" i="2"/>
  <c r="I101" i="2"/>
  <c r="F101" i="2" s="1"/>
  <c r="V102" i="2" l="1"/>
  <c r="T101" i="2"/>
  <c r="D100" i="4"/>
  <c r="D104" i="2"/>
  <c r="I100" i="4"/>
  <c r="M100" i="4" s="1"/>
  <c r="K100" i="4"/>
  <c r="N100" i="4" s="1"/>
  <c r="G100" i="4"/>
  <c r="L100" i="4" s="1"/>
  <c r="C100" i="4"/>
  <c r="AB99" i="3"/>
  <c r="E100" i="4" s="1"/>
  <c r="F99" i="3"/>
  <c r="D100" i="3"/>
  <c r="L103" i="2"/>
  <c r="I102" i="2"/>
  <c r="F102" i="2" s="1"/>
  <c r="M104" i="2"/>
  <c r="J103" i="2"/>
  <c r="G103" i="2" s="1"/>
  <c r="I98" i="3"/>
  <c r="F99" i="4" s="1"/>
  <c r="U98" i="3"/>
  <c r="J99" i="4" s="1"/>
  <c r="O98" i="3"/>
  <c r="H99" i="4" s="1"/>
  <c r="C106" i="2"/>
  <c r="H103" i="2"/>
  <c r="E103" i="2" s="1"/>
  <c r="K104" i="2"/>
  <c r="A101" i="4"/>
  <c r="M100" i="3"/>
  <c r="N100" i="3"/>
  <c r="C100" i="3"/>
  <c r="P100" i="3"/>
  <c r="E100" i="3"/>
  <c r="V100" i="3"/>
  <c r="G100" i="3"/>
  <c r="H100" i="3"/>
  <c r="J100" i="3"/>
  <c r="S100" i="3"/>
  <c r="Y100" i="3" s="1"/>
  <c r="Z100" i="3" s="1"/>
  <c r="AA100" i="3" s="1"/>
  <c r="T100" i="3"/>
  <c r="V103" i="2" l="1"/>
  <c r="T102" i="2"/>
  <c r="D101" i="4"/>
  <c r="C101" i="4"/>
  <c r="AB100" i="3"/>
  <c r="E101" i="4" s="1"/>
  <c r="M105" i="2"/>
  <c r="J104" i="2"/>
  <c r="I103" i="2"/>
  <c r="F103" i="2" s="1"/>
  <c r="L104" i="2"/>
  <c r="K105" i="2"/>
  <c r="H104" i="2"/>
  <c r="E104" i="2" s="1"/>
  <c r="F100" i="3"/>
  <c r="D101" i="3"/>
  <c r="G101" i="4"/>
  <c r="L101" i="4" s="1"/>
  <c r="I101" i="4"/>
  <c r="M101" i="4" s="1"/>
  <c r="K101" i="4"/>
  <c r="N101" i="4" s="1"/>
  <c r="O99" i="3"/>
  <c r="H100" i="4" s="1"/>
  <c r="I99" i="3"/>
  <c r="F100" i="4" s="1"/>
  <c r="U99" i="3"/>
  <c r="J100" i="4" s="1"/>
  <c r="A102" i="4"/>
  <c r="H101" i="3"/>
  <c r="T101" i="3"/>
  <c r="J101" i="3"/>
  <c r="V101" i="3"/>
  <c r="M101" i="3"/>
  <c r="N101" i="3"/>
  <c r="S101" i="3"/>
  <c r="Y101" i="3" s="1"/>
  <c r="Z101" i="3" s="1"/>
  <c r="AA101" i="3" s="1"/>
  <c r="C101" i="3"/>
  <c r="E101" i="3"/>
  <c r="G101" i="3"/>
  <c r="P101" i="3"/>
  <c r="G104" i="2"/>
  <c r="D105" i="2"/>
  <c r="C107" i="2"/>
  <c r="V104" i="2" l="1"/>
  <c r="T103" i="2"/>
  <c r="D102" i="4"/>
  <c r="O100" i="3"/>
  <c r="H101" i="4" s="1"/>
  <c r="U100" i="3"/>
  <c r="J101" i="4" s="1"/>
  <c r="I100" i="3"/>
  <c r="F101" i="4" s="1"/>
  <c r="F101" i="3"/>
  <c r="D102" i="3"/>
  <c r="G102" i="4"/>
  <c r="L102" i="4" s="1"/>
  <c r="I102" i="4"/>
  <c r="M102" i="4" s="1"/>
  <c r="K102" i="4"/>
  <c r="N102" i="4" s="1"/>
  <c r="K106" i="2"/>
  <c r="H105" i="2"/>
  <c r="L105" i="2"/>
  <c r="I104" i="2"/>
  <c r="F104" i="2" s="1"/>
  <c r="C108" i="2"/>
  <c r="M106" i="2"/>
  <c r="J105" i="2"/>
  <c r="G105" i="2" s="1"/>
  <c r="C102" i="4"/>
  <c r="AB101" i="3"/>
  <c r="E102" i="4" s="1"/>
  <c r="A103" i="4"/>
  <c r="E102" i="3"/>
  <c r="G102" i="3"/>
  <c r="S102" i="3"/>
  <c r="Y102" i="3" s="1"/>
  <c r="Z102" i="3" s="1"/>
  <c r="AA102" i="3" s="1"/>
  <c r="H102" i="3"/>
  <c r="T102" i="3"/>
  <c r="J102" i="3"/>
  <c r="V102" i="3"/>
  <c r="P102" i="3"/>
  <c r="C102" i="3"/>
  <c r="M102" i="3"/>
  <c r="N102" i="3"/>
  <c r="D106" i="2"/>
  <c r="E105" i="2"/>
  <c r="V105" i="2" l="1"/>
  <c r="T104" i="2"/>
  <c r="D103" i="4"/>
  <c r="M107" i="2"/>
  <c r="J106" i="2"/>
  <c r="C103" i="4"/>
  <c r="AB102" i="3"/>
  <c r="E103" i="4" s="1"/>
  <c r="F102" i="3"/>
  <c r="D103" i="3"/>
  <c r="I101" i="3"/>
  <c r="F102" i="4" s="1"/>
  <c r="U101" i="3"/>
  <c r="J102" i="4" s="1"/>
  <c r="O101" i="3"/>
  <c r="H102" i="4" s="1"/>
  <c r="L106" i="2"/>
  <c r="I105" i="2"/>
  <c r="F105" i="2" s="1"/>
  <c r="D107" i="2"/>
  <c r="G106" i="2"/>
  <c r="A104" i="4"/>
  <c r="N103" i="3"/>
  <c r="C103" i="3"/>
  <c r="P103" i="3"/>
  <c r="E103" i="3"/>
  <c r="G103" i="3"/>
  <c r="S103" i="3"/>
  <c r="Y103" i="3" s="1"/>
  <c r="Z103" i="3" s="1"/>
  <c r="AA103" i="3" s="1"/>
  <c r="M103" i="3"/>
  <c r="T103" i="3"/>
  <c r="H103" i="3"/>
  <c r="J103" i="3"/>
  <c r="V103" i="3"/>
  <c r="K107" i="2"/>
  <c r="H106" i="2"/>
  <c r="E106" i="2" s="1"/>
  <c r="C109" i="2"/>
  <c r="G103" i="4"/>
  <c r="L103" i="4" s="1"/>
  <c r="I103" i="4"/>
  <c r="M103" i="4" s="1"/>
  <c r="K103" i="4"/>
  <c r="N103" i="4" s="1"/>
  <c r="V106" i="2" l="1"/>
  <c r="T105" i="2"/>
  <c r="D104" i="4"/>
  <c r="L107" i="2"/>
  <c r="I106" i="2"/>
  <c r="F106" i="2" s="1"/>
  <c r="K108" i="2"/>
  <c r="H107" i="2"/>
  <c r="F103" i="3"/>
  <c r="D104" i="3"/>
  <c r="C110" i="2"/>
  <c r="G104" i="4"/>
  <c r="L104" i="4" s="1"/>
  <c r="I104" i="4"/>
  <c r="M104" i="4" s="1"/>
  <c r="K104" i="4"/>
  <c r="N104" i="4" s="1"/>
  <c r="I102" i="3"/>
  <c r="F103" i="4" s="1"/>
  <c r="U102" i="3"/>
  <c r="J103" i="4" s="1"/>
  <c r="O102" i="3"/>
  <c r="H103" i="4" s="1"/>
  <c r="A105" i="4"/>
  <c r="M104" i="3"/>
  <c r="N104" i="3"/>
  <c r="C104" i="3"/>
  <c r="P104" i="3"/>
  <c r="E104" i="3"/>
  <c r="V104" i="3"/>
  <c r="G104" i="3"/>
  <c r="H104" i="3"/>
  <c r="J104" i="3"/>
  <c r="S104" i="3"/>
  <c r="Y104" i="3" s="1"/>
  <c r="Z104" i="3" s="1"/>
  <c r="AA104" i="3" s="1"/>
  <c r="T104" i="3"/>
  <c r="C104" i="4"/>
  <c r="AB103" i="3"/>
  <c r="E104" i="4" s="1"/>
  <c r="M108" i="2"/>
  <c r="J107" i="2"/>
  <c r="G107" i="2"/>
  <c r="D108" i="2"/>
  <c r="E107" i="2"/>
  <c r="V107" i="2" l="1"/>
  <c r="T106" i="2"/>
  <c r="D105" i="4"/>
  <c r="C105" i="4"/>
  <c r="AB104" i="3"/>
  <c r="E105" i="4" s="1"/>
  <c r="K105" i="4"/>
  <c r="N105" i="4" s="1"/>
  <c r="G105" i="4"/>
  <c r="L105" i="4" s="1"/>
  <c r="I105" i="4"/>
  <c r="M105" i="4" s="1"/>
  <c r="F104" i="3"/>
  <c r="D105" i="3"/>
  <c r="O103" i="3"/>
  <c r="H104" i="4" s="1"/>
  <c r="U103" i="3"/>
  <c r="J104" i="4" s="1"/>
  <c r="I103" i="3"/>
  <c r="F104" i="4" s="1"/>
  <c r="A106" i="4"/>
  <c r="H105" i="3"/>
  <c r="T105" i="3"/>
  <c r="J105" i="3"/>
  <c r="V105" i="3"/>
  <c r="M105" i="3"/>
  <c r="N105" i="3"/>
  <c r="P105" i="3"/>
  <c r="C105" i="3"/>
  <c r="S105" i="3"/>
  <c r="Y105" i="3" s="1"/>
  <c r="Z105" i="3" s="1"/>
  <c r="AA105" i="3" s="1"/>
  <c r="G105" i="3"/>
  <c r="E105" i="3"/>
  <c r="K109" i="2"/>
  <c r="H108" i="2"/>
  <c r="E108" i="2" s="1"/>
  <c r="J108" i="2"/>
  <c r="G108" i="2" s="1"/>
  <c r="M109" i="2"/>
  <c r="L108" i="2"/>
  <c r="I107" i="2"/>
  <c r="F107" i="2" s="1"/>
  <c r="C111" i="2"/>
  <c r="D109" i="2"/>
  <c r="V108" i="2" l="1"/>
  <c r="T107" i="2"/>
  <c r="D106" i="4"/>
  <c r="D106" i="3"/>
  <c r="F105" i="3"/>
  <c r="O104" i="3"/>
  <c r="H105" i="4" s="1"/>
  <c r="U104" i="3"/>
  <c r="J105" i="4" s="1"/>
  <c r="I104" i="3"/>
  <c r="F105" i="4" s="1"/>
  <c r="M110" i="2"/>
  <c r="J109" i="2"/>
  <c r="G109" i="2" s="1"/>
  <c r="I106" i="4"/>
  <c r="M106" i="4" s="1"/>
  <c r="K106" i="4"/>
  <c r="N106" i="4" s="1"/>
  <c r="G106" i="4"/>
  <c r="L106" i="4" s="1"/>
  <c r="I108" i="2"/>
  <c r="F108" i="2" s="1"/>
  <c r="L109" i="2"/>
  <c r="K110" i="2"/>
  <c r="H109" i="2"/>
  <c r="E109" i="2" s="1"/>
  <c r="A107" i="4"/>
  <c r="E106" i="3"/>
  <c r="G106" i="3"/>
  <c r="S106" i="3"/>
  <c r="Y106" i="3" s="1"/>
  <c r="Z106" i="3" s="1"/>
  <c r="AA106" i="3" s="1"/>
  <c r="H106" i="3"/>
  <c r="T106" i="3"/>
  <c r="J106" i="3"/>
  <c r="V106" i="3"/>
  <c r="C106" i="3"/>
  <c r="M106" i="3"/>
  <c r="N106" i="3"/>
  <c r="P106" i="3"/>
  <c r="C112" i="2"/>
  <c r="D110" i="2"/>
  <c r="C106" i="4"/>
  <c r="AB105" i="3"/>
  <c r="E106" i="4" s="1"/>
  <c r="V109" i="2" l="1"/>
  <c r="T108" i="2"/>
  <c r="D107" i="4"/>
  <c r="A108" i="4"/>
  <c r="N107" i="3"/>
  <c r="P107" i="3"/>
  <c r="E107" i="3"/>
  <c r="G107" i="3"/>
  <c r="S107" i="3"/>
  <c r="Y107" i="3" s="1"/>
  <c r="Z107" i="3" s="1"/>
  <c r="AA107" i="3" s="1"/>
  <c r="T107" i="3"/>
  <c r="V107" i="3"/>
  <c r="C107" i="3"/>
  <c r="H107" i="3"/>
  <c r="J107" i="3"/>
  <c r="M107" i="3"/>
  <c r="G107" i="4"/>
  <c r="L107" i="4" s="1"/>
  <c r="I107" i="4"/>
  <c r="M107" i="4" s="1"/>
  <c r="K107" i="4"/>
  <c r="N107" i="4" s="1"/>
  <c r="M111" i="2"/>
  <c r="J110" i="2"/>
  <c r="G110" i="2" s="1"/>
  <c r="H110" i="2"/>
  <c r="E110" i="2" s="1"/>
  <c r="K111" i="2"/>
  <c r="O105" i="3"/>
  <c r="H106" i="4" s="1"/>
  <c r="U105" i="3"/>
  <c r="J106" i="4" s="1"/>
  <c r="I105" i="3"/>
  <c r="F106" i="4" s="1"/>
  <c r="C107" i="4"/>
  <c r="AB106" i="3"/>
  <c r="E107" i="4" s="1"/>
  <c r="L110" i="2"/>
  <c r="I109" i="2"/>
  <c r="F109" i="2" s="1"/>
  <c r="D107" i="3"/>
  <c r="F106" i="3"/>
  <c r="C113" i="2"/>
  <c r="D111" i="2"/>
  <c r="V110" i="2" l="1"/>
  <c r="T109" i="2"/>
  <c r="D108" i="4"/>
  <c r="M112" i="2"/>
  <c r="J111" i="2"/>
  <c r="A109" i="4"/>
  <c r="M108" i="3"/>
  <c r="N108" i="3"/>
  <c r="C108" i="3"/>
  <c r="P108" i="3"/>
  <c r="H108" i="3"/>
  <c r="J108" i="3"/>
  <c r="E108" i="3"/>
  <c r="S108" i="3"/>
  <c r="Y108" i="3" s="1"/>
  <c r="Z108" i="3" s="1"/>
  <c r="AA108" i="3" s="1"/>
  <c r="T108" i="3"/>
  <c r="V108" i="3"/>
  <c r="G108" i="3"/>
  <c r="F107" i="3"/>
  <c r="D108" i="3"/>
  <c r="I106" i="3"/>
  <c r="F107" i="4" s="1"/>
  <c r="U106" i="3"/>
  <c r="J107" i="4" s="1"/>
  <c r="O106" i="3"/>
  <c r="H107" i="4" s="1"/>
  <c r="L111" i="2"/>
  <c r="I110" i="2"/>
  <c r="F110" i="2" s="1"/>
  <c r="C108" i="4"/>
  <c r="AB107" i="3"/>
  <c r="E108" i="4" s="1"/>
  <c r="G108" i="4"/>
  <c r="L108" i="4" s="1"/>
  <c r="I108" i="4"/>
  <c r="M108" i="4" s="1"/>
  <c r="K108" i="4"/>
  <c r="N108" i="4" s="1"/>
  <c r="G111" i="2"/>
  <c r="D112" i="2"/>
  <c r="E111" i="2"/>
  <c r="C114" i="2"/>
  <c r="K112" i="2"/>
  <c r="H111" i="2"/>
  <c r="V111" i="2" l="1"/>
  <c r="T110" i="2"/>
  <c r="D109" i="4"/>
  <c r="A110" i="4"/>
  <c r="H109" i="3"/>
  <c r="T109" i="3"/>
  <c r="J109" i="3"/>
  <c r="V109" i="3"/>
  <c r="M109" i="3"/>
  <c r="C109" i="3"/>
  <c r="S109" i="3"/>
  <c r="Y109" i="3" s="1"/>
  <c r="Z109" i="3" s="1"/>
  <c r="AA109" i="3" s="1"/>
  <c r="E109" i="3"/>
  <c r="G109" i="3"/>
  <c r="N109" i="3"/>
  <c r="P109" i="3"/>
  <c r="D113" i="2"/>
  <c r="D109" i="3"/>
  <c r="F108" i="3"/>
  <c r="O107" i="3"/>
  <c r="H108" i="4" s="1"/>
  <c r="U107" i="3"/>
  <c r="J108" i="4" s="1"/>
  <c r="I107" i="3"/>
  <c r="F108" i="4" s="1"/>
  <c r="C109" i="4"/>
  <c r="AB108" i="3"/>
  <c r="E109" i="4" s="1"/>
  <c r="G109" i="4"/>
  <c r="L109" i="4" s="1"/>
  <c r="I109" i="4"/>
  <c r="M109" i="4" s="1"/>
  <c r="K109" i="4"/>
  <c r="N109" i="4" s="1"/>
  <c r="M113" i="2"/>
  <c r="J112" i="2"/>
  <c r="G112" i="2" s="1"/>
  <c r="L112" i="2"/>
  <c r="I111" i="2"/>
  <c r="F111" i="2" s="1"/>
  <c r="K113" i="2"/>
  <c r="H112" i="2"/>
  <c r="E112" i="2" s="1"/>
  <c r="C115" i="2"/>
  <c r="V112" i="2" l="1"/>
  <c r="T111" i="2"/>
  <c r="D110" i="4"/>
  <c r="C110" i="4"/>
  <c r="AB109" i="3"/>
  <c r="E110" i="4" s="1"/>
  <c r="L113" i="2"/>
  <c r="I112" i="2"/>
  <c r="F112" i="2" s="1"/>
  <c r="D114" i="2"/>
  <c r="G113" i="2"/>
  <c r="O108" i="3"/>
  <c r="H109" i="4" s="1"/>
  <c r="I108" i="3"/>
  <c r="F109" i="4" s="1"/>
  <c r="U108" i="3"/>
  <c r="J109" i="4" s="1"/>
  <c r="J113" i="2"/>
  <c r="M114" i="2"/>
  <c r="F109" i="3"/>
  <c r="D110" i="3"/>
  <c r="C116" i="2"/>
  <c r="G110" i="4"/>
  <c r="L110" i="4" s="1"/>
  <c r="I110" i="4"/>
  <c r="M110" i="4" s="1"/>
  <c r="K110" i="4"/>
  <c r="N110" i="4" s="1"/>
  <c r="K114" i="2"/>
  <c r="H113" i="2"/>
  <c r="E113" i="2" s="1"/>
  <c r="A111" i="4"/>
  <c r="E110" i="3"/>
  <c r="G110" i="3"/>
  <c r="S110" i="3"/>
  <c r="Y110" i="3" s="1"/>
  <c r="Z110" i="3" s="1"/>
  <c r="AA110" i="3" s="1"/>
  <c r="H110" i="3"/>
  <c r="T110" i="3"/>
  <c r="J110" i="3"/>
  <c r="V110" i="3"/>
  <c r="M110" i="3"/>
  <c r="N110" i="3"/>
  <c r="P110" i="3"/>
  <c r="C110" i="3"/>
  <c r="V113" i="2" l="1"/>
  <c r="T112" i="2"/>
  <c r="D111" i="4"/>
  <c r="A112" i="4"/>
  <c r="N111" i="3"/>
  <c r="P111" i="3"/>
  <c r="E111" i="3"/>
  <c r="G111" i="3"/>
  <c r="S111" i="3"/>
  <c r="Y111" i="3" s="1"/>
  <c r="Z111" i="3" s="1"/>
  <c r="AA111" i="3" s="1"/>
  <c r="V111" i="3"/>
  <c r="C111" i="3"/>
  <c r="H111" i="3"/>
  <c r="J111" i="3"/>
  <c r="T111" i="3"/>
  <c r="M111" i="3"/>
  <c r="C117" i="2"/>
  <c r="D115" i="2"/>
  <c r="E114" i="2"/>
  <c r="K111" i="4"/>
  <c r="N111" i="4" s="1"/>
  <c r="G111" i="4"/>
  <c r="L111" i="4" s="1"/>
  <c r="I111" i="4"/>
  <c r="M111" i="4" s="1"/>
  <c r="D111" i="3"/>
  <c r="F110" i="3"/>
  <c r="U109" i="3"/>
  <c r="J110" i="4" s="1"/>
  <c r="I109" i="3"/>
  <c r="F110" i="4" s="1"/>
  <c r="O109" i="3"/>
  <c r="H110" i="4" s="1"/>
  <c r="L114" i="2"/>
  <c r="I113" i="2"/>
  <c r="F113" i="2" s="1"/>
  <c r="M115" i="2"/>
  <c r="J114" i="2"/>
  <c r="G114" i="2" s="1"/>
  <c r="C111" i="4"/>
  <c r="AB110" i="3"/>
  <c r="E111" i="4" s="1"/>
  <c r="K115" i="2"/>
  <c r="H114" i="2"/>
  <c r="V114" i="2" l="1"/>
  <c r="T113" i="2"/>
  <c r="D112" i="4"/>
  <c r="L115" i="2"/>
  <c r="I114" i="2"/>
  <c r="F114" i="2" s="1"/>
  <c r="I110" i="3"/>
  <c r="F111" i="4" s="1"/>
  <c r="U110" i="3"/>
  <c r="J111" i="4" s="1"/>
  <c r="O110" i="3"/>
  <c r="H111" i="4" s="1"/>
  <c r="A113" i="4"/>
  <c r="M112" i="3"/>
  <c r="N112" i="3"/>
  <c r="C112" i="3"/>
  <c r="P112" i="3"/>
  <c r="S112" i="3"/>
  <c r="Y112" i="3" s="1"/>
  <c r="Z112" i="3" s="1"/>
  <c r="AA112" i="3" s="1"/>
  <c r="T112" i="3"/>
  <c r="E112" i="3"/>
  <c r="H112" i="3"/>
  <c r="G112" i="3"/>
  <c r="J112" i="3"/>
  <c r="V112" i="3"/>
  <c r="D116" i="2"/>
  <c r="G115" i="2"/>
  <c r="F111" i="3"/>
  <c r="D112" i="3"/>
  <c r="C118" i="2"/>
  <c r="H115" i="2"/>
  <c r="E115" i="2" s="1"/>
  <c r="K116" i="2"/>
  <c r="C112" i="4"/>
  <c r="AB111" i="3"/>
  <c r="E112" i="4" s="1"/>
  <c r="I112" i="4"/>
  <c r="M112" i="4" s="1"/>
  <c r="K112" i="4"/>
  <c r="N112" i="4" s="1"/>
  <c r="G112" i="4"/>
  <c r="L112" i="4" s="1"/>
  <c r="M116" i="2"/>
  <c r="J115" i="2"/>
  <c r="V115" i="2" l="1"/>
  <c r="T114" i="2"/>
  <c r="D113" i="4"/>
  <c r="C113" i="4"/>
  <c r="AB112" i="3"/>
  <c r="E113" i="4" s="1"/>
  <c r="D117" i="2"/>
  <c r="K117" i="2"/>
  <c r="H116" i="2"/>
  <c r="E116" i="2" s="1"/>
  <c r="A114" i="4"/>
  <c r="H113" i="3"/>
  <c r="T113" i="3"/>
  <c r="J113" i="3"/>
  <c r="V113" i="3"/>
  <c r="M113" i="3"/>
  <c r="E113" i="3"/>
  <c r="G113" i="3"/>
  <c r="N113" i="3"/>
  <c r="C113" i="3"/>
  <c r="P113" i="3"/>
  <c r="S113" i="3"/>
  <c r="Y113" i="3" s="1"/>
  <c r="Z113" i="3" s="1"/>
  <c r="AA113" i="3" s="1"/>
  <c r="G113" i="4"/>
  <c r="L113" i="4" s="1"/>
  <c r="I113" i="4"/>
  <c r="M113" i="4" s="1"/>
  <c r="K113" i="4"/>
  <c r="N113" i="4" s="1"/>
  <c r="M117" i="2"/>
  <c r="J116" i="2"/>
  <c r="G116" i="2" s="1"/>
  <c r="C119" i="2"/>
  <c r="D113" i="3"/>
  <c r="F112" i="3"/>
  <c r="I115" i="2"/>
  <c r="F115" i="2" s="1"/>
  <c r="L116" i="2"/>
  <c r="U111" i="3"/>
  <c r="J112" i="4" s="1"/>
  <c r="I111" i="3"/>
  <c r="F112" i="4" s="1"/>
  <c r="O111" i="3"/>
  <c r="H112" i="4" s="1"/>
  <c r="V116" i="2" l="1"/>
  <c r="T115" i="2"/>
  <c r="D114" i="4"/>
  <c r="K118" i="2"/>
  <c r="H117" i="2"/>
  <c r="A115" i="4"/>
  <c r="E114" i="3"/>
  <c r="G114" i="3"/>
  <c r="S114" i="3"/>
  <c r="Y114" i="3" s="1"/>
  <c r="Z114" i="3" s="1"/>
  <c r="AA114" i="3" s="1"/>
  <c r="H114" i="3"/>
  <c r="T114" i="3"/>
  <c r="J114" i="3"/>
  <c r="V114" i="3"/>
  <c r="N114" i="3"/>
  <c r="P114" i="3"/>
  <c r="C114" i="3"/>
  <c r="M114" i="3"/>
  <c r="M118" i="2"/>
  <c r="J117" i="2"/>
  <c r="G117" i="2" s="1"/>
  <c r="D118" i="2"/>
  <c r="E117" i="2"/>
  <c r="F113" i="3"/>
  <c r="D114" i="3"/>
  <c r="C120" i="2"/>
  <c r="C114" i="4"/>
  <c r="AB113" i="3"/>
  <c r="E114" i="4" s="1"/>
  <c r="G114" i="4"/>
  <c r="L114" i="4" s="1"/>
  <c r="I114" i="4"/>
  <c r="M114" i="4" s="1"/>
  <c r="K114" i="4"/>
  <c r="N114" i="4" s="1"/>
  <c r="L117" i="2"/>
  <c r="I116" i="2"/>
  <c r="F116" i="2" s="1"/>
  <c r="O112" i="3"/>
  <c r="H113" i="4" s="1"/>
  <c r="U112" i="3"/>
  <c r="J113" i="4" s="1"/>
  <c r="I112" i="3"/>
  <c r="F113" i="4" s="1"/>
  <c r="V117" i="2" l="1"/>
  <c r="T116" i="2"/>
  <c r="D115" i="4"/>
  <c r="A116" i="4"/>
  <c r="N115" i="3"/>
  <c r="P115" i="3"/>
  <c r="E115" i="3"/>
  <c r="G115" i="3"/>
  <c r="S115" i="3"/>
  <c r="Y115" i="3" s="1"/>
  <c r="Z115" i="3" s="1"/>
  <c r="AA115" i="3" s="1"/>
  <c r="H115" i="3"/>
  <c r="J115" i="3"/>
  <c r="M115" i="3"/>
  <c r="C115" i="3"/>
  <c r="T115" i="3"/>
  <c r="V115" i="3"/>
  <c r="M119" i="2"/>
  <c r="J118" i="2"/>
  <c r="G118" i="2" s="1"/>
  <c r="D119" i="2"/>
  <c r="E118" i="2"/>
  <c r="C115" i="4"/>
  <c r="AB114" i="3"/>
  <c r="E115" i="4" s="1"/>
  <c r="G115" i="4"/>
  <c r="L115" i="4" s="1"/>
  <c r="I115" i="4"/>
  <c r="M115" i="4" s="1"/>
  <c r="K115" i="4"/>
  <c r="N115" i="4" s="1"/>
  <c r="K119" i="2"/>
  <c r="H118" i="2"/>
  <c r="C121" i="2"/>
  <c r="L118" i="2"/>
  <c r="I117" i="2"/>
  <c r="F117" i="2" s="1"/>
  <c r="D115" i="3"/>
  <c r="F114" i="3"/>
  <c r="U113" i="3"/>
  <c r="J114" i="4" s="1"/>
  <c r="I113" i="3"/>
  <c r="F114" i="4" s="1"/>
  <c r="O113" i="3"/>
  <c r="H114" i="4" s="1"/>
  <c r="V118" i="2" l="1"/>
  <c r="T117" i="2"/>
  <c r="D116" i="4"/>
  <c r="C116" i="4"/>
  <c r="AB115" i="3"/>
  <c r="E116" i="4" s="1"/>
  <c r="A117" i="4"/>
  <c r="M116" i="3"/>
  <c r="C116" i="3"/>
  <c r="P116" i="3"/>
  <c r="N116" i="3"/>
  <c r="S116" i="3"/>
  <c r="Y116" i="3" s="1"/>
  <c r="Z116" i="3" s="1"/>
  <c r="AA116" i="3" s="1"/>
  <c r="E116" i="3"/>
  <c r="T116" i="3"/>
  <c r="G116" i="3"/>
  <c r="V116" i="3"/>
  <c r="J116" i="3"/>
  <c r="H116" i="3"/>
  <c r="C122" i="2"/>
  <c r="K120" i="2"/>
  <c r="H119" i="2"/>
  <c r="E119" i="2" s="1"/>
  <c r="G119" i="2"/>
  <c r="D120" i="2"/>
  <c r="M120" i="2"/>
  <c r="J119" i="2"/>
  <c r="G116" i="4"/>
  <c r="L116" i="4" s="1"/>
  <c r="I116" i="4"/>
  <c r="M116" i="4" s="1"/>
  <c r="K116" i="4"/>
  <c r="N116" i="4" s="1"/>
  <c r="L119" i="2"/>
  <c r="I118" i="2"/>
  <c r="F118" i="2" s="1"/>
  <c r="I114" i="3"/>
  <c r="F115" i="4" s="1"/>
  <c r="U114" i="3"/>
  <c r="J115" i="4" s="1"/>
  <c r="O114" i="3"/>
  <c r="H115" i="4" s="1"/>
  <c r="F115" i="3"/>
  <c r="D116" i="3"/>
  <c r="V119" i="2" l="1"/>
  <c r="T118" i="2"/>
  <c r="D117" i="4"/>
  <c r="K121" i="2"/>
  <c r="H120" i="2"/>
  <c r="C123" i="2"/>
  <c r="C117" i="4"/>
  <c r="AB116" i="3"/>
  <c r="E117" i="4" s="1"/>
  <c r="D117" i="3"/>
  <c r="F116" i="3"/>
  <c r="I115" i="3"/>
  <c r="F116" i="4" s="1"/>
  <c r="O115" i="3"/>
  <c r="H116" i="4" s="1"/>
  <c r="U115" i="3"/>
  <c r="J116" i="4" s="1"/>
  <c r="A118" i="4"/>
  <c r="H117" i="3"/>
  <c r="T117" i="3"/>
  <c r="J117" i="3"/>
  <c r="V117" i="3"/>
  <c r="M117" i="3"/>
  <c r="E117" i="3"/>
  <c r="G117" i="3"/>
  <c r="N117" i="3"/>
  <c r="S117" i="3"/>
  <c r="Y117" i="3" s="1"/>
  <c r="Z117" i="3" s="1"/>
  <c r="AA117" i="3" s="1"/>
  <c r="C117" i="3"/>
  <c r="P117" i="3"/>
  <c r="K117" i="4"/>
  <c r="N117" i="4" s="1"/>
  <c r="G117" i="4"/>
  <c r="L117" i="4" s="1"/>
  <c r="I117" i="4"/>
  <c r="M117" i="4" s="1"/>
  <c r="J120" i="2"/>
  <c r="G120" i="2" s="1"/>
  <c r="M121" i="2"/>
  <c r="L120" i="2"/>
  <c r="I119" i="2"/>
  <c r="F119" i="2" s="1"/>
  <c r="D121" i="2"/>
  <c r="E120" i="2"/>
  <c r="V120" i="2" l="1"/>
  <c r="T119" i="2"/>
  <c r="D118" i="4"/>
  <c r="M122" i="2"/>
  <c r="J121" i="2"/>
  <c r="A119" i="4"/>
  <c r="E118" i="3"/>
  <c r="G118" i="3"/>
  <c r="S118" i="3"/>
  <c r="Y118" i="3" s="1"/>
  <c r="Z118" i="3" s="1"/>
  <c r="AA118" i="3" s="1"/>
  <c r="J118" i="3"/>
  <c r="V118" i="3"/>
  <c r="M118" i="3"/>
  <c r="N118" i="3"/>
  <c r="P118" i="3"/>
  <c r="C118" i="3"/>
  <c r="T118" i="3"/>
  <c r="H118" i="3"/>
  <c r="O116" i="3"/>
  <c r="H117" i="4" s="1"/>
  <c r="U116" i="3"/>
  <c r="J117" i="4" s="1"/>
  <c r="I116" i="3"/>
  <c r="F117" i="4" s="1"/>
  <c r="F117" i="3"/>
  <c r="D118" i="3"/>
  <c r="C118" i="4"/>
  <c r="AB117" i="3"/>
  <c r="E118" i="4" s="1"/>
  <c r="I120" i="2"/>
  <c r="F120" i="2" s="1"/>
  <c r="L121" i="2"/>
  <c r="C124" i="2"/>
  <c r="I118" i="4"/>
  <c r="M118" i="4" s="1"/>
  <c r="K118" i="4"/>
  <c r="N118" i="4" s="1"/>
  <c r="G118" i="4"/>
  <c r="L118" i="4" s="1"/>
  <c r="K122" i="2"/>
  <c r="H121" i="2"/>
  <c r="E121" i="2" s="1"/>
  <c r="G121" i="2"/>
  <c r="D122" i="2"/>
  <c r="V121" i="2" l="1"/>
  <c r="T120" i="2"/>
  <c r="D119" i="4"/>
  <c r="D119" i="3"/>
  <c r="F118" i="3"/>
  <c r="C119" i="4"/>
  <c r="AB118" i="3"/>
  <c r="E119" i="4" s="1"/>
  <c r="H122" i="2"/>
  <c r="K123" i="2"/>
  <c r="U117" i="3"/>
  <c r="J118" i="4" s="1"/>
  <c r="I117" i="3"/>
  <c r="F118" i="4" s="1"/>
  <c r="O117" i="3"/>
  <c r="H118" i="4" s="1"/>
  <c r="G119" i="4"/>
  <c r="L119" i="4" s="1"/>
  <c r="I119" i="4"/>
  <c r="M119" i="4" s="1"/>
  <c r="K119" i="4"/>
  <c r="N119" i="4" s="1"/>
  <c r="C125" i="2"/>
  <c r="M123" i="2"/>
  <c r="J122" i="2"/>
  <c r="G122" i="2"/>
  <c r="D123" i="2"/>
  <c r="E122" i="2"/>
  <c r="L122" i="2"/>
  <c r="I121" i="2"/>
  <c r="F121" i="2" s="1"/>
  <c r="A120" i="4"/>
  <c r="P119" i="3"/>
  <c r="G119" i="3"/>
  <c r="S119" i="3"/>
  <c r="Y119" i="3" s="1"/>
  <c r="Z119" i="3" s="1"/>
  <c r="AA119" i="3" s="1"/>
  <c r="T119" i="3"/>
  <c r="C119" i="3"/>
  <c r="E119" i="3"/>
  <c r="V119" i="3"/>
  <c r="H119" i="3"/>
  <c r="J119" i="3"/>
  <c r="M119" i="3"/>
  <c r="N119" i="3"/>
  <c r="V122" i="2" l="1"/>
  <c r="T121" i="2"/>
  <c r="D120" i="4"/>
  <c r="C126" i="2"/>
  <c r="K124" i="2"/>
  <c r="H123" i="2"/>
  <c r="D124" i="2"/>
  <c r="E123" i="2"/>
  <c r="G120" i="4"/>
  <c r="L120" i="4" s="1"/>
  <c r="I120" i="4"/>
  <c r="M120" i="4" s="1"/>
  <c r="K120" i="4"/>
  <c r="N120" i="4" s="1"/>
  <c r="A121" i="4"/>
  <c r="C120" i="3"/>
  <c r="P120" i="3"/>
  <c r="G120" i="3"/>
  <c r="H120" i="3"/>
  <c r="V120" i="3"/>
  <c r="J120" i="3"/>
  <c r="M120" i="3"/>
  <c r="N120" i="3"/>
  <c r="S120" i="3"/>
  <c r="Y120" i="3" s="1"/>
  <c r="Z120" i="3" s="1"/>
  <c r="AA120" i="3" s="1"/>
  <c r="T120" i="3"/>
  <c r="E120" i="3"/>
  <c r="C120" i="4"/>
  <c r="AB119" i="3"/>
  <c r="E120" i="4" s="1"/>
  <c r="L123" i="2"/>
  <c r="I122" i="2"/>
  <c r="F122" i="2" s="1"/>
  <c r="I118" i="3"/>
  <c r="F119" i="4" s="1"/>
  <c r="U118" i="3"/>
  <c r="J119" i="4" s="1"/>
  <c r="O118" i="3"/>
  <c r="H119" i="4" s="1"/>
  <c r="F119" i="3"/>
  <c r="D120" i="3"/>
  <c r="M124" i="2"/>
  <c r="J123" i="2"/>
  <c r="G123" i="2" s="1"/>
  <c r="V123" i="2" l="1"/>
  <c r="T122" i="2"/>
  <c r="D121" i="4"/>
  <c r="L124" i="2"/>
  <c r="I123" i="2"/>
  <c r="F123" i="2" s="1"/>
  <c r="D125" i="2"/>
  <c r="E124" i="2"/>
  <c r="G121" i="4"/>
  <c r="L121" i="4" s="1"/>
  <c r="I121" i="4"/>
  <c r="M121" i="4" s="1"/>
  <c r="K121" i="4"/>
  <c r="N121" i="4" s="1"/>
  <c r="K125" i="2"/>
  <c r="H124" i="2"/>
  <c r="M125" i="2"/>
  <c r="J124" i="2"/>
  <c r="G124" i="2" s="1"/>
  <c r="D121" i="3"/>
  <c r="F120" i="3"/>
  <c r="U119" i="3"/>
  <c r="J120" i="4" s="1"/>
  <c r="I119" i="3"/>
  <c r="F120" i="4" s="1"/>
  <c r="O119" i="3"/>
  <c r="H120" i="4" s="1"/>
  <c r="A122" i="4"/>
  <c r="M121" i="3"/>
  <c r="H121" i="3"/>
  <c r="V121" i="3"/>
  <c r="J121" i="3"/>
  <c r="N121" i="3"/>
  <c r="P121" i="3"/>
  <c r="E121" i="3"/>
  <c r="S121" i="3"/>
  <c r="Y121" i="3" s="1"/>
  <c r="Z121" i="3" s="1"/>
  <c r="AA121" i="3" s="1"/>
  <c r="T121" i="3"/>
  <c r="C121" i="3"/>
  <c r="G121" i="3"/>
  <c r="C127" i="2"/>
  <c r="C121" i="4"/>
  <c r="AB120" i="3"/>
  <c r="E121" i="4" s="1"/>
  <c r="V124" i="2" l="1"/>
  <c r="T123" i="2"/>
  <c r="D122" i="4"/>
  <c r="D122" i="3"/>
  <c r="F121" i="3"/>
  <c r="O120" i="3"/>
  <c r="H121" i="4" s="1"/>
  <c r="U120" i="3"/>
  <c r="J121" i="4" s="1"/>
  <c r="I120" i="3"/>
  <c r="F121" i="4" s="1"/>
  <c r="A123" i="4"/>
  <c r="J122" i="3"/>
  <c r="M122" i="3"/>
  <c r="N122" i="3"/>
  <c r="C122" i="3"/>
  <c r="P122" i="3"/>
  <c r="S122" i="3"/>
  <c r="Y122" i="3" s="1"/>
  <c r="Z122" i="3" s="1"/>
  <c r="AA122" i="3" s="1"/>
  <c r="E122" i="3"/>
  <c r="G122" i="3"/>
  <c r="H122" i="3"/>
  <c r="T122" i="3"/>
  <c r="V122" i="3"/>
  <c r="D126" i="2"/>
  <c r="G125" i="2"/>
  <c r="J125" i="2"/>
  <c r="M126" i="2"/>
  <c r="C128" i="2"/>
  <c r="K126" i="2"/>
  <c r="H125" i="2"/>
  <c r="E125" i="2" s="1"/>
  <c r="L125" i="2"/>
  <c r="I124" i="2"/>
  <c r="F124" i="2" s="1"/>
  <c r="C122" i="4"/>
  <c r="AB121" i="3"/>
  <c r="E122" i="4" s="1"/>
  <c r="G122" i="4"/>
  <c r="L122" i="4" s="1"/>
  <c r="I122" i="4"/>
  <c r="M122" i="4" s="1"/>
  <c r="K122" i="4"/>
  <c r="N122" i="4" s="1"/>
  <c r="V125" i="2" l="1"/>
  <c r="T124" i="2"/>
  <c r="D123" i="4"/>
  <c r="C123" i="4"/>
  <c r="AB122" i="3"/>
  <c r="E123" i="4" s="1"/>
  <c r="K127" i="2"/>
  <c r="H126" i="2"/>
  <c r="E126" i="2" s="1"/>
  <c r="K123" i="4"/>
  <c r="N123" i="4" s="1"/>
  <c r="G123" i="4"/>
  <c r="L123" i="4" s="1"/>
  <c r="I123" i="4"/>
  <c r="M123" i="4" s="1"/>
  <c r="D127" i="2"/>
  <c r="C129" i="2"/>
  <c r="I121" i="3"/>
  <c r="F122" i="4" s="1"/>
  <c r="O121" i="3"/>
  <c r="H122" i="4" s="1"/>
  <c r="U121" i="3"/>
  <c r="J122" i="4" s="1"/>
  <c r="L126" i="2"/>
  <c r="I125" i="2"/>
  <c r="F125" i="2" s="1"/>
  <c r="F122" i="3"/>
  <c r="D123" i="3"/>
  <c r="M127" i="2"/>
  <c r="J126" i="2"/>
  <c r="G126" i="2" s="1"/>
  <c r="A124" i="4"/>
  <c r="V123" i="3"/>
  <c r="J123" i="3"/>
  <c r="M123" i="3"/>
  <c r="N123" i="3"/>
  <c r="E123" i="3"/>
  <c r="S123" i="3"/>
  <c r="Y123" i="3" s="1"/>
  <c r="Z123" i="3" s="1"/>
  <c r="AA123" i="3" s="1"/>
  <c r="C123" i="3"/>
  <c r="G123" i="3"/>
  <c r="H123" i="3"/>
  <c r="P123" i="3"/>
  <c r="T123" i="3"/>
  <c r="V126" i="2" l="1"/>
  <c r="T125" i="2"/>
  <c r="D124" i="4"/>
  <c r="C124" i="4"/>
  <c r="AB123" i="3"/>
  <c r="E124" i="4" s="1"/>
  <c r="I124" i="4"/>
  <c r="M124" i="4" s="1"/>
  <c r="K124" i="4"/>
  <c r="N124" i="4" s="1"/>
  <c r="G124" i="4"/>
  <c r="L124" i="4" s="1"/>
  <c r="L127" i="2"/>
  <c r="I126" i="2"/>
  <c r="F126" i="2" s="1"/>
  <c r="A125" i="4"/>
  <c r="C124" i="3"/>
  <c r="H124" i="3"/>
  <c r="V124" i="3"/>
  <c r="J124" i="3"/>
  <c r="M124" i="3"/>
  <c r="N124" i="3"/>
  <c r="E124" i="3"/>
  <c r="G124" i="3"/>
  <c r="P124" i="3"/>
  <c r="S124" i="3"/>
  <c r="Y124" i="3" s="1"/>
  <c r="Z124" i="3" s="1"/>
  <c r="AA124" i="3" s="1"/>
  <c r="T124" i="3"/>
  <c r="H127" i="2"/>
  <c r="E127" i="2" s="1"/>
  <c r="K128" i="2"/>
  <c r="M128" i="2"/>
  <c r="J127" i="2"/>
  <c r="D128" i="2"/>
  <c r="G127" i="2"/>
  <c r="F123" i="3"/>
  <c r="D124" i="3"/>
  <c r="I122" i="3"/>
  <c r="F123" i="4" s="1"/>
  <c r="U122" i="3"/>
  <c r="J123" i="4" s="1"/>
  <c r="O122" i="3"/>
  <c r="H123" i="4" s="1"/>
  <c r="C130" i="2"/>
  <c r="V127" i="2" l="1"/>
  <c r="T126" i="2"/>
  <c r="D125" i="4"/>
  <c r="I127" i="2"/>
  <c r="F127" i="2" s="1"/>
  <c r="L128" i="2"/>
  <c r="C125" i="4"/>
  <c r="AB124" i="3"/>
  <c r="E125" i="4" s="1"/>
  <c r="G128" i="2"/>
  <c r="D129" i="2"/>
  <c r="J128" i="2"/>
  <c r="M129" i="2"/>
  <c r="D125" i="3"/>
  <c r="F124" i="3"/>
  <c r="I123" i="3"/>
  <c r="F124" i="4" s="1"/>
  <c r="O123" i="3"/>
  <c r="H124" i="4" s="1"/>
  <c r="U123" i="3"/>
  <c r="J124" i="4" s="1"/>
  <c r="C131" i="2"/>
  <c r="K129" i="2"/>
  <c r="H128" i="2"/>
  <c r="E128" i="2" s="1"/>
  <c r="A126" i="4"/>
  <c r="H125" i="3"/>
  <c r="V125" i="3"/>
  <c r="J125" i="3"/>
  <c r="M125" i="3"/>
  <c r="N125" i="3"/>
  <c r="E125" i="3"/>
  <c r="G125" i="3"/>
  <c r="P125" i="3"/>
  <c r="T125" i="3"/>
  <c r="C125" i="3"/>
  <c r="S125" i="3"/>
  <c r="Y125" i="3" s="1"/>
  <c r="Z125" i="3" s="1"/>
  <c r="AA125" i="3" s="1"/>
  <c r="G125" i="4"/>
  <c r="L125" i="4" s="1"/>
  <c r="I125" i="4"/>
  <c r="M125" i="4" s="1"/>
  <c r="K125" i="4"/>
  <c r="N125" i="4" s="1"/>
  <c r="V128" i="2" l="1"/>
  <c r="T127" i="2"/>
  <c r="D126" i="4"/>
  <c r="K130" i="2"/>
  <c r="H129" i="2"/>
  <c r="G126" i="4"/>
  <c r="L126" i="4" s="1"/>
  <c r="I126" i="4"/>
  <c r="M126" i="4" s="1"/>
  <c r="K126" i="4"/>
  <c r="N126" i="4" s="1"/>
  <c r="C132" i="2"/>
  <c r="A127" i="4"/>
  <c r="G126" i="3"/>
  <c r="T126" i="3"/>
  <c r="H126" i="3"/>
  <c r="V126" i="3"/>
  <c r="J126" i="3"/>
  <c r="M126" i="3"/>
  <c r="C126" i="3"/>
  <c r="E126" i="3"/>
  <c r="N126" i="3"/>
  <c r="P126" i="3"/>
  <c r="S126" i="3"/>
  <c r="Y126" i="3" s="1"/>
  <c r="Z126" i="3" s="1"/>
  <c r="AA126" i="3" s="1"/>
  <c r="C126" i="4"/>
  <c r="AB125" i="3"/>
  <c r="E126" i="4" s="1"/>
  <c r="L129" i="2"/>
  <c r="I128" i="2"/>
  <c r="F128" i="2" s="1"/>
  <c r="O124" i="3"/>
  <c r="H125" i="4" s="1"/>
  <c r="I124" i="3"/>
  <c r="F125" i="4" s="1"/>
  <c r="U124" i="3"/>
  <c r="J125" i="4" s="1"/>
  <c r="F125" i="3"/>
  <c r="D126" i="3"/>
  <c r="G129" i="2"/>
  <c r="D130" i="2"/>
  <c r="E129" i="2"/>
  <c r="M130" i="2"/>
  <c r="J129" i="2"/>
  <c r="V129" i="2" l="1"/>
  <c r="T128" i="2"/>
  <c r="D127" i="4"/>
  <c r="D131" i="2"/>
  <c r="E130" i="2"/>
  <c r="C127" i="4"/>
  <c r="AB126" i="3"/>
  <c r="E127" i="4" s="1"/>
  <c r="U125" i="3"/>
  <c r="J126" i="4" s="1"/>
  <c r="I125" i="3"/>
  <c r="F126" i="4" s="1"/>
  <c r="O125" i="3"/>
  <c r="H126" i="4" s="1"/>
  <c r="A128" i="4"/>
  <c r="G127" i="3"/>
  <c r="S127" i="3"/>
  <c r="Y127" i="3" s="1"/>
  <c r="Z127" i="3" s="1"/>
  <c r="AA127" i="3" s="1"/>
  <c r="H127" i="3"/>
  <c r="T127" i="3"/>
  <c r="J127" i="3"/>
  <c r="V127" i="3"/>
  <c r="P127" i="3"/>
  <c r="C127" i="3"/>
  <c r="E127" i="3"/>
  <c r="M127" i="3"/>
  <c r="N127" i="3"/>
  <c r="H130" i="2"/>
  <c r="K131" i="2"/>
  <c r="F126" i="3"/>
  <c r="D127" i="3"/>
  <c r="M131" i="2"/>
  <c r="J130" i="2"/>
  <c r="G130" i="2" s="1"/>
  <c r="L130" i="2"/>
  <c r="I129" i="2"/>
  <c r="F129" i="2" s="1"/>
  <c r="G127" i="4"/>
  <c r="L127" i="4" s="1"/>
  <c r="I127" i="4"/>
  <c r="M127" i="4" s="1"/>
  <c r="K127" i="4"/>
  <c r="N127" i="4" s="1"/>
  <c r="C133" i="2"/>
  <c r="V130" i="2" l="1"/>
  <c r="T129" i="2"/>
  <c r="D128" i="4"/>
  <c r="L131" i="2"/>
  <c r="I130" i="2"/>
  <c r="F130" i="2" s="1"/>
  <c r="A129" i="4"/>
  <c r="C128" i="3"/>
  <c r="P128" i="3"/>
  <c r="E128" i="3"/>
  <c r="G128" i="3"/>
  <c r="S128" i="3"/>
  <c r="Y128" i="3" s="1"/>
  <c r="Z128" i="3" s="1"/>
  <c r="AA128" i="3" s="1"/>
  <c r="H128" i="3"/>
  <c r="T128" i="3"/>
  <c r="M128" i="3"/>
  <c r="N128" i="3"/>
  <c r="V128" i="3"/>
  <c r="J128" i="3"/>
  <c r="C128" i="4"/>
  <c r="AB127" i="3"/>
  <c r="E128" i="4" s="1"/>
  <c r="C134" i="2"/>
  <c r="I126" i="3"/>
  <c r="F127" i="4" s="1"/>
  <c r="U126" i="3"/>
  <c r="J127" i="4" s="1"/>
  <c r="O126" i="3"/>
  <c r="H127" i="4" s="1"/>
  <c r="K132" i="2"/>
  <c r="H131" i="2"/>
  <c r="E131" i="2" s="1"/>
  <c r="D132" i="2"/>
  <c r="M132" i="2"/>
  <c r="J131" i="2"/>
  <c r="G131" i="2" s="1"/>
  <c r="F127" i="3"/>
  <c r="D128" i="3"/>
  <c r="G128" i="4"/>
  <c r="L128" i="4" s="1"/>
  <c r="I128" i="4"/>
  <c r="M128" i="4" s="1"/>
  <c r="K128" i="4"/>
  <c r="N128" i="4" s="1"/>
  <c r="V131" i="2" l="1"/>
  <c r="T130" i="2"/>
  <c r="D129" i="4"/>
  <c r="F128" i="3"/>
  <c r="D129" i="3"/>
  <c r="I127" i="3"/>
  <c r="F128" i="4" s="1"/>
  <c r="U127" i="3"/>
  <c r="J128" i="4" s="1"/>
  <c r="O127" i="3"/>
  <c r="H128" i="4" s="1"/>
  <c r="C135" i="2"/>
  <c r="J132" i="2"/>
  <c r="G132" i="2" s="1"/>
  <c r="M133" i="2"/>
  <c r="A130" i="4"/>
  <c r="M129" i="3"/>
  <c r="N129" i="3"/>
  <c r="C129" i="3"/>
  <c r="P129" i="3"/>
  <c r="E129" i="3"/>
  <c r="H129" i="3"/>
  <c r="J129" i="3"/>
  <c r="S129" i="3"/>
  <c r="Y129" i="3" s="1"/>
  <c r="Z129" i="3" s="1"/>
  <c r="AA129" i="3" s="1"/>
  <c r="T129" i="3"/>
  <c r="V129" i="3"/>
  <c r="G129" i="3"/>
  <c r="D133" i="2"/>
  <c r="K129" i="4"/>
  <c r="N129" i="4" s="1"/>
  <c r="G129" i="4"/>
  <c r="L129" i="4" s="1"/>
  <c r="I129" i="4"/>
  <c r="M129" i="4" s="1"/>
  <c r="L132" i="2"/>
  <c r="I131" i="2"/>
  <c r="F131" i="2" s="1"/>
  <c r="K133" i="2"/>
  <c r="H132" i="2"/>
  <c r="E132" i="2" s="1"/>
  <c r="C129" i="4"/>
  <c r="AB128" i="3"/>
  <c r="E129" i="4" s="1"/>
  <c r="V132" i="2" l="1"/>
  <c r="T131" i="2"/>
  <c r="D130" i="4"/>
  <c r="C136" i="2"/>
  <c r="A131" i="4"/>
  <c r="J130" i="3"/>
  <c r="V130" i="3"/>
  <c r="M130" i="3"/>
  <c r="N130" i="3"/>
  <c r="E130" i="3"/>
  <c r="G130" i="3"/>
  <c r="H130" i="3"/>
  <c r="P130" i="3"/>
  <c r="C130" i="3"/>
  <c r="S130" i="3"/>
  <c r="Y130" i="3" s="1"/>
  <c r="Z130" i="3" s="1"/>
  <c r="AA130" i="3" s="1"/>
  <c r="T130" i="3"/>
  <c r="D130" i="3"/>
  <c r="F129" i="3"/>
  <c r="J133" i="2"/>
  <c r="G133" i="2" s="1"/>
  <c r="M134" i="2"/>
  <c r="K134" i="2"/>
  <c r="H133" i="2"/>
  <c r="E133" i="2" s="1"/>
  <c r="O128" i="3"/>
  <c r="H129" i="4" s="1"/>
  <c r="U128" i="3"/>
  <c r="J129" i="4" s="1"/>
  <c r="I128" i="3"/>
  <c r="F129" i="4" s="1"/>
  <c r="D134" i="2"/>
  <c r="C130" i="4"/>
  <c r="AB129" i="3"/>
  <c r="E130" i="4" s="1"/>
  <c r="I132" i="2"/>
  <c r="F132" i="2" s="1"/>
  <c r="L133" i="2"/>
  <c r="I130" i="4"/>
  <c r="M130" i="4" s="1"/>
  <c r="K130" i="4"/>
  <c r="N130" i="4" s="1"/>
  <c r="G130" i="4"/>
  <c r="L130" i="4" s="1"/>
  <c r="V133" i="2" l="1"/>
  <c r="T132" i="2"/>
  <c r="D131" i="4"/>
  <c r="H134" i="2"/>
  <c r="K135" i="2"/>
  <c r="M135" i="2"/>
  <c r="J134" i="2"/>
  <c r="G134" i="2" s="1"/>
  <c r="C131" i="4"/>
  <c r="AB130" i="3"/>
  <c r="E131" i="4" s="1"/>
  <c r="O129" i="3"/>
  <c r="H130" i="4" s="1"/>
  <c r="I129" i="3"/>
  <c r="F130" i="4" s="1"/>
  <c r="U129" i="3"/>
  <c r="J130" i="4" s="1"/>
  <c r="F130" i="3"/>
  <c r="D131" i="3"/>
  <c r="G131" i="4"/>
  <c r="L131" i="4" s="1"/>
  <c r="I131" i="4"/>
  <c r="M131" i="4" s="1"/>
  <c r="K131" i="4"/>
  <c r="N131" i="4" s="1"/>
  <c r="D135" i="2"/>
  <c r="E134" i="2"/>
  <c r="C137" i="2"/>
  <c r="L134" i="2"/>
  <c r="I133" i="2"/>
  <c r="F133" i="2" s="1"/>
  <c r="A132" i="4"/>
  <c r="G131" i="3"/>
  <c r="S131" i="3"/>
  <c r="Y131" i="3" s="1"/>
  <c r="Z131" i="3" s="1"/>
  <c r="AA131" i="3" s="1"/>
  <c r="H131" i="3"/>
  <c r="T131" i="3"/>
  <c r="J131" i="3"/>
  <c r="V131" i="3"/>
  <c r="P131" i="3"/>
  <c r="C131" i="3"/>
  <c r="E131" i="3"/>
  <c r="M131" i="3"/>
  <c r="N131" i="3"/>
  <c r="V134" i="2" l="1"/>
  <c r="T133" i="2"/>
  <c r="D132" i="4"/>
  <c r="I130" i="3"/>
  <c r="F131" i="4" s="1"/>
  <c r="U130" i="3"/>
  <c r="J131" i="4" s="1"/>
  <c r="O130" i="3"/>
  <c r="H131" i="4" s="1"/>
  <c r="A133" i="4"/>
  <c r="C132" i="3"/>
  <c r="P132" i="3"/>
  <c r="E132" i="3"/>
  <c r="G132" i="3"/>
  <c r="S132" i="3"/>
  <c r="Y132" i="3" s="1"/>
  <c r="Z132" i="3" s="1"/>
  <c r="AA132" i="3" s="1"/>
  <c r="H132" i="3"/>
  <c r="T132" i="3"/>
  <c r="M132" i="3"/>
  <c r="N132" i="3"/>
  <c r="V132" i="3"/>
  <c r="J132" i="3"/>
  <c r="M136" i="2"/>
  <c r="J135" i="2"/>
  <c r="G135" i="2" s="1"/>
  <c r="G132" i="4"/>
  <c r="L132" i="4" s="1"/>
  <c r="I132" i="4"/>
  <c r="M132" i="4" s="1"/>
  <c r="K132" i="4"/>
  <c r="N132" i="4" s="1"/>
  <c r="L135" i="2"/>
  <c r="I134" i="2"/>
  <c r="F134" i="2" s="1"/>
  <c r="H135" i="2"/>
  <c r="E135" i="2" s="1"/>
  <c r="K136" i="2"/>
  <c r="C138" i="2"/>
  <c r="D136" i="2"/>
  <c r="C132" i="4"/>
  <c r="AB131" i="3"/>
  <c r="E132" i="4" s="1"/>
  <c r="F131" i="3"/>
  <c r="D132" i="3"/>
  <c r="V135" i="2" l="1"/>
  <c r="T134" i="2"/>
  <c r="D133" i="4"/>
  <c r="A134" i="4"/>
  <c r="M133" i="3"/>
  <c r="N133" i="3"/>
  <c r="C133" i="3"/>
  <c r="P133" i="3"/>
  <c r="E133" i="3"/>
  <c r="H133" i="3"/>
  <c r="J133" i="3"/>
  <c r="S133" i="3"/>
  <c r="Y133" i="3" s="1"/>
  <c r="Z133" i="3" s="1"/>
  <c r="AA133" i="3" s="1"/>
  <c r="T133" i="3"/>
  <c r="V133" i="3"/>
  <c r="G133" i="3"/>
  <c r="D137" i="2"/>
  <c r="C139" i="2"/>
  <c r="M137" i="2"/>
  <c r="J136" i="2"/>
  <c r="G136" i="2" s="1"/>
  <c r="K137" i="2"/>
  <c r="H136" i="2"/>
  <c r="E136" i="2" s="1"/>
  <c r="G133" i="4"/>
  <c r="L133" i="4" s="1"/>
  <c r="K133" i="4"/>
  <c r="N133" i="4" s="1"/>
  <c r="I133" i="4"/>
  <c r="M133" i="4" s="1"/>
  <c r="F132" i="3"/>
  <c r="D133" i="3"/>
  <c r="I131" i="3"/>
  <c r="F132" i="4" s="1"/>
  <c r="U131" i="3"/>
  <c r="J132" i="4" s="1"/>
  <c r="O131" i="3"/>
  <c r="H132" i="4" s="1"/>
  <c r="I135" i="2"/>
  <c r="F135" i="2" s="1"/>
  <c r="L136" i="2"/>
  <c r="C133" i="4"/>
  <c r="AB132" i="3"/>
  <c r="E133" i="4" s="1"/>
  <c r="V136" i="2" l="1"/>
  <c r="T135" i="2"/>
  <c r="D134" i="4"/>
  <c r="D134" i="3"/>
  <c r="F133" i="3"/>
  <c r="O132" i="3"/>
  <c r="H133" i="4" s="1"/>
  <c r="U132" i="3"/>
  <c r="J133" i="4" s="1"/>
  <c r="I132" i="3"/>
  <c r="F133" i="4" s="1"/>
  <c r="C140" i="2"/>
  <c r="A135" i="4"/>
  <c r="J134" i="3"/>
  <c r="V134" i="3"/>
  <c r="M134" i="3"/>
  <c r="N134" i="3"/>
  <c r="E134" i="3"/>
  <c r="G134" i="3"/>
  <c r="H134" i="3"/>
  <c r="P134" i="3"/>
  <c r="C134" i="3"/>
  <c r="S134" i="3"/>
  <c r="Y134" i="3" s="1"/>
  <c r="Z134" i="3" s="1"/>
  <c r="AA134" i="3" s="1"/>
  <c r="T134" i="3"/>
  <c r="J137" i="2"/>
  <c r="G137" i="2" s="1"/>
  <c r="M138" i="2"/>
  <c r="D138" i="2"/>
  <c r="I136" i="2"/>
  <c r="F136" i="2" s="1"/>
  <c r="L137" i="2"/>
  <c r="C134" i="4"/>
  <c r="AB133" i="3"/>
  <c r="E134" i="4" s="1"/>
  <c r="I134" i="4"/>
  <c r="M134" i="4" s="1"/>
  <c r="G134" i="4"/>
  <c r="L134" i="4" s="1"/>
  <c r="K134" i="4"/>
  <c r="N134" i="4" s="1"/>
  <c r="K138" i="2"/>
  <c r="H137" i="2"/>
  <c r="E137" i="2" s="1"/>
  <c r="V137" i="2" l="1"/>
  <c r="T136" i="2"/>
  <c r="D135" i="4"/>
  <c r="K135" i="4"/>
  <c r="N135" i="4" s="1"/>
  <c r="G135" i="4"/>
  <c r="L135" i="4" s="1"/>
  <c r="I135" i="4"/>
  <c r="M135" i="4" s="1"/>
  <c r="C141" i="2"/>
  <c r="K139" i="2"/>
  <c r="H138" i="2"/>
  <c r="O133" i="3"/>
  <c r="H134" i="4" s="1"/>
  <c r="I133" i="3"/>
  <c r="F134" i="4" s="1"/>
  <c r="U133" i="3"/>
  <c r="J134" i="4" s="1"/>
  <c r="F134" i="3"/>
  <c r="D135" i="3"/>
  <c r="L138" i="2"/>
  <c r="I137" i="2"/>
  <c r="F137" i="2" s="1"/>
  <c r="A136" i="4"/>
  <c r="G135" i="3"/>
  <c r="S135" i="3"/>
  <c r="Y135" i="3" s="1"/>
  <c r="Z135" i="3" s="1"/>
  <c r="AA135" i="3" s="1"/>
  <c r="H135" i="3"/>
  <c r="T135" i="3"/>
  <c r="J135" i="3"/>
  <c r="V135" i="3"/>
  <c r="P135" i="3"/>
  <c r="C135" i="3"/>
  <c r="E135" i="3"/>
  <c r="M135" i="3"/>
  <c r="N135" i="3"/>
  <c r="G138" i="2"/>
  <c r="D139" i="2"/>
  <c r="E138" i="2"/>
  <c r="C135" i="4"/>
  <c r="AB134" i="3"/>
  <c r="E135" i="4" s="1"/>
  <c r="M139" i="2"/>
  <c r="J138" i="2"/>
  <c r="V138" i="2" l="1"/>
  <c r="T137" i="2"/>
  <c r="D136" i="4"/>
  <c r="H139" i="2"/>
  <c r="K140" i="2"/>
  <c r="I136" i="4"/>
  <c r="M136" i="4" s="1"/>
  <c r="K136" i="4"/>
  <c r="N136" i="4" s="1"/>
  <c r="G136" i="4"/>
  <c r="L136" i="4" s="1"/>
  <c r="A137" i="4"/>
  <c r="C136" i="3"/>
  <c r="P136" i="3"/>
  <c r="E136" i="3"/>
  <c r="G136" i="3"/>
  <c r="S136" i="3"/>
  <c r="Y136" i="3" s="1"/>
  <c r="Z136" i="3" s="1"/>
  <c r="AA136" i="3" s="1"/>
  <c r="H136" i="3"/>
  <c r="T136" i="3"/>
  <c r="M136" i="3"/>
  <c r="N136" i="3"/>
  <c r="V136" i="3"/>
  <c r="J136" i="3"/>
  <c r="C136" i="4"/>
  <c r="AB135" i="3"/>
  <c r="E136" i="4" s="1"/>
  <c r="L139" i="2"/>
  <c r="I138" i="2"/>
  <c r="F138" i="2" s="1"/>
  <c r="D140" i="2"/>
  <c r="E139" i="2"/>
  <c r="F135" i="3"/>
  <c r="D136" i="3"/>
  <c r="M140" i="2"/>
  <c r="J139" i="2"/>
  <c r="G139" i="2" s="1"/>
  <c r="I134" i="3"/>
  <c r="F135" i="4" s="1"/>
  <c r="U134" i="3"/>
  <c r="J135" i="4" s="1"/>
  <c r="O134" i="3"/>
  <c r="H135" i="4" s="1"/>
  <c r="C142" i="2"/>
  <c r="V139" i="2" l="1"/>
  <c r="T138" i="2"/>
  <c r="D137" i="4"/>
  <c r="G137" i="4"/>
  <c r="L137" i="4" s="1"/>
  <c r="I137" i="4"/>
  <c r="M137" i="4" s="1"/>
  <c r="K137" i="4"/>
  <c r="N137" i="4" s="1"/>
  <c r="I135" i="3"/>
  <c r="F136" i="4" s="1"/>
  <c r="U135" i="3"/>
  <c r="J136" i="4" s="1"/>
  <c r="O135" i="3"/>
  <c r="H136" i="4" s="1"/>
  <c r="C137" i="4"/>
  <c r="AB136" i="3"/>
  <c r="E137" i="4" s="1"/>
  <c r="J140" i="2"/>
  <c r="G140" i="2" s="1"/>
  <c r="M141" i="2"/>
  <c r="D141" i="2"/>
  <c r="K141" i="2"/>
  <c r="H140" i="2"/>
  <c r="E140" i="2" s="1"/>
  <c r="F136" i="3"/>
  <c r="D137" i="3"/>
  <c r="C143" i="2"/>
  <c r="A138" i="4"/>
  <c r="M137" i="3"/>
  <c r="N137" i="3"/>
  <c r="C137" i="3"/>
  <c r="P137" i="3"/>
  <c r="E137" i="3"/>
  <c r="H137" i="3"/>
  <c r="J137" i="3"/>
  <c r="S137" i="3"/>
  <c r="Y137" i="3" s="1"/>
  <c r="Z137" i="3" s="1"/>
  <c r="AA137" i="3" s="1"/>
  <c r="T137" i="3"/>
  <c r="V137" i="3"/>
  <c r="G137" i="3"/>
  <c r="I139" i="2"/>
  <c r="F139" i="2" s="1"/>
  <c r="L140" i="2"/>
  <c r="V140" i="2" l="1"/>
  <c r="T139" i="2"/>
  <c r="D138" i="4"/>
  <c r="D138" i="3"/>
  <c r="F137" i="3"/>
  <c r="K142" i="2"/>
  <c r="H141" i="2"/>
  <c r="A139" i="4"/>
  <c r="J138" i="3"/>
  <c r="V138" i="3"/>
  <c r="M138" i="3"/>
  <c r="N138" i="3"/>
  <c r="E138" i="3"/>
  <c r="G138" i="3"/>
  <c r="H138" i="3"/>
  <c r="P138" i="3"/>
  <c r="C138" i="3"/>
  <c r="S138" i="3"/>
  <c r="Y138" i="3" s="1"/>
  <c r="Z138" i="3" s="1"/>
  <c r="AA138" i="3" s="1"/>
  <c r="T138" i="3"/>
  <c r="G141" i="2"/>
  <c r="D142" i="2"/>
  <c r="E141" i="2"/>
  <c r="O136" i="3"/>
  <c r="H137" i="4" s="1"/>
  <c r="U136" i="3"/>
  <c r="J137" i="4" s="1"/>
  <c r="I136" i="3"/>
  <c r="F137" i="4" s="1"/>
  <c r="J141" i="2"/>
  <c r="M142" i="2"/>
  <c r="I140" i="2"/>
  <c r="F140" i="2" s="1"/>
  <c r="L141" i="2"/>
  <c r="G138" i="4"/>
  <c r="L138" i="4" s="1"/>
  <c r="I138" i="4"/>
  <c r="M138" i="4" s="1"/>
  <c r="K138" i="4"/>
  <c r="N138" i="4" s="1"/>
  <c r="C138" i="4"/>
  <c r="AB137" i="3"/>
  <c r="E138" i="4" s="1"/>
  <c r="C144" i="2"/>
  <c r="V141" i="2" l="1"/>
  <c r="T140" i="2"/>
  <c r="D139" i="4"/>
  <c r="C139" i="4"/>
  <c r="AB138" i="3"/>
  <c r="E139" i="4" s="1"/>
  <c r="G139" i="4"/>
  <c r="L139" i="4" s="1"/>
  <c r="K139" i="4"/>
  <c r="N139" i="4" s="1"/>
  <c r="I139" i="4"/>
  <c r="M139" i="4" s="1"/>
  <c r="C145" i="2"/>
  <c r="M143" i="2"/>
  <c r="J142" i="2"/>
  <c r="H142" i="2"/>
  <c r="E142" i="2" s="1"/>
  <c r="K143" i="2"/>
  <c r="O137" i="3"/>
  <c r="H138" i="4" s="1"/>
  <c r="I137" i="3"/>
  <c r="F138" i="4" s="1"/>
  <c r="U137" i="3"/>
  <c r="J138" i="4" s="1"/>
  <c r="F138" i="3"/>
  <c r="D139" i="3"/>
  <c r="D143" i="2"/>
  <c r="G142" i="2"/>
  <c r="L142" i="2"/>
  <c r="I141" i="2"/>
  <c r="F141" i="2" s="1"/>
  <c r="A140" i="4"/>
  <c r="G139" i="3"/>
  <c r="S139" i="3"/>
  <c r="Y139" i="3" s="1"/>
  <c r="Z139" i="3" s="1"/>
  <c r="AA139" i="3" s="1"/>
  <c r="H139" i="3"/>
  <c r="T139" i="3"/>
  <c r="J139" i="3"/>
  <c r="V139" i="3"/>
  <c r="P139" i="3"/>
  <c r="C139" i="3"/>
  <c r="E139" i="3"/>
  <c r="M139" i="3"/>
  <c r="N139" i="3"/>
  <c r="V142" i="2" l="1"/>
  <c r="T141" i="2"/>
  <c r="D140" i="4"/>
  <c r="D144" i="2"/>
  <c r="E143" i="2"/>
  <c r="C146" i="2"/>
  <c r="F139" i="3"/>
  <c r="D140" i="3"/>
  <c r="C140" i="4"/>
  <c r="AB139" i="3"/>
  <c r="E140" i="4" s="1"/>
  <c r="I140" i="4"/>
  <c r="M140" i="4" s="1"/>
  <c r="G140" i="4"/>
  <c r="L140" i="4" s="1"/>
  <c r="K140" i="4"/>
  <c r="N140" i="4" s="1"/>
  <c r="K144" i="2"/>
  <c r="H143" i="2"/>
  <c r="A141" i="4"/>
  <c r="C140" i="3"/>
  <c r="P140" i="3"/>
  <c r="E140" i="3"/>
  <c r="G140" i="3"/>
  <c r="S140" i="3"/>
  <c r="Y140" i="3" s="1"/>
  <c r="Z140" i="3" s="1"/>
  <c r="AA140" i="3" s="1"/>
  <c r="H140" i="3"/>
  <c r="T140" i="3"/>
  <c r="M140" i="3"/>
  <c r="N140" i="3"/>
  <c r="V140" i="3"/>
  <c r="J140" i="3"/>
  <c r="L143" i="2"/>
  <c r="I142" i="2"/>
  <c r="F142" i="2" s="1"/>
  <c r="J143" i="2"/>
  <c r="G143" i="2" s="1"/>
  <c r="M144" i="2"/>
  <c r="I138" i="3"/>
  <c r="F139" i="4" s="1"/>
  <c r="U138" i="3"/>
  <c r="J139" i="4" s="1"/>
  <c r="O138" i="3"/>
  <c r="H139" i="4" s="1"/>
  <c r="V143" i="2" l="1"/>
  <c r="T142" i="2"/>
  <c r="D141" i="4"/>
  <c r="I143" i="2"/>
  <c r="F143" i="2" s="1"/>
  <c r="L144" i="2"/>
  <c r="F140" i="3"/>
  <c r="D141" i="3"/>
  <c r="K141" i="4"/>
  <c r="N141" i="4" s="1"/>
  <c r="G141" i="4"/>
  <c r="L141" i="4" s="1"/>
  <c r="I141" i="4"/>
  <c r="M141" i="4" s="1"/>
  <c r="I139" i="3"/>
  <c r="F140" i="4" s="1"/>
  <c r="U139" i="3"/>
  <c r="J140" i="4" s="1"/>
  <c r="O139" i="3"/>
  <c r="H140" i="4" s="1"/>
  <c r="K145" i="2"/>
  <c r="H144" i="2"/>
  <c r="C141" i="4"/>
  <c r="AB140" i="3"/>
  <c r="E141" i="4" s="1"/>
  <c r="C147" i="2"/>
  <c r="D145" i="2"/>
  <c r="E144" i="2"/>
  <c r="A142" i="4"/>
  <c r="M141" i="3"/>
  <c r="N141" i="3"/>
  <c r="C141" i="3"/>
  <c r="P141" i="3"/>
  <c r="E141" i="3"/>
  <c r="H141" i="3"/>
  <c r="J141" i="3"/>
  <c r="S141" i="3"/>
  <c r="Y141" i="3" s="1"/>
  <c r="Z141" i="3" s="1"/>
  <c r="AA141" i="3" s="1"/>
  <c r="T141" i="3"/>
  <c r="V141" i="3"/>
  <c r="G141" i="3"/>
  <c r="J144" i="2"/>
  <c r="G144" i="2" s="1"/>
  <c r="M145" i="2"/>
  <c r="V144" i="2" l="1"/>
  <c r="T143" i="2"/>
  <c r="D142" i="4"/>
  <c r="C148" i="2"/>
  <c r="A143" i="4"/>
  <c r="J142" i="3"/>
  <c r="V142" i="3"/>
  <c r="M142" i="3"/>
  <c r="N142" i="3"/>
  <c r="E142" i="3"/>
  <c r="G142" i="3"/>
  <c r="H142" i="3"/>
  <c r="P142" i="3"/>
  <c r="C142" i="3"/>
  <c r="S142" i="3"/>
  <c r="Y142" i="3" s="1"/>
  <c r="Z142" i="3" s="1"/>
  <c r="AA142" i="3" s="1"/>
  <c r="T142" i="3"/>
  <c r="D142" i="3"/>
  <c r="F141" i="3"/>
  <c r="J145" i="2"/>
  <c r="G145" i="2" s="1"/>
  <c r="M146" i="2"/>
  <c r="C142" i="4"/>
  <c r="AB141" i="3"/>
  <c r="E142" i="4" s="1"/>
  <c r="O140" i="3"/>
  <c r="H141" i="4" s="1"/>
  <c r="U140" i="3"/>
  <c r="J141" i="4" s="1"/>
  <c r="I140" i="3"/>
  <c r="F141" i="4" s="1"/>
  <c r="I142" i="4"/>
  <c r="M142" i="4" s="1"/>
  <c r="K142" i="4"/>
  <c r="N142" i="4" s="1"/>
  <c r="G142" i="4"/>
  <c r="L142" i="4" s="1"/>
  <c r="K146" i="2"/>
  <c r="H145" i="2"/>
  <c r="E145" i="2" s="1"/>
  <c r="I144" i="2"/>
  <c r="F144" i="2" s="1"/>
  <c r="L145" i="2"/>
  <c r="D146" i="2"/>
  <c r="V145" i="2" l="1"/>
  <c r="T144" i="2"/>
  <c r="D143" i="4"/>
  <c r="M147" i="2"/>
  <c r="J146" i="2"/>
  <c r="C143" i="4"/>
  <c r="AB142" i="3"/>
  <c r="E143" i="4" s="1"/>
  <c r="O141" i="3"/>
  <c r="H142" i="4" s="1"/>
  <c r="I141" i="3"/>
  <c r="F142" i="4" s="1"/>
  <c r="U141" i="3"/>
  <c r="J142" i="4" s="1"/>
  <c r="F142" i="3"/>
  <c r="D143" i="3"/>
  <c r="G143" i="4"/>
  <c r="L143" i="4" s="1"/>
  <c r="I143" i="4"/>
  <c r="M143" i="4" s="1"/>
  <c r="K143" i="4"/>
  <c r="N143" i="4" s="1"/>
  <c r="H146" i="2"/>
  <c r="K147" i="2"/>
  <c r="C149" i="2"/>
  <c r="G146" i="2"/>
  <c r="D147" i="2"/>
  <c r="E146" i="2"/>
  <c r="L146" i="2"/>
  <c r="I145" i="2"/>
  <c r="F145" i="2" s="1"/>
  <c r="A144" i="4"/>
  <c r="G143" i="3"/>
  <c r="S143" i="3"/>
  <c r="Y143" i="3" s="1"/>
  <c r="Z143" i="3" s="1"/>
  <c r="AA143" i="3" s="1"/>
  <c r="H143" i="3"/>
  <c r="T143" i="3"/>
  <c r="J143" i="3"/>
  <c r="V143" i="3"/>
  <c r="P143" i="3"/>
  <c r="C143" i="3"/>
  <c r="E143" i="3"/>
  <c r="M143" i="3"/>
  <c r="N143" i="3"/>
  <c r="V146" i="2" l="1"/>
  <c r="T145" i="2"/>
  <c r="D144" i="4"/>
  <c r="F143" i="3"/>
  <c r="D144" i="3"/>
  <c r="C150" i="2"/>
  <c r="I142" i="3"/>
  <c r="F143" i="4" s="1"/>
  <c r="U142" i="3"/>
  <c r="J143" i="4" s="1"/>
  <c r="O142" i="3"/>
  <c r="H143" i="4" s="1"/>
  <c r="H147" i="2"/>
  <c r="E147" i="2" s="1"/>
  <c r="K148" i="2"/>
  <c r="G144" i="4"/>
  <c r="L144" i="4" s="1"/>
  <c r="I144" i="4"/>
  <c r="M144" i="4" s="1"/>
  <c r="K144" i="4"/>
  <c r="N144" i="4" s="1"/>
  <c r="C144" i="4"/>
  <c r="AB143" i="3"/>
  <c r="E144" i="4" s="1"/>
  <c r="L147" i="2"/>
  <c r="I146" i="2"/>
  <c r="F146" i="2" s="1"/>
  <c r="A145" i="4"/>
  <c r="C144" i="3"/>
  <c r="P144" i="3"/>
  <c r="E144" i="3"/>
  <c r="G144" i="3"/>
  <c r="S144" i="3"/>
  <c r="Y144" i="3" s="1"/>
  <c r="Z144" i="3" s="1"/>
  <c r="AA144" i="3" s="1"/>
  <c r="H144" i="3"/>
  <c r="M144" i="3"/>
  <c r="N144" i="3"/>
  <c r="T144" i="3"/>
  <c r="V144" i="3"/>
  <c r="J144" i="3"/>
  <c r="M148" i="2"/>
  <c r="J147" i="2"/>
  <c r="G147" i="2" s="1"/>
  <c r="D148" i="2"/>
  <c r="V147" i="2" l="1"/>
  <c r="T146" i="2"/>
  <c r="D145" i="4"/>
  <c r="J148" i="2"/>
  <c r="M149" i="2"/>
  <c r="K149" i="2"/>
  <c r="H148" i="2"/>
  <c r="E148" i="2" s="1"/>
  <c r="I147" i="2"/>
  <c r="F147" i="2" s="1"/>
  <c r="L148" i="2"/>
  <c r="C145" i="4"/>
  <c r="AB144" i="3"/>
  <c r="E145" i="4" s="1"/>
  <c r="G145" i="4"/>
  <c r="L145" i="4" s="1"/>
  <c r="I145" i="4"/>
  <c r="M145" i="4" s="1"/>
  <c r="K145" i="4"/>
  <c r="N145" i="4" s="1"/>
  <c r="C151" i="2"/>
  <c r="F144" i="3"/>
  <c r="D145" i="3"/>
  <c r="D149" i="2"/>
  <c r="G148" i="2"/>
  <c r="A146" i="4"/>
  <c r="M145" i="3"/>
  <c r="N145" i="3"/>
  <c r="C145" i="3"/>
  <c r="P145" i="3"/>
  <c r="G145" i="3"/>
  <c r="H145" i="3"/>
  <c r="J145" i="3"/>
  <c r="T145" i="3"/>
  <c r="V145" i="3"/>
  <c r="S145" i="3"/>
  <c r="Y145" i="3" s="1"/>
  <c r="Z145" i="3" s="1"/>
  <c r="AA145" i="3" s="1"/>
  <c r="E145" i="3"/>
  <c r="I143" i="3"/>
  <c r="F144" i="4" s="1"/>
  <c r="U143" i="3"/>
  <c r="J144" i="4" s="1"/>
  <c r="O143" i="3"/>
  <c r="H144" i="4" s="1"/>
  <c r="V148" i="2" l="1"/>
  <c r="T147" i="2"/>
  <c r="D146" i="4"/>
  <c r="D150" i="2"/>
  <c r="A147" i="4"/>
  <c r="J146" i="3"/>
  <c r="V146" i="3"/>
  <c r="M146" i="3"/>
  <c r="C146" i="3"/>
  <c r="S146" i="3"/>
  <c r="Y146" i="3" s="1"/>
  <c r="Z146" i="3" s="1"/>
  <c r="AA146" i="3" s="1"/>
  <c r="T146" i="3"/>
  <c r="E146" i="3"/>
  <c r="G146" i="3"/>
  <c r="H146" i="3"/>
  <c r="N146" i="3"/>
  <c r="P146" i="3"/>
  <c r="F145" i="3"/>
  <c r="D146" i="3"/>
  <c r="O144" i="3"/>
  <c r="H145" i="4" s="1"/>
  <c r="U144" i="3"/>
  <c r="J145" i="4" s="1"/>
  <c r="I144" i="3"/>
  <c r="F145" i="4" s="1"/>
  <c r="L149" i="2"/>
  <c r="I148" i="2"/>
  <c r="F148" i="2" s="1"/>
  <c r="C152" i="2"/>
  <c r="K150" i="2"/>
  <c r="H149" i="2"/>
  <c r="E149" i="2" s="1"/>
  <c r="C146" i="4"/>
  <c r="AB145" i="3"/>
  <c r="E146" i="4" s="1"/>
  <c r="J149" i="2"/>
  <c r="G149" i="2" s="1"/>
  <c r="M150" i="2"/>
  <c r="K146" i="4"/>
  <c r="N146" i="4" s="1"/>
  <c r="G146" i="4"/>
  <c r="L146" i="4" s="1"/>
  <c r="I146" i="4"/>
  <c r="M146" i="4" s="1"/>
  <c r="V149" i="2" l="1"/>
  <c r="T148" i="2"/>
  <c r="D147" i="4"/>
  <c r="C147" i="4"/>
  <c r="AB146" i="3"/>
  <c r="E147" i="4" s="1"/>
  <c r="F146" i="3"/>
  <c r="D147" i="3"/>
  <c r="O145" i="3"/>
  <c r="H146" i="4" s="1"/>
  <c r="I145" i="3"/>
  <c r="F146" i="4" s="1"/>
  <c r="U145" i="3"/>
  <c r="J146" i="4" s="1"/>
  <c r="A148" i="4"/>
  <c r="G147" i="3"/>
  <c r="S147" i="3"/>
  <c r="Y147" i="3" s="1"/>
  <c r="Z147" i="3" s="1"/>
  <c r="AA147" i="3" s="1"/>
  <c r="H147" i="3"/>
  <c r="T147" i="3"/>
  <c r="J147" i="3"/>
  <c r="V147" i="3"/>
  <c r="M147" i="3"/>
  <c r="N147" i="3"/>
  <c r="P147" i="3"/>
  <c r="C147" i="3"/>
  <c r="E147" i="3"/>
  <c r="K147" i="4"/>
  <c r="N147" i="4" s="1"/>
  <c r="G147" i="4"/>
  <c r="L147" i="4" s="1"/>
  <c r="I147" i="4"/>
  <c r="M147" i="4" s="1"/>
  <c r="H150" i="2"/>
  <c r="K151" i="2"/>
  <c r="M151" i="2"/>
  <c r="J150" i="2"/>
  <c r="G150" i="2" s="1"/>
  <c r="C153" i="2"/>
  <c r="D151" i="2"/>
  <c r="E150" i="2"/>
  <c r="L150" i="2"/>
  <c r="I149" i="2"/>
  <c r="F149" i="2" s="1"/>
  <c r="V150" i="2" l="1"/>
  <c r="T149" i="2"/>
  <c r="D148" i="4"/>
  <c r="C154" i="2"/>
  <c r="G148" i="4"/>
  <c r="L148" i="4" s="1"/>
  <c r="I148" i="4"/>
  <c r="M148" i="4" s="1"/>
  <c r="K148" i="4"/>
  <c r="N148" i="4" s="1"/>
  <c r="M152" i="2"/>
  <c r="J151" i="2"/>
  <c r="C148" i="4"/>
  <c r="AB147" i="3"/>
  <c r="E148" i="4" s="1"/>
  <c r="F147" i="3"/>
  <c r="D148" i="3"/>
  <c r="H151" i="2"/>
  <c r="E151" i="2" s="1"/>
  <c r="K152" i="2"/>
  <c r="I150" i="2"/>
  <c r="F150" i="2" s="1"/>
  <c r="L151" i="2"/>
  <c r="A149" i="4"/>
  <c r="C148" i="3"/>
  <c r="P148" i="3"/>
  <c r="E148" i="3"/>
  <c r="G148" i="3"/>
  <c r="S148" i="3"/>
  <c r="Y148" i="3" s="1"/>
  <c r="Z148" i="3" s="1"/>
  <c r="AA148" i="3" s="1"/>
  <c r="V148" i="3"/>
  <c r="H148" i="3"/>
  <c r="J148" i="3"/>
  <c r="M148" i="3"/>
  <c r="N148" i="3"/>
  <c r="T148" i="3"/>
  <c r="I146" i="3"/>
  <c r="F147" i="4" s="1"/>
  <c r="U146" i="3"/>
  <c r="J147" i="4" s="1"/>
  <c r="O146" i="3"/>
  <c r="H147" i="4" s="1"/>
  <c r="G151" i="2"/>
  <c r="D152" i="2"/>
  <c r="V151" i="2" l="1"/>
  <c r="T150" i="2"/>
  <c r="D149" i="4"/>
  <c r="G149" i="4"/>
  <c r="L149" i="4" s="1"/>
  <c r="I149" i="4"/>
  <c r="M149" i="4" s="1"/>
  <c r="K149" i="4"/>
  <c r="N149" i="4" s="1"/>
  <c r="I151" i="2"/>
  <c r="F151" i="2" s="1"/>
  <c r="L152" i="2"/>
  <c r="C149" i="4"/>
  <c r="AB148" i="3"/>
  <c r="E149" i="4" s="1"/>
  <c r="K153" i="2"/>
  <c r="H152" i="2"/>
  <c r="E152" i="2" s="1"/>
  <c r="J152" i="2"/>
  <c r="G152" i="2" s="1"/>
  <c r="M153" i="2"/>
  <c r="F148" i="3"/>
  <c r="D149" i="3"/>
  <c r="C155" i="2"/>
  <c r="I147" i="3"/>
  <c r="F148" i="4" s="1"/>
  <c r="U147" i="3"/>
  <c r="J148" i="4" s="1"/>
  <c r="O147" i="3"/>
  <c r="H148" i="4" s="1"/>
  <c r="D153" i="2"/>
  <c r="A150" i="4"/>
  <c r="M149" i="3"/>
  <c r="N149" i="3"/>
  <c r="C149" i="3"/>
  <c r="P149" i="3"/>
  <c r="S149" i="3"/>
  <c r="Y149" i="3" s="1"/>
  <c r="Z149" i="3" s="1"/>
  <c r="AA149" i="3" s="1"/>
  <c r="T149" i="3"/>
  <c r="E149" i="3"/>
  <c r="V149" i="3"/>
  <c r="G149" i="3"/>
  <c r="J149" i="3"/>
  <c r="H149" i="3"/>
  <c r="V152" i="2" l="1"/>
  <c r="T151" i="2"/>
  <c r="D150" i="4"/>
  <c r="I152" i="2"/>
  <c r="F152" i="2" s="1"/>
  <c r="L153" i="2"/>
  <c r="C156" i="2"/>
  <c r="C150" i="4"/>
  <c r="AB149" i="3"/>
  <c r="E150" i="4" s="1"/>
  <c r="G150" i="4"/>
  <c r="L150" i="4" s="1"/>
  <c r="I150" i="4"/>
  <c r="M150" i="4" s="1"/>
  <c r="K150" i="4"/>
  <c r="N150" i="4" s="1"/>
  <c r="J153" i="2"/>
  <c r="G153" i="2" s="1"/>
  <c r="M154" i="2"/>
  <c r="O148" i="3"/>
  <c r="H149" i="4" s="1"/>
  <c r="I148" i="3"/>
  <c r="F149" i="4" s="1"/>
  <c r="U148" i="3"/>
  <c r="J149" i="4" s="1"/>
  <c r="A151" i="4"/>
  <c r="J150" i="3"/>
  <c r="V150" i="3"/>
  <c r="M150" i="3"/>
  <c r="G150" i="3"/>
  <c r="H150" i="3"/>
  <c r="N150" i="3"/>
  <c r="P150" i="3"/>
  <c r="T150" i="3"/>
  <c r="C150" i="3"/>
  <c r="E150" i="3"/>
  <c r="S150" i="3"/>
  <c r="Y150" i="3" s="1"/>
  <c r="Z150" i="3" s="1"/>
  <c r="AA150" i="3" s="1"/>
  <c r="F149" i="3"/>
  <c r="D150" i="3"/>
  <c r="D154" i="2"/>
  <c r="K154" i="2"/>
  <c r="H153" i="2"/>
  <c r="E153" i="2" s="1"/>
  <c r="V153" i="2" l="1"/>
  <c r="T152" i="2"/>
  <c r="D151" i="4"/>
  <c r="C157" i="2"/>
  <c r="O149" i="3"/>
  <c r="H150" i="4" s="1"/>
  <c r="U149" i="3"/>
  <c r="J150" i="4" s="1"/>
  <c r="I149" i="3"/>
  <c r="F150" i="4" s="1"/>
  <c r="J154" i="2"/>
  <c r="M155" i="2"/>
  <c r="H154" i="2"/>
  <c r="K155" i="2"/>
  <c r="I153" i="2"/>
  <c r="F153" i="2" s="1"/>
  <c r="L154" i="2"/>
  <c r="C151" i="4"/>
  <c r="AB150" i="3"/>
  <c r="E151" i="4" s="1"/>
  <c r="A152" i="4"/>
  <c r="G151" i="3"/>
  <c r="S151" i="3"/>
  <c r="Y151" i="3" s="1"/>
  <c r="Z151" i="3" s="1"/>
  <c r="AA151" i="3" s="1"/>
  <c r="H151" i="3"/>
  <c r="T151" i="3"/>
  <c r="J151" i="3"/>
  <c r="V151" i="3"/>
  <c r="C151" i="3"/>
  <c r="E151" i="3"/>
  <c r="N151" i="3"/>
  <c r="M151" i="3"/>
  <c r="P151" i="3"/>
  <c r="D155" i="2"/>
  <c r="G154" i="2"/>
  <c r="E154" i="2"/>
  <c r="D151" i="3"/>
  <c r="F150" i="3"/>
  <c r="G151" i="4"/>
  <c r="L151" i="4" s="1"/>
  <c r="I151" i="4"/>
  <c r="M151" i="4" s="1"/>
  <c r="K151" i="4"/>
  <c r="N151" i="4" s="1"/>
  <c r="V154" i="2" l="1"/>
  <c r="T153" i="2"/>
  <c r="D152" i="4"/>
  <c r="H155" i="2"/>
  <c r="K156" i="2"/>
  <c r="I150" i="3"/>
  <c r="F151" i="4" s="1"/>
  <c r="U150" i="3"/>
  <c r="J151" i="4" s="1"/>
  <c r="O150" i="3"/>
  <c r="H151" i="4" s="1"/>
  <c r="F151" i="3"/>
  <c r="D152" i="3"/>
  <c r="J155" i="2"/>
  <c r="G155" i="2" s="1"/>
  <c r="M156" i="2"/>
  <c r="K152" i="4"/>
  <c r="N152" i="4" s="1"/>
  <c r="G152" i="4"/>
  <c r="L152" i="4" s="1"/>
  <c r="I152" i="4"/>
  <c r="M152" i="4" s="1"/>
  <c r="C152" i="4"/>
  <c r="AB151" i="3"/>
  <c r="E152" i="4" s="1"/>
  <c r="C158" i="2"/>
  <c r="A153" i="4"/>
  <c r="C152" i="3"/>
  <c r="P152" i="3"/>
  <c r="E152" i="3"/>
  <c r="G152" i="3"/>
  <c r="S152" i="3"/>
  <c r="Y152" i="3" s="1"/>
  <c r="Z152" i="3" s="1"/>
  <c r="AA152" i="3" s="1"/>
  <c r="M152" i="3"/>
  <c r="N152" i="3"/>
  <c r="T152" i="3"/>
  <c r="V152" i="3"/>
  <c r="H152" i="3"/>
  <c r="J152" i="3"/>
  <c r="L155" i="2"/>
  <c r="I154" i="2"/>
  <c r="F154" i="2" s="1"/>
  <c r="D156" i="2"/>
  <c r="E155" i="2"/>
  <c r="V155" i="2" l="1"/>
  <c r="T154" i="2"/>
  <c r="D153" i="4"/>
  <c r="I153" i="4"/>
  <c r="M153" i="4" s="1"/>
  <c r="K153" i="4"/>
  <c r="N153" i="4" s="1"/>
  <c r="G153" i="4"/>
  <c r="L153" i="4" s="1"/>
  <c r="M157" i="2"/>
  <c r="J156" i="2"/>
  <c r="G156" i="2" s="1"/>
  <c r="F152" i="3"/>
  <c r="D153" i="3"/>
  <c r="C159" i="2"/>
  <c r="I151" i="3"/>
  <c r="F152" i="4" s="1"/>
  <c r="U151" i="3"/>
  <c r="J152" i="4" s="1"/>
  <c r="O151" i="3"/>
  <c r="H152" i="4" s="1"/>
  <c r="C153" i="4"/>
  <c r="AB152" i="3"/>
  <c r="E153" i="4" s="1"/>
  <c r="H156" i="2"/>
  <c r="E156" i="2" s="1"/>
  <c r="K157" i="2"/>
  <c r="A154" i="4"/>
  <c r="M153" i="3"/>
  <c r="N153" i="3"/>
  <c r="C153" i="3"/>
  <c r="P153" i="3"/>
  <c r="G153" i="3"/>
  <c r="H153" i="3"/>
  <c r="J153" i="3"/>
  <c r="T153" i="3"/>
  <c r="E153" i="3"/>
  <c r="S153" i="3"/>
  <c r="Y153" i="3" s="1"/>
  <c r="Z153" i="3" s="1"/>
  <c r="AA153" i="3" s="1"/>
  <c r="V153" i="3"/>
  <c r="D157" i="2"/>
  <c r="I155" i="2"/>
  <c r="F155" i="2" s="1"/>
  <c r="L156" i="2"/>
  <c r="V156" i="2" l="1"/>
  <c r="T155" i="2"/>
  <c r="D154" i="4"/>
  <c r="G154" i="4"/>
  <c r="L154" i="4" s="1"/>
  <c r="I154" i="4"/>
  <c r="M154" i="4" s="1"/>
  <c r="K154" i="4"/>
  <c r="N154" i="4" s="1"/>
  <c r="O152" i="3"/>
  <c r="H153" i="4" s="1"/>
  <c r="U152" i="3"/>
  <c r="J153" i="4" s="1"/>
  <c r="I152" i="3"/>
  <c r="F153" i="4" s="1"/>
  <c r="H157" i="2"/>
  <c r="K158" i="2"/>
  <c r="C154" i="4"/>
  <c r="AB153" i="3"/>
  <c r="E154" i="4" s="1"/>
  <c r="F153" i="3"/>
  <c r="D154" i="3"/>
  <c r="J157" i="2"/>
  <c r="G157" i="2" s="1"/>
  <c r="M158" i="2"/>
  <c r="I156" i="2"/>
  <c r="F156" i="2" s="1"/>
  <c r="L157" i="2"/>
  <c r="C160" i="2"/>
  <c r="A155" i="4"/>
  <c r="J154" i="3"/>
  <c r="V154" i="3"/>
  <c r="M154" i="3"/>
  <c r="C154" i="3"/>
  <c r="S154" i="3"/>
  <c r="Y154" i="3" s="1"/>
  <c r="Z154" i="3" s="1"/>
  <c r="AA154" i="3" s="1"/>
  <c r="T154" i="3"/>
  <c r="E154" i="3"/>
  <c r="G154" i="3"/>
  <c r="H154" i="3"/>
  <c r="N154" i="3"/>
  <c r="P154" i="3"/>
  <c r="D158" i="2"/>
  <c r="E157" i="2"/>
  <c r="V157" i="2" l="1"/>
  <c r="T156" i="2"/>
  <c r="D155" i="4"/>
  <c r="A156" i="4"/>
  <c r="G155" i="3"/>
  <c r="S155" i="3"/>
  <c r="Y155" i="3" s="1"/>
  <c r="Z155" i="3" s="1"/>
  <c r="AA155" i="3" s="1"/>
  <c r="H155" i="3"/>
  <c r="T155" i="3"/>
  <c r="J155" i="3"/>
  <c r="V155" i="3"/>
  <c r="M155" i="3"/>
  <c r="N155" i="3"/>
  <c r="P155" i="3"/>
  <c r="C155" i="3"/>
  <c r="E155" i="3"/>
  <c r="L158" i="2"/>
  <c r="I157" i="2"/>
  <c r="F157" i="2" s="1"/>
  <c r="C161" i="2"/>
  <c r="J158" i="2"/>
  <c r="G158" i="2" s="1"/>
  <c r="M159" i="2"/>
  <c r="F154" i="3"/>
  <c r="D155" i="3"/>
  <c r="C155" i="4"/>
  <c r="AB154" i="3"/>
  <c r="E155" i="4" s="1"/>
  <c r="O153" i="3"/>
  <c r="H154" i="4" s="1"/>
  <c r="I153" i="3"/>
  <c r="F154" i="4" s="1"/>
  <c r="U153" i="3"/>
  <c r="J154" i="4" s="1"/>
  <c r="D159" i="2"/>
  <c r="G155" i="4"/>
  <c r="L155" i="4" s="1"/>
  <c r="I155" i="4"/>
  <c r="M155" i="4" s="1"/>
  <c r="K155" i="4"/>
  <c r="N155" i="4" s="1"/>
  <c r="K159" i="2"/>
  <c r="H158" i="2"/>
  <c r="E158" i="2" s="1"/>
  <c r="V158" i="2" l="1"/>
  <c r="T157" i="2"/>
  <c r="D156" i="4"/>
  <c r="F155" i="3"/>
  <c r="D156" i="3"/>
  <c r="M160" i="2"/>
  <c r="J159" i="2"/>
  <c r="C156" i="4"/>
  <c r="AB155" i="3"/>
  <c r="E156" i="4" s="1"/>
  <c r="D160" i="2"/>
  <c r="G159" i="2"/>
  <c r="C162" i="2"/>
  <c r="A157" i="4"/>
  <c r="C156" i="3"/>
  <c r="P156" i="3"/>
  <c r="E156" i="3"/>
  <c r="G156" i="3"/>
  <c r="S156" i="3"/>
  <c r="Y156" i="3" s="1"/>
  <c r="Z156" i="3" s="1"/>
  <c r="AA156" i="3" s="1"/>
  <c r="T156" i="3"/>
  <c r="V156" i="3"/>
  <c r="H156" i="3"/>
  <c r="J156" i="3"/>
  <c r="M156" i="3"/>
  <c r="N156" i="3"/>
  <c r="I154" i="3"/>
  <c r="F155" i="4" s="1"/>
  <c r="U154" i="3"/>
  <c r="J155" i="4" s="1"/>
  <c r="O154" i="3"/>
  <c r="H155" i="4" s="1"/>
  <c r="L159" i="2"/>
  <c r="I158" i="2"/>
  <c r="F158" i="2" s="1"/>
  <c r="H159" i="2"/>
  <c r="E159" i="2" s="1"/>
  <c r="K160" i="2"/>
  <c r="G156" i="4"/>
  <c r="L156" i="4" s="1"/>
  <c r="I156" i="4"/>
  <c r="M156" i="4" s="1"/>
  <c r="K156" i="4"/>
  <c r="N156" i="4" s="1"/>
  <c r="V159" i="2" l="1"/>
  <c r="T158" i="2"/>
  <c r="D157" i="4"/>
  <c r="H160" i="2"/>
  <c r="K161" i="2"/>
  <c r="D161" i="2"/>
  <c r="E160" i="2"/>
  <c r="I159" i="2"/>
  <c r="F159" i="2" s="1"/>
  <c r="L160" i="2"/>
  <c r="A158" i="4"/>
  <c r="M157" i="3"/>
  <c r="N157" i="3"/>
  <c r="P157" i="3"/>
  <c r="H157" i="3"/>
  <c r="J157" i="3"/>
  <c r="S157" i="3"/>
  <c r="Y157" i="3" s="1"/>
  <c r="Z157" i="3" s="1"/>
  <c r="AA157" i="3" s="1"/>
  <c r="E157" i="3"/>
  <c r="C157" i="3"/>
  <c r="G157" i="3"/>
  <c r="T157" i="3"/>
  <c r="V157" i="3"/>
  <c r="G157" i="4"/>
  <c r="L157" i="4" s="1"/>
  <c r="I157" i="4"/>
  <c r="M157" i="4" s="1"/>
  <c r="K157" i="4"/>
  <c r="N157" i="4" s="1"/>
  <c r="J160" i="2"/>
  <c r="G160" i="2" s="1"/>
  <c r="M161" i="2"/>
  <c r="C157" i="4"/>
  <c r="AB156" i="3"/>
  <c r="E157" i="4" s="1"/>
  <c r="D157" i="3"/>
  <c r="F156" i="3"/>
  <c r="I155" i="3"/>
  <c r="F156" i="4" s="1"/>
  <c r="O155" i="3"/>
  <c r="H156" i="4" s="1"/>
  <c r="U155" i="3"/>
  <c r="J156" i="4" s="1"/>
  <c r="C163" i="2"/>
  <c r="V160" i="2" l="1"/>
  <c r="T159" i="2"/>
  <c r="D158" i="4"/>
  <c r="O156" i="3"/>
  <c r="H157" i="4" s="1"/>
  <c r="U156" i="3"/>
  <c r="J157" i="4" s="1"/>
  <c r="I156" i="3"/>
  <c r="F157" i="4" s="1"/>
  <c r="I160" i="2"/>
  <c r="F160" i="2" s="1"/>
  <c r="L161" i="2"/>
  <c r="K158" i="4"/>
  <c r="N158" i="4" s="1"/>
  <c r="G158" i="4"/>
  <c r="L158" i="4" s="1"/>
  <c r="I158" i="4"/>
  <c r="M158" i="4" s="1"/>
  <c r="D158" i="3"/>
  <c r="F157" i="3"/>
  <c r="J161" i="2"/>
  <c r="M162" i="2"/>
  <c r="D162" i="2"/>
  <c r="G161" i="2"/>
  <c r="A159" i="4"/>
  <c r="J158" i="3"/>
  <c r="V158" i="3"/>
  <c r="M158" i="3"/>
  <c r="P158" i="3"/>
  <c r="C158" i="3"/>
  <c r="S158" i="3"/>
  <c r="Y158" i="3" s="1"/>
  <c r="Z158" i="3" s="1"/>
  <c r="AA158" i="3" s="1"/>
  <c r="E158" i="3"/>
  <c r="T158" i="3"/>
  <c r="G158" i="3"/>
  <c r="H158" i="3"/>
  <c r="N158" i="3"/>
  <c r="K162" i="2"/>
  <c r="H161" i="2"/>
  <c r="E161" i="2" s="1"/>
  <c r="C164" i="2"/>
  <c r="C158" i="4"/>
  <c r="AB157" i="3"/>
  <c r="E158" i="4" s="1"/>
  <c r="V161" i="2" l="1"/>
  <c r="T160" i="2"/>
  <c r="D159" i="4"/>
  <c r="A160" i="4"/>
  <c r="G159" i="3"/>
  <c r="S159" i="3"/>
  <c r="Y159" i="3" s="1"/>
  <c r="Z159" i="3" s="1"/>
  <c r="AA159" i="3" s="1"/>
  <c r="J159" i="3"/>
  <c r="V159" i="3"/>
  <c r="E159" i="3"/>
  <c r="H159" i="3"/>
  <c r="M159" i="3"/>
  <c r="N159" i="3"/>
  <c r="P159" i="3"/>
  <c r="C159" i="3"/>
  <c r="T159" i="3"/>
  <c r="D163" i="2"/>
  <c r="G162" i="2"/>
  <c r="I161" i="2"/>
  <c r="F161" i="2" s="1"/>
  <c r="L162" i="2"/>
  <c r="H162" i="2"/>
  <c r="E162" i="2" s="1"/>
  <c r="K163" i="2"/>
  <c r="I159" i="4"/>
  <c r="M159" i="4" s="1"/>
  <c r="K159" i="4"/>
  <c r="N159" i="4" s="1"/>
  <c r="G159" i="4"/>
  <c r="L159" i="4" s="1"/>
  <c r="M163" i="2"/>
  <c r="J162" i="2"/>
  <c r="C165" i="2"/>
  <c r="I157" i="3"/>
  <c r="F158" i="4" s="1"/>
  <c r="O157" i="3"/>
  <c r="H158" i="4" s="1"/>
  <c r="U157" i="3"/>
  <c r="J158" i="4" s="1"/>
  <c r="C159" i="4"/>
  <c r="AB158" i="3"/>
  <c r="E159" i="4" s="1"/>
  <c r="D159" i="3"/>
  <c r="F158" i="3"/>
  <c r="V162" i="2" l="1"/>
  <c r="T161" i="2"/>
  <c r="D160" i="4"/>
  <c r="L163" i="2"/>
  <c r="I162" i="2"/>
  <c r="F162" i="2" s="1"/>
  <c r="C160" i="4"/>
  <c r="AB159" i="3"/>
  <c r="E160" i="4" s="1"/>
  <c r="H163" i="2"/>
  <c r="K164" i="2"/>
  <c r="C166" i="2"/>
  <c r="A161" i="4"/>
  <c r="C160" i="3"/>
  <c r="P160" i="3"/>
  <c r="G160" i="3"/>
  <c r="S160" i="3"/>
  <c r="Y160" i="3" s="1"/>
  <c r="Z160" i="3" s="1"/>
  <c r="AA160" i="3" s="1"/>
  <c r="J160" i="3"/>
  <c r="M160" i="3"/>
  <c r="N160" i="3"/>
  <c r="T160" i="3"/>
  <c r="V160" i="3"/>
  <c r="H160" i="3"/>
  <c r="E160" i="3"/>
  <c r="M164" i="2"/>
  <c r="J163" i="2"/>
  <c r="G163" i="2"/>
  <c r="D164" i="2"/>
  <c r="E163" i="2"/>
  <c r="I158" i="3"/>
  <c r="F159" i="4" s="1"/>
  <c r="U158" i="3"/>
  <c r="J159" i="4" s="1"/>
  <c r="O158" i="3"/>
  <c r="H159" i="4" s="1"/>
  <c r="G160" i="4"/>
  <c r="L160" i="4" s="1"/>
  <c r="I160" i="4"/>
  <c r="M160" i="4" s="1"/>
  <c r="K160" i="4"/>
  <c r="N160" i="4" s="1"/>
  <c r="F159" i="3"/>
  <c r="D160" i="3"/>
  <c r="V163" i="2" l="1"/>
  <c r="T162" i="2"/>
  <c r="D161" i="4"/>
  <c r="C167" i="2"/>
  <c r="K165" i="2"/>
  <c r="H164" i="2"/>
  <c r="G161" i="4"/>
  <c r="L161" i="4" s="1"/>
  <c r="I161" i="4"/>
  <c r="M161" i="4" s="1"/>
  <c r="K161" i="4"/>
  <c r="N161" i="4" s="1"/>
  <c r="C161" i="4"/>
  <c r="AB160" i="3"/>
  <c r="E161" i="4" s="1"/>
  <c r="D161" i="3"/>
  <c r="F160" i="3"/>
  <c r="A162" i="4"/>
  <c r="M161" i="3"/>
  <c r="P161" i="3"/>
  <c r="C161" i="3"/>
  <c r="S161" i="3"/>
  <c r="Y161" i="3" s="1"/>
  <c r="Z161" i="3" s="1"/>
  <c r="AA161" i="3" s="1"/>
  <c r="E161" i="3"/>
  <c r="T161" i="3"/>
  <c r="G161" i="3"/>
  <c r="V161" i="3"/>
  <c r="H161" i="3"/>
  <c r="J161" i="3"/>
  <c r="N161" i="3"/>
  <c r="U159" i="3"/>
  <c r="J160" i="4" s="1"/>
  <c r="I159" i="3"/>
  <c r="F160" i="4" s="1"/>
  <c r="O159" i="3"/>
  <c r="H160" i="4" s="1"/>
  <c r="D165" i="2"/>
  <c r="E164" i="2"/>
  <c r="I163" i="2"/>
  <c r="F163" i="2" s="1"/>
  <c r="L164" i="2"/>
  <c r="J164" i="2"/>
  <c r="G164" i="2" s="1"/>
  <c r="M165" i="2"/>
  <c r="V164" i="2" l="1"/>
  <c r="T163" i="2"/>
  <c r="D162" i="4"/>
  <c r="C162" i="4"/>
  <c r="AB161" i="3"/>
  <c r="E162" i="4" s="1"/>
  <c r="M166" i="2"/>
  <c r="J165" i="2"/>
  <c r="G165" i="2" s="1"/>
  <c r="G162" i="4"/>
  <c r="L162" i="4" s="1"/>
  <c r="I162" i="4"/>
  <c r="M162" i="4" s="1"/>
  <c r="K162" i="4"/>
  <c r="N162" i="4" s="1"/>
  <c r="K166" i="2"/>
  <c r="H165" i="2"/>
  <c r="A163" i="4"/>
  <c r="J162" i="3"/>
  <c r="V162" i="3"/>
  <c r="M162" i="3"/>
  <c r="S162" i="3"/>
  <c r="Y162" i="3" s="1"/>
  <c r="Z162" i="3" s="1"/>
  <c r="AA162" i="3" s="1"/>
  <c r="E162" i="3"/>
  <c r="T162" i="3"/>
  <c r="G162" i="3"/>
  <c r="H162" i="3"/>
  <c r="N162" i="3"/>
  <c r="P162" i="3"/>
  <c r="C162" i="3"/>
  <c r="O160" i="3"/>
  <c r="H161" i="4" s="1"/>
  <c r="I160" i="3"/>
  <c r="F161" i="4" s="1"/>
  <c r="U160" i="3"/>
  <c r="J161" i="4" s="1"/>
  <c r="C168" i="2"/>
  <c r="I164" i="2"/>
  <c r="F164" i="2" s="1"/>
  <c r="L165" i="2"/>
  <c r="D162" i="3"/>
  <c r="F161" i="3"/>
  <c r="D166" i="2"/>
  <c r="E165" i="2"/>
  <c r="V165" i="2" l="1"/>
  <c r="T164" i="2"/>
  <c r="D163" i="4"/>
  <c r="L166" i="2"/>
  <c r="I165" i="2"/>
  <c r="F165" i="2" s="1"/>
  <c r="C163" i="4"/>
  <c r="AB162" i="3"/>
  <c r="E163" i="4" s="1"/>
  <c r="F162" i="3"/>
  <c r="D163" i="3"/>
  <c r="M167" i="2"/>
  <c r="J166" i="2"/>
  <c r="G166" i="2" s="1"/>
  <c r="C169" i="2"/>
  <c r="G163" i="4"/>
  <c r="L163" i="4" s="1"/>
  <c r="I163" i="4"/>
  <c r="M163" i="4" s="1"/>
  <c r="K163" i="4"/>
  <c r="N163" i="4" s="1"/>
  <c r="D167" i="2"/>
  <c r="O161" i="3"/>
  <c r="H162" i="4" s="1"/>
  <c r="U161" i="3"/>
  <c r="J162" i="4" s="1"/>
  <c r="I161" i="3"/>
  <c r="F162" i="4" s="1"/>
  <c r="A164" i="4"/>
  <c r="G163" i="3"/>
  <c r="S163" i="3"/>
  <c r="Y163" i="3" s="1"/>
  <c r="Z163" i="3" s="1"/>
  <c r="AA163" i="3" s="1"/>
  <c r="J163" i="3"/>
  <c r="V163" i="3"/>
  <c r="M163" i="3"/>
  <c r="N163" i="3"/>
  <c r="P163" i="3"/>
  <c r="T163" i="3"/>
  <c r="E163" i="3"/>
  <c r="C163" i="3"/>
  <c r="H163" i="3"/>
  <c r="K167" i="2"/>
  <c r="H166" i="2"/>
  <c r="E166" i="2" s="1"/>
  <c r="V166" i="2" l="1"/>
  <c r="T165" i="2"/>
  <c r="D164" i="4"/>
  <c r="A165" i="4"/>
  <c r="C164" i="3"/>
  <c r="P164" i="3"/>
  <c r="G164" i="3"/>
  <c r="S164" i="3"/>
  <c r="Y164" i="3" s="1"/>
  <c r="Z164" i="3" s="1"/>
  <c r="AA164" i="3" s="1"/>
  <c r="M164" i="3"/>
  <c r="N164" i="3"/>
  <c r="T164" i="3"/>
  <c r="E164" i="3"/>
  <c r="V164" i="3"/>
  <c r="H164" i="3"/>
  <c r="J164" i="3"/>
  <c r="H167" i="2"/>
  <c r="K168" i="2"/>
  <c r="C164" i="4"/>
  <c r="AB163" i="3"/>
  <c r="E164" i="4" s="1"/>
  <c r="M168" i="2"/>
  <c r="J167" i="2"/>
  <c r="G167" i="2" s="1"/>
  <c r="D168" i="2"/>
  <c r="E167" i="2"/>
  <c r="F163" i="3"/>
  <c r="D164" i="3"/>
  <c r="I162" i="3"/>
  <c r="F163" i="4" s="1"/>
  <c r="U162" i="3"/>
  <c r="J163" i="4" s="1"/>
  <c r="O162" i="3"/>
  <c r="H163" i="4" s="1"/>
  <c r="K164" i="4"/>
  <c r="N164" i="4" s="1"/>
  <c r="G164" i="4"/>
  <c r="L164" i="4" s="1"/>
  <c r="I164" i="4"/>
  <c r="M164" i="4" s="1"/>
  <c r="L167" i="2"/>
  <c r="I166" i="2"/>
  <c r="F166" i="2" s="1"/>
  <c r="C170" i="2"/>
  <c r="V167" i="2" l="1"/>
  <c r="T166" i="2"/>
  <c r="D165" i="4"/>
  <c r="D169" i="2"/>
  <c r="E168" i="2"/>
  <c r="M169" i="2"/>
  <c r="J168" i="2"/>
  <c r="G168" i="2" s="1"/>
  <c r="C165" i="4"/>
  <c r="AB164" i="3"/>
  <c r="E165" i="4" s="1"/>
  <c r="C171" i="2"/>
  <c r="K169" i="2"/>
  <c r="H168" i="2"/>
  <c r="D165" i="3"/>
  <c r="F164" i="3"/>
  <c r="I163" i="3"/>
  <c r="F164" i="4" s="1"/>
  <c r="O163" i="3"/>
  <c r="H164" i="4" s="1"/>
  <c r="U163" i="3"/>
  <c r="J164" i="4" s="1"/>
  <c r="A166" i="4"/>
  <c r="M165" i="3"/>
  <c r="P165" i="3"/>
  <c r="C165" i="3"/>
  <c r="S165" i="3"/>
  <c r="Y165" i="3" s="1"/>
  <c r="Z165" i="3" s="1"/>
  <c r="AA165" i="3" s="1"/>
  <c r="E165" i="3"/>
  <c r="T165" i="3"/>
  <c r="G165" i="3"/>
  <c r="V165" i="3"/>
  <c r="H165" i="3"/>
  <c r="J165" i="3"/>
  <c r="N165" i="3"/>
  <c r="I165" i="4"/>
  <c r="M165" i="4" s="1"/>
  <c r="K165" i="4"/>
  <c r="N165" i="4" s="1"/>
  <c r="G165" i="4"/>
  <c r="L165" i="4" s="1"/>
  <c r="I167" i="2"/>
  <c r="F167" i="2" s="1"/>
  <c r="L168" i="2"/>
  <c r="V168" i="2" l="1"/>
  <c r="T167" i="2"/>
  <c r="D166" i="4"/>
  <c r="G166" i="4"/>
  <c r="L166" i="4" s="1"/>
  <c r="I166" i="4"/>
  <c r="M166" i="4" s="1"/>
  <c r="K166" i="4"/>
  <c r="N166" i="4" s="1"/>
  <c r="M170" i="2"/>
  <c r="J169" i="2"/>
  <c r="C166" i="4"/>
  <c r="AB165" i="3"/>
  <c r="E166" i="4" s="1"/>
  <c r="O164" i="3"/>
  <c r="H165" i="4" s="1"/>
  <c r="U164" i="3"/>
  <c r="J165" i="4" s="1"/>
  <c r="I164" i="3"/>
  <c r="F165" i="4" s="1"/>
  <c r="A167" i="4"/>
  <c r="J166" i="3"/>
  <c r="V166" i="3"/>
  <c r="M166" i="3"/>
  <c r="G166" i="3"/>
  <c r="H166" i="3"/>
  <c r="N166" i="3"/>
  <c r="P166" i="3"/>
  <c r="S166" i="3"/>
  <c r="Y166" i="3" s="1"/>
  <c r="Z166" i="3" s="1"/>
  <c r="AA166" i="3" s="1"/>
  <c r="C166" i="3"/>
  <c r="E166" i="3"/>
  <c r="T166" i="3"/>
  <c r="L169" i="2"/>
  <c r="I168" i="2"/>
  <c r="F168" i="2" s="1"/>
  <c r="F165" i="3"/>
  <c r="D166" i="3"/>
  <c r="G169" i="2"/>
  <c r="D170" i="2"/>
  <c r="K170" i="2"/>
  <c r="H169" i="2"/>
  <c r="E169" i="2" s="1"/>
  <c r="C172" i="2"/>
  <c r="V169" i="2" l="1"/>
  <c r="T168" i="2"/>
  <c r="D167" i="4"/>
  <c r="A168" i="4"/>
  <c r="G167" i="3"/>
  <c r="S167" i="3"/>
  <c r="Y167" i="3" s="1"/>
  <c r="Z167" i="3" s="1"/>
  <c r="AA167" i="3" s="1"/>
  <c r="J167" i="3"/>
  <c r="V167" i="3"/>
  <c r="M167" i="3"/>
  <c r="N167" i="3"/>
  <c r="P167" i="3"/>
  <c r="C167" i="3"/>
  <c r="T167" i="3"/>
  <c r="E167" i="3"/>
  <c r="H167" i="3"/>
  <c r="D171" i="2"/>
  <c r="G170" i="2"/>
  <c r="M171" i="2"/>
  <c r="J170" i="2"/>
  <c r="D167" i="3"/>
  <c r="F166" i="3"/>
  <c r="C167" i="4"/>
  <c r="AB166" i="3"/>
  <c r="E167" i="4" s="1"/>
  <c r="U165" i="3"/>
  <c r="J166" i="4" s="1"/>
  <c r="I165" i="3"/>
  <c r="F166" i="4" s="1"/>
  <c r="O165" i="3"/>
  <c r="H166" i="4" s="1"/>
  <c r="G167" i="4"/>
  <c r="L167" i="4" s="1"/>
  <c r="I167" i="4"/>
  <c r="M167" i="4" s="1"/>
  <c r="K167" i="4"/>
  <c r="N167" i="4" s="1"/>
  <c r="K171" i="2"/>
  <c r="H170" i="2"/>
  <c r="E170" i="2" s="1"/>
  <c r="C173" i="2"/>
  <c r="L170" i="2"/>
  <c r="I169" i="2"/>
  <c r="F169" i="2" s="1"/>
  <c r="V170" i="2" l="1"/>
  <c r="T169" i="2"/>
  <c r="D168" i="4"/>
  <c r="A169" i="4"/>
  <c r="C168" i="3"/>
  <c r="P168" i="3"/>
  <c r="G168" i="3"/>
  <c r="S168" i="3"/>
  <c r="Y168" i="3" s="1"/>
  <c r="Z168" i="3" s="1"/>
  <c r="AA168" i="3" s="1"/>
  <c r="E168" i="3"/>
  <c r="T168" i="3"/>
  <c r="H168" i="3"/>
  <c r="V168" i="3"/>
  <c r="J168" i="3"/>
  <c r="M168" i="3"/>
  <c r="N168" i="3"/>
  <c r="I166" i="3"/>
  <c r="F167" i="4" s="1"/>
  <c r="U166" i="3"/>
  <c r="J167" i="4" s="1"/>
  <c r="O166" i="3"/>
  <c r="H167" i="4" s="1"/>
  <c r="F167" i="3"/>
  <c r="D168" i="3"/>
  <c r="M172" i="2"/>
  <c r="J171" i="2"/>
  <c r="G171" i="2" s="1"/>
  <c r="C168" i="4"/>
  <c r="AB167" i="3"/>
  <c r="E168" i="4" s="1"/>
  <c r="G168" i="4"/>
  <c r="L168" i="4" s="1"/>
  <c r="I168" i="4"/>
  <c r="M168" i="4" s="1"/>
  <c r="K168" i="4"/>
  <c r="N168" i="4" s="1"/>
  <c r="K172" i="2"/>
  <c r="H171" i="2"/>
  <c r="C174" i="2"/>
  <c r="L171" i="2"/>
  <c r="I170" i="2"/>
  <c r="F170" i="2" s="1"/>
  <c r="D172" i="2"/>
  <c r="E171" i="2"/>
  <c r="V171" i="2" l="1"/>
  <c r="T170" i="2"/>
  <c r="D169" i="4"/>
  <c r="L172" i="2"/>
  <c r="I171" i="2"/>
  <c r="F171" i="2" s="1"/>
  <c r="J172" i="2"/>
  <c r="G172" i="2" s="1"/>
  <c r="M173" i="2"/>
  <c r="D169" i="3"/>
  <c r="F168" i="3"/>
  <c r="C175" i="2"/>
  <c r="K173" i="2"/>
  <c r="H172" i="2"/>
  <c r="E172" i="2" s="1"/>
  <c r="O167" i="3"/>
  <c r="H168" i="4" s="1"/>
  <c r="U167" i="3"/>
  <c r="J168" i="4" s="1"/>
  <c r="I167" i="3"/>
  <c r="F168" i="4" s="1"/>
  <c r="G169" i="4"/>
  <c r="L169" i="4" s="1"/>
  <c r="I169" i="4"/>
  <c r="M169" i="4" s="1"/>
  <c r="K169" i="4"/>
  <c r="N169" i="4" s="1"/>
  <c r="D173" i="2"/>
  <c r="A170" i="4"/>
  <c r="M169" i="3"/>
  <c r="P169" i="3"/>
  <c r="E169" i="3"/>
  <c r="S169" i="3"/>
  <c r="Y169" i="3" s="1"/>
  <c r="Z169" i="3" s="1"/>
  <c r="AA169" i="3" s="1"/>
  <c r="T169" i="3"/>
  <c r="G169" i="3"/>
  <c r="H169" i="3"/>
  <c r="V169" i="3"/>
  <c r="J169" i="3"/>
  <c r="C169" i="3"/>
  <c r="N169" i="3"/>
  <c r="C169" i="4"/>
  <c r="AB168" i="3"/>
  <c r="E169" i="4" s="1"/>
  <c r="V172" i="2" l="1"/>
  <c r="T171" i="2"/>
  <c r="D170" i="4"/>
  <c r="D174" i="2"/>
  <c r="C176" i="2"/>
  <c r="U168" i="3"/>
  <c r="J169" i="4" s="1"/>
  <c r="I168" i="3"/>
  <c r="F169" i="4" s="1"/>
  <c r="O168" i="3"/>
  <c r="H169" i="4" s="1"/>
  <c r="F169" i="3"/>
  <c r="D170" i="3"/>
  <c r="M174" i="2"/>
  <c r="J173" i="2"/>
  <c r="G173" i="2" s="1"/>
  <c r="K170" i="4"/>
  <c r="N170" i="4" s="1"/>
  <c r="G170" i="4"/>
  <c r="L170" i="4" s="1"/>
  <c r="I170" i="4"/>
  <c r="M170" i="4" s="1"/>
  <c r="C170" i="4"/>
  <c r="AB169" i="3"/>
  <c r="E170" i="4" s="1"/>
  <c r="I172" i="2"/>
  <c r="F172" i="2" s="1"/>
  <c r="L173" i="2"/>
  <c r="K174" i="2"/>
  <c r="H173" i="2"/>
  <c r="E173" i="2" s="1"/>
  <c r="A171" i="4"/>
  <c r="J170" i="3"/>
  <c r="V170" i="3"/>
  <c r="M170" i="3"/>
  <c r="T170" i="3"/>
  <c r="G170" i="3"/>
  <c r="H170" i="3"/>
  <c r="N170" i="3"/>
  <c r="C170" i="3"/>
  <c r="E170" i="3"/>
  <c r="P170" i="3"/>
  <c r="S170" i="3"/>
  <c r="Y170" i="3" s="1"/>
  <c r="Z170" i="3" s="1"/>
  <c r="AA170" i="3" s="1"/>
  <c r="V173" i="2" l="1"/>
  <c r="T172" i="2"/>
  <c r="D171" i="4"/>
  <c r="C177" i="2"/>
  <c r="C171" i="4"/>
  <c r="AB170" i="3"/>
  <c r="E171" i="4" s="1"/>
  <c r="I171" i="4"/>
  <c r="M171" i="4" s="1"/>
  <c r="K171" i="4"/>
  <c r="N171" i="4" s="1"/>
  <c r="G171" i="4"/>
  <c r="L171" i="4" s="1"/>
  <c r="D175" i="2"/>
  <c r="H174" i="2"/>
  <c r="E174" i="2" s="1"/>
  <c r="K175" i="2"/>
  <c r="M175" i="2"/>
  <c r="J174" i="2"/>
  <c r="G174" i="2" s="1"/>
  <c r="A172" i="4"/>
  <c r="G171" i="3"/>
  <c r="S171" i="3"/>
  <c r="Y171" i="3" s="1"/>
  <c r="Z171" i="3" s="1"/>
  <c r="AA171" i="3" s="1"/>
  <c r="T171" i="3"/>
  <c r="H171" i="3"/>
  <c r="V171" i="3"/>
  <c r="J171" i="3"/>
  <c r="M171" i="3"/>
  <c r="N171" i="3"/>
  <c r="C171" i="3"/>
  <c r="P171" i="3"/>
  <c r="E171" i="3"/>
  <c r="L174" i="2"/>
  <c r="I173" i="2"/>
  <c r="F173" i="2" s="1"/>
  <c r="F170" i="3"/>
  <c r="D171" i="3"/>
  <c r="U169" i="3"/>
  <c r="J170" i="4" s="1"/>
  <c r="I169" i="3"/>
  <c r="F170" i="4" s="1"/>
  <c r="O169" i="3"/>
  <c r="H170" i="4" s="1"/>
  <c r="V174" i="2" l="1"/>
  <c r="T173" i="2"/>
  <c r="D172" i="4"/>
  <c r="L175" i="2"/>
  <c r="I174" i="2"/>
  <c r="F174" i="2" s="1"/>
  <c r="M176" i="2"/>
  <c r="J175" i="2"/>
  <c r="K176" i="2"/>
  <c r="H175" i="2"/>
  <c r="E175" i="2" s="1"/>
  <c r="C172" i="4"/>
  <c r="AB171" i="3"/>
  <c r="E172" i="4" s="1"/>
  <c r="C178" i="2"/>
  <c r="G172" i="4"/>
  <c r="L172" i="4" s="1"/>
  <c r="I172" i="4"/>
  <c r="M172" i="4" s="1"/>
  <c r="K172" i="4"/>
  <c r="N172" i="4" s="1"/>
  <c r="D172" i="3"/>
  <c r="F171" i="3"/>
  <c r="G175" i="2"/>
  <c r="D176" i="2"/>
  <c r="U170" i="3"/>
  <c r="J171" i="4" s="1"/>
  <c r="I170" i="3"/>
  <c r="F171" i="4" s="1"/>
  <c r="O170" i="3"/>
  <c r="H171" i="4" s="1"/>
  <c r="A173" i="4"/>
  <c r="P172" i="3"/>
  <c r="S172" i="3"/>
  <c r="Y172" i="3" s="1"/>
  <c r="Z172" i="3" s="1"/>
  <c r="AA172" i="3" s="1"/>
  <c r="G172" i="3"/>
  <c r="T172" i="3"/>
  <c r="H172" i="3"/>
  <c r="V172" i="3"/>
  <c r="J172" i="3"/>
  <c r="M172" i="3"/>
  <c r="C172" i="3"/>
  <c r="E172" i="3"/>
  <c r="N172" i="3"/>
  <c r="V175" i="2" l="1"/>
  <c r="T174" i="2"/>
  <c r="D173" i="4"/>
  <c r="C179" i="2"/>
  <c r="U171" i="3"/>
  <c r="J172" i="4" s="1"/>
  <c r="I171" i="3"/>
  <c r="F172" i="4" s="1"/>
  <c r="O171" i="3"/>
  <c r="H172" i="4" s="1"/>
  <c r="F172" i="3"/>
  <c r="D173" i="3"/>
  <c r="K177" i="2"/>
  <c r="H176" i="2"/>
  <c r="E176" i="2" s="1"/>
  <c r="G173" i="4"/>
  <c r="L173" i="4" s="1"/>
  <c r="I173" i="4"/>
  <c r="M173" i="4" s="1"/>
  <c r="K173" i="4"/>
  <c r="N173" i="4" s="1"/>
  <c r="D177" i="2"/>
  <c r="M177" i="2"/>
  <c r="J176" i="2"/>
  <c r="G176" i="2" s="1"/>
  <c r="L176" i="2"/>
  <c r="I175" i="2"/>
  <c r="F175" i="2" s="1"/>
  <c r="C173" i="4"/>
  <c r="AB172" i="3"/>
  <c r="E173" i="4" s="1"/>
  <c r="A174" i="4"/>
  <c r="M173" i="3"/>
  <c r="E173" i="3"/>
  <c r="S173" i="3"/>
  <c r="Y173" i="3" s="1"/>
  <c r="Z173" i="3" s="1"/>
  <c r="AA173" i="3" s="1"/>
  <c r="G173" i="3"/>
  <c r="T173" i="3"/>
  <c r="H173" i="3"/>
  <c r="V173" i="3"/>
  <c r="J173" i="3"/>
  <c r="C173" i="3"/>
  <c r="N173" i="3"/>
  <c r="P173" i="3"/>
  <c r="V176" i="2" l="1"/>
  <c r="T175" i="2"/>
  <c r="D174" i="4"/>
  <c r="K178" i="2"/>
  <c r="H177" i="2"/>
  <c r="F173" i="3"/>
  <c r="D174" i="3"/>
  <c r="D178" i="2"/>
  <c r="E177" i="2"/>
  <c r="U172" i="3"/>
  <c r="J173" i="4" s="1"/>
  <c r="I172" i="3"/>
  <c r="F173" i="4" s="1"/>
  <c r="O172" i="3"/>
  <c r="H173" i="4" s="1"/>
  <c r="C174" i="4"/>
  <c r="AB173" i="3"/>
  <c r="E174" i="4" s="1"/>
  <c r="C180" i="2"/>
  <c r="J177" i="2"/>
  <c r="G177" i="2" s="1"/>
  <c r="M178" i="2"/>
  <c r="A175" i="4"/>
  <c r="C174" i="3"/>
  <c r="P174" i="3"/>
  <c r="E174" i="3"/>
  <c r="G174" i="3"/>
  <c r="S174" i="3"/>
  <c r="Y174" i="3" s="1"/>
  <c r="Z174" i="3" s="1"/>
  <c r="AA174" i="3" s="1"/>
  <c r="H174" i="3"/>
  <c r="T174" i="3"/>
  <c r="J174" i="3"/>
  <c r="V174" i="3"/>
  <c r="M174" i="3"/>
  <c r="N174" i="3"/>
  <c r="L177" i="2"/>
  <c r="I176" i="2"/>
  <c r="F176" i="2" s="1"/>
  <c r="G174" i="4"/>
  <c r="L174" i="4" s="1"/>
  <c r="I174" i="4"/>
  <c r="M174" i="4" s="1"/>
  <c r="K174" i="4"/>
  <c r="N174" i="4" s="1"/>
  <c r="V177" i="2" l="1"/>
  <c r="T176" i="2"/>
  <c r="D175" i="4"/>
  <c r="L178" i="2"/>
  <c r="I177" i="2"/>
  <c r="F177" i="2" s="1"/>
  <c r="G175" i="4"/>
  <c r="L175" i="4" s="1"/>
  <c r="I175" i="4"/>
  <c r="M175" i="4" s="1"/>
  <c r="K175" i="4"/>
  <c r="N175" i="4" s="1"/>
  <c r="C175" i="4"/>
  <c r="AB174" i="3"/>
  <c r="E175" i="4" s="1"/>
  <c r="M179" i="2"/>
  <c r="J178" i="2"/>
  <c r="G178" i="2" s="1"/>
  <c r="D179" i="2"/>
  <c r="F174" i="3"/>
  <c r="D175" i="3"/>
  <c r="C181" i="2"/>
  <c r="U173" i="3"/>
  <c r="J174" i="4" s="1"/>
  <c r="I173" i="3"/>
  <c r="F174" i="4" s="1"/>
  <c r="O173" i="3"/>
  <c r="H174" i="4" s="1"/>
  <c r="K179" i="2"/>
  <c r="H178" i="2"/>
  <c r="E178" i="2" s="1"/>
  <c r="A176" i="4"/>
  <c r="M175" i="3"/>
  <c r="N175" i="3"/>
  <c r="C175" i="3"/>
  <c r="P175" i="3"/>
  <c r="E175" i="3"/>
  <c r="G175" i="3"/>
  <c r="S175" i="3"/>
  <c r="Y175" i="3" s="1"/>
  <c r="Z175" i="3" s="1"/>
  <c r="AA175" i="3" s="1"/>
  <c r="H175" i="3"/>
  <c r="J175" i="3"/>
  <c r="V175" i="3"/>
  <c r="T175" i="3"/>
  <c r="V178" i="2" l="1"/>
  <c r="T177" i="2"/>
  <c r="D176" i="4"/>
  <c r="A177" i="4"/>
  <c r="J176" i="3"/>
  <c r="V176" i="3"/>
  <c r="M176" i="3"/>
  <c r="N176" i="3"/>
  <c r="C176" i="3"/>
  <c r="P176" i="3"/>
  <c r="E176" i="3"/>
  <c r="G176" i="3"/>
  <c r="H176" i="3"/>
  <c r="S176" i="3"/>
  <c r="Y176" i="3" s="1"/>
  <c r="Z176" i="3" s="1"/>
  <c r="AA176" i="3" s="1"/>
  <c r="T176" i="3"/>
  <c r="C182" i="2"/>
  <c r="F175" i="3"/>
  <c r="D176" i="3"/>
  <c r="O174" i="3"/>
  <c r="H175" i="4" s="1"/>
  <c r="I174" i="3"/>
  <c r="F175" i="4" s="1"/>
  <c r="U174" i="3"/>
  <c r="J175" i="4" s="1"/>
  <c r="C176" i="4"/>
  <c r="AB175" i="3"/>
  <c r="E176" i="4" s="1"/>
  <c r="D180" i="2"/>
  <c r="H179" i="2"/>
  <c r="E179" i="2" s="1"/>
  <c r="K180" i="2"/>
  <c r="L179" i="2"/>
  <c r="I178" i="2"/>
  <c r="F178" i="2" s="1"/>
  <c r="K176" i="4"/>
  <c r="N176" i="4" s="1"/>
  <c r="G176" i="4"/>
  <c r="L176" i="4" s="1"/>
  <c r="I176" i="4"/>
  <c r="M176" i="4" s="1"/>
  <c r="M180" i="2"/>
  <c r="J179" i="2"/>
  <c r="G179" i="2" s="1"/>
  <c r="V179" i="2" l="1"/>
  <c r="T178" i="2"/>
  <c r="D177" i="4"/>
  <c r="K181" i="2"/>
  <c r="H180" i="2"/>
  <c r="F176" i="3"/>
  <c r="D177" i="3"/>
  <c r="O175" i="3"/>
  <c r="H176" i="4" s="1"/>
  <c r="I175" i="3"/>
  <c r="F176" i="4" s="1"/>
  <c r="U175" i="3"/>
  <c r="J176" i="4" s="1"/>
  <c r="C177" i="4"/>
  <c r="AB176" i="3"/>
  <c r="E177" i="4" s="1"/>
  <c r="I179" i="2"/>
  <c r="F179" i="2" s="1"/>
  <c r="L180" i="2"/>
  <c r="M181" i="2"/>
  <c r="J180" i="2"/>
  <c r="C183" i="2"/>
  <c r="A178" i="4"/>
  <c r="G177" i="3"/>
  <c r="S177" i="3"/>
  <c r="Y177" i="3" s="1"/>
  <c r="Z177" i="3" s="1"/>
  <c r="AA177" i="3" s="1"/>
  <c r="H177" i="3"/>
  <c r="T177" i="3"/>
  <c r="J177" i="3"/>
  <c r="V177" i="3"/>
  <c r="M177" i="3"/>
  <c r="C177" i="3"/>
  <c r="N177" i="3"/>
  <c r="P177" i="3"/>
  <c r="E177" i="3"/>
  <c r="I177" i="4"/>
  <c r="M177" i="4" s="1"/>
  <c r="K177" i="4"/>
  <c r="N177" i="4" s="1"/>
  <c r="G177" i="4"/>
  <c r="L177" i="4" s="1"/>
  <c r="G180" i="2"/>
  <c r="D181" i="2"/>
  <c r="E180" i="2"/>
  <c r="V180" i="2" l="1"/>
  <c r="T179" i="2"/>
  <c r="D178" i="4"/>
  <c r="A179" i="4"/>
  <c r="C178" i="3"/>
  <c r="P178" i="3"/>
  <c r="E178" i="3"/>
  <c r="G178" i="3"/>
  <c r="S178" i="3"/>
  <c r="Y178" i="3" s="1"/>
  <c r="Z178" i="3" s="1"/>
  <c r="AA178" i="3" s="1"/>
  <c r="H178" i="3"/>
  <c r="T178" i="3"/>
  <c r="J178" i="3"/>
  <c r="V178" i="3"/>
  <c r="M178" i="3"/>
  <c r="N178" i="3"/>
  <c r="C184" i="2"/>
  <c r="F177" i="3"/>
  <c r="D178" i="3"/>
  <c r="I176" i="3"/>
  <c r="F177" i="4" s="1"/>
  <c r="U176" i="3"/>
  <c r="J177" i="4" s="1"/>
  <c r="O176" i="3"/>
  <c r="H177" i="4" s="1"/>
  <c r="G178" i="4"/>
  <c r="L178" i="4" s="1"/>
  <c r="I178" i="4"/>
  <c r="M178" i="4" s="1"/>
  <c r="K178" i="4"/>
  <c r="N178" i="4" s="1"/>
  <c r="D182" i="2"/>
  <c r="K182" i="2"/>
  <c r="H181" i="2"/>
  <c r="E181" i="2" s="1"/>
  <c r="C178" i="4"/>
  <c r="AB177" i="3"/>
  <c r="E178" i="4" s="1"/>
  <c r="M182" i="2"/>
  <c r="J181" i="2"/>
  <c r="G181" i="2" s="1"/>
  <c r="L181" i="2"/>
  <c r="I180" i="2"/>
  <c r="F180" i="2" s="1"/>
  <c r="V181" i="2" l="1"/>
  <c r="T180" i="2"/>
  <c r="D179" i="4"/>
  <c r="K183" i="2"/>
  <c r="H182" i="2"/>
  <c r="F178" i="3"/>
  <c r="D179" i="3"/>
  <c r="D183" i="2"/>
  <c r="E182" i="2"/>
  <c r="I177" i="3"/>
  <c r="F178" i="4" s="1"/>
  <c r="U177" i="3"/>
  <c r="J178" i="4" s="1"/>
  <c r="O177" i="3"/>
  <c r="H178" i="4" s="1"/>
  <c r="A180" i="4"/>
  <c r="M179" i="3"/>
  <c r="N179" i="3"/>
  <c r="C179" i="3"/>
  <c r="P179" i="3"/>
  <c r="E179" i="3"/>
  <c r="G179" i="3"/>
  <c r="S179" i="3"/>
  <c r="Y179" i="3" s="1"/>
  <c r="Z179" i="3" s="1"/>
  <c r="AA179" i="3" s="1"/>
  <c r="H179" i="3"/>
  <c r="J179" i="3"/>
  <c r="T179" i="3"/>
  <c r="V179" i="3"/>
  <c r="C185" i="2"/>
  <c r="L182" i="2"/>
  <c r="I181" i="2"/>
  <c r="F181" i="2" s="1"/>
  <c r="M183" i="2"/>
  <c r="J182" i="2"/>
  <c r="G182" i="2" s="1"/>
  <c r="G179" i="4"/>
  <c r="L179" i="4" s="1"/>
  <c r="I179" i="4"/>
  <c r="M179" i="4" s="1"/>
  <c r="K179" i="4"/>
  <c r="N179" i="4" s="1"/>
  <c r="C179" i="4"/>
  <c r="AB178" i="3"/>
  <c r="E179" i="4" s="1"/>
  <c r="V182" i="2" l="1"/>
  <c r="T181" i="2"/>
  <c r="D180" i="4"/>
  <c r="M184" i="2"/>
  <c r="J183" i="2"/>
  <c r="A181" i="4"/>
  <c r="J180" i="3"/>
  <c r="V180" i="3"/>
  <c r="M180" i="3"/>
  <c r="N180" i="3"/>
  <c r="C180" i="3"/>
  <c r="P180" i="3"/>
  <c r="H180" i="3"/>
  <c r="S180" i="3"/>
  <c r="Y180" i="3" s="1"/>
  <c r="Z180" i="3" s="1"/>
  <c r="AA180" i="3" s="1"/>
  <c r="T180" i="3"/>
  <c r="G180" i="3"/>
  <c r="E180" i="3"/>
  <c r="G183" i="2"/>
  <c r="D184" i="2"/>
  <c r="E183" i="2"/>
  <c r="L183" i="2"/>
  <c r="I182" i="2"/>
  <c r="F182" i="2" s="1"/>
  <c r="F179" i="3"/>
  <c r="D180" i="3"/>
  <c r="O178" i="3"/>
  <c r="H179" i="4" s="1"/>
  <c r="I178" i="3"/>
  <c r="F179" i="4" s="1"/>
  <c r="U178" i="3"/>
  <c r="J179" i="4" s="1"/>
  <c r="C186" i="2"/>
  <c r="C180" i="4"/>
  <c r="AB179" i="3"/>
  <c r="E180" i="4" s="1"/>
  <c r="G180" i="4"/>
  <c r="L180" i="4" s="1"/>
  <c r="I180" i="4"/>
  <c r="M180" i="4" s="1"/>
  <c r="K180" i="4"/>
  <c r="N180" i="4" s="1"/>
  <c r="K184" i="2"/>
  <c r="H183" i="2"/>
  <c r="V183" i="2" l="1"/>
  <c r="T182" i="2"/>
  <c r="D181" i="4"/>
  <c r="L184" i="2"/>
  <c r="I183" i="2"/>
  <c r="F183" i="2" s="1"/>
  <c r="C187" i="2"/>
  <c r="D185" i="2"/>
  <c r="E184" i="2"/>
  <c r="C181" i="4"/>
  <c r="AB180" i="3"/>
  <c r="E181" i="4" s="1"/>
  <c r="K185" i="2"/>
  <c r="H184" i="2"/>
  <c r="G181" i="4"/>
  <c r="L181" i="4" s="1"/>
  <c r="I181" i="4"/>
  <c r="M181" i="4" s="1"/>
  <c r="K181" i="4"/>
  <c r="N181" i="4" s="1"/>
  <c r="A182" i="4"/>
  <c r="G181" i="3"/>
  <c r="S181" i="3"/>
  <c r="Y181" i="3" s="1"/>
  <c r="Z181" i="3" s="1"/>
  <c r="AA181" i="3" s="1"/>
  <c r="H181" i="3"/>
  <c r="T181" i="3"/>
  <c r="J181" i="3"/>
  <c r="V181" i="3"/>
  <c r="M181" i="3"/>
  <c r="C181" i="3"/>
  <c r="P181" i="3"/>
  <c r="E181" i="3"/>
  <c r="N181" i="3"/>
  <c r="J184" i="2"/>
  <c r="G184" i="2" s="1"/>
  <c r="M185" i="2"/>
  <c r="F180" i="3"/>
  <c r="D181" i="3"/>
  <c r="O179" i="3"/>
  <c r="H180" i="4" s="1"/>
  <c r="I179" i="3"/>
  <c r="F180" i="4" s="1"/>
  <c r="U179" i="3"/>
  <c r="J180" i="4" s="1"/>
  <c r="V184" i="2" l="1"/>
  <c r="T183" i="2"/>
  <c r="D182" i="4"/>
  <c r="K182" i="4"/>
  <c r="N182" i="4" s="1"/>
  <c r="G182" i="4"/>
  <c r="L182" i="4" s="1"/>
  <c r="I182" i="4"/>
  <c r="M182" i="4" s="1"/>
  <c r="D186" i="2"/>
  <c r="A183" i="4"/>
  <c r="C182" i="3"/>
  <c r="P182" i="3"/>
  <c r="E182" i="3"/>
  <c r="G182" i="3"/>
  <c r="S182" i="3"/>
  <c r="Y182" i="3" s="1"/>
  <c r="Z182" i="3" s="1"/>
  <c r="AA182" i="3" s="1"/>
  <c r="H182" i="3"/>
  <c r="T182" i="3"/>
  <c r="J182" i="3"/>
  <c r="V182" i="3"/>
  <c r="M182" i="3"/>
  <c r="N182" i="3"/>
  <c r="C188" i="2"/>
  <c r="C182" i="4"/>
  <c r="AB181" i="3"/>
  <c r="E182" i="4" s="1"/>
  <c r="K186" i="2"/>
  <c r="H185" i="2"/>
  <c r="E185" i="2" s="1"/>
  <c r="I184" i="2"/>
  <c r="F184" i="2" s="1"/>
  <c r="L185" i="2"/>
  <c r="I180" i="3"/>
  <c r="F181" i="4" s="1"/>
  <c r="U180" i="3"/>
  <c r="J181" i="4" s="1"/>
  <c r="O180" i="3"/>
  <c r="H181" i="4" s="1"/>
  <c r="F181" i="3"/>
  <c r="D182" i="3"/>
  <c r="M186" i="2"/>
  <c r="J185" i="2"/>
  <c r="G185" i="2" s="1"/>
  <c r="V185" i="2" l="1"/>
  <c r="T184" i="2"/>
  <c r="D183" i="4"/>
  <c r="D187" i="2"/>
  <c r="A184" i="4"/>
  <c r="M183" i="3"/>
  <c r="N183" i="3"/>
  <c r="C183" i="3"/>
  <c r="P183" i="3"/>
  <c r="E183" i="3"/>
  <c r="G183" i="3"/>
  <c r="S183" i="3"/>
  <c r="Y183" i="3" s="1"/>
  <c r="Z183" i="3" s="1"/>
  <c r="AA183" i="3" s="1"/>
  <c r="H183" i="3"/>
  <c r="J183" i="3"/>
  <c r="T183" i="3"/>
  <c r="V183" i="3"/>
  <c r="M187" i="2"/>
  <c r="J186" i="2"/>
  <c r="G186" i="2" s="1"/>
  <c r="C189" i="2"/>
  <c r="L186" i="2"/>
  <c r="I185" i="2"/>
  <c r="F185" i="2" s="1"/>
  <c r="I181" i="3"/>
  <c r="F182" i="4" s="1"/>
  <c r="U181" i="3"/>
  <c r="J182" i="4" s="1"/>
  <c r="O181" i="3"/>
  <c r="H182" i="4" s="1"/>
  <c r="H186" i="2"/>
  <c r="E186" i="2" s="1"/>
  <c r="K187" i="2"/>
  <c r="I183" i="4"/>
  <c r="M183" i="4" s="1"/>
  <c r="K183" i="4"/>
  <c r="N183" i="4" s="1"/>
  <c r="G183" i="4"/>
  <c r="L183" i="4" s="1"/>
  <c r="F182" i="3"/>
  <c r="D183" i="3"/>
  <c r="C183" i="4"/>
  <c r="AB182" i="3"/>
  <c r="E183" i="4" s="1"/>
  <c r="V186" i="2" l="1"/>
  <c r="T185" i="2"/>
  <c r="D184" i="4"/>
  <c r="C184" i="4"/>
  <c r="AB183" i="3"/>
  <c r="E184" i="4" s="1"/>
  <c r="M188" i="2"/>
  <c r="J187" i="2"/>
  <c r="G187" i="2" s="1"/>
  <c r="G184" i="4"/>
  <c r="L184" i="4" s="1"/>
  <c r="I184" i="4"/>
  <c r="M184" i="4" s="1"/>
  <c r="K184" i="4"/>
  <c r="N184" i="4" s="1"/>
  <c r="K188" i="2"/>
  <c r="H187" i="2"/>
  <c r="E187" i="2" s="1"/>
  <c r="D188" i="2"/>
  <c r="D184" i="3"/>
  <c r="F183" i="3"/>
  <c r="L187" i="2"/>
  <c r="I186" i="2"/>
  <c r="F186" i="2" s="1"/>
  <c r="A185" i="4"/>
  <c r="J184" i="3"/>
  <c r="V184" i="3"/>
  <c r="M184" i="3"/>
  <c r="N184" i="3"/>
  <c r="P184" i="3"/>
  <c r="G184" i="3"/>
  <c r="H184" i="3"/>
  <c r="S184" i="3"/>
  <c r="Y184" i="3" s="1"/>
  <c r="Z184" i="3" s="1"/>
  <c r="AA184" i="3" s="1"/>
  <c r="T184" i="3"/>
  <c r="E184" i="3"/>
  <c r="C184" i="3"/>
  <c r="O182" i="3"/>
  <c r="H183" i="4" s="1"/>
  <c r="I182" i="3"/>
  <c r="F183" i="4" s="1"/>
  <c r="U182" i="3"/>
  <c r="J183" i="4" s="1"/>
  <c r="C190" i="2"/>
  <c r="V187" i="2" l="1"/>
  <c r="T186" i="2"/>
  <c r="D185" i="4"/>
  <c r="G185" i="4"/>
  <c r="L185" i="4" s="1"/>
  <c r="I185" i="4"/>
  <c r="M185" i="4" s="1"/>
  <c r="K185" i="4"/>
  <c r="N185" i="4" s="1"/>
  <c r="L188" i="2"/>
  <c r="I187" i="2"/>
  <c r="F187" i="2" s="1"/>
  <c r="F184" i="3"/>
  <c r="D185" i="3"/>
  <c r="D189" i="2"/>
  <c r="M189" i="2"/>
  <c r="J188" i="2"/>
  <c r="G188" i="2" s="1"/>
  <c r="C185" i="4"/>
  <c r="AB184" i="3"/>
  <c r="E185" i="4" s="1"/>
  <c r="A186" i="4"/>
  <c r="G185" i="3"/>
  <c r="S185" i="3"/>
  <c r="Y185" i="3" s="1"/>
  <c r="Z185" i="3" s="1"/>
  <c r="AA185" i="3" s="1"/>
  <c r="H185" i="3"/>
  <c r="T185" i="3"/>
  <c r="J185" i="3"/>
  <c r="V185" i="3"/>
  <c r="M185" i="3"/>
  <c r="C185" i="3"/>
  <c r="N185" i="3"/>
  <c r="P185" i="3"/>
  <c r="E185" i="3"/>
  <c r="O183" i="3"/>
  <c r="H184" i="4" s="1"/>
  <c r="I183" i="3"/>
  <c r="F184" i="4" s="1"/>
  <c r="U183" i="3"/>
  <c r="J184" i="4" s="1"/>
  <c r="C191" i="2"/>
  <c r="K189" i="2"/>
  <c r="H188" i="2"/>
  <c r="E188" i="2" s="1"/>
  <c r="V188" i="2" l="1"/>
  <c r="T187" i="2"/>
  <c r="D186" i="4"/>
  <c r="F185" i="3"/>
  <c r="D186" i="3"/>
  <c r="A187" i="4"/>
  <c r="C186" i="3"/>
  <c r="P186" i="3"/>
  <c r="E186" i="3"/>
  <c r="G186" i="3"/>
  <c r="S186" i="3"/>
  <c r="Y186" i="3" s="1"/>
  <c r="Z186" i="3" s="1"/>
  <c r="AA186" i="3" s="1"/>
  <c r="H186" i="3"/>
  <c r="T186" i="3"/>
  <c r="J186" i="3"/>
  <c r="V186" i="3"/>
  <c r="M186" i="3"/>
  <c r="N186" i="3"/>
  <c r="L189" i="2"/>
  <c r="I188" i="2"/>
  <c r="F188" i="2" s="1"/>
  <c r="G186" i="4"/>
  <c r="L186" i="4" s="1"/>
  <c r="I186" i="4"/>
  <c r="M186" i="4" s="1"/>
  <c r="K186" i="4"/>
  <c r="N186" i="4" s="1"/>
  <c r="J189" i="2"/>
  <c r="G189" i="2" s="1"/>
  <c r="M190" i="2"/>
  <c r="C186" i="4"/>
  <c r="AB185" i="3"/>
  <c r="E186" i="4" s="1"/>
  <c r="I184" i="3"/>
  <c r="F185" i="4" s="1"/>
  <c r="U184" i="3"/>
  <c r="J185" i="4" s="1"/>
  <c r="O184" i="3"/>
  <c r="H185" i="4" s="1"/>
  <c r="D190" i="2"/>
  <c r="E189" i="2"/>
  <c r="C192" i="2"/>
  <c r="K190" i="2"/>
  <c r="H189" i="2"/>
  <c r="V189" i="2" l="1"/>
  <c r="T188" i="2"/>
  <c r="D187" i="4"/>
  <c r="A188" i="4"/>
  <c r="M187" i="3"/>
  <c r="N187" i="3"/>
  <c r="C187" i="3"/>
  <c r="P187" i="3"/>
  <c r="E187" i="3"/>
  <c r="G187" i="3"/>
  <c r="S187" i="3"/>
  <c r="Y187" i="3" s="1"/>
  <c r="Z187" i="3" s="1"/>
  <c r="AA187" i="3" s="1"/>
  <c r="T187" i="3"/>
  <c r="V187" i="3"/>
  <c r="J187" i="3"/>
  <c r="H187" i="3"/>
  <c r="D191" i="2"/>
  <c r="L190" i="2"/>
  <c r="I189" i="2"/>
  <c r="F189" i="2" s="1"/>
  <c r="G187" i="4"/>
  <c r="L187" i="4" s="1"/>
  <c r="I187" i="4"/>
  <c r="M187" i="4" s="1"/>
  <c r="K187" i="4"/>
  <c r="N187" i="4" s="1"/>
  <c r="C187" i="4"/>
  <c r="AB186" i="3"/>
  <c r="E187" i="4" s="1"/>
  <c r="F186" i="3"/>
  <c r="D187" i="3"/>
  <c r="K191" i="2"/>
  <c r="H190" i="2"/>
  <c r="E190" i="2" s="1"/>
  <c r="M191" i="2"/>
  <c r="J190" i="2"/>
  <c r="G190" i="2" s="1"/>
  <c r="I185" i="3"/>
  <c r="F186" i="4" s="1"/>
  <c r="U185" i="3"/>
  <c r="J186" i="4" s="1"/>
  <c r="O185" i="3"/>
  <c r="H186" i="4" s="1"/>
  <c r="C193" i="2"/>
  <c r="V190" i="2" l="1"/>
  <c r="T189" i="2"/>
  <c r="D188" i="4"/>
  <c r="H191" i="2"/>
  <c r="K192" i="2"/>
  <c r="L191" i="2"/>
  <c r="I190" i="2"/>
  <c r="F190" i="2" s="1"/>
  <c r="A189" i="4"/>
  <c r="J188" i="3"/>
  <c r="V188" i="3"/>
  <c r="M188" i="3"/>
  <c r="N188" i="3"/>
  <c r="P188" i="3"/>
  <c r="T188" i="3"/>
  <c r="C188" i="3"/>
  <c r="E188" i="3"/>
  <c r="G188" i="3"/>
  <c r="H188" i="3"/>
  <c r="S188" i="3"/>
  <c r="Y188" i="3" s="1"/>
  <c r="Z188" i="3" s="1"/>
  <c r="AA188" i="3" s="1"/>
  <c r="D188" i="3"/>
  <c r="F187" i="3"/>
  <c r="O186" i="3"/>
  <c r="H187" i="4" s="1"/>
  <c r="U186" i="3"/>
  <c r="J187" i="4" s="1"/>
  <c r="I186" i="3"/>
  <c r="F187" i="4" s="1"/>
  <c r="C194" i="2"/>
  <c r="D192" i="2"/>
  <c r="E191" i="2"/>
  <c r="M192" i="2"/>
  <c r="J191" i="2"/>
  <c r="G191" i="2" s="1"/>
  <c r="C188" i="4"/>
  <c r="AB187" i="3"/>
  <c r="E188" i="4" s="1"/>
  <c r="K188" i="4"/>
  <c r="N188" i="4" s="1"/>
  <c r="G188" i="4"/>
  <c r="L188" i="4" s="1"/>
  <c r="I188" i="4"/>
  <c r="M188" i="4" s="1"/>
  <c r="V191" i="2" l="1"/>
  <c r="T190" i="2"/>
  <c r="D189" i="4"/>
  <c r="C189" i="4"/>
  <c r="AB188" i="3"/>
  <c r="E189" i="4" s="1"/>
  <c r="M193" i="2"/>
  <c r="J192" i="2"/>
  <c r="O187" i="3"/>
  <c r="H188" i="4" s="1"/>
  <c r="I187" i="3"/>
  <c r="F188" i="4" s="1"/>
  <c r="U187" i="3"/>
  <c r="J188" i="4" s="1"/>
  <c r="F188" i="3"/>
  <c r="D189" i="3"/>
  <c r="I189" i="4"/>
  <c r="M189" i="4" s="1"/>
  <c r="K189" i="4"/>
  <c r="N189" i="4" s="1"/>
  <c r="G189" i="4"/>
  <c r="L189" i="4" s="1"/>
  <c r="I191" i="2"/>
  <c r="F191" i="2" s="1"/>
  <c r="L192" i="2"/>
  <c r="G192" i="2"/>
  <c r="D193" i="2"/>
  <c r="K193" i="2"/>
  <c r="H192" i="2"/>
  <c r="E192" i="2" s="1"/>
  <c r="C195" i="2"/>
  <c r="A190" i="4"/>
  <c r="G189" i="3"/>
  <c r="S189" i="3"/>
  <c r="Y189" i="3" s="1"/>
  <c r="Z189" i="3" s="1"/>
  <c r="AA189" i="3" s="1"/>
  <c r="H189" i="3"/>
  <c r="T189" i="3"/>
  <c r="J189" i="3"/>
  <c r="V189" i="3"/>
  <c r="M189" i="3"/>
  <c r="C189" i="3"/>
  <c r="E189" i="3"/>
  <c r="P189" i="3"/>
  <c r="N189" i="3"/>
  <c r="V192" i="2" l="1"/>
  <c r="T191" i="2"/>
  <c r="D190" i="4"/>
  <c r="F189" i="3"/>
  <c r="D190" i="3"/>
  <c r="D194" i="2"/>
  <c r="I188" i="3"/>
  <c r="F189" i="4" s="1"/>
  <c r="U188" i="3"/>
  <c r="J189" i="4" s="1"/>
  <c r="O188" i="3"/>
  <c r="H189" i="4" s="1"/>
  <c r="L193" i="2"/>
  <c r="I192" i="2"/>
  <c r="F192" i="2" s="1"/>
  <c r="G190" i="4"/>
  <c r="L190" i="4" s="1"/>
  <c r="I190" i="4"/>
  <c r="M190" i="4" s="1"/>
  <c r="K190" i="4"/>
  <c r="N190" i="4" s="1"/>
  <c r="C196" i="2"/>
  <c r="M194" i="2"/>
  <c r="J193" i="2"/>
  <c r="G193" i="2" s="1"/>
  <c r="A191" i="4"/>
  <c r="C190" i="3"/>
  <c r="P190" i="3"/>
  <c r="E190" i="3"/>
  <c r="G190" i="3"/>
  <c r="S190" i="3"/>
  <c r="Y190" i="3" s="1"/>
  <c r="Z190" i="3" s="1"/>
  <c r="AA190" i="3" s="1"/>
  <c r="H190" i="3"/>
  <c r="T190" i="3"/>
  <c r="J190" i="3"/>
  <c r="V190" i="3"/>
  <c r="M190" i="3"/>
  <c r="N190" i="3"/>
  <c r="C190" i="4"/>
  <c r="AB189" i="3"/>
  <c r="E190" i="4" s="1"/>
  <c r="K194" i="2"/>
  <c r="H193" i="2"/>
  <c r="E193" i="2" s="1"/>
  <c r="V193" i="2" l="1"/>
  <c r="T192" i="2"/>
  <c r="D191" i="4"/>
  <c r="M195" i="2"/>
  <c r="J194" i="2"/>
  <c r="D195" i="2"/>
  <c r="G194" i="2"/>
  <c r="C197" i="2"/>
  <c r="F190" i="3"/>
  <c r="D191" i="3"/>
  <c r="I189" i="3"/>
  <c r="F190" i="4" s="1"/>
  <c r="U189" i="3"/>
  <c r="J190" i="4" s="1"/>
  <c r="O189" i="3"/>
  <c r="H190" i="4" s="1"/>
  <c r="A192" i="4"/>
  <c r="M191" i="3"/>
  <c r="N191" i="3"/>
  <c r="C191" i="3"/>
  <c r="P191" i="3"/>
  <c r="E191" i="3"/>
  <c r="G191" i="3"/>
  <c r="S191" i="3"/>
  <c r="Y191" i="3" s="1"/>
  <c r="Z191" i="3" s="1"/>
  <c r="AA191" i="3" s="1"/>
  <c r="H191" i="3"/>
  <c r="J191" i="3"/>
  <c r="T191" i="3"/>
  <c r="V191" i="3"/>
  <c r="K195" i="2"/>
  <c r="H194" i="2"/>
  <c r="E194" i="2" s="1"/>
  <c r="G191" i="4"/>
  <c r="L191" i="4" s="1"/>
  <c r="I191" i="4"/>
  <c r="M191" i="4" s="1"/>
  <c r="K191" i="4"/>
  <c r="N191" i="4" s="1"/>
  <c r="C191" i="4"/>
  <c r="AB190" i="3"/>
  <c r="E191" i="4" s="1"/>
  <c r="L194" i="2"/>
  <c r="I193" i="2"/>
  <c r="F193" i="2" s="1"/>
  <c r="V194" i="2" l="1"/>
  <c r="T193" i="2"/>
  <c r="D192" i="4"/>
  <c r="C198" i="2"/>
  <c r="K196" i="2"/>
  <c r="H195" i="2"/>
  <c r="E195" i="2" s="1"/>
  <c r="C192" i="4"/>
  <c r="AB191" i="3"/>
  <c r="E192" i="4" s="1"/>
  <c r="G192" i="4"/>
  <c r="L192" i="4" s="1"/>
  <c r="I192" i="4"/>
  <c r="M192" i="4" s="1"/>
  <c r="K192" i="4"/>
  <c r="N192" i="4" s="1"/>
  <c r="D196" i="2"/>
  <c r="A193" i="4"/>
  <c r="J192" i="3"/>
  <c r="V192" i="3"/>
  <c r="M192" i="3"/>
  <c r="N192" i="3"/>
  <c r="E192" i="3"/>
  <c r="G192" i="3"/>
  <c r="H192" i="3"/>
  <c r="P192" i="3"/>
  <c r="S192" i="3"/>
  <c r="Y192" i="3" s="1"/>
  <c r="Z192" i="3" s="1"/>
  <c r="AA192" i="3" s="1"/>
  <c r="T192" i="3"/>
  <c r="C192" i="3"/>
  <c r="M196" i="2"/>
  <c r="J195" i="2"/>
  <c r="G195" i="2" s="1"/>
  <c r="L195" i="2"/>
  <c r="I194" i="2"/>
  <c r="F194" i="2" s="1"/>
  <c r="F191" i="3"/>
  <c r="D192" i="3"/>
  <c r="O190" i="3"/>
  <c r="H191" i="4" s="1"/>
  <c r="I190" i="3"/>
  <c r="F191" i="4" s="1"/>
  <c r="U190" i="3"/>
  <c r="J191" i="4" s="1"/>
  <c r="V195" i="2" l="1"/>
  <c r="T194" i="2"/>
  <c r="D193" i="4"/>
  <c r="G193" i="4"/>
  <c r="L193" i="4" s="1"/>
  <c r="I193" i="4"/>
  <c r="M193" i="4" s="1"/>
  <c r="K193" i="4"/>
  <c r="N193" i="4" s="1"/>
  <c r="D197" i="2"/>
  <c r="K197" i="2"/>
  <c r="H196" i="2"/>
  <c r="E196" i="2" s="1"/>
  <c r="C199" i="2"/>
  <c r="L196" i="2"/>
  <c r="I195" i="2"/>
  <c r="F195" i="2" s="1"/>
  <c r="J196" i="2"/>
  <c r="G196" i="2" s="1"/>
  <c r="M197" i="2"/>
  <c r="A194" i="4"/>
  <c r="G193" i="3"/>
  <c r="S193" i="3"/>
  <c r="Y193" i="3" s="1"/>
  <c r="Z193" i="3" s="1"/>
  <c r="AA193" i="3" s="1"/>
  <c r="H193" i="3"/>
  <c r="T193" i="3"/>
  <c r="J193" i="3"/>
  <c r="V193" i="3"/>
  <c r="C193" i="3"/>
  <c r="E193" i="3"/>
  <c r="M193" i="3"/>
  <c r="N193" i="3"/>
  <c r="P193" i="3"/>
  <c r="F192" i="3"/>
  <c r="D193" i="3"/>
  <c r="O191" i="3"/>
  <c r="H192" i="4" s="1"/>
  <c r="I191" i="3"/>
  <c r="F192" i="4" s="1"/>
  <c r="U191" i="3"/>
  <c r="J192" i="4" s="1"/>
  <c r="C193" i="4"/>
  <c r="AB192" i="3"/>
  <c r="E193" i="4" s="1"/>
  <c r="V196" i="2" l="1"/>
  <c r="T195" i="2"/>
  <c r="D194" i="4"/>
  <c r="K194" i="4"/>
  <c r="N194" i="4" s="1"/>
  <c r="G194" i="4"/>
  <c r="L194" i="4" s="1"/>
  <c r="I194" i="4"/>
  <c r="M194" i="4" s="1"/>
  <c r="I192" i="3"/>
  <c r="F193" i="4" s="1"/>
  <c r="U192" i="3"/>
  <c r="J193" i="4" s="1"/>
  <c r="O192" i="3"/>
  <c r="H193" i="4" s="1"/>
  <c r="M198" i="2"/>
  <c r="J197" i="2"/>
  <c r="G197" i="2" s="1"/>
  <c r="C194" i="4"/>
  <c r="AB193" i="3"/>
  <c r="E194" i="4" s="1"/>
  <c r="D198" i="2"/>
  <c r="E197" i="2"/>
  <c r="A195" i="4"/>
  <c r="C194" i="3"/>
  <c r="P194" i="3"/>
  <c r="E194" i="3"/>
  <c r="G194" i="3"/>
  <c r="S194" i="3"/>
  <c r="Y194" i="3" s="1"/>
  <c r="Z194" i="3" s="1"/>
  <c r="AA194" i="3" s="1"/>
  <c r="H194" i="3"/>
  <c r="T194" i="3"/>
  <c r="J194" i="3"/>
  <c r="M194" i="3"/>
  <c r="N194" i="3"/>
  <c r="V194" i="3"/>
  <c r="I196" i="2"/>
  <c r="F196" i="2" s="1"/>
  <c r="L197" i="2"/>
  <c r="C200" i="2"/>
  <c r="K198" i="2"/>
  <c r="H197" i="2"/>
  <c r="F193" i="3"/>
  <c r="D194" i="3"/>
  <c r="V197" i="2" l="1"/>
  <c r="T196" i="2"/>
  <c r="D195" i="4"/>
  <c r="M199" i="2"/>
  <c r="J198" i="2"/>
  <c r="G198" i="2"/>
  <c r="D199" i="2"/>
  <c r="E198" i="2"/>
  <c r="C195" i="4"/>
  <c r="AB194" i="3"/>
  <c r="E195" i="4" s="1"/>
  <c r="F194" i="3"/>
  <c r="D195" i="3"/>
  <c r="I193" i="3"/>
  <c r="F194" i="4" s="1"/>
  <c r="U193" i="3"/>
  <c r="J194" i="4" s="1"/>
  <c r="O193" i="3"/>
  <c r="H194" i="4" s="1"/>
  <c r="H198" i="2"/>
  <c r="K199" i="2"/>
  <c r="L198" i="2"/>
  <c r="I197" i="2"/>
  <c r="F197" i="2" s="1"/>
  <c r="I195" i="4"/>
  <c r="M195" i="4" s="1"/>
  <c r="K195" i="4"/>
  <c r="N195" i="4" s="1"/>
  <c r="G195" i="4"/>
  <c r="L195" i="4" s="1"/>
  <c r="C201" i="2"/>
  <c r="A196" i="4"/>
  <c r="M195" i="3"/>
  <c r="N195" i="3"/>
  <c r="C195" i="3"/>
  <c r="P195" i="3"/>
  <c r="E195" i="3"/>
  <c r="G195" i="3"/>
  <c r="H195" i="3"/>
  <c r="J195" i="3"/>
  <c r="S195" i="3"/>
  <c r="Y195" i="3" s="1"/>
  <c r="Z195" i="3" s="1"/>
  <c r="AA195" i="3" s="1"/>
  <c r="V195" i="3"/>
  <c r="T195" i="3"/>
  <c r="V198" i="2" l="1"/>
  <c r="T197" i="2"/>
  <c r="D196" i="4"/>
  <c r="C196" i="4"/>
  <c r="AB195" i="3"/>
  <c r="E196" i="4" s="1"/>
  <c r="L199" i="2"/>
  <c r="I198" i="2"/>
  <c r="F198" i="2" s="1"/>
  <c r="O194" i="3"/>
  <c r="H195" i="4" s="1"/>
  <c r="I194" i="3"/>
  <c r="F195" i="4" s="1"/>
  <c r="U194" i="3"/>
  <c r="J195" i="4" s="1"/>
  <c r="G196" i="4"/>
  <c r="L196" i="4" s="1"/>
  <c r="I196" i="4"/>
  <c r="M196" i="4" s="1"/>
  <c r="K196" i="4"/>
  <c r="N196" i="4" s="1"/>
  <c r="K200" i="2"/>
  <c r="H199" i="2"/>
  <c r="D200" i="2"/>
  <c r="E199" i="2"/>
  <c r="C202" i="2"/>
  <c r="M200" i="2"/>
  <c r="J199" i="2"/>
  <c r="G199" i="2" s="1"/>
  <c r="A197" i="4"/>
  <c r="J196" i="3"/>
  <c r="V196" i="3"/>
  <c r="M196" i="3"/>
  <c r="N196" i="3"/>
  <c r="S196" i="3"/>
  <c r="Y196" i="3" s="1"/>
  <c r="Z196" i="3" s="1"/>
  <c r="AA196" i="3" s="1"/>
  <c r="C196" i="3"/>
  <c r="T196" i="3"/>
  <c r="E196" i="3"/>
  <c r="G196" i="3"/>
  <c r="H196" i="3"/>
  <c r="P196" i="3"/>
  <c r="F195" i="3"/>
  <c r="D196" i="3"/>
  <c r="V199" i="2" l="1"/>
  <c r="T198" i="2"/>
  <c r="D197" i="4"/>
  <c r="C203" i="2"/>
  <c r="D201" i="2"/>
  <c r="C197" i="4"/>
  <c r="AB196" i="3"/>
  <c r="E197" i="4" s="1"/>
  <c r="L200" i="2"/>
  <c r="I199" i="2"/>
  <c r="F199" i="2" s="1"/>
  <c r="G197" i="4"/>
  <c r="L197" i="4" s="1"/>
  <c r="I197" i="4"/>
  <c r="M197" i="4" s="1"/>
  <c r="K197" i="4"/>
  <c r="N197" i="4" s="1"/>
  <c r="K201" i="2"/>
  <c r="H200" i="2"/>
  <c r="E200" i="2" s="1"/>
  <c r="F196" i="3"/>
  <c r="D197" i="3"/>
  <c r="O195" i="3"/>
  <c r="H196" i="4" s="1"/>
  <c r="I195" i="3"/>
  <c r="F196" i="4" s="1"/>
  <c r="U195" i="3"/>
  <c r="J196" i="4" s="1"/>
  <c r="A198" i="4"/>
  <c r="G197" i="3"/>
  <c r="S197" i="3"/>
  <c r="Y197" i="3" s="1"/>
  <c r="Z197" i="3" s="1"/>
  <c r="AA197" i="3" s="1"/>
  <c r="H197" i="3"/>
  <c r="T197" i="3"/>
  <c r="J197" i="3"/>
  <c r="V197" i="3"/>
  <c r="M197" i="3"/>
  <c r="N197" i="3"/>
  <c r="P197" i="3"/>
  <c r="C197" i="3"/>
  <c r="E197" i="3"/>
  <c r="M201" i="2"/>
  <c r="J200" i="2"/>
  <c r="G200" i="2" s="1"/>
  <c r="V200" i="2" l="1"/>
  <c r="T199" i="2"/>
  <c r="D198" i="4"/>
  <c r="A199" i="4"/>
  <c r="C198" i="3"/>
  <c r="P198" i="3"/>
  <c r="E198" i="3"/>
  <c r="G198" i="3"/>
  <c r="S198" i="3"/>
  <c r="Y198" i="3" s="1"/>
  <c r="Z198" i="3" s="1"/>
  <c r="AA198" i="3" s="1"/>
  <c r="H198" i="3"/>
  <c r="T198" i="3"/>
  <c r="V198" i="3"/>
  <c r="J198" i="3"/>
  <c r="N198" i="3"/>
  <c r="M198" i="3"/>
  <c r="F197" i="3"/>
  <c r="D198" i="3"/>
  <c r="C198" i="4"/>
  <c r="AB197" i="3"/>
  <c r="E198" i="4" s="1"/>
  <c r="I196" i="3"/>
  <c r="F197" i="4" s="1"/>
  <c r="U196" i="3"/>
  <c r="J197" i="4" s="1"/>
  <c r="O196" i="3"/>
  <c r="H197" i="4" s="1"/>
  <c r="K202" i="2"/>
  <c r="H201" i="2"/>
  <c r="E201" i="2" s="1"/>
  <c r="D202" i="2"/>
  <c r="C204" i="2"/>
  <c r="J201" i="2"/>
  <c r="G201" i="2" s="1"/>
  <c r="M202" i="2"/>
  <c r="G198" i="4"/>
  <c r="L198" i="4" s="1"/>
  <c r="I198" i="4"/>
  <c r="M198" i="4" s="1"/>
  <c r="K198" i="4"/>
  <c r="N198" i="4" s="1"/>
  <c r="L201" i="2"/>
  <c r="I200" i="2"/>
  <c r="F200" i="2" s="1"/>
  <c r="V201" i="2" l="1"/>
  <c r="T200" i="2"/>
  <c r="D199" i="4"/>
  <c r="K203" i="2"/>
  <c r="H202" i="2"/>
  <c r="A200" i="4"/>
  <c r="M199" i="3"/>
  <c r="N199" i="3"/>
  <c r="P199" i="3"/>
  <c r="E199" i="3"/>
  <c r="S199" i="3"/>
  <c r="Y199" i="3" s="1"/>
  <c r="Z199" i="3" s="1"/>
  <c r="AA199" i="3" s="1"/>
  <c r="T199" i="3"/>
  <c r="C199" i="3"/>
  <c r="V199" i="3"/>
  <c r="H199" i="3"/>
  <c r="J199" i="3"/>
  <c r="G199" i="3"/>
  <c r="M203" i="2"/>
  <c r="J202" i="2"/>
  <c r="G202" i="2" s="1"/>
  <c r="C205" i="2"/>
  <c r="D199" i="3"/>
  <c r="F198" i="3"/>
  <c r="L202" i="2"/>
  <c r="I201" i="2"/>
  <c r="F201" i="2" s="1"/>
  <c r="O197" i="3"/>
  <c r="H198" i="4" s="1"/>
  <c r="U197" i="3"/>
  <c r="J198" i="4" s="1"/>
  <c r="I197" i="3"/>
  <c r="F198" i="4" s="1"/>
  <c r="C199" i="4"/>
  <c r="AB198" i="3"/>
  <c r="E199" i="4" s="1"/>
  <c r="G199" i="4"/>
  <c r="L199" i="4" s="1"/>
  <c r="I199" i="4"/>
  <c r="M199" i="4" s="1"/>
  <c r="K199" i="4"/>
  <c r="N199" i="4" s="1"/>
  <c r="D203" i="2"/>
  <c r="E202" i="2"/>
  <c r="V202" i="2" l="1"/>
  <c r="T201" i="2"/>
  <c r="D200" i="4"/>
  <c r="F199" i="3"/>
  <c r="D200" i="3"/>
  <c r="A201" i="4"/>
  <c r="J200" i="3"/>
  <c r="V200" i="3"/>
  <c r="M200" i="3"/>
  <c r="N200" i="3"/>
  <c r="E200" i="3"/>
  <c r="G200" i="3"/>
  <c r="H200" i="3"/>
  <c r="P200" i="3"/>
  <c r="T200" i="3"/>
  <c r="C200" i="3"/>
  <c r="S200" i="3"/>
  <c r="Y200" i="3" s="1"/>
  <c r="Z200" i="3" s="1"/>
  <c r="AA200" i="3" s="1"/>
  <c r="O198" i="3"/>
  <c r="H199" i="4" s="1"/>
  <c r="U198" i="3"/>
  <c r="J199" i="4" s="1"/>
  <c r="I198" i="3"/>
  <c r="F199" i="4" s="1"/>
  <c r="C206" i="2"/>
  <c r="M204" i="2"/>
  <c r="J203" i="2"/>
  <c r="G203" i="2" s="1"/>
  <c r="C200" i="4"/>
  <c r="AB199" i="3"/>
  <c r="E200" i="4" s="1"/>
  <c r="K200" i="4"/>
  <c r="N200" i="4" s="1"/>
  <c r="G200" i="4"/>
  <c r="L200" i="4" s="1"/>
  <c r="I200" i="4"/>
  <c r="M200" i="4" s="1"/>
  <c r="D204" i="2"/>
  <c r="H203" i="2"/>
  <c r="E203" i="2" s="1"/>
  <c r="K204" i="2"/>
  <c r="L203" i="2"/>
  <c r="I202" i="2"/>
  <c r="F202" i="2" s="1"/>
  <c r="V203" i="2" l="1"/>
  <c r="T202" i="2"/>
  <c r="D201" i="4"/>
  <c r="D205" i="2"/>
  <c r="C207" i="2"/>
  <c r="C201" i="4"/>
  <c r="AB200" i="3"/>
  <c r="E201" i="4" s="1"/>
  <c r="I201" i="4"/>
  <c r="M201" i="4" s="1"/>
  <c r="K201" i="4"/>
  <c r="N201" i="4" s="1"/>
  <c r="G201" i="4"/>
  <c r="L201" i="4" s="1"/>
  <c r="M205" i="2"/>
  <c r="J204" i="2"/>
  <c r="G204" i="2" s="1"/>
  <c r="F200" i="3"/>
  <c r="D201" i="3"/>
  <c r="O199" i="3"/>
  <c r="H200" i="4" s="1"/>
  <c r="U199" i="3"/>
  <c r="J200" i="4" s="1"/>
  <c r="I199" i="3"/>
  <c r="F200" i="4" s="1"/>
  <c r="I203" i="2"/>
  <c r="F203" i="2" s="1"/>
  <c r="L204" i="2"/>
  <c r="K205" i="2"/>
  <c r="H204" i="2"/>
  <c r="E204" i="2" s="1"/>
  <c r="A202" i="4"/>
  <c r="G201" i="3"/>
  <c r="S201" i="3"/>
  <c r="Y201" i="3" s="1"/>
  <c r="Z201" i="3" s="1"/>
  <c r="AA201" i="3" s="1"/>
  <c r="H201" i="3"/>
  <c r="T201" i="3"/>
  <c r="J201" i="3"/>
  <c r="V201" i="3"/>
  <c r="N201" i="3"/>
  <c r="P201" i="3"/>
  <c r="C201" i="3"/>
  <c r="E201" i="3"/>
  <c r="M201" i="3"/>
  <c r="V204" i="2" l="1"/>
  <c r="T203" i="2"/>
  <c r="D202" i="4"/>
  <c r="F201" i="3"/>
  <c r="D202" i="3"/>
  <c r="C208" i="2"/>
  <c r="I200" i="3"/>
  <c r="F201" i="4" s="1"/>
  <c r="U200" i="3"/>
  <c r="J201" i="4" s="1"/>
  <c r="O200" i="3"/>
  <c r="H201" i="4" s="1"/>
  <c r="M206" i="2"/>
  <c r="J205" i="2"/>
  <c r="G205" i="2" s="1"/>
  <c r="A203" i="4"/>
  <c r="C202" i="3"/>
  <c r="P202" i="3"/>
  <c r="E202" i="3"/>
  <c r="G202" i="3"/>
  <c r="S202" i="3"/>
  <c r="Y202" i="3" s="1"/>
  <c r="Z202" i="3" s="1"/>
  <c r="AA202" i="3" s="1"/>
  <c r="H202" i="3"/>
  <c r="T202" i="3"/>
  <c r="J202" i="3"/>
  <c r="M202" i="3"/>
  <c r="N202" i="3"/>
  <c r="V202" i="3"/>
  <c r="G202" i="4"/>
  <c r="L202" i="4" s="1"/>
  <c r="I202" i="4"/>
  <c r="M202" i="4" s="1"/>
  <c r="K202" i="4"/>
  <c r="N202" i="4" s="1"/>
  <c r="D206" i="2"/>
  <c r="K206" i="2"/>
  <c r="H205" i="2"/>
  <c r="E205" i="2" s="1"/>
  <c r="C202" i="4"/>
  <c r="AB201" i="3"/>
  <c r="E202" i="4" s="1"/>
  <c r="L205" i="2"/>
  <c r="I204" i="2"/>
  <c r="F204" i="2" s="1"/>
  <c r="V205" i="2" l="1"/>
  <c r="T204" i="2"/>
  <c r="D203" i="4"/>
  <c r="C203" i="4"/>
  <c r="AB202" i="3"/>
  <c r="E203" i="4" s="1"/>
  <c r="M207" i="2"/>
  <c r="J206" i="2"/>
  <c r="G206" i="2" s="1"/>
  <c r="C209" i="2"/>
  <c r="A204" i="4"/>
  <c r="N203" i="3"/>
  <c r="P203" i="3"/>
  <c r="E203" i="3"/>
  <c r="S203" i="3"/>
  <c r="Y203" i="3" s="1"/>
  <c r="Z203" i="3" s="1"/>
  <c r="AA203" i="3" s="1"/>
  <c r="C203" i="3"/>
  <c r="T203" i="3"/>
  <c r="G203" i="3"/>
  <c r="V203" i="3"/>
  <c r="H203" i="3"/>
  <c r="J203" i="3"/>
  <c r="M203" i="3"/>
  <c r="D207" i="2"/>
  <c r="D203" i="3"/>
  <c r="F202" i="3"/>
  <c r="O201" i="3"/>
  <c r="H202" i="4" s="1"/>
  <c r="U201" i="3"/>
  <c r="J202" i="4" s="1"/>
  <c r="I201" i="3"/>
  <c r="F202" i="4" s="1"/>
  <c r="L206" i="2"/>
  <c r="I205" i="2"/>
  <c r="F205" i="2" s="1"/>
  <c r="K207" i="2"/>
  <c r="H206" i="2"/>
  <c r="E206" i="2" s="1"/>
  <c r="G203" i="4"/>
  <c r="L203" i="4" s="1"/>
  <c r="I203" i="4"/>
  <c r="M203" i="4" s="1"/>
  <c r="K203" i="4"/>
  <c r="N203" i="4" s="1"/>
  <c r="V206" i="2" l="1"/>
  <c r="T205" i="2"/>
  <c r="D204" i="4"/>
  <c r="K208" i="2"/>
  <c r="H207" i="2"/>
  <c r="D208" i="2"/>
  <c r="E207" i="2"/>
  <c r="A205" i="4"/>
  <c r="M204" i="3"/>
  <c r="E204" i="3"/>
  <c r="S204" i="3"/>
  <c r="Y204" i="3" s="1"/>
  <c r="Z204" i="3" s="1"/>
  <c r="AA204" i="3" s="1"/>
  <c r="T204" i="3"/>
  <c r="G204" i="3"/>
  <c r="V204" i="3"/>
  <c r="H204" i="3"/>
  <c r="J204" i="3"/>
  <c r="C204" i="3"/>
  <c r="N204" i="3"/>
  <c r="P204" i="3"/>
  <c r="I204" i="4"/>
  <c r="M204" i="4" s="1"/>
  <c r="K204" i="4"/>
  <c r="N204" i="4" s="1"/>
  <c r="G204" i="4"/>
  <c r="L204" i="4" s="1"/>
  <c r="C204" i="4"/>
  <c r="AB203" i="3"/>
  <c r="E204" i="4" s="1"/>
  <c r="C210" i="2"/>
  <c r="M208" i="2"/>
  <c r="J207" i="2"/>
  <c r="G207" i="2" s="1"/>
  <c r="L207" i="2"/>
  <c r="I206" i="2"/>
  <c r="F206" i="2" s="1"/>
  <c r="D204" i="3"/>
  <c r="F203" i="3"/>
  <c r="O202" i="3"/>
  <c r="H203" i="4" s="1"/>
  <c r="I202" i="3"/>
  <c r="F203" i="4" s="1"/>
  <c r="U202" i="3"/>
  <c r="J203" i="4" s="1"/>
  <c r="V207" i="2" l="1"/>
  <c r="T206" i="2"/>
  <c r="D205" i="4"/>
  <c r="C205" i="4"/>
  <c r="AB204" i="3"/>
  <c r="E205" i="4" s="1"/>
  <c r="L208" i="2"/>
  <c r="I207" i="2"/>
  <c r="F207" i="2" s="1"/>
  <c r="K205" i="4"/>
  <c r="N205" i="4" s="1"/>
  <c r="G205" i="4"/>
  <c r="L205" i="4" s="1"/>
  <c r="I205" i="4"/>
  <c r="M205" i="4" s="1"/>
  <c r="J208" i="2"/>
  <c r="G208" i="2" s="1"/>
  <c r="M209" i="2"/>
  <c r="C211" i="2"/>
  <c r="A206" i="4"/>
  <c r="H205" i="3"/>
  <c r="T205" i="3"/>
  <c r="J205" i="3"/>
  <c r="V205" i="3"/>
  <c r="E205" i="3"/>
  <c r="G205" i="3"/>
  <c r="M205" i="3"/>
  <c r="N205" i="3"/>
  <c r="C205" i="3"/>
  <c r="P205" i="3"/>
  <c r="S205" i="3"/>
  <c r="Y205" i="3" s="1"/>
  <c r="Z205" i="3" s="1"/>
  <c r="AA205" i="3" s="1"/>
  <c r="D209" i="2"/>
  <c r="O203" i="3"/>
  <c r="H204" i="4" s="1"/>
  <c r="U203" i="3"/>
  <c r="J204" i="4" s="1"/>
  <c r="I203" i="3"/>
  <c r="F204" i="4" s="1"/>
  <c r="K209" i="2"/>
  <c r="H208" i="2"/>
  <c r="E208" i="2" s="1"/>
  <c r="F204" i="3"/>
  <c r="D205" i="3"/>
  <c r="V208" i="2" l="1"/>
  <c r="T207" i="2"/>
  <c r="D206" i="4"/>
  <c r="G206" i="4"/>
  <c r="L206" i="4" s="1"/>
  <c r="I206" i="4"/>
  <c r="M206" i="4" s="1"/>
  <c r="K206" i="4"/>
  <c r="N206" i="4" s="1"/>
  <c r="I208" i="2"/>
  <c r="F208" i="2" s="1"/>
  <c r="L209" i="2"/>
  <c r="D210" i="2"/>
  <c r="F205" i="3"/>
  <c r="D206" i="3"/>
  <c r="I204" i="3"/>
  <c r="F205" i="4" s="1"/>
  <c r="U204" i="3"/>
  <c r="J205" i="4" s="1"/>
  <c r="O204" i="3"/>
  <c r="H205" i="4" s="1"/>
  <c r="K210" i="2"/>
  <c r="H209" i="2"/>
  <c r="E209" i="2" s="1"/>
  <c r="A207" i="4"/>
  <c r="C206" i="3"/>
  <c r="E206" i="3"/>
  <c r="G206" i="3"/>
  <c r="S206" i="3"/>
  <c r="Y206" i="3" s="1"/>
  <c r="Z206" i="3" s="1"/>
  <c r="AA206" i="3" s="1"/>
  <c r="M206" i="3"/>
  <c r="N206" i="3"/>
  <c r="P206" i="3"/>
  <c r="T206" i="3"/>
  <c r="H206" i="3"/>
  <c r="V206" i="3"/>
  <c r="J206" i="3"/>
  <c r="C212" i="2"/>
  <c r="M210" i="2"/>
  <c r="J209" i="2"/>
  <c r="G209" i="2" s="1"/>
  <c r="C206" i="4"/>
  <c r="AB205" i="3"/>
  <c r="E206" i="4" s="1"/>
  <c r="V209" i="2" l="1"/>
  <c r="T208" i="2"/>
  <c r="D207" i="4"/>
  <c r="K207" i="4"/>
  <c r="N207" i="4" s="1"/>
  <c r="G207" i="4"/>
  <c r="L207" i="4" s="1"/>
  <c r="I207" i="4"/>
  <c r="M207" i="4" s="1"/>
  <c r="L210" i="2"/>
  <c r="I209" i="2"/>
  <c r="F209" i="2" s="1"/>
  <c r="H210" i="2"/>
  <c r="K211" i="2"/>
  <c r="C207" i="4"/>
  <c r="AB206" i="3"/>
  <c r="E207" i="4" s="1"/>
  <c r="D207" i="3"/>
  <c r="F206" i="3"/>
  <c r="I205" i="3"/>
  <c r="F206" i="4" s="1"/>
  <c r="O205" i="3"/>
  <c r="H206" i="4" s="1"/>
  <c r="U205" i="3"/>
  <c r="J206" i="4" s="1"/>
  <c r="M211" i="2"/>
  <c r="J210" i="2"/>
  <c r="G210" i="2" s="1"/>
  <c r="C213" i="2"/>
  <c r="A208" i="4"/>
  <c r="N207" i="3"/>
  <c r="P207" i="3"/>
  <c r="C207" i="3"/>
  <c r="S207" i="3"/>
  <c r="Y207" i="3" s="1"/>
  <c r="Z207" i="3" s="1"/>
  <c r="AA207" i="3" s="1"/>
  <c r="E207" i="3"/>
  <c r="T207" i="3"/>
  <c r="G207" i="3"/>
  <c r="V207" i="3"/>
  <c r="H207" i="3"/>
  <c r="J207" i="3"/>
  <c r="M207" i="3"/>
  <c r="D211" i="2"/>
  <c r="E210" i="2"/>
  <c r="V210" i="2" l="1"/>
  <c r="T209" i="2"/>
  <c r="D208" i="4"/>
  <c r="C208" i="4"/>
  <c r="AB207" i="3"/>
  <c r="E208" i="4" s="1"/>
  <c r="L211" i="2"/>
  <c r="I210" i="2"/>
  <c r="F210" i="2" s="1"/>
  <c r="K212" i="2"/>
  <c r="H211" i="2"/>
  <c r="M212" i="2"/>
  <c r="J211" i="2"/>
  <c r="G211" i="2" s="1"/>
  <c r="O206" i="3"/>
  <c r="H207" i="4" s="1"/>
  <c r="I206" i="3"/>
  <c r="F207" i="4" s="1"/>
  <c r="U206" i="3"/>
  <c r="J207" i="4" s="1"/>
  <c r="C214" i="2"/>
  <c r="D208" i="3"/>
  <c r="F207" i="3"/>
  <c r="D212" i="2"/>
  <c r="E211" i="2"/>
  <c r="A209" i="4"/>
  <c r="M208" i="3"/>
  <c r="E208" i="3"/>
  <c r="S208" i="3"/>
  <c r="Y208" i="3" s="1"/>
  <c r="Z208" i="3" s="1"/>
  <c r="AA208" i="3" s="1"/>
  <c r="T208" i="3"/>
  <c r="G208" i="3"/>
  <c r="V208" i="3"/>
  <c r="H208" i="3"/>
  <c r="J208" i="3"/>
  <c r="C208" i="3"/>
  <c r="N208" i="3"/>
  <c r="P208" i="3"/>
  <c r="I208" i="4"/>
  <c r="M208" i="4" s="1"/>
  <c r="K208" i="4"/>
  <c r="N208" i="4" s="1"/>
  <c r="G208" i="4"/>
  <c r="L208" i="4" s="1"/>
  <c r="V211" i="2" l="1"/>
  <c r="T210" i="2"/>
  <c r="D209" i="4"/>
  <c r="A210" i="4"/>
  <c r="H209" i="3"/>
  <c r="T209" i="3"/>
  <c r="J209" i="3"/>
  <c r="V209" i="3"/>
  <c r="E209" i="3"/>
  <c r="G209" i="3"/>
  <c r="M209" i="3"/>
  <c r="N209" i="3"/>
  <c r="C209" i="3"/>
  <c r="P209" i="3"/>
  <c r="S209" i="3"/>
  <c r="Y209" i="3" s="1"/>
  <c r="Z209" i="3" s="1"/>
  <c r="AA209" i="3" s="1"/>
  <c r="D213" i="2"/>
  <c r="M213" i="2"/>
  <c r="J212" i="2"/>
  <c r="G212" i="2" s="1"/>
  <c r="G209" i="4"/>
  <c r="L209" i="4" s="1"/>
  <c r="I209" i="4"/>
  <c r="M209" i="4" s="1"/>
  <c r="K209" i="4"/>
  <c r="N209" i="4" s="1"/>
  <c r="K213" i="2"/>
  <c r="H212" i="2"/>
  <c r="E212" i="2" s="1"/>
  <c r="O207" i="3"/>
  <c r="H208" i="4" s="1"/>
  <c r="U207" i="3"/>
  <c r="J208" i="4" s="1"/>
  <c r="I207" i="3"/>
  <c r="F208" i="4" s="1"/>
  <c r="F208" i="3"/>
  <c r="D209" i="3"/>
  <c r="L212" i="2"/>
  <c r="I211" i="2"/>
  <c r="F211" i="2" s="1"/>
  <c r="C215" i="2"/>
  <c r="C209" i="4"/>
  <c r="AB208" i="3"/>
  <c r="E209" i="4" s="1"/>
  <c r="V212" i="2" l="1"/>
  <c r="T211" i="2"/>
  <c r="D210" i="4"/>
  <c r="I208" i="3"/>
  <c r="F209" i="4" s="1"/>
  <c r="U208" i="3"/>
  <c r="J209" i="4" s="1"/>
  <c r="O208" i="3"/>
  <c r="H209" i="4" s="1"/>
  <c r="C210" i="4"/>
  <c r="AB209" i="3"/>
  <c r="E210" i="4" s="1"/>
  <c r="J213" i="2"/>
  <c r="G213" i="2" s="1"/>
  <c r="M214" i="2"/>
  <c r="D214" i="2"/>
  <c r="A211" i="4"/>
  <c r="C210" i="3"/>
  <c r="E210" i="3"/>
  <c r="G210" i="3"/>
  <c r="S210" i="3"/>
  <c r="Y210" i="3" s="1"/>
  <c r="Z210" i="3" s="1"/>
  <c r="AA210" i="3" s="1"/>
  <c r="M210" i="3"/>
  <c r="N210" i="3"/>
  <c r="P210" i="3"/>
  <c r="T210" i="3"/>
  <c r="H210" i="3"/>
  <c r="V210" i="3"/>
  <c r="J210" i="3"/>
  <c r="C216" i="2"/>
  <c r="G210" i="4"/>
  <c r="L210" i="4" s="1"/>
  <c r="I210" i="4"/>
  <c r="M210" i="4" s="1"/>
  <c r="K210" i="4"/>
  <c r="N210" i="4" s="1"/>
  <c r="F209" i="3"/>
  <c r="D210" i="3"/>
  <c r="K214" i="2"/>
  <c r="H213" i="2"/>
  <c r="E213" i="2" s="1"/>
  <c r="L213" i="2"/>
  <c r="I212" i="2"/>
  <c r="F212" i="2" s="1"/>
  <c r="V213" i="2" l="1"/>
  <c r="T212" i="2"/>
  <c r="D211" i="4"/>
  <c r="D215" i="2"/>
  <c r="C211" i="4"/>
  <c r="AB210" i="3"/>
  <c r="E211" i="4" s="1"/>
  <c r="M215" i="2"/>
  <c r="J214" i="2"/>
  <c r="G214" i="2" s="1"/>
  <c r="A212" i="4"/>
  <c r="N211" i="3"/>
  <c r="P211" i="3"/>
  <c r="C211" i="3"/>
  <c r="S211" i="3"/>
  <c r="Y211" i="3" s="1"/>
  <c r="Z211" i="3" s="1"/>
  <c r="AA211" i="3" s="1"/>
  <c r="E211" i="3"/>
  <c r="T211" i="3"/>
  <c r="G211" i="3"/>
  <c r="V211" i="3"/>
  <c r="H211" i="3"/>
  <c r="J211" i="3"/>
  <c r="M211" i="3"/>
  <c r="L214" i="2"/>
  <c r="I213" i="2"/>
  <c r="F213" i="2" s="1"/>
  <c r="C217" i="2"/>
  <c r="G211" i="4"/>
  <c r="L211" i="4" s="1"/>
  <c r="I211" i="4"/>
  <c r="M211" i="4" s="1"/>
  <c r="K211" i="4"/>
  <c r="N211" i="4" s="1"/>
  <c r="D211" i="3"/>
  <c r="F210" i="3"/>
  <c r="K215" i="2"/>
  <c r="H214" i="2"/>
  <c r="E214" i="2" s="1"/>
  <c r="I209" i="3"/>
  <c r="F210" i="4" s="1"/>
  <c r="O209" i="3"/>
  <c r="H210" i="4" s="1"/>
  <c r="U209" i="3"/>
  <c r="J210" i="4" s="1"/>
  <c r="V214" i="2" l="1"/>
  <c r="T213" i="2"/>
  <c r="D212" i="4"/>
  <c r="D212" i="3"/>
  <c r="F211" i="3"/>
  <c r="M216" i="2"/>
  <c r="J215" i="2"/>
  <c r="G215" i="2" s="1"/>
  <c r="C212" i="4"/>
  <c r="AB211" i="3"/>
  <c r="E212" i="4" s="1"/>
  <c r="G212" i="4"/>
  <c r="L212" i="4" s="1"/>
  <c r="I212" i="4"/>
  <c r="M212" i="4" s="1"/>
  <c r="K212" i="4"/>
  <c r="N212" i="4" s="1"/>
  <c r="D216" i="2"/>
  <c r="C218" i="2"/>
  <c r="A213" i="4"/>
  <c r="N212" i="3"/>
  <c r="C212" i="3"/>
  <c r="P212" i="3"/>
  <c r="E212" i="3"/>
  <c r="G212" i="3"/>
  <c r="S212" i="3"/>
  <c r="Y212" i="3" s="1"/>
  <c r="Z212" i="3" s="1"/>
  <c r="AA212" i="3" s="1"/>
  <c r="H212" i="3"/>
  <c r="T212" i="3"/>
  <c r="M212" i="3"/>
  <c r="J212" i="3"/>
  <c r="V212" i="3"/>
  <c r="H215" i="2"/>
  <c r="E215" i="2" s="1"/>
  <c r="K216" i="2"/>
  <c r="O210" i="3"/>
  <c r="H211" i="4" s="1"/>
  <c r="I210" i="3"/>
  <c r="F211" i="4" s="1"/>
  <c r="U210" i="3"/>
  <c r="J211" i="4" s="1"/>
  <c r="L215" i="2"/>
  <c r="I214" i="2"/>
  <c r="F214" i="2" s="1"/>
  <c r="V215" i="2" l="1"/>
  <c r="T214" i="2"/>
  <c r="D213" i="4"/>
  <c r="K213" i="4"/>
  <c r="N213" i="4" s="1"/>
  <c r="G213" i="4"/>
  <c r="L213" i="4" s="1"/>
  <c r="I213" i="4"/>
  <c r="M213" i="4" s="1"/>
  <c r="C219" i="2"/>
  <c r="I215" i="2"/>
  <c r="F215" i="2" s="1"/>
  <c r="L216" i="2"/>
  <c r="M217" i="2"/>
  <c r="J216" i="2"/>
  <c r="A214" i="4"/>
  <c r="M213" i="3"/>
  <c r="N213" i="3"/>
  <c r="C213" i="3"/>
  <c r="P213" i="3"/>
  <c r="E213" i="3"/>
  <c r="H213" i="3"/>
  <c r="T213" i="3"/>
  <c r="J213" i="3"/>
  <c r="V213" i="3"/>
  <c r="G213" i="3"/>
  <c r="S213" i="3"/>
  <c r="Y213" i="3" s="1"/>
  <c r="Z213" i="3" s="1"/>
  <c r="AA213" i="3" s="1"/>
  <c r="O211" i="3"/>
  <c r="H212" i="4" s="1"/>
  <c r="U211" i="3"/>
  <c r="J212" i="4" s="1"/>
  <c r="I211" i="3"/>
  <c r="F212" i="4" s="1"/>
  <c r="C213" i="4"/>
  <c r="AB212" i="3"/>
  <c r="E213" i="4" s="1"/>
  <c r="G216" i="2"/>
  <c r="D217" i="2"/>
  <c r="F212" i="3"/>
  <c r="D213" i="3"/>
  <c r="K217" i="2"/>
  <c r="H216" i="2"/>
  <c r="E216" i="2" s="1"/>
  <c r="V216" i="2" l="1"/>
  <c r="T215" i="2"/>
  <c r="D214" i="4"/>
  <c r="C220" i="2"/>
  <c r="A215" i="4"/>
  <c r="H214" i="3"/>
  <c r="T214" i="3"/>
  <c r="J214" i="3"/>
  <c r="V214" i="3"/>
  <c r="M214" i="3"/>
  <c r="N214" i="3"/>
  <c r="C214" i="3"/>
  <c r="E214" i="3"/>
  <c r="G214" i="3"/>
  <c r="S214" i="3"/>
  <c r="Y214" i="3" s="1"/>
  <c r="Z214" i="3" s="1"/>
  <c r="AA214" i="3" s="1"/>
  <c r="P214" i="3"/>
  <c r="G217" i="2"/>
  <c r="D218" i="2"/>
  <c r="E217" i="2"/>
  <c r="C214" i="4"/>
  <c r="AB213" i="3"/>
  <c r="E214" i="4" s="1"/>
  <c r="I214" i="4"/>
  <c r="M214" i="4" s="1"/>
  <c r="K214" i="4"/>
  <c r="N214" i="4" s="1"/>
  <c r="G214" i="4"/>
  <c r="L214" i="4" s="1"/>
  <c r="K218" i="2"/>
  <c r="H217" i="2"/>
  <c r="O212" i="3"/>
  <c r="H213" i="4" s="1"/>
  <c r="I212" i="3"/>
  <c r="F213" i="4" s="1"/>
  <c r="U212" i="3"/>
  <c r="J213" i="4" s="1"/>
  <c r="M218" i="2"/>
  <c r="J217" i="2"/>
  <c r="F213" i="3"/>
  <c r="D214" i="3"/>
  <c r="L217" i="2"/>
  <c r="I216" i="2"/>
  <c r="F216" i="2" s="1"/>
  <c r="V217" i="2" l="1"/>
  <c r="T216" i="2"/>
  <c r="D215" i="4"/>
  <c r="C215" i="4"/>
  <c r="AB214" i="3"/>
  <c r="E215" i="4" s="1"/>
  <c r="K219" i="2"/>
  <c r="H218" i="2"/>
  <c r="E218" i="2" s="1"/>
  <c r="G215" i="4"/>
  <c r="L215" i="4" s="1"/>
  <c r="I215" i="4"/>
  <c r="M215" i="4" s="1"/>
  <c r="K215" i="4"/>
  <c r="N215" i="4" s="1"/>
  <c r="C221" i="2"/>
  <c r="D219" i="2"/>
  <c r="L218" i="2"/>
  <c r="I217" i="2"/>
  <c r="F217" i="2" s="1"/>
  <c r="D215" i="3"/>
  <c r="F214" i="3"/>
  <c r="O213" i="3"/>
  <c r="H214" i="4" s="1"/>
  <c r="U213" i="3"/>
  <c r="J214" i="4" s="1"/>
  <c r="I213" i="3"/>
  <c r="F214" i="4" s="1"/>
  <c r="A216" i="4"/>
  <c r="E215" i="3"/>
  <c r="G215" i="3"/>
  <c r="S215" i="3"/>
  <c r="Y215" i="3" s="1"/>
  <c r="Z215" i="3" s="1"/>
  <c r="AA215" i="3" s="1"/>
  <c r="H215" i="3"/>
  <c r="T215" i="3"/>
  <c r="J215" i="3"/>
  <c r="V215" i="3"/>
  <c r="N215" i="3"/>
  <c r="P215" i="3"/>
  <c r="M215" i="3"/>
  <c r="C215" i="3"/>
  <c r="M219" i="2"/>
  <c r="J218" i="2"/>
  <c r="G218" i="2" s="1"/>
  <c r="V218" i="2" l="1"/>
  <c r="T217" i="2"/>
  <c r="D216" i="4"/>
  <c r="F215" i="3"/>
  <c r="D216" i="3"/>
  <c r="I214" i="3"/>
  <c r="F215" i="4" s="1"/>
  <c r="U214" i="3"/>
  <c r="J215" i="4" s="1"/>
  <c r="O214" i="3"/>
  <c r="H215" i="4" s="1"/>
  <c r="A217" i="4"/>
  <c r="N216" i="3"/>
  <c r="C216" i="3"/>
  <c r="P216" i="3"/>
  <c r="E216" i="3"/>
  <c r="G216" i="3"/>
  <c r="S216" i="3"/>
  <c r="Y216" i="3" s="1"/>
  <c r="Z216" i="3" s="1"/>
  <c r="AA216" i="3" s="1"/>
  <c r="H216" i="3"/>
  <c r="T216" i="3"/>
  <c r="M216" i="3"/>
  <c r="J216" i="3"/>
  <c r="V216" i="3"/>
  <c r="M220" i="2"/>
  <c r="J219" i="2"/>
  <c r="G219" i="2" s="1"/>
  <c r="K220" i="2"/>
  <c r="H219" i="2"/>
  <c r="L219" i="2"/>
  <c r="I218" i="2"/>
  <c r="F218" i="2" s="1"/>
  <c r="G216" i="4"/>
  <c r="L216" i="4" s="1"/>
  <c r="I216" i="4"/>
  <c r="M216" i="4" s="1"/>
  <c r="K216" i="4"/>
  <c r="N216" i="4" s="1"/>
  <c r="D220" i="2"/>
  <c r="E219" i="2"/>
  <c r="C216" i="4"/>
  <c r="AB215" i="3"/>
  <c r="E216" i="4" s="1"/>
  <c r="C222" i="2"/>
  <c r="V219" i="2" l="1"/>
  <c r="T218" i="2"/>
  <c r="D217" i="4"/>
  <c r="D221" i="2"/>
  <c r="K221" i="2"/>
  <c r="H220" i="2"/>
  <c r="E220" i="2" s="1"/>
  <c r="J220" i="2"/>
  <c r="G220" i="2" s="1"/>
  <c r="M221" i="2"/>
  <c r="G217" i="4"/>
  <c r="L217" i="4" s="1"/>
  <c r="I217" i="4"/>
  <c r="M217" i="4" s="1"/>
  <c r="K217" i="4"/>
  <c r="N217" i="4" s="1"/>
  <c r="C223" i="2"/>
  <c r="F216" i="3"/>
  <c r="D217" i="3"/>
  <c r="C217" i="4"/>
  <c r="AB216" i="3"/>
  <c r="E217" i="4" s="1"/>
  <c r="I215" i="3"/>
  <c r="F216" i="4" s="1"/>
  <c r="U215" i="3"/>
  <c r="J216" i="4" s="1"/>
  <c r="O215" i="3"/>
  <c r="H216" i="4" s="1"/>
  <c r="L220" i="2"/>
  <c r="I219" i="2"/>
  <c r="F219" i="2" s="1"/>
  <c r="A218" i="4"/>
  <c r="M217" i="3"/>
  <c r="N217" i="3"/>
  <c r="C217" i="3"/>
  <c r="P217" i="3"/>
  <c r="E217" i="3"/>
  <c r="H217" i="3"/>
  <c r="T217" i="3"/>
  <c r="J217" i="3"/>
  <c r="V217" i="3"/>
  <c r="G217" i="3"/>
  <c r="S217" i="3"/>
  <c r="Y217" i="3" s="1"/>
  <c r="Z217" i="3" s="1"/>
  <c r="AA217" i="3" s="1"/>
  <c r="V220" i="2" l="1"/>
  <c r="T219" i="2"/>
  <c r="D218" i="4"/>
  <c r="A219" i="4"/>
  <c r="H218" i="3"/>
  <c r="T218" i="3"/>
  <c r="J218" i="3"/>
  <c r="V218" i="3"/>
  <c r="M218" i="3"/>
  <c r="N218" i="3"/>
  <c r="C218" i="3"/>
  <c r="E218" i="3"/>
  <c r="G218" i="3"/>
  <c r="S218" i="3"/>
  <c r="Y218" i="3" s="1"/>
  <c r="Z218" i="3" s="1"/>
  <c r="AA218" i="3" s="1"/>
  <c r="P218" i="3"/>
  <c r="M222" i="2"/>
  <c r="J221" i="2"/>
  <c r="F217" i="3"/>
  <c r="D218" i="3"/>
  <c r="O216" i="3"/>
  <c r="H217" i="4" s="1"/>
  <c r="I216" i="3"/>
  <c r="F217" i="4" s="1"/>
  <c r="U216" i="3"/>
  <c r="J217" i="4" s="1"/>
  <c r="K222" i="2"/>
  <c r="H221" i="2"/>
  <c r="C218" i="4"/>
  <c r="AB217" i="3"/>
  <c r="E218" i="4" s="1"/>
  <c r="G218" i="4"/>
  <c r="L218" i="4" s="1"/>
  <c r="I218" i="4"/>
  <c r="M218" i="4" s="1"/>
  <c r="K218" i="4"/>
  <c r="N218" i="4" s="1"/>
  <c r="C224" i="2"/>
  <c r="I220" i="2"/>
  <c r="F220" i="2" s="1"/>
  <c r="L221" i="2"/>
  <c r="G221" i="2"/>
  <c r="D222" i="2"/>
  <c r="E221" i="2"/>
  <c r="V221" i="2" l="1"/>
  <c r="T220" i="2"/>
  <c r="D219" i="4"/>
  <c r="A220" i="4"/>
  <c r="E219" i="3"/>
  <c r="G219" i="3"/>
  <c r="S219" i="3"/>
  <c r="Y219" i="3" s="1"/>
  <c r="Z219" i="3" s="1"/>
  <c r="AA219" i="3" s="1"/>
  <c r="H219" i="3"/>
  <c r="T219" i="3"/>
  <c r="J219" i="3"/>
  <c r="V219" i="3"/>
  <c r="N219" i="3"/>
  <c r="P219" i="3"/>
  <c r="C219" i="3"/>
  <c r="M219" i="3"/>
  <c r="C225" i="2"/>
  <c r="H222" i="2"/>
  <c r="E222" i="2" s="1"/>
  <c r="K223" i="2"/>
  <c r="C219" i="4"/>
  <c r="AB218" i="3"/>
  <c r="E219" i="4" s="1"/>
  <c r="D219" i="3"/>
  <c r="F218" i="3"/>
  <c r="O217" i="3"/>
  <c r="H218" i="4" s="1"/>
  <c r="I217" i="3"/>
  <c r="F218" i="4" s="1"/>
  <c r="U217" i="3"/>
  <c r="J218" i="4" s="1"/>
  <c r="D223" i="2"/>
  <c r="M223" i="2"/>
  <c r="J222" i="2"/>
  <c r="G222" i="2" s="1"/>
  <c r="K219" i="4"/>
  <c r="N219" i="4" s="1"/>
  <c r="G219" i="4"/>
  <c r="L219" i="4" s="1"/>
  <c r="I219" i="4"/>
  <c r="M219" i="4" s="1"/>
  <c r="L222" i="2"/>
  <c r="I221" i="2"/>
  <c r="F221" i="2" s="1"/>
  <c r="V222" i="2" l="1"/>
  <c r="T221" i="2"/>
  <c r="D220" i="4"/>
  <c r="M224" i="2"/>
  <c r="J223" i="2"/>
  <c r="G223" i="2" s="1"/>
  <c r="K224" i="2"/>
  <c r="H223" i="2"/>
  <c r="E223" i="2" s="1"/>
  <c r="C226" i="2"/>
  <c r="L223" i="2"/>
  <c r="I222" i="2"/>
  <c r="F222" i="2" s="1"/>
  <c r="D224" i="2"/>
  <c r="A221" i="4"/>
  <c r="N220" i="3"/>
  <c r="C220" i="3"/>
  <c r="P220" i="3"/>
  <c r="E220" i="3"/>
  <c r="G220" i="3"/>
  <c r="S220" i="3"/>
  <c r="Y220" i="3" s="1"/>
  <c r="Z220" i="3" s="1"/>
  <c r="AA220" i="3" s="1"/>
  <c r="H220" i="3"/>
  <c r="T220" i="3"/>
  <c r="M220" i="3"/>
  <c r="J220" i="3"/>
  <c r="V220" i="3"/>
  <c r="I218" i="3"/>
  <c r="F219" i="4" s="1"/>
  <c r="U218" i="3"/>
  <c r="J219" i="4" s="1"/>
  <c r="O218" i="3"/>
  <c r="H219" i="4" s="1"/>
  <c r="F219" i="3"/>
  <c r="D220" i="3"/>
  <c r="C220" i="4"/>
  <c r="AB219" i="3"/>
  <c r="E220" i="4" s="1"/>
  <c r="I220" i="4"/>
  <c r="M220" i="4" s="1"/>
  <c r="K220" i="4"/>
  <c r="N220" i="4" s="1"/>
  <c r="G220" i="4"/>
  <c r="L220" i="4" s="1"/>
  <c r="V223" i="2" l="1"/>
  <c r="T222" i="2"/>
  <c r="D221" i="4"/>
  <c r="A222" i="4"/>
  <c r="M221" i="3"/>
  <c r="N221" i="3"/>
  <c r="C221" i="3"/>
  <c r="P221" i="3"/>
  <c r="E221" i="3"/>
  <c r="H221" i="3"/>
  <c r="T221" i="3"/>
  <c r="J221" i="3"/>
  <c r="V221" i="3"/>
  <c r="G221" i="3"/>
  <c r="S221" i="3"/>
  <c r="Y221" i="3" s="1"/>
  <c r="Z221" i="3" s="1"/>
  <c r="AA221" i="3" s="1"/>
  <c r="L224" i="2"/>
  <c r="I223" i="2"/>
  <c r="F223" i="2" s="1"/>
  <c r="F220" i="3"/>
  <c r="D221" i="3"/>
  <c r="I219" i="3"/>
  <c r="F220" i="4" s="1"/>
  <c r="U219" i="3"/>
  <c r="J220" i="4" s="1"/>
  <c r="O219" i="3"/>
  <c r="H220" i="4" s="1"/>
  <c r="C227" i="2"/>
  <c r="G221" i="4"/>
  <c r="L221" i="4" s="1"/>
  <c r="I221" i="4"/>
  <c r="M221" i="4" s="1"/>
  <c r="K221" i="4"/>
  <c r="N221" i="4" s="1"/>
  <c r="K225" i="2"/>
  <c r="H224" i="2"/>
  <c r="E224" i="2" s="1"/>
  <c r="C221" i="4"/>
  <c r="AB220" i="3"/>
  <c r="E221" i="4" s="1"/>
  <c r="M225" i="2"/>
  <c r="J224" i="2"/>
  <c r="G224" i="2"/>
  <c r="D225" i="2"/>
  <c r="V224" i="2" l="1"/>
  <c r="T223" i="2"/>
  <c r="D222" i="4"/>
  <c r="A223" i="4"/>
  <c r="H222" i="3"/>
  <c r="T222" i="3"/>
  <c r="J222" i="3"/>
  <c r="V222" i="3"/>
  <c r="M222" i="3"/>
  <c r="N222" i="3"/>
  <c r="C222" i="3"/>
  <c r="E222" i="3"/>
  <c r="G222" i="3"/>
  <c r="S222" i="3"/>
  <c r="Y222" i="3" s="1"/>
  <c r="Z222" i="3" s="1"/>
  <c r="AA222" i="3" s="1"/>
  <c r="P222" i="3"/>
  <c r="J225" i="2"/>
  <c r="M226" i="2"/>
  <c r="K226" i="2"/>
  <c r="H225" i="2"/>
  <c r="E225" i="2" s="1"/>
  <c r="F221" i="3"/>
  <c r="D222" i="3"/>
  <c r="O220" i="3"/>
  <c r="H221" i="4" s="1"/>
  <c r="I220" i="3"/>
  <c r="F221" i="4" s="1"/>
  <c r="U220" i="3"/>
  <c r="J221" i="4" s="1"/>
  <c r="L225" i="2"/>
  <c r="I224" i="2"/>
  <c r="F224" i="2" s="1"/>
  <c r="C222" i="4"/>
  <c r="AB221" i="3"/>
  <c r="E222" i="4" s="1"/>
  <c r="G222" i="4"/>
  <c r="L222" i="4" s="1"/>
  <c r="I222" i="4"/>
  <c r="M222" i="4" s="1"/>
  <c r="K222" i="4"/>
  <c r="N222" i="4" s="1"/>
  <c r="D226" i="2"/>
  <c r="G225" i="2"/>
  <c r="C228" i="2"/>
  <c r="V225" i="2" l="1"/>
  <c r="T224" i="2"/>
  <c r="D223" i="4"/>
  <c r="D223" i="3"/>
  <c r="F222" i="3"/>
  <c r="O221" i="3"/>
  <c r="H222" i="4" s="1"/>
  <c r="U221" i="3"/>
  <c r="J222" i="4" s="1"/>
  <c r="I221" i="3"/>
  <c r="F222" i="4" s="1"/>
  <c r="C223" i="4"/>
  <c r="AB222" i="3"/>
  <c r="E223" i="4" s="1"/>
  <c r="M227" i="2"/>
  <c r="J226" i="2"/>
  <c r="G226" i="2" s="1"/>
  <c r="A224" i="4"/>
  <c r="E223" i="3"/>
  <c r="G223" i="3"/>
  <c r="S223" i="3"/>
  <c r="Y223" i="3" s="1"/>
  <c r="Z223" i="3" s="1"/>
  <c r="AA223" i="3" s="1"/>
  <c r="H223" i="3"/>
  <c r="T223" i="3"/>
  <c r="J223" i="3"/>
  <c r="V223" i="3"/>
  <c r="N223" i="3"/>
  <c r="P223" i="3"/>
  <c r="M223" i="3"/>
  <c r="C223" i="3"/>
  <c r="D227" i="2"/>
  <c r="K227" i="2"/>
  <c r="H226" i="2"/>
  <c r="E226" i="2" s="1"/>
  <c r="C229" i="2"/>
  <c r="G223" i="4"/>
  <c r="L223" i="4" s="1"/>
  <c r="I223" i="4"/>
  <c r="M223" i="4" s="1"/>
  <c r="K223" i="4"/>
  <c r="N223" i="4" s="1"/>
  <c r="L226" i="2"/>
  <c r="I225" i="2"/>
  <c r="F225" i="2" s="1"/>
  <c r="V226" i="2" l="1"/>
  <c r="T225" i="2"/>
  <c r="D224" i="4"/>
  <c r="C224" i="4"/>
  <c r="AB223" i="3"/>
  <c r="E224" i="4" s="1"/>
  <c r="C230" i="2"/>
  <c r="M228" i="2"/>
  <c r="J227" i="2"/>
  <c r="G224" i="4"/>
  <c r="L224" i="4" s="1"/>
  <c r="I224" i="4"/>
  <c r="M224" i="4" s="1"/>
  <c r="K224" i="4"/>
  <c r="N224" i="4" s="1"/>
  <c r="I222" i="3"/>
  <c r="F223" i="4" s="1"/>
  <c r="U222" i="3"/>
  <c r="J223" i="4" s="1"/>
  <c r="O222" i="3"/>
  <c r="H223" i="4" s="1"/>
  <c r="D228" i="2"/>
  <c r="G227" i="2"/>
  <c r="F223" i="3"/>
  <c r="D224" i="3"/>
  <c r="A225" i="4"/>
  <c r="N224" i="3"/>
  <c r="C224" i="3"/>
  <c r="P224" i="3"/>
  <c r="E224" i="3"/>
  <c r="G224" i="3"/>
  <c r="S224" i="3"/>
  <c r="Y224" i="3" s="1"/>
  <c r="Z224" i="3" s="1"/>
  <c r="AA224" i="3" s="1"/>
  <c r="H224" i="3"/>
  <c r="T224" i="3"/>
  <c r="M224" i="3"/>
  <c r="J224" i="3"/>
  <c r="V224" i="3"/>
  <c r="H227" i="2"/>
  <c r="E227" i="2" s="1"/>
  <c r="K228" i="2"/>
  <c r="L227" i="2"/>
  <c r="I226" i="2"/>
  <c r="F226" i="2" s="1"/>
  <c r="V227" i="2" l="1"/>
  <c r="T226" i="2"/>
  <c r="D225" i="4"/>
  <c r="M229" i="2"/>
  <c r="J228" i="2"/>
  <c r="A226" i="4"/>
  <c r="M225" i="3"/>
  <c r="N225" i="3"/>
  <c r="C225" i="3"/>
  <c r="P225" i="3"/>
  <c r="E225" i="3"/>
  <c r="H225" i="3"/>
  <c r="T225" i="3"/>
  <c r="J225" i="3"/>
  <c r="V225" i="3"/>
  <c r="G225" i="3"/>
  <c r="S225" i="3"/>
  <c r="Y225" i="3" s="1"/>
  <c r="Z225" i="3" s="1"/>
  <c r="AA225" i="3" s="1"/>
  <c r="G228" i="2"/>
  <c r="D229" i="2"/>
  <c r="E228" i="2"/>
  <c r="I223" i="3"/>
  <c r="F224" i="4" s="1"/>
  <c r="U223" i="3"/>
  <c r="J224" i="4" s="1"/>
  <c r="O223" i="3"/>
  <c r="H224" i="4" s="1"/>
  <c r="C231" i="2"/>
  <c r="I227" i="2"/>
  <c r="F227" i="2" s="1"/>
  <c r="L228" i="2"/>
  <c r="K229" i="2"/>
  <c r="H228" i="2"/>
  <c r="K225" i="4"/>
  <c r="N225" i="4" s="1"/>
  <c r="G225" i="4"/>
  <c r="L225" i="4" s="1"/>
  <c r="I225" i="4"/>
  <c r="M225" i="4" s="1"/>
  <c r="C225" i="4"/>
  <c r="AB224" i="3"/>
  <c r="E225" i="4" s="1"/>
  <c r="F224" i="3"/>
  <c r="D225" i="3"/>
  <c r="V228" i="2" l="1"/>
  <c r="T227" i="2"/>
  <c r="D226" i="4"/>
  <c r="A227" i="4"/>
  <c r="H226" i="3"/>
  <c r="T226" i="3"/>
  <c r="J226" i="3"/>
  <c r="V226" i="3"/>
  <c r="M226" i="3"/>
  <c r="N226" i="3"/>
  <c r="C226" i="3"/>
  <c r="E226" i="3"/>
  <c r="G226" i="3"/>
  <c r="S226" i="3"/>
  <c r="Y226" i="3" s="1"/>
  <c r="Z226" i="3" s="1"/>
  <c r="AA226" i="3" s="1"/>
  <c r="P226" i="3"/>
  <c r="D230" i="2"/>
  <c r="F225" i="3"/>
  <c r="D226" i="3"/>
  <c r="L229" i="2"/>
  <c r="I228" i="2"/>
  <c r="F228" i="2" s="1"/>
  <c r="C226" i="4"/>
  <c r="AB225" i="3"/>
  <c r="E226" i="4" s="1"/>
  <c r="I226" i="4"/>
  <c r="M226" i="4" s="1"/>
  <c r="K226" i="4"/>
  <c r="N226" i="4" s="1"/>
  <c r="G226" i="4"/>
  <c r="L226" i="4" s="1"/>
  <c r="C232" i="2"/>
  <c r="K230" i="2"/>
  <c r="H229" i="2"/>
  <c r="E229" i="2" s="1"/>
  <c r="O224" i="3"/>
  <c r="H225" i="4" s="1"/>
  <c r="I224" i="3"/>
  <c r="F225" i="4" s="1"/>
  <c r="U224" i="3"/>
  <c r="J225" i="4" s="1"/>
  <c r="M230" i="2"/>
  <c r="J229" i="2"/>
  <c r="G229" i="2" s="1"/>
  <c r="V229" i="2" l="1"/>
  <c r="T228" i="2"/>
  <c r="D227" i="4"/>
  <c r="K231" i="2"/>
  <c r="H230" i="2"/>
  <c r="A228" i="4"/>
  <c r="E227" i="3"/>
  <c r="G227" i="3"/>
  <c r="S227" i="3"/>
  <c r="Y227" i="3" s="1"/>
  <c r="Z227" i="3" s="1"/>
  <c r="AA227" i="3" s="1"/>
  <c r="H227" i="3"/>
  <c r="T227" i="3"/>
  <c r="J227" i="3"/>
  <c r="V227" i="3"/>
  <c r="N227" i="3"/>
  <c r="P227" i="3"/>
  <c r="C227" i="3"/>
  <c r="M227" i="3"/>
  <c r="C233" i="2"/>
  <c r="L230" i="2"/>
  <c r="I229" i="2"/>
  <c r="F229" i="2" s="1"/>
  <c r="D227" i="3"/>
  <c r="F226" i="3"/>
  <c r="O225" i="3"/>
  <c r="H226" i="4" s="1"/>
  <c r="I225" i="3"/>
  <c r="F226" i="4" s="1"/>
  <c r="U225" i="3"/>
  <c r="J226" i="4" s="1"/>
  <c r="C227" i="4"/>
  <c r="AB226" i="3"/>
  <c r="E227" i="4" s="1"/>
  <c r="D231" i="2"/>
  <c r="E230" i="2"/>
  <c r="M231" i="2"/>
  <c r="J230" i="2"/>
  <c r="G230" i="2" s="1"/>
  <c r="G227" i="4"/>
  <c r="L227" i="4" s="1"/>
  <c r="I227" i="4"/>
  <c r="M227" i="4" s="1"/>
  <c r="K227" i="4"/>
  <c r="N227" i="4" s="1"/>
  <c r="V230" i="2" l="1"/>
  <c r="T229" i="2"/>
  <c r="D228" i="4"/>
  <c r="F227" i="3"/>
  <c r="D228" i="3"/>
  <c r="L231" i="2"/>
  <c r="I230" i="2"/>
  <c r="F230" i="2" s="1"/>
  <c r="A229" i="4"/>
  <c r="N228" i="3"/>
  <c r="C228" i="3"/>
  <c r="P228" i="3"/>
  <c r="E228" i="3"/>
  <c r="G228" i="3"/>
  <c r="S228" i="3"/>
  <c r="Y228" i="3" s="1"/>
  <c r="Z228" i="3" s="1"/>
  <c r="AA228" i="3" s="1"/>
  <c r="H228" i="3"/>
  <c r="T228" i="3"/>
  <c r="M228" i="3"/>
  <c r="J228" i="3"/>
  <c r="V228" i="3"/>
  <c r="D232" i="2"/>
  <c r="C234" i="2"/>
  <c r="C228" i="4"/>
  <c r="AB227" i="3"/>
  <c r="E228" i="4" s="1"/>
  <c r="G228" i="4"/>
  <c r="L228" i="4" s="1"/>
  <c r="I228" i="4"/>
  <c r="M228" i="4" s="1"/>
  <c r="K228" i="4"/>
  <c r="N228" i="4" s="1"/>
  <c r="I226" i="3"/>
  <c r="F227" i="4" s="1"/>
  <c r="U226" i="3"/>
  <c r="J227" i="4" s="1"/>
  <c r="O226" i="3"/>
  <c r="H227" i="4" s="1"/>
  <c r="M232" i="2"/>
  <c r="J231" i="2"/>
  <c r="G231" i="2" s="1"/>
  <c r="K232" i="2"/>
  <c r="H231" i="2"/>
  <c r="E231" i="2" s="1"/>
  <c r="V231" i="2" l="1"/>
  <c r="T230" i="2"/>
  <c r="D229" i="4"/>
  <c r="A230" i="4"/>
  <c r="M229" i="3"/>
  <c r="N229" i="3"/>
  <c r="C229" i="3"/>
  <c r="P229" i="3"/>
  <c r="E229" i="3"/>
  <c r="H229" i="3"/>
  <c r="T229" i="3"/>
  <c r="J229" i="3"/>
  <c r="V229" i="3"/>
  <c r="G229" i="3"/>
  <c r="S229" i="3"/>
  <c r="Y229" i="3" s="1"/>
  <c r="Z229" i="3" s="1"/>
  <c r="AA229" i="3" s="1"/>
  <c r="D233" i="2"/>
  <c r="G229" i="4"/>
  <c r="L229" i="4" s="1"/>
  <c r="I229" i="4"/>
  <c r="M229" i="4" s="1"/>
  <c r="K229" i="4"/>
  <c r="N229" i="4" s="1"/>
  <c r="C229" i="4"/>
  <c r="AB228" i="3"/>
  <c r="E229" i="4" s="1"/>
  <c r="L232" i="2"/>
  <c r="I231" i="2"/>
  <c r="F231" i="2" s="1"/>
  <c r="K233" i="2"/>
  <c r="H232" i="2"/>
  <c r="E232" i="2" s="1"/>
  <c r="F228" i="3"/>
  <c r="D229" i="3"/>
  <c r="J232" i="2"/>
  <c r="G232" i="2" s="1"/>
  <c r="M233" i="2"/>
  <c r="C235" i="2"/>
  <c r="I227" i="3"/>
  <c r="F228" i="4" s="1"/>
  <c r="U227" i="3"/>
  <c r="J228" i="4" s="1"/>
  <c r="O227" i="3"/>
  <c r="H228" i="4" s="1"/>
  <c r="V232" i="2" l="1"/>
  <c r="T231" i="2"/>
  <c r="D230" i="4"/>
  <c r="A231" i="4"/>
  <c r="H230" i="3"/>
  <c r="T230" i="3"/>
  <c r="J230" i="3"/>
  <c r="V230" i="3"/>
  <c r="M230" i="3"/>
  <c r="N230" i="3"/>
  <c r="C230" i="3"/>
  <c r="E230" i="3"/>
  <c r="G230" i="3"/>
  <c r="S230" i="3"/>
  <c r="Y230" i="3" s="1"/>
  <c r="Z230" i="3" s="1"/>
  <c r="AA230" i="3" s="1"/>
  <c r="P230" i="3"/>
  <c r="F229" i="3"/>
  <c r="D230" i="3"/>
  <c r="O228" i="3"/>
  <c r="H229" i="4" s="1"/>
  <c r="I228" i="3"/>
  <c r="F229" i="4" s="1"/>
  <c r="U228" i="3"/>
  <c r="J229" i="4" s="1"/>
  <c r="K234" i="2"/>
  <c r="H233" i="2"/>
  <c r="E233" i="2" s="1"/>
  <c r="I232" i="2"/>
  <c r="F232" i="2" s="1"/>
  <c r="L233" i="2"/>
  <c r="D234" i="2"/>
  <c r="C230" i="4"/>
  <c r="AB229" i="3"/>
  <c r="E230" i="4" s="1"/>
  <c r="G230" i="4"/>
  <c r="L230" i="4" s="1"/>
  <c r="I230" i="4"/>
  <c r="M230" i="4" s="1"/>
  <c r="K230" i="4"/>
  <c r="N230" i="4" s="1"/>
  <c r="M234" i="2"/>
  <c r="J233" i="2"/>
  <c r="G233" i="2" s="1"/>
  <c r="C236" i="2"/>
  <c r="V233" i="2" l="1"/>
  <c r="T232" i="2"/>
  <c r="D231" i="4"/>
  <c r="H234" i="2"/>
  <c r="K235" i="2"/>
  <c r="C231" i="4"/>
  <c r="AB230" i="3"/>
  <c r="E231" i="4" s="1"/>
  <c r="A232" i="4"/>
  <c r="E231" i="3"/>
  <c r="G231" i="3"/>
  <c r="S231" i="3"/>
  <c r="Y231" i="3" s="1"/>
  <c r="Z231" i="3" s="1"/>
  <c r="AA231" i="3" s="1"/>
  <c r="H231" i="3"/>
  <c r="T231" i="3"/>
  <c r="J231" i="3"/>
  <c r="V231" i="3"/>
  <c r="N231" i="3"/>
  <c r="P231" i="3"/>
  <c r="M231" i="3"/>
  <c r="C231" i="3"/>
  <c r="L234" i="2"/>
  <c r="I233" i="2"/>
  <c r="F233" i="2" s="1"/>
  <c r="D231" i="3"/>
  <c r="F230" i="3"/>
  <c r="O229" i="3"/>
  <c r="H230" i="4" s="1"/>
  <c r="U229" i="3"/>
  <c r="J230" i="4" s="1"/>
  <c r="I229" i="3"/>
  <c r="F230" i="4" s="1"/>
  <c r="C237" i="2"/>
  <c r="D235" i="2"/>
  <c r="E234" i="2"/>
  <c r="K231" i="4"/>
  <c r="N231" i="4" s="1"/>
  <c r="G231" i="4"/>
  <c r="L231" i="4" s="1"/>
  <c r="I231" i="4"/>
  <c r="M231" i="4" s="1"/>
  <c r="M235" i="2"/>
  <c r="J234" i="2"/>
  <c r="G234" i="2" s="1"/>
  <c r="V234" i="2" l="1"/>
  <c r="T233" i="2"/>
  <c r="D232" i="4"/>
  <c r="I230" i="3"/>
  <c r="F231" i="4" s="1"/>
  <c r="U230" i="3"/>
  <c r="J231" i="4" s="1"/>
  <c r="O230" i="3"/>
  <c r="H231" i="4" s="1"/>
  <c r="F231" i="3"/>
  <c r="D232" i="3"/>
  <c r="A233" i="4"/>
  <c r="N232" i="3"/>
  <c r="C232" i="3"/>
  <c r="P232" i="3"/>
  <c r="E232" i="3"/>
  <c r="G232" i="3"/>
  <c r="S232" i="3"/>
  <c r="Y232" i="3" s="1"/>
  <c r="Z232" i="3" s="1"/>
  <c r="AA232" i="3" s="1"/>
  <c r="H232" i="3"/>
  <c r="T232" i="3"/>
  <c r="M232" i="3"/>
  <c r="J232" i="3"/>
  <c r="V232" i="3"/>
  <c r="L235" i="2"/>
  <c r="I234" i="2"/>
  <c r="F234" i="2" s="1"/>
  <c r="D236" i="2"/>
  <c r="I232" i="4"/>
  <c r="M232" i="4" s="1"/>
  <c r="K232" i="4"/>
  <c r="N232" i="4" s="1"/>
  <c r="G232" i="4"/>
  <c r="L232" i="4" s="1"/>
  <c r="C232" i="4"/>
  <c r="AB231" i="3"/>
  <c r="E232" i="4" s="1"/>
  <c r="M236" i="2"/>
  <c r="J235" i="2"/>
  <c r="G235" i="2" s="1"/>
  <c r="C238" i="2"/>
  <c r="K236" i="2"/>
  <c r="H235" i="2"/>
  <c r="E235" i="2" s="1"/>
  <c r="V235" i="2" l="1"/>
  <c r="T234" i="2"/>
  <c r="D233" i="4"/>
  <c r="M237" i="2"/>
  <c r="J236" i="2"/>
  <c r="L236" i="2"/>
  <c r="I235" i="2"/>
  <c r="F235" i="2" s="1"/>
  <c r="G233" i="4"/>
  <c r="L233" i="4" s="1"/>
  <c r="I233" i="4"/>
  <c r="M233" i="4" s="1"/>
  <c r="K233" i="4"/>
  <c r="N233" i="4" s="1"/>
  <c r="F232" i="3"/>
  <c r="D233" i="3"/>
  <c r="C233" i="4"/>
  <c r="AB232" i="3"/>
  <c r="E233" i="4" s="1"/>
  <c r="I231" i="3"/>
  <c r="F232" i="4" s="1"/>
  <c r="U231" i="3"/>
  <c r="J232" i="4" s="1"/>
  <c r="O231" i="3"/>
  <c r="H232" i="4" s="1"/>
  <c r="K237" i="2"/>
  <c r="H236" i="2"/>
  <c r="E236" i="2" s="1"/>
  <c r="C239" i="2"/>
  <c r="G236" i="2"/>
  <c r="D237" i="2"/>
  <c r="A234" i="4"/>
  <c r="M233" i="3"/>
  <c r="N233" i="3"/>
  <c r="C233" i="3"/>
  <c r="P233" i="3"/>
  <c r="E233" i="3"/>
  <c r="H233" i="3"/>
  <c r="T233" i="3"/>
  <c r="J233" i="3"/>
  <c r="V233" i="3"/>
  <c r="G233" i="3"/>
  <c r="S233" i="3"/>
  <c r="Y233" i="3" s="1"/>
  <c r="Z233" i="3" s="1"/>
  <c r="AA233" i="3" s="1"/>
  <c r="V236" i="2" l="1"/>
  <c r="T235" i="2"/>
  <c r="D234" i="4"/>
  <c r="A235" i="4"/>
  <c r="H234" i="3"/>
  <c r="T234" i="3"/>
  <c r="J234" i="3"/>
  <c r="V234" i="3"/>
  <c r="M234" i="3"/>
  <c r="N234" i="3"/>
  <c r="C234" i="3"/>
  <c r="E234" i="3"/>
  <c r="G234" i="3"/>
  <c r="S234" i="3"/>
  <c r="Y234" i="3" s="1"/>
  <c r="Z234" i="3" s="1"/>
  <c r="AA234" i="3" s="1"/>
  <c r="P234" i="3"/>
  <c r="C240" i="2"/>
  <c r="K238" i="2"/>
  <c r="H237" i="2"/>
  <c r="E237" i="2" s="1"/>
  <c r="L237" i="2"/>
  <c r="I236" i="2"/>
  <c r="F236" i="2" s="1"/>
  <c r="D238" i="2"/>
  <c r="J237" i="2"/>
  <c r="G237" i="2" s="1"/>
  <c r="M238" i="2"/>
  <c r="F233" i="3"/>
  <c r="D234" i="3"/>
  <c r="C234" i="4"/>
  <c r="AB233" i="3"/>
  <c r="E234" i="4" s="1"/>
  <c r="G234" i="4"/>
  <c r="L234" i="4" s="1"/>
  <c r="I234" i="4"/>
  <c r="M234" i="4" s="1"/>
  <c r="K234" i="4"/>
  <c r="N234" i="4" s="1"/>
  <c r="O232" i="3"/>
  <c r="H233" i="4" s="1"/>
  <c r="I232" i="3"/>
  <c r="F233" i="4" s="1"/>
  <c r="U232" i="3"/>
  <c r="J233" i="4" s="1"/>
  <c r="V237" i="2" l="1"/>
  <c r="T236" i="2"/>
  <c r="D235" i="4"/>
  <c r="D239" i="2"/>
  <c r="E238" i="2"/>
  <c r="L238" i="2"/>
  <c r="I237" i="2"/>
  <c r="F237" i="2" s="1"/>
  <c r="C235" i="4"/>
  <c r="AB234" i="3"/>
  <c r="E235" i="4" s="1"/>
  <c r="D235" i="3"/>
  <c r="F234" i="3"/>
  <c r="K239" i="2"/>
  <c r="H238" i="2"/>
  <c r="O233" i="3"/>
  <c r="H234" i="4" s="1"/>
  <c r="I233" i="3"/>
  <c r="F234" i="4" s="1"/>
  <c r="U233" i="3"/>
  <c r="J234" i="4" s="1"/>
  <c r="M239" i="2"/>
  <c r="J238" i="2"/>
  <c r="G238" i="2" s="1"/>
  <c r="C241" i="2"/>
  <c r="G235" i="4"/>
  <c r="L235" i="4" s="1"/>
  <c r="I235" i="4"/>
  <c r="M235" i="4" s="1"/>
  <c r="K235" i="4"/>
  <c r="N235" i="4" s="1"/>
  <c r="A236" i="4"/>
  <c r="E235" i="3"/>
  <c r="G235" i="3"/>
  <c r="S235" i="3"/>
  <c r="Y235" i="3" s="1"/>
  <c r="Z235" i="3" s="1"/>
  <c r="AA235" i="3" s="1"/>
  <c r="H235" i="3"/>
  <c r="T235" i="3"/>
  <c r="J235" i="3"/>
  <c r="V235" i="3"/>
  <c r="N235" i="3"/>
  <c r="P235" i="3"/>
  <c r="C235" i="3"/>
  <c r="M235" i="3"/>
  <c r="V238" i="2" l="1"/>
  <c r="T237" i="2"/>
  <c r="D236" i="4"/>
  <c r="F235" i="3"/>
  <c r="D236" i="3"/>
  <c r="C242" i="2"/>
  <c r="A237" i="4"/>
  <c r="N236" i="3"/>
  <c r="C236" i="3"/>
  <c r="P236" i="3"/>
  <c r="E236" i="3"/>
  <c r="G236" i="3"/>
  <c r="S236" i="3"/>
  <c r="Y236" i="3" s="1"/>
  <c r="Z236" i="3" s="1"/>
  <c r="AA236" i="3" s="1"/>
  <c r="H236" i="3"/>
  <c r="T236" i="3"/>
  <c r="M236" i="3"/>
  <c r="J236" i="3"/>
  <c r="V236" i="3"/>
  <c r="L239" i="2"/>
  <c r="I238" i="2"/>
  <c r="F238" i="2" s="1"/>
  <c r="M240" i="2"/>
  <c r="J239" i="2"/>
  <c r="C236" i="4"/>
  <c r="AB235" i="3"/>
  <c r="E236" i="4" s="1"/>
  <c r="G236" i="4"/>
  <c r="L236" i="4" s="1"/>
  <c r="I236" i="4"/>
  <c r="M236" i="4" s="1"/>
  <c r="K236" i="4"/>
  <c r="N236" i="4" s="1"/>
  <c r="D240" i="2"/>
  <c r="G239" i="2"/>
  <c r="E239" i="2"/>
  <c r="H239" i="2"/>
  <c r="K240" i="2"/>
  <c r="I234" i="3"/>
  <c r="F235" i="4" s="1"/>
  <c r="U234" i="3"/>
  <c r="J235" i="4" s="1"/>
  <c r="O234" i="3"/>
  <c r="H235" i="4" s="1"/>
  <c r="V239" i="2" l="1"/>
  <c r="T238" i="2"/>
  <c r="D237" i="4"/>
  <c r="M241" i="2"/>
  <c r="J240" i="2"/>
  <c r="G240" i="2"/>
  <c r="D241" i="2"/>
  <c r="I239" i="2"/>
  <c r="F239" i="2" s="1"/>
  <c r="L240" i="2"/>
  <c r="K237" i="4"/>
  <c r="N237" i="4" s="1"/>
  <c r="G237" i="4"/>
  <c r="L237" i="4" s="1"/>
  <c r="I237" i="4"/>
  <c r="M237" i="4" s="1"/>
  <c r="C237" i="4"/>
  <c r="AB236" i="3"/>
  <c r="E237" i="4" s="1"/>
  <c r="C243" i="2"/>
  <c r="F236" i="3"/>
  <c r="D237" i="3"/>
  <c r="K241" i="2"/>
  <c r="H240" i="2"/>
  <c r="E240" i="2" s="1"/>
  <c r="I235" i="3"/>
  <c r="F236" i="4" s="1"/>
  <c r="U235" i="3"/>
  <c r="J236" i="4" s="1"/>
  <c r="O235" i="3"/>
  <c r="H236" i="4" s="1"/>
  <c r="A238" i="4"/>
  <c r="M237" i="3"/>
  <c r="N237" i="3"/>
  <c r="C237" i="3"/>
  <c r="P237" i="3"/>
  <c r="E237" i="3"/>
  <c r="H237" i="3"/>
  <c r="T237" i="3"/>
  <c r="J237" i="3"/>
  <c r="V237" i="3"/>
  <c r="G237" i="3"/>
  <c r="S237" i="3"/>
  <c r="Y237" i="3" s="1"/>
  <c r="Z237" i="3" s="1"/>
  <c r="AA237" i="3" s="1"/>
  <c r="V240" i="2" l="1"/>
  <c r="T239" i="2"/>
  <c r="D238" i="4"/>
  <c r="A239" i="4"/>
  <c r="H238" i="3"/>
  <c r="T238" i="3"/>
  <c r="J238" i="3"/>
  <c r="V238" i="3"/>
  <c r="M238" i="3"/>
  <c r="N238" i="3"/>
  <c r="C238" i="3"/>
  <c r="E238" i="3"/>
  <c r="G238" i="3"/>
  <c r="S238" i="3"/>
  <c r="Y238" i="3" s="1"/>
  <c r="Z238" i="3" s="1"/>
  <c r="AA238" i="3" s="1"/>
  <c r="P238" i="3"/>
  <c r="F237" i="3"/>
  <c r="D238" i="3"/>
  <c r="C244" i="2"/>
  <c r="O236" i="3"/>
  <c r="H237" i="4" s="1"/>
  <c r="I236" i="3"/>
  <c r="F237" i="4" s="1"/>
  <c r="U236" i="3"/>
  <c r="J237" i="4" s="1"/>
  <c r="L241" i="2"/>
  <c r="I240" i="2"/>
  <c r="F240" i="2" s="1"/>
  <c r="C238" i="4"/>
  <c r="AB237" i="3"/>
  <c r="E238" i="4" s="1"/>
  <c r="D242" i="2"/>
  <c r="I238" i="4"/>
  <c r="M238" i="4" s="1"/>
  <c r="K238" i="4"/>
  <c r="N238" i="4" s="1"/>
  <c r="G238" i="4"/>
  <c r="L238" i="4" s="1"/>
  <c r="M242" i="2"/>
  <c r="J241" i="2"/>
  <c r="G241" i="2" s="1"/>
  <c r="K242" i="2"/>
  <c r="H241" i="2"/>
  <c r="E241" i="2" s="1"/>
  <c r="V241" i="2" l="1"/>
  <c r="T240" i="2"/>
  <c r="D239" i="4"/>
  <c r="L242" i="2"/>
  <c r="I241" i="2"/>
  <c r="F241" i="2" s="1"/>
  <c r="C245" i="2"/>
  <c r="C239" i="4"/>
  <c r="AB238" i="3"/>
  <c r="E239" i="4" s="1"/>
  <c r="A240" i="4"/>
  <c r="E239" i="3"/>
  <c r="G239" i="3"/>
  <c r="S239" i="3"/>
  <c r="Y239" i="3" s="1"/>
  <c r="Z239" i="3" s="1"/>
  <c r="AA239" i="3" s="1"/>
  <c r="H239" i="3"/>
  <c r="T239" i="3"/>
  <c r="J239" i="3"/>
  <c r="V239" i="3"/>
  <c r="N239" i="3"/>
  <c r="P239" i="3"/>
  <c r="M239" i="3"/>
  <c r="C239" i="3"/>
  <c r="D243" i="2"/>
  <c r="K243" i="2"/>
  <c r="H242" i="2"/>
  <c r="E242" i="2" s="1"/>
  <c r="D239" i="3"/>
  <c r="F238" i="3"/>
  <c r="O237" i="3"/>
  <c r="H238" i="4" s="1"/>
  <c r="U237" i="3"/>
  <c r="J238" i="4" s="1"/>
  <c r="I237" i="3"/>
  <c r="F238" i="4" s="1"/>
  <c r="M243" i="2"/>
  <c r="J242" i="2"/>
  <c r="G242" i="2" s="1"/>
  <c r="G239" i="4"/>
  <c r="L239" i="4" s="1"/>
  <c r="I239" i="4"/>
  <c r="M239" i="4" s="1"/>
  <c r="K239" i="4"/>
  <c r="N239" i="4" s="1"/>
  <c r="V242" i="2" l="1"/>
  <c r="T241" i="2"/>
  <c r="D240" i="4"/>
  <c r="A241" i="4"/>
  <c r="N240" i="3"/>
  <c r="C240" i="3"/>
  <c r="P240" i="3"/>
  <c r="E240" i="3"/>
  <c r="G240" i="3"/>
  <c r="S240" i="3"/>
  <c r="Y240" i="3" s="1"/>
  <c r="Z240" i="3" s="1"/>
  <c r="AA240" i="3" s="1"/>
  <c r="H240" i="3"/>
  <c r="T240" i="3"/>
  <c r="M240" i="3"/>
  <c r="J240" i="3"/>
  <c r="V240" i="3"/>
  <c r="M244" i="2"/>
  <c r="J243" i="2"/>
  <c r="G243" i="2"/>
  <c r="D244" i="2"/>
  <c r="G240" i="4"/>
  <c r="L240" i="4" s="1"/>
  <c r="I240" i="4"/>
  <c r="M240" i="4" s="1"/>
  <c r="K240" i="4"/>
  <c r="N240" i="4" s="1"/>
  <c r="C240" i="4"/>
  <c r="AB239" i="3"/>
  <c r="E240" i="4" s="1"/>
  <c r="F239" i="3"/>
  <c r="D240" i="3"/>
  <c r="I238" i="3"/>
  <c r="F239" i="4" s="1"/>
  <c r="U238" i="3"/>
  <c r="J239" i="4" s="1"/>
  <c r="O238" i="3"/>
  <c r="H239" i="4" s="1"/>
  <c r="C246" i="2"/>
  <c r="K244" i="2"/>
  <c r="H243" i="2"/>
  <c r="E243" i="2" s="1"/>
  <c r="L243" i="2"/>
  <c r="I242" i="2"/>
  <c r="F242" i="2" s="1"/>
  <c r="V243" i="2" l="1"/>
  <c r="T242" i="2"/>
  <c r="D241" i="4"/>
  <c r="F240" i="3"/>
  <c r="D241" i="3"/>
  <c r="D245" i="2"/>
  <c r="G244" i="2"/>
  <c r="A242" i="4"/>
  <c r="M241" i="3"/>
  <c r="N241" i="3"/>
  <c r="C241" i="3"/>
  <c r="P241" i="3"/>
  <c r="E241" i="3"/>
  <c r="H241" i="3"/>
  <c r="T241" i="3"/>
  <c r="J241" i="3"/>
  <c r="V241" i="3"/>
  <c r="G241" i="3"/>
  <c r="S241" i="3"/>
  <c r="Y241" i="3" s="1"/>
  <c r="Z241" i="3" s="1"/>
  <c r="AA241" i="3" s="1"/>
  <c r="I239" i="3"/>
  <c r="F240" i="4" s="1"/>
  <c r="U239" i="3"/>
  <c r="J240" i="4" s="1"/>
  <c r="O239" i="3"/>
  <c r="H240" i="4" s="1"/>
  <c r="L244" i="2"/>
  <c r="I243" i="2"/>
  <c r="F243" i="2" s="1"/>
  <c r="J244" i="2"/>
  <c r="M245" i="2"/>
  <c r="K245" i="2"/>
  <c r="H244" i="2"/>
  <c r="E244" i="2" s="1"/>
  <c r="G241" i="4"/>
  <c r="L241" i="4" s="1"/>
  <c r="I241" i="4"/>
  <c r="M241" i="4" s="1"/>
  <c r="K241" i="4"/>
  <c r="N241" i="4" s="1"/>
  <c r="C247" i="2"/>
  <c r="C241" i="4"/>
  <c r="AB240" i="3"/>
  <c r="E241" i="4" s="1"/>
  <c r="V244" i="2" l="1"/>
  <c r="T243" i="2"/>
  <c r="D242" i="4"/>
  <c r="G242" i="4"/>
  <c r="L242" i="4" s="1"/>
  <c r="I242" i="4"/>
  <c r="M242" i="4" s="1"/>
  <c r="K242" i="4"/>
  <c r="N242" i="4" s="1"/>
  <c r="M246" i="2"/>
  <c r="J245" i="2"/>
  <c r="G245" i="2"/>
  <c r="D246" i="2"/>
  <c r="C242" i="4"/>
  <c r="AB241" i="3"/>
  <c r="E242" i="4" s="1"/>
  <c r="A243" i="4"/>
  <c r="H242" i="3"/>
  <c r="T242" i="3"/>
  <c r="J242" i="3"/>
  <c r="V242" i="3"/>
  <c r="M242" i="3"/>
  <c r="N242" i="3"/>
  <c r="C242" i="3"/>
  <c r="E242" i="3"/>
  <c r="G242" i="3"/>
  <c r="S242" i="3"/>
  <c r="Y242" i="3" s="1"/>
  <c r="Z242" i="3" s="1"/>
  <c r="AA242" i="3" s="1"/>
  <c r="P242" i="3"/>
  <c r="F241" i="3"/>
  <c r="D242" i="3"/>
  <c r="K246" i="2"/>
  <c r="H245" i="2"/>
  <c r="E245" i="2" s="1"/>
  <c r="O240" i="3"/>
  <c r="H241" i="4" s="1"/>
  <c r="I240" i="3"/>
  <c r="F241" i="4" s="1"/>
  <c r="U240" i="3"/>
  <c r="J241" i="4" s="1"/>
  <c r="C248" i="2"/>
  <c r="I244" i="2"/>
  <c r="F244" i="2" s="1"/>
  <c r="L245" i="2"/>
  <c r="V245" i="2" l="1"/>
  <c r="T244" i="2"/>
  <c r="D243" i="4"/>
  <c r="C243" i="4"/>
  <c r="AB242" i="3"/>
  <c r="E243" i="4" s="1"/>
  <c r="M247" i="2"/>
  <c r="J246" i="2"/>
  <c r="K243" i="4"/>
  <c r="N243" i="4" s="1"/>
  <c r="G243" i="4"/>
  <c r="L243" i="4" s="1"/>
  <c r="I243" i="4"/>
  <c r="M243" i="4" s="1"/>
  <c r="L246" i="2"/>
  <c r="I245" i="2"/>
  <c r="F245" i="2" s="1"/>
  <c r="C249" i="2"/>
  <c r="A244" i="4"/>
  <c r="E243" i="3"/>
  <c r="G243" i="3"/>
  <c r="S243" i="3"/>
  <c r="Y243" i="3" s="1"/>
  <c r="Z243" i="3" s="1"/>
  <c r="AA243" i="3" s="1"/>
  <c r="H243" i="3"/>
  <c r="T243" i="3"/>
  <c r="J243" i="3"/>
  <c r="V243" i="3"/>
  <c r="N243" i="3"/>
  <c r="P243" i="3"/>
  <c r="C243" i="3"/>
  <c r="M243" i="3"/>
  <c r="H246" i="2"/>
  <c r="E246" i="2" s="1"/>
  <c r="K247" i="2"/>
  <c r="D243" i="3"/>
  <c r="F242" i="3"/>
  <c r="O241" i="3"/>
  <c r="H242" i="4" s="1"/>
  <c r="I241" i="3"/>
  <c r="F242" i="4" s="1"/>
  <c r="U241" i="3"/>
  <c r="J242" i="4" s="1"/>
  <c r="G246" i="2"/>
  <c r="D247" i="2"/>
  <c r="V246" i="2" l="1"/>
  <c r="T245" i="2"/>
  <c r="D244" i="4"/>
  <c r="C244" i="4"/>
  <c r="AB243" i="3"/>
  <c r="E244" i="4" s="1"/>
  <c r="I244" i="4"/>
  <c r="M244" i="4" s="1"/>
  <c r="K244" i="4"/>
  <c r="N244" i="4" s="1"/>
  <c r="G244" i="4"/>
  <c r="L244" i="4" s="1"/>
  <c r="F243" i="3"/>
  <c r="D244" i="3"/>
  <c r="C250" i="2"/>
  <c r="M248" i="2"/>
  <c r="J247" i="2"/>
  <c r="I242" i="3"/>
  <c r="F243" i="4" s="1"/>
  <c r="U242" i="3"/>
  <c r="J243" i="4" s="1"/>
  <c r="O242" i="3"/>
  <c r="H243" i="4" s="1"/>
  <c r="K248" i="2"/>
  <c r="H247" i="2"/>
  <c r="E247" i="2" s="1"/>
  <c r="G247" i="2"/>
  <c r="D248" i="2"/>
  <c r="A245" i="4"/>
  <c r="N244" i="3"/>
  <c r="C244" i="3"/>
  <c r="P244" i="3"/>
  <c r="E244" i="3"/>
  <c r="G244" i="3"/>
  <c r="S244" i="3"/>
  <c r="Y244" i="3" s="1"/>
  <c r="Z244" i="3" s="1"/>
  <c r="AA244" i="3" s="1"/>
  <c r="H244" i="3"/>
  <c r="T244" i="3"/>
  <c r="M244" i="3"/>
  <c r="J244" i="3"/>
  <c r="V244" i="3"/>
  <c r="L247" i="2"/>
  <c r="I246" i="2"/>
  <c r="F246" i="2" s="1"/>
  <c r="V247" i="2" l="1"/>
  <c r="T246" i="2"/>
  <c r="D245" i="4"/>
  <c r="I243" i="3"/>
  <c r="F244" i="4" s="1"/>
  <c r="U243" i="3"/>
  <c r="J244" i="4" s="1"/>
  <c r="O243" i="3"/>
  <c r="H244" i="4" s="1"/>
  <c r="F244" i="3"/>
  <c r="D245" i="3"/>
  <c r="K249" i="2"/>
  <c r="H248" i="2"/>
  <c r="E248" i="2" s="1"/>
  <c r="A246" i="4"/>
  <c r="M245" i="3"/>
  <c r="N245" i="3"/>
  <c r="C245" i="3"/>
  <c r="P245" i="3"/>
  <c r="E245" i="3"/>
  <c r="H245" i="3"/>
  <c r="T245" i="3"/>
  <c r="J245" i="3"/>
  <c r="V245" i="3"/>
  <c r="G245" i="3"/>
  <c r="S245" i="3"/>
  <c r="Y245" i="3" s="1"/>
  <c r="Z245" i="3" s="1"/>
  <c r="AA245" i="3" s="1"/>
  <c r="L248" i="2"/>
  <c r="I247" i="2"/>
  <c r="F247" i="2" s="1"/>
  <c r="G245" i="4"/>
  <c r="L245" i="4" s="1"/>
  <c r="I245" i="4"/>
  <c r="M245" i="4" s="1"/>
  <c r="K245" i="4"/>
  <c r="N245" i="4" s="1"/>
  <c r="M249" i="2"/>
  <c r="J248" i="2"/>
  <c r="G248" i="2" s="1"/>
  <c r="C245" i="4"/>
  <c r="AB244" i="3"/>
  <c r="E245" i="4" s="1"/>
  <c r="D249" i="2"/>
  <c r="C251" i="2"/>
  <c r="V248" i="2" l="1"/>
  <c r="T247" i="2"/>
  <c r="D246" i="4"/>
  <c r="L249" i="2"/>
  <c r="I248" i="2"/>
  <c r="F248" i="2" s="1"/>
  <c r="C246" i="4"/>
  <c r="AB245" i="3"/>
  <c r="E246" i="4" s="1"/>
  <c r="G246" i="4"/>
  <c r="L246" i="4" s="1"/>
  <c r="I246" i="4"/>
  <c r="M246" i="4" s="1"/>
  <c r="K246" i="4"/>
  <c r="N246" i="4" s="1"/>
  <c r="K250" i="2"/>
  <c r="H249" i="2"/>
  <c r="E249" i="2" s="1"/>
  <c r="J249" i="2"/>
  <c r="M250" i="2"/>
  <c r="F245" i="3"/>
  <c r="D246" i="3"/>
  <c r="O244" i="3"/>
  <c r="H245" i="4" s="1"/>
  <c r="I244" i="3"/>
  <c r="F245" i="4" s="1"/>
  <c r="U244" i="3"/>
  <c r="J245" i="4" s="1"/>
  <c r="C252" i="2"/>
  <c r="A247" i="4"/>
  <c r="H246" i="3"/>
  <c r="T246" i="3"/>
  <c r="J246" i="3"/>
  <c r="V246" i="3"/>
  <c r="M246" i="3"/>
  <c r="N246" i="3"/>
  <c r="C246" i="3"/>
  <c r="E246" i="3"/>
  <c r="G246" i="3"/>
  <c r="S246" i="3"/>
  <c r="Y246" i="3" s="1"/>
  <c r="Z246" i="3" s="1"/>
  <c r="AA246" i="3" s="1"/>
  <c r="P246" i="3"/>
  <c r="D250" i="2"/>
  <c r="G249" i="2"/>
  <c r="V249" i="2" l="1"/>
  <c r="T248" i="2"/>
  <c r="D247" i="4"/>
  <c r="C253" i="2"/>
  <c r="A248" i="4"/>
  <c r="E247" i="3"/>
  <c r="G247" i="3"/>
  <c r="S247" i="3"/>
  <c r="Y247" i="3" s="1"/>
  <c r="Z247" i="3" s="1"/>
  <c r="AA247" i="3" s="1"/>
  <c r="H247" i="3"/>
  <c r="T247" i="3"/>
  <c r="J247" i="3"/>
  <c r="V247" i="3"/>
  <c r="N247" i="3"/>
  <c r="P247" i="3"/>
  <c r="M247" i="3"/>
  <c r="C247" i="3"/>
  <c r="C247" i="4"/>
  <c r="AB246" i="3"/>
  <c r="E247" i="4" s="1"/>
  <c r="D247" i="3"/>
  <c r="F246" i="3"/>
  <c r="O245" i="3"/>
  <c r="H246" i="4" s="1"/>
  <c r="U245" i="3"/>
  <c r="J246" i="4" s="1"/>
  <c r="I245" i="3"/>
  <c r="F246" i="4" s="1"/>
  <c r="M251" i="2"/>
  <c r="J250" i="2"/>
  <c r="G250" i="2" s="1"/>
  <c r="L250" i="2"/>
  <c r="I249" i="2"/>
  <c r="F249" i="2" s="1"/>
  <c r="D251" i="2"/>
  <c r="G247" i="4"/>
  <c r="L247" i="4" s="1"/>
  <c r="I247" i="4"/>
  <c r="M247" i="4" s="1"/>
  <c r="K247" i="4"/>
  <c r="N247" i="4" s="1"/>
  <c r="K251" i="2"/>
  <c r="H250" i="2"/>
  <c r="E250" i="2" s="1"/>
  <c r="V250" i="2" l="1"/>
  <c r="T249" i="2"/>
  <c r="D248" i="4"/>
  <c r="I246" i="3"/>
  <c r="F247" i="4" s="1"/>
  <c r="U246" i="3"/>
  <c r="J247" i="4" s="1"/>
  <c r="O246" i="3"/>
  <c r="H247" i="4" s="1"/>
  <c r="A249" i="4"/>
  <c r="N248" i="3"/>
  <c r="C248" i="3"/>
  <c r="P248" i="3"/>
  <c r="E248" i="3"/>
  <c r="G248" i="3"/>
  <c r="S248" i="3"/>
  <c r="Y248" i="3" s="1"/>
  <c r="Z248" i="3" s="1"/>
  <c r="AA248" i="3" s="1"/>
  <c r="H248" i="3"/>
  <c r="T248" i="3"/>
  <c r="M248" i="3"/>
  <c r="J248" i="3"/>
  <c r="V248" i="3"/>
  <c r="F247" i="3"/>
  <c r="D248" i="3"/>
  <c r="D252" i="2"/>
  <c r="G248" i="4"/>
  <c r="L248" i="4" s="1"/>
  <c r="I248" i="4"/>
  <c r="M248" i="4" s="1"/>
  <c r="K248" i="4"/>
  <c r="N248" i="4" s="1"/>
  <c r="H251" i="2"/>
  <c r="E251" i="2" s="1"/>
  <c r="K252" i="2"/>
  <c r="C248" i="4"/>
  <c r="AB247" i="3"/>
  <c r="E248" i="4" s="1"/>
  <c r="C254" i="2"/>
  <c r="L251" i="2"/>
  <c r="I250" i="2"/>
  <c r="F250" i="2" s="1"/>
  <c r="M252" i="2"/>
  <c r="J251" i="2"/>
  <c r="G251" i="2" s="1"/>
  <c r="V251" i="2" l="1"/>
  <c r="T250" i="2"/>
  <c r="D249" i="4"/>
  <c r="I251" i="2"/>
  <c r="F251" i="2" s="1"/>
  <c r="L252" i="2"/>
  <c r="A250" i="4"/>
  <c r="M249" i="3"/>
  <c r="N249" i="3"/>
  <c r="C249" i="3"/>
  <c r="P249" i="3"/>
  <c r="E249" i="3"/>
  <c r="H249" i="3"/>
  <c r="T249" i="3"/>
  <c r="J249" i="3"/>
  <c r="V249" i="3"/>
  <c r="G249" i="3"/>
  <c r="S249" i="3"/>
  <c r="Y249" i="3" s="1"/>
  <c r="Z249" i="3" s="1"/>
  <c r="AA249" i="3" s="1"/>
  <c r="K253" i="2"/>
  <c r="H252" i="2"/>
  <c r="D253" i="2"/>
  <c r="E252" i="2"/>
  <c r="F248" i="3"/>
  <c r="D249" i="3"/>
  <c r="I247" i="3"/>
  <c r="F248" i="4" s="1"/>
  <c r="U247" i="3"/>
  <c r="J248" i="4" s="1"/>
  <c r="O247" i="3"/>
  <c r="H248" i="4" s="1"/>
  <c r="K249" i="4"/>
  <c r="N249" i="4" s="1"/>
  <c r="G249" i="4"/>
  <c r="L249" i="4" s="1"/>
  <c r="I249" i="4"/>
  <c r="M249" i="4" s="1"/>
  <c r="C249" i="4"/>
  <c r="AB248" i="3"/>
  <c r="E249" i="4" s="1"/>
  <c r="M253" i="2"/>
  <c r="J252" i="2"/>
  <c r="G252" i="2" s="1"/>
  <c r="C255" i="2"/>
  <c r="V252" i="2" l="1"/>
  <c r="T251" i="2"/>
  <c r="D250" i="4"/>
  <c r="D254" i="2"/>
  <c r="K254" i="2"/>
  <c r="H253" i="2"/>
  <c r="E253" i="2" s="1"/>
  <c r="C250" i="4"/>
  <c r="AB249" i="3"/>
  <c r="E250" i="4" s="1"/>
  <c r="A251" i="4"/>
  <c r="H250" i="3"/>
  <c r="T250" i="3"/>
  <c r="J250" i="3"/>
  <c r="V250" i="3"/>
  <c r="M250" i="3"/>
  <c r="C250" i="3"/>
  <c r="E250" i="3"/>
  <c r="G250" i="3"/>
  <c r="S250" i="3"/>
  <c r="Y250" i="3" s="1"/>
  <c r="Z250" i="3" s="1"/>
  <c r="AA250" i="3" s="1"/>
  <c r="N250" i="3"/>
  <c r="P250" i="3"/>
  <c r="I250" i="4"/>
  <c r="M250" i="4" s="1"/>
  <c r="K250" i="4"/>
  <c r="N250" i="4" s="1"/>
  <c r="G250" i="4"/>
  <c r="L250" i="4" s="1"/>
  <c r="C256" i="2"/>
  <c r="L253" i="2"/>
  <c r="I252" i="2"/>
  <c r="F252" i="2" s="1"/>
  <c r="M254" i="2"/>
  <c r="J253" i="2"/>
  <c r="G253" i="2" s="1"/>
  <c r="F249" i="3"/>
  <c r="D250" i="3"/>
  <c r="O248" i="3"/>
  <c r="H249" i="4" s="1"/>
  <c r="I248" i="3"/>
  <c r="F249" i="4" s="1"/>
  <c r="U248" i="3"/>
  <c r="J249" i="4" s="1"/>
  <c r="V253" i="2" l="1"/>
  <c r="T252" i="2"/>
  <c r="D251" i="4"/>
  <c r="M255" i="2"/>
  <c r="J254" i="2"/>
  <c r="A252" i="4"/>
  <c r="E251" i="3"/>
  <c r="G251" i="3"/>
  <c r="S251" i="3"/>
  <c r="Y251" i="3" s="1"/>
  <c r="Z251" i="3" s="1"/>
  <c r="AA251" i="3" s="1"/>
  <c r="H251" i="3"/>
  <c r="T251" i="3"/>
  <c r="J251" i="3"/>
  <c r="V251" i="3"/>
  <c r="N251" i="3"/>
  <c r="P251" i="3"/>
  <c r="C251" i="3"/>
  <c r="M251" i="3"/>
  <c r="K255" i="2"/>
  <c r="H254" i="2"/>
  <c r="E254" i="2" s="1"/>
  <c r="G251" i="4"/>
  <c r="L251" i="4" s="1"/>
  <c r="I251" i="4"/>
  <c r="M251" i="4" s="1"/>
  <c r="K251" i="4"/>
  <c r="N251" i="4" s="1"/>
  <c r="L254" i="2"/>
  <c r="I253" i="2"/>
  <c r="F253" i="2" s="1"/>
  <c r="C257" i="2"/>
  <c r="C251" i="4"/>
  <c r="AB250" i="3"/>
  <c r="E251" i="4" s="1"/>
  <c r="D255" i="2"/>
  <c r="G254" i="2"/>
  <c r="D251" i="3"/>
  <c r="F250" i="3"/>
  <c r="O249" i="3"/>
  <c r="H250" i="4" s="1"/>
  <c r="I249" i="3"/>
  <c r="F250" i="4" s="1"/>
  <c r="U249" i="3"/>
  <c r="J250" i="4" s="1"/>
  <c r="V254" i="2" l="1"/>
  <c r="T253" i="2"/>
  <c r="D252" i="4"/>
  <c r="A253" i="4"/>
  <c r="N252" i="3"/>
  <c r="C252" i="3"/>
  <c r="P252" i="3"/>
  <c r="E252" i="3"/>
  <c r="G252" i="3"/>
  <c r="S252" i="3"/>
  <c r="Y252" i="3" s="1"/>
  <c r="Z252" i="3" s="1"/>
  <c r="AA252" i="3" s="1"/>
  <c r="M252" i="3"/>
  <c r="H252" i="3"/>
  <c r="J252" i="3"/>
  <c r="T252" i="3"/>
  <c r="V252" i="3"/>
  <c r="K256" i="2"/>
  <c r="H255" i="2"/>
  <c r="C252" i="4"/>
  <c r="AB251" i="3"/>
  <c r="E252" i="4" s="1"/>
  <c r="G252" i="4"/>
  <c r="L252" i="4" s="1"/>
  <c r="I252" i="4"/>
  <c r="M252" i="4" s="1"/>
  <c r="K252" i="4"/>
  <c r="N252" i="4" s="1"/>
  <c r="C258" i="2"/>
  <c r="I250" i="3"/>
  <c r="F251" i="4" s="1"/>
  <c r="U250" i="3"/>
  <c r="J251" i="4" s="1"/>
  <c r="O250" i="3"/>
  <c r="H251" i="4" s="1"/>
  <c r="M256" i="2"/>
  <c r="J255" i="2"/>
  <c r="G255" i="2" s="1"/>
  <c r="D256" i="2"/>
  <c r="E255" i="2"/>
  <c r="F251" i="3"/>
  <c r="D252" i="3"/>
  <c r="L255" i="2"/>
  <c r="I254" i="2"/>
  <c r="F254" i="2" s="1"/>
  <c r="V255" i="2" l="1"/>
  <c r="T254" i="2"/>
  <c r="D253" i="4"/>
  <c r="A254" i="4"/>
  <c r="M253" i="3"/>
  <c r="C253" i="3"/>
  <c r="P253" i="3"/>
  <c r="J253" i="3"/>
  <c r="V253" i="3"/>
  <c r="E253" i="3"/>
  <c r="G253" i="3"/>
  <c r="H253" i="3"/>
  <c r="N253" i="3"/>
  <c r="S253" i="3"/>
  <c r="Y253" i="3" s="1"/>
  <c r="Z253" i="3" s="1"/>
  <c r="AA253" i="3" s="1"/>
  <c r="T253" i="3"/>
  <c r="C253" i="4"/>
  <c r="AB252" i="3"/>
  <c r="E253" i="4" s="1"/>
  <c r="D257" i="2"/>
  <c r="E256" i="2"/>
  <c r="J256" i="2"/>
  <c r="G256" i="2" s="1"/>
  <c r="M257" i="2"/>
  <c r="K257" i="2"/>
  <c r="H256" i="2"/>
  <c r="L256" i="2"/>
  <c r="I255" i="2"/>
  <c r="F255" i="2" s="1"/>
  <c r="I251" i="3"/>
  <c r="F252" i="4" s="1"/>
  <c r="U251" i="3"/>
  <c r="J252" i="4" s="1"/>
  <c r="O251" i="3"/>
  <c r="H252" i="4" s="1"/>
  <c r="G253" i="4"/>
  <c r="L253" i="4" s="1"/>
  <c r="I253" i="4"/>
  <c r="M253" i="4" s="1"/>
  <c r="K253" i="4"/>
  <c r="N253" i="4" s="1"/>
  <c r="F252" i="3"/>
  <c r="D253" i="3"/>
  <c r="C259" i="2"/>
  <c r="V256" i="2" l="1"/>
  <c r="T255" i="2"/>
  <c r="D254" i="4"/>
  <c r="A255" i="4"/>
  <c r="H254" i="3"/>
  <c r="T254" i="3"/>
  <c r="J254" i="3"/>
  <c r="V254" i="3"/>
  <c r="M254" i="3"/>
  <c r="C254" i="3"/>
  <c r="G254" i="3"/>
  <c r="S254" i="3"/>
  <c r="Y254" i="3" s="1"/>
  <c r="Z254" i="3" s="1"/>
  <c r="AA254" i="3" s="1"/>
  <c r="E254" i="3"/>
  <c r="N254" i="3"/>
  <c r="P254" i="3"/>
  <c r="G257" i="2"/>
  <c r="D258" i="2"/>
  <c r="C254" i="4"/>
  <c r="AB253" i="3"/>
  <c r="E254" i="4" s="1"/>
  <c r="F253" i="3"/>
  <c r="D254" i="3"/>
  <c r="I256" i="2"/>
  <c r="F256" i="2" s="1"/>
  <c r="L257" i="2"/>
  <c r="G254" i="4"/>
  <c r="L254" i="4" s="1"/>
  <c r="I254" i="4"/>
  <c r="M254" i="4" s="1"/>
  <c r="K254" i="4"/>
  <c r="N254" i="4" s="1"/>
  <c r="M258" i="2"/>
  <c r="J257" i="2"/>
  <c r="C260" i="2"/>
  <c r="O252" i="3"/>
  <c r="H253" i="4" s="1"/>
  <c r="I252" i="3"/>
  <c r="F253" i="4" s="1"/>
  <c r="U252" i="3"/>
  <c r="J253" i="4" s="1"/>
  <c r="K258" i="2"/>
  <c r="H257" i="2"/>
  <c r="E257" i="2" s="1"/>
  <c r="V257" i="2" l="1"/>
  <c r="T256" i="2"/>
  <c r="D255" i="4"/>
  <c r="D255" i="3"/>
  <c r="F254" i="3"/>
  <c r="O253" i="3"/>
  <c r="H254" i="4" s="1"/>
  <c r="I253" i="3"/>
  <c r="F254" i="4" s="1"/>
  <c r="U253" i="3"/>
  <c r="J254" i="4" s="1"/>
  <c r="M259" i="2"/>
  <c r="J258" i="2"/>
  <c r="G258" i="2" s="1"/>
  <c r="C255" i="4"/>
  <c r="AB254" i="3"/>
  <c r="E255" i="4" s="1"/>
  <c r="D259" i="2"/>
  <c r="H258" i="2"/>
  <c r="E258" i="2" s="1"/>
  <c r="K259" i="2"/>
  <c r="K255" i="4"/>
  <c r="N255" i="4" s="1"/>
  <c r="G255" i="4"/>
  <c r="L255" i="4" s="1"/>
  <c r="I255" i="4"/>
  <c r="M255" i="4" s="1"/>
  <c r="L258" i="2"/>
  <c r="I257" i="2"/>
  <c r="F257" i="2" s="1"/>
  <c r="C261" i="2"/>
  <c r="A256" i="4"/>
  <c r="E255" i="3"/>
  <c r="G255" i="3"/>
  <c r="S255" i="3"/>
  <c r="Y255" i="3" s="1"/>
  <c r="Z255" i="3" s="1"/>
  <c r="AA255" i="3" s="1"/>
  <c r="J255" i="3"/>
  <c r="V255" i="3"/>
  <c r="P255" i="3"/>
  <c r="T255" i="3"/>
  <c r="C255" i="3"/>
  <c r="H255" i="3"/>
  <c r="M255" i="3"/>
  <c r="N255" i="3"/>
  <c r="V258" i="2" l="1"/>
  <c r="T257" i="2"/>
  <c r="D256" i="4"/>
  <c r="M260" i="2"/>
  <c r="J259" i="2"/>
  <c r="A257" i="4"/>
  <c r="N256" i="3"/>
  <c r="P256" i="3"/>
  <c r="G256" i="3"/>
  <c r="S256" i="3"/>
  <c r="Y256" i="3" s="1"/>
  <c r="Z256" i="3" s="1"/>
  <c r="AA256" i="3" s="1"/>
  <c r="M256" i="3"/>
  <c r="T256" i="3"/>
  <c r="V256" i="3"/>
  <c r="C256" i="3"/>
  <c r="E256" i="3"/>
  <c r="H256" i="3"/>
  <c r="J256" i="3"/>
  <c r="O254" i="3"/>
  <c r="H255" i="4" s="1"/>
  <c r="U254" i="3"/>
  <c r="J255" i="4" s="1"/>
  <c r="I254" i="3"/>
  <c r="F255" i="4" s="1"/>
  <c r="C256" i="4"/>
  <c r="AB255" i="3"/>
  <c r="E256" i="4" s="1"/>
  <c r="C262" i="2"/>
  <c r="D256" i="3"/>
  <c r="F255" i="3"/>
  <c r="I256" i="4"/>
  <c r="M256" i="4" s="1"/>
  <c r="K256" i="4"/>
  <c r="N256" i="4" s="1"/>
  <c r="G256" i="4"/>
  <c r="L256" i="4" s="1"/>
  <c r="K260" i="2"/>
  <c r="H259" i="2"/>
  <c r="E259" i="2" s="1"/>
  <c r="L259" i="2"/>
  <c r="I258" i="2"/>
  <c r="F258" i="2" s="1"/>
  <c r="G259" i="2"/>
  <c r="D260" i="2"/>
  <c r="V259" i="2" l="1"/>
  <c r="T258" i="2"/>
  <c r="D257" i="4"/>
  <c r="C263" i="2"/>
  <c r="C257" i="4"/>
  <c r="AB256" i="3"/>
  <c r="E257" i="4" s="1"/>
  <c r="K261" i="2"/>
  <c r="H260" i="2"/>
  <c r="G257" i="4"/>
  <c r="L257" i="4" s="1"/>
  <c r="I257" i="4"/>
  <c r="M257" i="4" s="1"/>
  <c r="K257" i="4"/>
  <c r="N257" i="4" s="1"/>
  <c r="I255" i="3"/>
  <c r="F256" i="4" s="1"/>
  <c r="U255" i="3"/>
  <c r="J256" i="4" s="1"/>
  <c r="O255" i="3"/>
  <c r="H256" i="4" s="1"/>
  <c r="A258" i="4"/>
  <c r="M257" i="3"/>
  <c r="C257" i="3"/>
  <c r="P257" i="3"/>
  <c r="J257" i="3"/>
  <c r="V257" i="3"/>
  <c r="H257" i="3"/>
  <c r="N257" i="3"/>
  <c r="S257" i="3"/>
  <c r="Y257" i="3" s="1"/>
  <c r="Z257" i="3" s="1"/>
  <c r="AA257" i="3" s="1"/>
  <c r="T257" i="3"/>
  <c r="E257" i="3"/>
  <c r="G257" i="3"/>
  <c r="M261" i="2"/>
  <c r="J260" i="2"/>
  <c r="F256" i="3"/>
  <c r="D257" i="3"/>
  <c r="L260" i="2"/>
  <c r="I259" i="2"/>
  <c r="F259" i="2" s="1"/>
  <c r="G260" i="2"/>
  <c r="D261" i="2"/>
  <c r="E260" i="2"/>
  <c r="V260" i="2" l="1"/>
  <c r="T259" i="2"/>
  <c r="D258" i="4"/>
  <c r="I256" i="3"/>
  <c r="F257" i="4" s="1"/>
  <c r="U256" i="3"/>
  <c r="J257" i="4" s="1"/>
  <c r="O256" i="3"/>
  <c r="H257" i="4" s="1"/>
  <c r="C258" i="4"/>
  <c r="AB257" i="3"/>
  <c r="E258" i="4" s="1"/>
  <c r="K262" i="2"/>
  <c r="H261" i="2"/>
  <c r="L261" i="2"/>
  <c r="I260" i="2"/>
  <c r="F260" i="2" s="1"/>
  <c r="F257" i="3"/>
  <c r="D258" i="3"/>
  <c r="G258" i="4"/>
  <c r="L258" i="4" s="1"/>
  <c r="I258" i="4"/>
  <c r="M258" i="4" s="1"/>
  <c r="K258" i="4"/>
  <c r="N258" i="4" s="1"/>
  <c r="J261" i="2"/>
  <c r="G261" i="2" s="1"/>
  <c r="M262" i="2"/>
  <c r="C264" i="2"/>
  <c r="D262" i="2"/>
  <c r="E261" i="2"/>
  <c r="A259" i="4"/>
  <c r="H258" i="3"/>
  <c r="T258" i="3"/>
  <c r="J258" i="3"/>
  <c r="V258" i="3"/>
  <c r="M258" i="3"/>
  <c r="C258" i="3"/>
  <c r="G258" i="3"/>
  <c r="S258" i="3"/>
  <c r="Y258" i="3" s="1"/>
  <c r="Z258" i="3" s="1"/>
  <c r="AA258" i="3" s="1"/>
  <c r="E258" i="3"/>
  <c r="N258" i="3"/>
  <c r="P258" i="3"/>
  <c r="V261" i="2" l="1"/>
  <c r="T260" i="2"/>
  <c r="D259" i="4"/>
  <c r="C259" i="4"/>
  <c r="AB258" i="3"/>
  <c r="E259" i="4" s="1"/>
  <c r="C265" i="2"/>
  <c r="L262" i="2"/>
  <c r="I261" i="2"/>
  <c r="F261" i="2" s="1"/>
  <c r="O257" i="3"/>
  <c r="H258" i="4" s="1"/>
  <c r="I257" i="3"/>
  <c r="F258" i="4" s="1"/>
  <c r="U257" i="3"/>
  <c r="J258" i="4" s="1"/>
  <c r="M263" i="2"/>
  <c r="J262" i="2"/>
  <c r="K263" i="2"/>
  <c r="H262" i="2"/>
  <c r="E262" i="2" s="1"/>
  <c r="G259" i="4"/>
  <c r="L259" i="4" s="1"/>
  <c r="I259" i="4"/>
  <c r="M259" i="4" s="1"/>
  <c r="K259" i="4"/>
  <c r="N259" i="4" s="1"/>
  <c r="A260" i="4"/>
  <c r="E259" i="3"/>
  <c r="G259" i="3"/>
  <c r="S259" i="3"/>
  <c r="Y259" i="3" s="1"/>
  <c r="Z259" i="3" s="1"/>
  <c r="AA259" i="3" s="1"/>
  <c r="J259" i="3"/>
  <c r="V259" i="3"/>
  <c r="P259" i="3"/>
  <c r="T259" i="3"/>
  <c r="C259" i="3"/>
  <c r="H259" i="3"/>
  <c r="M259" i="3"/>
  <c r="N259" i="3"/>
  <c r="G262" i="2"/>
  <c r="D263" i="2"/>
  <c r="D259" i="3"/>
  <c r="F258" i="3"/>
  <c r="V262" i="2" l="1"/>
  <c r="T261" i="2"/>
  <c r="D260" i="4"/>
  <c r="G260" i="4"/>
  <c r="L260" i="4" s="1"/>
  <c r="I260" i="4"/>
  <c r="M260" i="4" s="1"/>
  <c r="K260" i="4"/>
  <c r="N260" i="4" s="1"/>
  <c r="L263" i="2"/>
  <c r="I262" i="2"/>
  <c r="F262" i="2" s="1"/>
  <c r="C266" i="2"/>
  <c r="C260" i="4"/>
  <c r="AB259" i="3"/>
  <c r="E260" i="4" s="1"/>
  <c r="O258" i="3"/>
  <c r="H259" i="4" s="1"/>
  <c r="I258" i="3"/>
  <c r="F259" i="4" s="1"/>
  <c r="U258" i="3"/>
  <c r="J259" i="4" s="1"/>
  <c r="H263" i="2"/>
  <c r="E263" i="2" s="1"/>
  <c r="K264" i="2"/>
  <c r="D260" i="3"/>
  <c r="F259" i="3"/>
  <c r="D264" i="2"/>
  <c r="A261" i="4"/>
  <c r="N260" i="3"/>
  <c r="P260" i="3"/>
  <c r="G260" i="3"/>
  <c r="S260" i="3"/>
  <c r="Y260" i="3" s="1"/>
  <c r="Z260" i="3" s="1"/>
  <c r="AA260" i="3" s="1"/>
  <c r="M260" i="3"/>
  <c r="T260" i="3"/>
  <c r="V260" i="3"/>
  <c r="C260" i="3"/>
  <c r="E260" i="3"/>
  <c r="H260" i="3"/>
  <c r="J260" i="3"/>
  <c r="M264" i="2"/>
  <c r="J263" i="2"/>
  <c r="G263" i="2" s="1"/>
  <c r="V263" i="2" l="1"/>
  <c r="T262" i="2"/>
  <c r="D261" i="4"/>
  <c r="M265" i="2"/>
  <c r="J264" i="2"/>
  <c r="C267" i="2"/>
  <c r="G264" i="2"/>
  <c r="D265" i="2"/>
  <c r="I259" i="3"/>
  <c r="F260" i="4" s="1"/>
  <c r="U259" i="3"/>
  <c r="J260" i="4" s="1"/>
  <c r="O259" i="3"/>
  <c r="H260" i="4" s="1"/>
  <c r="C261" i="4"/>
  <c r="AB260" i="3"/>
  <c r="E261" i="4" s="1"/>
  <c r="F260" i="3"/>
  <c r="D261" i="3"/>
  <c r="I263" i="2"/>
  <c r="F263" i="2" s="1"/>
  <c r="L264" i="2"/>
  <c r="K261" i="4"/>
  <c r="N261" i="4" s="1"/>
  <c r="G261" i="4"/>
  <c r="L261" i="4" s="1"/>
  <c r="I261" i="4"/>
  <c r="M261" i="4" s="1"/>
  <c r="K265" i="2"/>
  <c r="H264" i="2"/>
  <c r="E264" i="2" s="1"/>
  <c r="A262" i="4"/>
  <c r="M261" i="3"/>
  <c r="C261" i="3"/>
  <c r="P261" i="3"/>
  <c r="J261" i="3"/>
  <c r="V261" i="3"/>
  <c r="H261" i="3"/>
  <c r="N261" i="3"/>
  <c r="S261" i="3"/>
  <c r="Y261" i="3" s="1"/>
  <c r="Z261" i="3" s="1"/>
  <c r="AA261" i="3" s="1"/>
  <c r="T261" i="3"/>
  <c r="E261" i="3"/>
  <c r="G261" i="3"/>
  <c r="V264" i="2" l="1"/>
  <c r="T263" i="2"/>
  <c r="D262" i="4"/>
  <c r="D266" i="2"/>
  <c r="L265" i="2"/>
  <c r="I264" i="2"/>
  <c r="F264" i="2" s="1"/>
  <c r="C262" i="4"/>
  <c r="AB261" i="3"/>
  <c r="E262" i="4" s="1"/>
  <c r="D262" i="3"/>
  <c r="F261" i="3"/>
  <c r="C268" i="2"/>
  <c r="I262" i="4"/>
  <c r="M262" i="4" s="1"/>
  <c r="K262" i="4"/>
  <c r="N262" i="4" s="1"/>
  <c r="G262" i="4"/>
  <c r="L262" i="4" s="1"/>
  <c r="O260" i="3"/>
  <c r="H261" i="4" s="1"/>
  <c r="U260" i="3"/>
  <c r="J261" i="4" s="1"/>
  <c r="I260" i="3"/>
  <c r="F261" i="4" s="1"/>
  <c r="K266" i="2"/>
  <c r="H265" i="2"/>
  <c r="E265" i="2" s="1"/>
  <c r="M266" i="2"/>
  <c r="J265" i="2"/>
  <c r="G265" i="2" s="1"/>
  <c r="A263" i="4"/>
  <c r="H262" i="3"/>
  <c r="T262" i="3"/>
  <c r="J262" i="3"/>
  <c r="V262" i="3"/>
  <c r="G262" i="3"/>
  <c r="S262" i="3"/>
  <c r="Y262" i="3" s="1"/>
  <c r="Z262" i="3" s="1"/>
  <c r="AA262" i="3" s="1"/>
  <c r="C262" i="3"/>
  <c r="E262" i="3"/>
  <c r="M262" i="3"/>
  <c r="N262" i="3"/>
  <c r="P262" i="3"/>
  <c r="V265" i="2" l="1"/>
  <c r="T264" i="2"/>
  <c r="D263" i="4"/>
  <c r="D263" i="3"/>
  <c r="F262" i="3"/>
  <c r="L266" i="2"/>
  <c r="I265" i="2"/>
  <c r="F265" i="2" s="1"/>
  <c r="G263" i="4"/>
  <c r="L263" i="4" s="1"/>
  <c r="I263" i="4"/>
  <c r="M263" i="4" s="1"/>
  <c r="K263" i="4"/>
  <c r="N263" i="4" s="1"/>
  <c r="A264" i="4"/>
  <c r="E263" i="3"/>
  <c r="G263" i="3"/>
  <c r="S263" i="3"/>
  <c r="Y263" i="3" s="1"/>
  <c r="Z263" i="3" s="1"/>
  <c r="AA263" i="3" s="1"/>
  <c r="P263" i="3"/>
  <c r="J263" i="3"/>
  <c r="M263" i="3"/>
  <c r="N263" i="3"/>
  <c r="T263" i="3"/>
  <c r="C263" i="3"/>
  <c r="V263" i="3"/>
  <c r="H263" i="3"/>
  <c r="M267" i="2"/>
  <c r="J266" i="2"/>
  <c r="C269" i="2"/>
  <c r="D267" i="2"/>
  <c r="G266" i="2"/>
  <c r="C263" i="4"/>
  <c r="AB262" i="3"/>
  <c r="E263" i="4" s="1"/>
  <c r="K267" i="2"/>
  <c r="H266" i="2"/>
  <c r="E266" i="2" s="1"/>
  <c r="O261" i="3"/>
  <c r="H262" i="4" s="1"/>
  <c r="I261" i="3"/>
  <c r="F262" i="4" s="1"/>
  <c r="U261" i="3"/>
  <c r="J262" i="4" s="1"/>
  <c r="V266" i="2" l="1"/>
  <c r="T265" i="2"/>
  <c r="D264" i="4"/>
  <c r="C264" i="4"/>
  <c r="AB263" i="3"/>
  <c r="E264" i="4" s="1"/>
  <c r="L267" i="2"/>
  <c r="I266" i="2"/>
  <c r="F266" i="2" s="1"/>
  <c r="U262" i="3"/>
  <c r="J263" i="4" s="1"/>
  <c r="I262" i="3"/>
  <c r="F263" i="4" s="1"/>
  <c r="O262" i="3"/>
  <c r="H263" i="4" s="1"/>
  <c r="C270" i="2"/>
  <c r="A265" i="4"/>
  <c r="N264" i="3"/>
  <c r="P264" i="3"/>
  <c r="M264" i="3"/>
  <c r="S264" i="3"/>
  <c r="Y264" i="3" s="1"/>
  <c r="Z264" i="3" s="1"/>
  <c r="AA264" i="3" s="1"/>
  <c r="T264" i="3"/>
  <c r="C264" i="3"/>
  <c r="E264" i="3"/>
  <c r="V264" i="3"/>
  <c r="G264" i="3"/>
  <c r="H264" i="3"/>
  <c r="J264" i="3"/>
  <c r="D264" i="3"/>
  <c r="F263" i="3"/>
  <c r="D268" i="2"/>
  <c r="K268" i="2"/>
  <c r="H267" i="2"/>
  <c r="E267" i="2" s="1"/>
  <c r="M268" i="2"/>
  <c r="J267" i="2"/>
  <c r="G267" i="2" s="1"/>
  <c r="G264" i="4"/>
  <c r="L264" i="4" s="1"/>
  <c r="I264" i="4"/>
  <c r="M264" i="4" s="1"/>
  <c r="K264" i="4"/>
  <c r="N264" i="4" s="1"/>
  <c r="V267" i="2" l="1"/>
  <c r="T266" i="2"/>
  <c r="D265" i="4"/>
  <c r="J268" i="2"/>
  <c r="M269" i="2"/>
  <c r="K269" i="2"/>
  <c r="H268" i="2"/>
  <c r="D269" i="2"/>
  <c r="G268" i="2"/>
  <c r="E268" i="2"/>
  <c r="C271" i="2"/>
  <c r="L268" i="2"/>
  <c r="I267" i="2"/>
  <c r="F267" i="2" s="1"/>
  <c r="C265" i="4"/>
  <c r="AB264" i="3"/>
  <c r="E265" i="4" s="1"/>
  <c r="F264" i="3"/>
  <c r="D265" i="3"/>
  <c r="I263" i="3"/>
  <c r="F264" i="4" s="1"/>
  <c r="U263" i="3"/>
  <c r="J264" i="4" s="1"/>
  <c r="O263" i="3"/>
  <c r="H264" i="4" s="1"/>
  <c r="A266" i="4"/>
  <c r="M265" i="3"/>
  <c r="C265" i="3"/>
  <c r="E265" i="3"/>
  <c r="S265" i="3"/>
  <c r="Y265" i="3" s="1"/>
  <c r="Z265" i="3" s="1"/>
  <c r="AA265" i="3" s="1"/>
  <c r="T265" i="3"/>
  <c r="G265" i="3"/>
  <c r="H265" i="3"/>
  <c r="V265" i="3"/>
  <c r="J265" i="3"/>
  <c r="N265" i="3"/>
  <c r="P265" i="3"/>
  <c r="G265" i="4"/>
  <c r="L265" i="4" s="1"/>
  <c r="I265" i="4"/>
  <c r="M265" i="4" s="1"/>
  <c r="K265" i="4"/>
  <c r="N265" i="4" s="1"/>
  <c r="V268" i="2" l="1"/>
  <c r="T267" i="2"/>
  <c r="D266" i="4"/>
  <c r="G266" i="4"/>
  <c r="L266" i="4" s="1"/>
  <c r="K266" i="4"/>
  <c r="N266" i="4" s="1"/>
  <c r="I266" i="4"/>
  <c r="M266" i="4" s="1"/>
  <c r="C272" i="2"/>
  <c r="A267" i="4"/>
  <c r="J266" i="3"/>
  <c r="V266" i="3"/>
  <c r="T266" i="3"/>
  <c r="G266" i="3"/>
  <c r="H266" i="3"/>
  <c r="M266" i="3"/>
  <c r="N266" i="3"/>
  <c r="P266" i="3"/>
  <c r="C266" i="3"/>
  <c r="E266" i="3"/>
  <c r="S266" i="3"/>
  <c r="Y266" i="3" s="1"/>
  <c r="Z266" i="3" s="1"/>
  <c r="AA266" i="3" s="1"/>
  <c r="F265" i="3"/>
  <c r="D266" i="3"/>
  <c r="U264" i="3"/>
  <c r="J265" i="4" s="1"/>
  <c r="I264" i="3"/>
  <c r="F265" i="4" s="1"/>
  <c r="O264" i="3"/>
  <c r="H265" i="4" s="1"/>
  <c r="G269" i="2"/>
  <c r="D270" i="2"/>
  <c r="K270" i="2"/>
  <c r="H269" i="2"/>
  <c r="E269" i="2" s="1"/>
  <c r="M270" i="2"/>
  <c r="J269" i="2"/>
  <c r="I268" i="2"/>
  <c r="F268" i="2" s="1"/>
  <c r="L269" i="2"/>
  <c r="C266" i="4"/>
  <c r="AB265" i="3"/>
  <c r="E266" i="4" s="1"/>
  <c r="V269" i="2" l="1"/>
  <c r="T268" i="2"/>
  <c r="D267" i="4"/>
  <c r="K267" i="4"/>
  <c r="N267" i="4" s="1"/>
  <c r="G267" i="4"/>
  <c r="L267" i="4" s="1"/>
  <c r="I267" i="4"/>
  <c r="M267" i="4" s="1"/>
  <c r="H270" i="2"/>
  <c r="K271" i="2"/>
  <c r="C273" i="2"/>
  <c r="D271" i="2"/>
  <c r="E270" i="2"/>
  <c r="A268" i="4"/>
  <c r="G267" i="3"/>
  <c r="S267" i="3"/>
  <c r="Y267" i="3" s="1"/>
  <c r="Z267" i="3" s="1"/>
  <c r="AA267" i="3" s="1"/>
  <c r="H267" i="3"/>
  <c r="J267" i="3"/>
  <c r="M267" i="3"/>
  <c r="N267" i="3"/>
  <c r="P267" i="3"/>
  <c r="C267" i="3"/>
  <c r="T267" i="3"/>
  <c r="V267" i="3"/>
  <c r="E267" i="3"/>
  <c r="C267" i="4"/>
  <c r="AB266" i="3"/>
  <c r="E267" i="4" s="1"/>
  <c r="L270" i="2"/>
  <c r="I269" i="2"/>
  <c r="F269" i="2" s="1"/>
  <c r="F266" i="3"/>
  <c r="D267" i="3"/>
  <c r="M271" i="2"/>
  <c r="J270" i="2"/>
  <c r="G270" i="2" s="1"/>
  <c r="O265" i="3"/>
  <c r="H266" i="4" s="1"/>
  <c r="U265" i="3"/>
  <c r="J266" i="4" s="1"/>
  <c r="I265" i="3"/>
  <c r="F266" i="4" s="1"/>
  <c r="V270" i="2" l="1"/>
  <c r="T269" i="2"/>
  <c r="D268" i="4"/>
  <c r="K272" i="2"/>
  <c r="H271" i="2"/>
  <c r="U266" i="3"/>
  <c r="J267" i="4" s="1"/>
  <c r="I266" i="3"/>
  <c r="F267" i="4" s="1"/>
  <c r="O266" i="3"/>
  <c r="H267" i="4" s="1"/>
  <c r="L271" i="2"/>
  <c r="I270" i="2"/>
  <c r="F270" i="2" s="1"/>
  <c r="I268" i="4"/>
  <c r="M268" i="4" s="1"/>
  <c r="K268" i="4"/>
  <c r="N268" i="4" s="1"/>
  <c r="G268" i="4"/>
  <c r="L268" i="4" s="1"/>
  <c r="C268" i="4"/>
  <c r="AB267" i="3"/>
  <c r="E268" i="4" s="1"/>
  <c r="D272" i="2"/>
  <c r="E271" i="2"/>
  <c r="M272" i="2"/>
  <c r="J271" i="2"/>
  <c r="G271" i="2" s="1"/>
  <c r="A269" i="4"/>
  <c r="P268" i="3"/>
  <c r="J268" i="3"/>
  <c r="M268" i="3"/>
  <c r="N268" i="3"/>
  <c r="C268" i="3"/>
  <c r="S268" i="3"/>
  <c r="Y268" i="3" s="1"/>
  <c r="Z268" i="3" s="1"/>
  <c r="AA268" i="3" s="1"/>
  <c r="E268" i="3"/>
  <c r="T268" i="3"/>
  <c r="G268" i="3"/>
  <c r="H268" i="3"/>
  <c r="V268" i="3"/>
  <c r="D268" i="3"/>
  <c r="F267" i="3"/>
  <c r="C274" i="2"/>
  <c r="V271" i="2" l="1"/>
  <c r="T270" i="2"/>
  <c r="D269" i="4"/>
  <c r="M273" i="2"/>
  <c r="J272" i="2"/>
  <c r="G272" i="2"/>
  <c r="D273" i="2"/>
  <c r="L272" i="2"/>
  <c r="I271" i="2"/>
  <c r="F271" i="2" s="1"/>
  <c r="A270" i="4"/>
  <c r="M269" i="3"/>
  <c r="C269" i="3"/>
  <c r="N269" i="3"/>
  <c r="P269" i="3"/>
  <c r="E269" i="3"/>
  <c r="S269" i="3"/>
  <c r="Y269" i="3" s="1"/>
  <c r="Z269" i="3" s="1"/>
  <c r="AA269" i="3" s="1"/>
  <c r="T269" i="3"/>
  <c r="G269" i="3"/>
  <c r="H269" i="3"/>
  <c r="V269" i="3"/>
  <c r="J269" i="3"/>
  <c r="C275" i="2"/>
  <c r="C269" i="4"/>
  <c r="AB268" i="3"/>
  <c r="E269" i="4" s="1"/>
  <c r="K273" i="2"/>
  <c r="H272" i="2"/>
  <c r="E272" i="2" s="1"/>
  <c r="I267" i="3"/>
  <c r="F268" i="4" s="1"/>
  <c r="U267" i="3"/>
  <c r="J268" i="4" s="1"/>
  <c r="O267" i="3"/>
  <c r="H268" i="4" s="1"/>
  <c r="F268" i="3"/>
  <c r="D269" i="3"/>
  <c r="G269" i="4"/>
  <c r="L269" i="4" s="1"/>
  <c r="I269" i="4"/>
  <c r="M269" i="4" s="1"/>
  <c r="K269" i="4"/>
  <c r="N269" i="4" s="1"/>
  <c r="V272" i="2" l="1"/>
  <c r="T271" i="2"/>
  <c r="D270" i="4"/>
  <c r="G270" i="4"/>
  <c r="L270" i="4" s="1"/>
  <c r="I270" i="4"/>
  <c r="M270" i="4" s="1"/>
  <c r="K270" i="4"/>
  <c r="N270" i="4" s="1"/>
  <c r="O268" i="3"/>
  <c r="H269" i="4" s="1"/>
  <c r="U268" i="3"/>
  <c r="J269" i="4" s="1"/>
  <c r="I268" i="3"/>
  <c r="F269" i="4" s="1"/>
  <c r="L273" i="2"/>
  <c r="I272" i="2"/>
  <c r="F272" i="2" s="1"/>
  <c r="D274" i="2"/>
  <c r="D270" i="3"/>
  <c r="F269" i="3"/>
  <c r="K274" i="2"/>
  <c r="H273" i="2"/>
  <c r="E273" i="2" s="1"/>
  <c r="A271" i="4"/>
  <c r="J270" i="3"/>
  <c r="V270" i="3"/>
  <c r="N270" i="3"/>
  <c r="P270" i="3"/>
  <c r="C270" i="3"/>
  <c r="E270" i="3"/>
  <c r="S270" i="3"/>
  <c r="Y270" i="3" s="1"/>
  <c r="Z270" i="3" s="1"/>
  <c r="AA270" i="3" s="1"/>
  <c r="T270" i="3"/>
  <c r="G270" i="3"/>
  <c r="H270" i="3"/>
  <c r="M270" i="3"/>
  <c r="C276" i="2"/>
  <c r="J273" i="2"/>
  <c r="G273" i="2" s="1"/>
  <c r="M274" i="2"/>
  <c r="C270" i="4"/>
  <c r="AB269" i="3"/>
  <c r="E270" i="4" s="1"/>
  <c r="V273" i="2" l="1"/>
  <c r="T272" i="2"/>
  <c r="D271" i="4"/>
  <c r="K275" i="2"/>
  <c r="H274" i="2"/>
  <c r="C277" i="2"/>
  <c r="D271" i="3"/>
  <c r="F270" i="3"/>
  <c r="L274" i="2"/>
  <c r="I273" i="2"/>
  <c r="F273" i="2" s="1"/>
  <c r="G271" i="4"/>
  <c r="L271" i="4" s="1"/>
  <c r="I271" i="4"/>
  <c r="M271" i="4" s="1"/>
  <c r="K271" i="4"/>
  <c r="N271" i="4" s="1"/>
  <c r="A272" i="4"/>
  <c r="G271" i="3"/>
  <c r="S271" i="3"/>
  <c r="Y271" i="3" s="1"/>
  <c r="Z271" i="3" s="1"/>
  <c r="AA271" i="3" s="1"/>
  <c r="P271" i="3"/>
  <c r="C271" i="3"/>
  <c r="E271" i="3"/>
  <c r="T271" i="3"/>
  <c r="V271" i="3"/>
  <c r="H271" i="3"/>
  <c r="J271" i="3"/>
  <c r="N271" i="3"/>
  <c r="M271" i="3"/>
  <c r="M275" i="2"/>
  <c r="J274" i="2"/>
  <c r="G274" i="2" s="1"/>
  <c r="D275" i="2"/>
  <c r="E274" i="2"/>
  <c r="C271" i="4"/>
  <c r="AB270" i="3"/>
  <c r="E271" i="4" s="1"/>
  <c r="O269" i="3"/>
  <c r="H270" i="4" s="1"/>
  <c r="U269" i="3"/>
  <c r="J270" i="4" s="1"/>
  <c r="I269" i="3"/>
  <c r="F270" i="4" s="1"/>
  <c r="V274" i="2" l="1"/>
  <c r="T273" i="2"/>
  <c r="D272" i="4"/>
  <c r="L275" i="2"/>
  <c r="I274" i="2"/>
  <c r="F274" i="2" s="1"/>
  <c r="D276" i="2"/>
  <c r="A273" i="4"/>
  <c r="P272" i="3"/>
  <c r="C272" i="3"/>
  <c r="S272" i="3"/>
  <c r="Y272" i="3" s="1"/>
  <c r="Z272" i="3" s="1"/>
  <c r="AA272" i="3" s="1"/>
  <c r="E272" i="3"/>
  <c r="T272" i="3"/>
  <c r="G272" i="3"/>
  <c r="H272" i="3"/>
  <c r="V272" i="3"/>
  <c r="J272" i="3"/>
  <c r="M272" i="3"/>
  <c r="N272" i="3"/>
  <c r="O270" i="3"/>
  <c r="H271" i="4" s="1"/>
  <c r="U270" i="3"/>
  <c r="J271" i="4" s="1"/>
  <c r="I270" i="3"/>
  <c r="F271" i="4" s="1"/>
  <c r="D272" i="3"/>
  <c r="F271" i="3"/>
  <c r="M276" i="2"/>
  <c r="J275" i="2"/>
  <c r="G275" i="2" s="1"/>
  <c r="C278" i="2"/>
  <c r="C272" i="4"/>
  <c r="AB271" i="3"/>
  <c r="E272" i="4" s="1"/>
  <c r="G272" i="4"/>
  <c r="L272" i="4" s="1"/>
  <c r="I272" i="4"/>
  <c r="M272" i="4" s="1"/>
  <c r="K272" i="4"/>
  <c r="N272" i="4" s="1"/>
  <c r="H275" i="2"/>
  <c r="E275" i="2" s="1"/>
  <c r="K276" i="2"/>
  <c r="V275" i="2" l="1"/>
  <c r="T274" i="2"/>
  <c r="D273" i="4"/>
  <c r="A274" i="4"/>
  <c r="M273" i="3"/>
  <c r="C273" i="3"/>
  <c r="E273" i="3"/>
  <c r="S273" i="3"/>
  <c r="Y273" i="3" s="1"/>
  <c r="Z273" i="3" s="1"/>
  <c r="AA273" i="3" s="1"/>
  <c r="T273" i="3"/>
  <c r="G273" i="3"/>
  <c r="H273" i="3"/>
  <c r="V273" i="3"/>
  <c r="J273" i="3"/>
  <c r="N273" i="3"/>
  <c r="P273" i="3"/>
  <c r="K273" i="4"/>
  <c r="N273" i="4" s="1"/>
  <c r="G273" i="4"/>
  <c r="L273" i="4" s="1"/>
  <c r="I273" i="4"/>
  <c r="M273" i="4" s="1"/>
  <c r="C273" i="4"/>
  <c r="AB272" i="3"/>
  <c r="E273" i="4" s="1"/>
  <c r="C279" i="2"/>
  <c r="K277" i="2"/>
  <c r="H276" i="2"/>
  <c r="E276" i="2" s="1"/>
  <c r="D277" i="2"/>
  <c r="M277" i="2"/>
  <c r="J276" i="2"/>
  <c r="G276" i="2" s="1"/>
  <c r="I271" i="3"/>
  <c r="F272" i="4" s="1"/>
  <c r="U271" i="3"/>
  <c r="J272" i="4" s="1"/>
  <c r="O271" i="3"/>
  <c r="H272" i="4" s="1"/>
  <c r="I275" i="2"/>
  <c r="F275" i="2" s="1"/>
  <c r="L276" i="2"/>
  <c r="F272" i="3"/>
  <c r="D273" i="3"/>
  <c r="V276" i="2" l="1"/>
  <c r="T275" i="2"/>
  <c r="D274" i="4"/>
  <c r="M278" i="2"/>
  <c r="J277" i="2"/>
  <c r="U272" i="3"/>
  <c r="J273" i="4" s="1"/>
  <c r="I272" i="3"/>
  <c r="F273" i="4" s="1"/>
  <c r="O272" i="3"/>
  <c r="H273" i="4" s="1"/>
  <c r="C274" i="4"/>
  <c r="AB273" i="3"/>
  <c r="E274" i="4" s="1"/>
  <c r="G277" i="2"/>
  <c r="D278" i="2"/>
  <c r="K278" i="2"/>
  <c r="H277" i="2"/>
  <c r="E277" i="2" s="1"/>
  <c r="I274" i="4"/>
  <c r="M274" i="4" s="1"/>
  <c r="K274" i="4"/>
  <c r="N274" i="4" s="1"/>
  <c r="G274" i="4"/>
  <c r="L274" i="4" s="1"/>
  <c r="F273" i="3"/>
  <c r="D274" i="3"/>
  <c r="L277" i="2"/>
  <c r="I276" i="2"/>
  <c r="F276" i="2" s="1"/>
  <c r="C280" i="2"/>
  <c r="A275" i="4"/>
  <c r="J274" i="3"/>
  <c r="V274" i="3"/>
  <c r="T274" i="3"/>
  <c r="G274" i="3"/>
  <c r="H274" i="3"/>
  <c r="M274" i="3"/>
  <c r="N274" i="3"/>
  <c r="P274" i="3"/>
  <c r="C274" i="3"/>
  <c r="E274" i="3"/>
  <c r="S274" i="3"/>
  <c r="Y274" i="3" s="1"/>
  <c r="Z274" i="3" s="1"/>
  <c r="AA274" i="3" s="1"/>
  <c r="V277" i="2" l="1"/>
  <c r="T276" i="2"/>
  <c r="D275" i="4"/>
  <c r="O273" i="3"/>
  <c r="H274" i="4" s="1"/>
  <c r="U273" i="3"/>
  <c r="J274" i="4" s="1"/>
  <c r="I273" i="3"/>
  <c r="F274" i="4" s="1"/>
  <c r="D279" i="2"/>
  <c r="F274" i="3"/>
  <c r="D275" i="3"/>
  <c r="C275" i="4"/>
  <c r="AB274" i="3"/>
  <c r="E275" i="4" s="1"/>
  <c r="C281" i="2"/>
  <c r="K279" i="2"/>
  <c r="H278" i="2"/>
  <c r="E278" i="2" s="1"/>
  <c r="M279" i="2"/>
  <c r="J278" i="2"/>
  <c r="G278" i="2" s="1"/>
  <c r="A276" i="4"/>
  <c r="G275" i="3"/>
  <c r="S275" i="3"/>
  <c r="Y275" i="3" s="1"/>
  <c r="Z275" i="3" s="1"/>
  <c r="AA275" i="3" s="1"/>
  <c r="H275" i="3"/>
  <c r="J275" i="3"/>
  <c r="M275" i="3"/>
  <c r="N275" i="3"/>
  <c r="P275" i="3"/>
  <c r="C275" i="3"/>
  <c r="T275" i="3"/>
  <c r="V275" i="3"/>
  <c r="E275" i="3"/>
  <c r="G275" i="4"/>
  <c r="L275" i="4" s="1"/>
  <c r="I275" i="4"/>
  <c r="M275" i="4" s="1"/>
  <c r="K275" i="4"/>
  <c r="N275" i="4" s="1"/>
  <c r="L278" i="2"/>
  <c r="I277" i="2"/>
  <c r="F277" i="2" s="1"/>
  <c r="V278" i="2" l="1"/>
  <c r="T277" i="2"/>
  <c r="D276" i="4"/>
  <c r="U274" i="3"/>
  <c r="J275" i="4" s="1"/>
  <c r="I274" i="3"/>
  <c r="F275" i="4" s="1"/>
  <c r="O274" i="3"/>
  <c r="H275" i="4" s="1"/>
  <c r="D276" i="3"/>
  <c r="F275" i="3"/>
  <c r="G276" i="4"/>
  <c r="L276" i="4" s="1"/>
  <c r="I276" i="4"/>
  <c r="M276" i="4" s="1"/>
  <c r="K276" i="4"/>
  <c r="N276" i="4" s="1"/>
  <c r="M280" i="2"/>
  <c r="J279" i="2"/>
  <c r="G279" i="2" s="1"/>
  <c r="K280" i="2"/>
  <c r="H279" i="2"/>
  <c r="E279" i="2" s="1"/>
  <c r="D280" i="2"/>
  <c r="L279" i="2"/>
  <c r="I278" i="2"/>
  <c r="F278" i="2" s="1"/>
  <c r="A277" i="4"/>
  <c r="V276" i="3"/>
  <c r="J276" i="3"/>
  <c r="M276" i="3"/>
  <c r="N276" i="3"/>
  <c r="C276" i="3"/>
  <c r="P276" i="3"/>
  <c r="E276" i="3"/>
  <c r="S276" i="3"/>
  <c r="Y276" i="3" s="1"/>
  <c r="Z276" i="3" s="1"/>
  <c r="AA276" i="3" s="1"/>
  <c r="G276" i="3"/>
  <c r="H276" i="3"/>
  <c r="T276" i="3"/>
  <c r="C276" i="4"/>
  <c r="AB275" i="3"/>
  <c r="E276" i="4" s="1"/>
  <c r="C282" i="2"/>
  <c r="V279" i="2" l="1"/>
  <c r="T278" i="2"/>
  <c r="D277" i="4"/>
  <c r="L280" i="2"/>
  <c r="I279" i="2"/>
  <c r="F279" i="2" s="1"/>
  <c r="I275" i="3"/>
  <c r="F276" i="4" s="1"/>
  <c r="U275" i="3"/>
  <c r="J276" i="4" s="1"/>
  <c r="O275" i="3"/>
  <c r="H276" i="4" s="1"/>
  <c r="A278" i="4"/>
  <c r="C277" i="3"/>
  <c r="H277" i="3"/>
  <c r="V277" i="3"/>
  <c r="J277" i="3"/>
  <c r="M277" i="3"/>
  <c r="N277" i="3"/>
  <c r="P277" i="3"/>
  <c r="E277" i="3"/>
  <c r="G277" i="3"/>
  <c r="S277" i="3"/>
  <c r="Y277" i="3" s="1"/>
  <c r="Z277" i="3" s="1"/>
  <c r="AA277" i="3" s="1"/>
  <c r="T277" i="3"/>
  <c r="D281" i="2"/>
  <c r="E280" i="2"/>
  <c r="C283" i="2"/>
  <c r="F276" i="3"/>
  <c r="D277" i="3"/>
  <c r="C277" i="4"/>
  <c r="AB276" i="3"/>
  <c r="E277" i="4" s="1"/>
  <c r="K281" i="2"/>
  <c r="H280" i="2"/>
  <c r="J280" i="2"/>
  <c r="G280" i="2" s="1"/>
  <c r="M281" i="2"/>
  <c r="G277" i="4"/>
  <c r="L277" i="4" s="1"/>
  <c r="I277" i="4"/>
  <c r="M277" i="4" s="1"/>
  <c r="K277" i="4"/>
  <c r="N277" i="4" s="1"/>
  <c r="V280" i="2" l="1"/>
  <c r="T279" i="2"/>
  <c r="D278" i="4"/>
  <c r="M282" i="2"/>
  <c r="J281" i="2"/>
  <c r="K282" i="2"/>
  <c r="H281" i="2"/>
  <c r="G281" i="2"/>
  <c r="D282" i="2"/>
  <c r="E281" i="2"/>
  <c r="G278" i="4"/>
  <c r="L278" i="4" s="1"/>
  <c r="I278" i="4"/>
  <c r="M278" i="4" s="1"/>
  <c r="K278" i="4"/>
  <c r="N278" i="4" s="1"/>
  <c r="D278" i="3"/>
  <c r="F277" i="3"/>
  <c r="I276" i="3"/>
  <c r="F277" i="4" s="1"/>
  <c r="O276" i="3"/>
  <c r="H277" i="4" s="1"/>
  <c r="U276" i="3"/>
  <c r="J277" i="4" s="1"/>
  <c r="A279" i="4"/>
  <c r="G278" i="3"/>
  <c r="T278" i="3"/>
  <c r="H278" i="3"/>
  <c r="V278" i="3"/>
  <c r="J278" i="3"/>
  <c r="M278" i="3"/>
  <c r="N278" i="3"/>
  <c r="C278" i="3"/>
  <c r="P278" i="3"/>
  <c r="S278" i="3"/>
  <c r="Y278" i="3" s="1"/>
  <c r="Z278" i="3" s="1"/>
  <c r="AA278" i="3" s="1"/>
  <c r="E278" i="3"/>
  <c r="I280" i="2"/>
  <c r="F280" i="2" s="1"/>
  <c r="L281" i="2"/>
  <c r="C284" i="2"/>
  <c r="C278" i="4"/>
  <c r="AB277" i="3"/>
  <c r="E278" i="4" s="1"/>
  <c r="V281" i="2" l="1"/>
  <c r="T280" i="2"/>
  <c r="D279" i="4"/>
  <c r="D283" i="2"/>
  <c r="G279" i="4"/>
  <c r="L279" i="4" s="1"/>
  <c r="I279" i="4"/>
  <c r="M279" i="4" s="1"/>
  <c r="K279" i="4"/>
  <c r="N279" i="4" s="1"/>
  <c r="O277" i="3"/>
  <c r="H278" i="4" s="1"/>
  <c r="U277" i="3"/>
  <c r="J278" i="4" s="1"/>
  <c r="I277" i="3"/>
  <c r="F278" i="4" s="1"/>
  <c r="A280" i="4"/>
  <c r="S279" i="3"/>
  <c r="Y279" i="3" s="1"/>
  <c r="Z279" i="3" s="1"/>
  <c r="AA279" i="3" s="1"/>
  <c r="G279" i="3"/>
  <c r="T279" i="3"/>
  <c r="H279" i="3"/>
  <c r="V279" i="3"/>
  <c r="J279" i="3"/>
  <c r="M279" i="3"/>
  <c r="N279" i="3"/>
  <c r="C279" i="3"/>
  <c r="P279" i="3"/>
  <c r="E279" i="3"/>
  <c r="D279" i="3"/>
  <c r="F278" i="3"/>
  <c r="C279" i="4"/>
  <c r="AB278" i="3"/>
  <c r="E279" i="4" s="1"/>
  <c r="H282" i="2"/>
  <c r="E282" i="2" s="1"/>
  <c r="K283" i="2"/>
  <c r="M283" i="2"/>
  <c r="J282" i="2"/>
  <c r="G282" i="2" s="1"/>
  <c r="C285" i="2"/>
  <c r="L282" i="2"/>
  <c r="I281" i="2"/>
  <c r="F281" i="2" s="1"/>
  <c r="V282" i="2" l="1"/>
  <c r="T281" i="2"/>
  <c r="D280" i="4"/>
  <c r="C280" i="4"/>
  <c r="AB279" i="3"/>
  <c r="E280" i="4" s="1"/>
  <c r="K284" i="2"/>
  <c r="H283" i="2"/>
  <c r="U278" i="3"/>
  <c r="J279" i="4" s="1"/>
  <c r="I278" i="3"/>
  <c r="F279" i="4" s="1"/>
  <c r="O278" i="3"/>
  <c r="H279" i="4" s="1"/>
  <c r="F279" i="3"/>
  <c r="D280" i="3"/>
  <c r="L283" i="2"/>
  <c r="I282" i="2"/>
  <c r="F282" i="2" s="1"/>
  <c r="K280" i="4"/>
  <c r="N280" i="4" s="1"/>
  <c r="G280" i="4"/>
  <c r="L280" i="4" s="1"/>
  <c r="I280" i="4"/>
  <c r="M280" i="4" s="1"/>
  <c r="C286" i="2"/>
  <c r="A281" i="4"/>
  <c r="E280" i="3"/>
  <c r="G280" i="3"/>
  <c r="S280" i="3"/>
  <c r="Y280" i="3" s="1"/>
  <c r="Z280" i="3" s="1"/>
  <c r="AA280" i="3" s="1"/>
  <c r="H280" i="3"/>
  <c r="T280" i="3"/>
  <c r="J280" i="3"/>
  <c r="V280" i="3"/>
  <c r="M280" i="3"/>
  <c r="N280" i="3"/>
  <c r="P280" i="3"/>
  <c r="C280" i="3"/>
  <c r="D284" i="2"/>
  <c r="E283" i="2"/>
  <c r="M284" i="2"/>
  <c r="J283" i="2"/>
  <c r="G283" i="2" s="1"/>
  <c r="V283" i="2" l="1"/>
  <c r="T282" i="2"/>
  <c r="D281" i="4"/>
  <c r="C287" i="2"/>
  <c r="L284" i="2"/>
  <c r="I283" i="2"/>
  <c r="F283" i="2" s="1"/>
  <c r="I281" i="4"/>
  <c r="M281" i="4" s="1"/>
  <c r="K281" i="4"/>
  <c r="N281" i="4" s="1"/>
  <c r="G281" i="4"/>
  <c r="L281" i="4" s="1"/>
  <c r="F280" i="3"/>
  <c r="D281" i="3"/>
  <c r="A282" i="4"/>
  <c r="C281" i="3"/>
  <c r="P281" i="3"/>
  <c r="E281" i="3"/>
  <c r="G281" i="3"/>
  <c r="S281" i="3"/>
  <c r="Y281" i="3" s="1"/>
  <c r="Z281" i="3" s="1"/>
  <c r="AA281" i="3" s="1"/>
  <c r="H281" i="3"/>
  <c r="T281" i="3"/>
  <c r="J281" i="3"/>
  <c r="V281" i="3"/>
  <c r="M281" i="3"/>
  <c r="N281" i="3"/>
  <c r="I279" i="3"/>
  <c r="F280" i="4" s="1"/>
  <c r="U279" i="3"/>
  <c r="J280" i="4" s="1"/>
  <c r="O279" i="3"/>
  <c r="H280" i="4" s="1"/>
  <c r="K285" i="2"/>
  <c r="H284" i="2"/>
  <c r="E284" i="2" s="1"/>
  <c r="C281" i="4"/>
  <c r="AB280" i="3"/>
  <c r="E281" i="4" s="1"/>
  <c r="M285" i="2"/>
  <c r="J284" i="2"/>
  <c r="G284" i="2" s="1"/>
  <c r="D285" i="2"/>
  <c r="V284" i="2" l="1"/>
  <c r="T283" i="2"/>
  <c r="D282" i="4"/>
  <c r="J285" i="2"/>
  <c r="G285" i="2" s="1"/>
  <c r="M286" i="2"/>
  <c r="L285" i="2"/>
  <c r="I284" i="2"/>
  <c r="F284" i="2" s="1"/>
  <c r="C288" i="2"/>
  <c r="K286" i="2"/>
  <c r="H285" i="2"/>
  <c r="E285" i="2" s="1"/>
  <c r="D286" i="2"/>
  <c r="G282" i="4"/>
  <c r="L282" i="4" s="1"/>
  <c r="I282" i="4"/>
  <c r="M282" i="4" s="1"/>
  <c r="K282" i="4"/>
  <c r="N282" i="4" s="1"/>
  <c r="A283" i="4"/>
  <c r="M282" i="3"/>
  <c r="N282" i="3"/>
  <c r="C282" i="3"/>
  <c r="P282" i="3"/>
  <c r="E282" i="3"/>
  <c r="G282" i="3"/>
  <c r="S282" i="3"/>
  <c r="Y282" i="3" s="1"/>
  <c r="Z282" i="3" s="1"/>
  <c r="AA282" i="3" s="1"/>
  <c r="H282" i="3"/>
  <c r="T282" i="3"/>
  <c r="J282" i="3"/>
  <c r="V282" i="3"/>
  <c r="C282" i="4"/>
  <c r="AB281" i="3"/>
  <c r="E282" i="4" s="1"/>
  <c r="F281" i="3"/>
  <c r="D282" i="3"/>
  <c r="I280" i="3"/>
  <c r="F281" i="4" s="1"/>
  <c r="U280" i="3"/>
  <c r="J281" i="4" s="1"/>
  <c r="O280" i="3"/>
  <c r="H281" i="4" s="1"/>
  <c r="V285" i="2" l="1"/>
  <c r="T284" i="2"/>
  <c r="D283" i="4"/>
  <c r="G283" i="4"/>
  <c r="L283" i="4" s="1"/>
  <c r="I283" i="4"/>
  <c r="M283" i="4" s="1"/>
  <c r="K283" i="4"/>
  <c r="N283" i="4" s="1"/>
  <c r="C283" i="4"/>
  <c r="AB282" i="3"/>
  <c r="E283" i="4" s="1"/>
  <c r="D287" i="2"/>
  <c r="K287" i="2"/>
  <c r="H286" i="2"/>
  <c r="E286" i="2" s="1"/>
  <c r="C289" i="2"/>
  <c r="L286" i="2"/>
  <c r="I285" i="2"/>
  <c r="F285" i="2" s="1"/>
  <c r="M287" i="2"/>
  <c r="J286" i="2"/>
  <c r="G286" i="2" s="1"/>
  <c r="A284" i="4"/>
  <c r="J283" i="3"/>
  <c r="V283" i="3"/>
  <c r="M283" i="3"/>
  <c r="N283" i="3"/>
  <c r="C283" i="3"/>
  <c r="P283" i="3"/>
  <c r="E283" i="3"/>
  <c r="G283" i="3"/>
  <c r="H283" i="3"/>
  <c r="S283" i="3"/>
  <c r="Y283" i="3" s="1"/>
  <c r="Z283" i="3" s="1"/>
  <c r="AA283" i="3" s="1"/>
  <c r="T283" i="3"/>
  <c r="F282" i="3"/>
  <c r="D283" i="3"/>
  <c r="O281" i="3"/>
  <c r="H282" i="4" s="1"/>
  <c r="I281" i="3"/>
  <c r="F282" i="4" s="1"/>
  <c r="U281" i="3"/>
  <c r="J282" i="4" s="1"/>
  <c r="V286" i="2" l="1"/>
  <c r="T285" i="2"/>
  <c r="D284" i="4"/>
  <c r="M288" i="2"/>
  <c r="J287" i="2"/>
  <c r="A285" i="4"/>
  <c r="G284" i="3"/>
  <c r="S284" i="3"/>
  <c r="Y284" i="3" s="1"/>
  <c r="Z284" i="3" s="1"/>
  <c r="AA284" i="3" s="1"/>
  <c r="H284" i="3"/>
  <c r="T284" i="3"/>
  <c r="J284" i="3"/>
  <c r="V284" i="3"/>
  <c r="M284" i="3"/>
  <c r="N284" i="3"/>
  <c r="C284" i="3"/>
  <c r="E284" i="3"/>
  <c r="P284" i="3"/>
  <c r="L287" i="2"/>
  <c r="I286" i="2"/>
  <c r="F286" i="2" s="1"/>
  <c r="C290" i="2"/>
  <c r="H287" i="2"/>
  <c r="E287" i="2" s="1"/>
  <c r="K288" i="2"/>
  <c r="C284" i="4"/>
  <c r="AB283" i="3"/>
  <c r="E284" i="4" s="1"/>
  <c r="O282" i="3"/>
  <c r="H283" i="4" s="1"/>
  <c r="I282" i="3"/>
  <c r="F283" i="4" s="1"/>
  <c r="U282" i="3"/>
  <c r="J283" i="4" s="1"/>
  <c r="F283" i="3"/>
  <c r="D284" i="3"/>
  <c r="G284" i="4"/>
  <c r="L284" i="4" s="1"/>
  <c r="I284" i="4"/>
  <c r="M284" i="4" s="1"/>
  <c r="K284" i="4"/>
  <c r="N284" i="4" s="1"/>
  <c r="D288" i="2"/>
  <c r="G287" i="2"/>
  <c r="V287" i="2" l="1"/>
  <c r="T286" i="2"/>
  <c r="D285" i="4"/>
  <c r="C291" i="2"/>
  <c r="I283" i="3"/>
  <c r="F284" i="4" s="1"/>
  <c r="U283" i="3"/>
  <c r="J284" i="4" s="1"/>
  <c r="O283" i="3"/>
  <c r="H284" i="4" s="1"/>
  <c r="I287" i="2"/>
  <c r="F287" i="2" s="1"/>
  <c r="L288" i="2"/>
  <c r="A286" i="4"/>
  <c r="C285" i="3"/>
  <c r="P285" i="3"/>
  <c r="E285" i="3"/>
  <c r="G285" i="3"/>
  <c r="S285" i="3"/>
  <c r="Y285" i="3" s="1"/>
  <c r="Z285" i="3" s="1"/>
  <c r="AA285" i="3" s="1"/>
  <c r="H285" i="3"/>
  <c r="T285" i="3"/>
  <c r="J285" i="3"/>
  <c r="V285" i="3"/>
  <c r="M285" i="3"/>
  <c r="N285" i="3"/>
  <c r="G285" i="4"/>
  <c r="L285" i="4" s="1"/>
  <c r="I285" i="4"/>
  <c r="M285" i="4" s="1"/>
  <c r="K285" i="4"/>
  <c r="N285" i="4" s="1"/>
  <c r="K289" i="2"/>
  <c r="H288" i="2"/>
  <c r="E288" i="2" s="1"/>
  <c r="F284" i="3"/>
  <c r="D285" i="3"/>
  <c r="M289" i="2"/>
  <c r="J288" i="2"/>
  <c r="G288" i="2" s="1"/>
  <c r="C285" i="4"/>
  <c r="AB284" i="3"/>
  <c r="E285" i="4" s="1"/>
  <c r="D289" i="2"/>
  <c r="V288" i="2" l="1"/>
  <c r="T287" i="2"/>
  <c r="D286" i="4"/>
  <c r="K286" i="4"/>
  <c r="N286" i="4" s="1"/>
  <c r="I286" i="4"/>
  <c r="M286" i="4" s="1"/>
  <c r="G286" i="4"/>
  <c r="L286" i="4" s="1"/>
  <c r="M290" i="2"/>
  <c r="J289" i="2"/>
  <c r="G289" i="2" s="1"/>
  <c r="C286" i="4"/>
  <c r="AB285" i="3"/>
  <c r="E286" i="4" s="1"/>
  <c r="L289" i="2"/>
  <c r="I288" i="2"/>
  <c r="F288" i="2" s="1"/>
  <c r="F285" i="3"/>
  <c r="D286" i="3"/>
  <c r="C292" i="2"/>
  <c r="I284" i="3"/>
  <c r="F285" i="4" s="1"/>
  <c r="U284" i="3"/>
  <c r="J285" i="4" s="1"/>
  <c r="O284" i="3"/>
  <c r="H285" i="4" s="1"/>
  <c r="K290" i="2"/>
  <c r="H289" i="2"/>
  <c r="E289" i="2" s="1"/>
  <c r="D290" i="2"/>
  <c r="A287" i="4"/>
  <c r="M286" i="3"/>
  <c r="N286" i="3"/>
  <c r="C286" i="3"/>
  <c r="P286" i="3"/>
  <c r="E286" i="3"/>
  <c r="G286" i="3"/>
  <c r="S286" i="3"/>
  <c r="Y286" i="3" s="1"/>
  <c r="Z286" i="3" s="1"/>
  <c r="AA286" i="3" s="1"/>
  <c r="H286" i="3"/>
  <c r="T286" i="3"/>
  <c r="J286" i="3"/>
  <c r="V286" i="3"/>
  <c r="V289" i="2" l="1"/>
  <c r="T288" i="2"/>
  <c r="D287" i="4"/>
  <c r="A288" i="4"/>
  <c r="J287" i="3"/>
  <c r="V287" i="3"/>
  <c r="M287" i="3"/>
  <c r="N287" i="3"/>
  <c r="C287" i="3"/>
  <c r="P287" i="3"/>
  <c r="E287" i="3"/>
  <c r="S287" i="3"/>
  <c r="Y287" i="3" s="1"/>
  <c r="Z287" i="3" s="1"/>
  <c r="AA287" i="3" s="1"/>
  <c r="T287" i="3"/>
  <c r="G287" i="3"/>
  <c r="H287" i="3"/>
  <c r="K291" i="2"/>
  <c r="H290" i="2"/>
  <c r="E290" i="2" s="1"/>
  <c r="M291" i="2"/>
  <c r="J290" i="2"/>
  <c r="G290" i="2" s="1"/>
  <c r="C287" i="4"/>
  <c r="AB286" i="3"/>
  <c r="E287" i="4" s="1"/>
  <c r="C293" i="2"/>
  <c r="I287" i="4"/>
  <c r="M287" i="4" s="1"/>
  <c r="K287" i="4"/>
  <c r="N287" i="4" s="1"/>
  <c r="G287" i="4"/>
  <c r="L287" i="4" s="1"/>
  <c r="F286" i="3"/>
  <c r="D287" i="3"/>
  <c r="O285" i="3"/>
  <c r="H286" i="4" s="1"/>
  <c r="I285" i="3"/>
  <c r="F286" i="4" s="1"/>
  <c r="U285" i="3"/>
  <c r="J286" i="4" s="1"/>
  <c r="D291" i="2"/>
  <c r="L290" i="2"/>
  <c r="I289" i="2"/>
  <c r="F289" i="2" s="1"/>
  <c r="V290" i="2" l="1"/>
  <c r="T289" i="2"/>
  <c r="D288" i="4"/>
  <c r="A289" i="4"/>
  <c r="G288" i="3"/>
  <c r="S288" i="3"/>
  <c r="Y288" i="3" s="1"/>
  <c r="Z288" i="3" s="1"/>
  <c r="AA288" i="3" s="1"/>
  <c r="H288" i="3"/>
  <c r="T288" i="3"/>
  <c r="J288" i="3"/>
  <c r="V288" i="3"/>
  <c r="M288" i="3"/>
  <c r="N288" i="3"/>
  <c r="C288" i="3"/>
  <c r="E288" i="3"/>
  <c r="P288" i="3"/>
  <c r="C294" i="2"/>
  <c r="D292" i="2"/>
  <c r="F287" i="3"/>
  <c r="D288" i="3"/>
  <c r="O286" i="3"/>
  <c r="H287" i="4" s="1"/>
  <c r="I286" i="3"/>
  <c r="F287" i="4" s="1"/>
  <c r="U286" i="3"/>
  <c r="J287" i="4" s="1"/>
  <c r="M292" i="2"/>
  <c r="J291" i="2"/>
  <c r="G291" i="2" s="1"/>
  <c r="C288" i="4"/>
  <c r="AB287" i="3"/>
  <c r="E288" i="4" s="1"/>
  <c r="K292" i="2"/>
  <c r="H291" i="2"/>
  <c r="E291" i="2" s="1"/>
  <c r="G288" i="4"/>
  <c r="L288" i="4" s="1"/>
  <c r="I288" i="4"/>
  <c r="M288" i="4" s="1"/>
  <c r="K288" i="4"/>
  <c r="N288" i="4" s="1"/>
  <c r="L291" i="2"/>
  <c r="I290" i="2"/>
  <c r="F290" i="2" s="1"/>
  <c r="V291" i="2" l="1"/>
  <c r="T290" i="2"/>
  <c r="D289" i="4"/>
  <c r="C289" i="4"/>
  <c r="AB288" i="3"/>
  <c r="E289" i="4" s="1"/>
  <c r="K293" i="2"/>
  <c r="H292" i="2"/>
  <c r="D293" i="2"/>
  <c r="G292" i="2"/>
  <c r="E292" i="2"/>
  <c r="I287" i="3"/>
  <c r="F288" i="4" s="1"/>
  <c r="U287" i="3"/>
  <c r="J288" i="4" s="1"/>
  <c r="O287" i="3"/>
  <c r="H288" i="4" s="1"/>
  <c r="C295" i="2"/>
  <c r="L292" i="2"/>
  <c r="I291" i="2"/>
  <c r="F291" i="2" s="1"/>
  <c r="J292" i="2"/>
  <c r="M293" i="2"/>
  <c r="A290" i="4"/>
  <c r="C289" i="3"/>
  <c r="P289" i="3"/>
  <c r="E289" i="3"/>
  <c r="G289" i="3"/>
  <c r="S289" i="3"/>
  <c r="Y289" i="3" s="1"/>
  <c r="Z289" i="3" s="1"/>
  <c r="AA289" i="3" s="1"/>
  <c r="H289" i="3"/>
  <c r="T289" i="3"/>
  <c r="J289" i="3"/>
  <c r="V289" i="3"/>
  <c r="M289" i="3"/>
  <c r="N289" i="3"/>
  <c r="G289" i="4"/>
  <c r="L289" i="4" s="1"/>
  <c r="I289" i="4"/>
  <c r="M289" i="4" s="1"/>
  <c r="K289" i="4"/>
  <c r="N289" i="4" s="1"/>
  <c r="F288" i="3"/>
  <c r="D289" i="3"/>
  <c r="V292" i="2" l="1"/>
  <c r="T291" i="2"/>
  <c r="D290" i="4"/>
  <c r="G290" i="4"/>
  <c r="L290" i="4" s="1"/>
  <c r="I290" i="4"/>
  <c r="M290" i="4" s="1"/>
  <c r="K290" i="4"/>
  <c r="N290" i="4" s="1"/>
  <c r="C290" i="4"/>
  <c r="AB289" i="3"/>
  <c r="E290" i="4" s="1"/>
  <c r="M294" i="2"/>
  <c r="J293" i="2"/>
  <c r="G293" i="2" s="1"/>
  <c r="D294" i="2"/>
  <c r="F289" i="3"/>
  <c r="D290" i="3"/>
  <c r="I292" i="2"/>
  <c r="F292" i="2" s="1"/>
  <c r="L293" i="2"/>
  <c r="I288" i="3"/>
  <c r="F289" i="4" s="1"/>
  <c r="U288" i="3"/>
  <c r="J289" i="4" s="1"/>
  <c r="O288" i="3"/>
  <c r="H289" i="4" s="1"/>
  <c r="K294" i="2"/>
  <c r="H293" i="2"/>
  <c r="E293" i="2" s="1"/>
  <c r="C296" i="2"/>
  <c r="A291" i="4"/>
  <c r="M290" i="3"/>
  <c r="N290" i="3"/>
  <c r="C290" i="3"/>
  <c r="P290" i="3"/>
  <c r="E290" i="3"/>
  <c r="G290" i="3"/>
  <c r="S290" i="3"/>
  <c r="Y290" i="3" s="1"/>
  <c r="Z290" i="3" s="1"/>
  <c r="AA290" i="3" s="1"/>
  <c r="H290" i="3"/>
  <c r="T290" i="3"/>
  <c r="J290" i="3"/>
  <c r="V290" i="3"/>
  <c r="V293" i="2" l="1"/>
  <c r="T292" i="2"/>
  <c r="D291" i="4"/>
  <c r="M295" i="2"/>
  <c r="J294" i="2"/>
  <c r="L294" i="2"/>
  <c r="I293" i="2"/>
  <c r="F293" i="2" s="1"/>
  <c r="C291" i="4"/>
  <c r="AB290" i="3"/>
  <c r="E291" i="4" s="1"/>
  <c r="F290" i="3"/>
  <c r="D291" i="3"/>
  <c r="G291" i="4"/>
  <c r="L291" i="4" s="1"/>
  <c r="K291" i="4"/>
  <c r="N291" i="4" s="1"/>
  <c r="I291" i="4"/>
  <c r="M291" i="4" s="1"/>
  <c r="O289" i="3"/>
  <c r="H290" i="4" s="1"/>
  <c r="I289" i="3"/>
  <c r="F290" i="4" s="1"/>
  <c r="U289" i="3"/>
  <c r="J290" i="4" s="1"/>
  <c r="G294" i="2"/>
  <c r="D295" i="2"/>
  <c r="A292" i="4"/>
  <c r="J291" i="3"/>
  <c r="V291" i="3"/>
  <c r="M291" i="3"/>
  <c r="N291" i="3"/>
  <c r="C291" i="3"/>
  <c r="P291" i="3"/>
  <c r="E291" i="3"/>
  <c r="H291" i="3"/>
  <c r="S291" i="3"/>
  <c r="Y291" i="3" s="1"/>
  <c r="Z291" i="3" s="1"/>
  <c r="AA291" i="3" s="1"/>
  <c r="T291" i="3"/>
  <c r="G291" i="3"/>
  <c r="C297" i="2"/>
  <c r="H294" i="2"/>
  <c r="E294" i="2" s="1"/>
  <c r="K295" i="2"/>
  <c r="V294" i="2" l="1"/>
  <c r="T293" i="2"/>
  <c r="D292" i="4"/>
  <c r="F291" i="3"/>
  <c r="D292" i="3"/>
  <c r="A293" i="4"/>
  <c r="G292" i="3"/>
  <c r="S292" i="3"/>
  <c r="Y292" i="3" s="1"/>
  <c r="Z292" i="3" s="1"/>
  <c r="AA292" i="3" s="1"/>
  <c r="H292" i="3"/>
  <c r="T292" i="3"/>
  <c r="J292" i="3"/>
  <c r="V292" i="3"/>
  <c r="M292" i="3"/>
  <c r="N292" i="3"/>
  <c r="C292" i="3"/>
  <c r="E292" i="3"/>
  <c r="P292" i="3"/>
  <c r="D296" i="2"/>
  <c r="O290" i="3"/>
  <c r="H291" i="4" s="1"/>
  <c r="I290" i="3"/>
  <c r="F291" i="4" s="1"/>
  <c r="U290" i="3"/>
  <c r="J291" i="4" s="1"/>
  <c r="K296" i="2"/>
  <c r="H295" i="2"/>
  <c r="E295" i="2" s="1"/>
  <c r="L295" i="2"/>
  <c r="I294" i="2"/>
  <c r="F294" i="2" s="1"/>
  <c r="C292" i="4"/>
  <c r="AB291" i="3"/>
  <c r="E292" i="4" s="1"/>
  <c r="M296" i="2"/>
  <c r="J295" i="2"/>
  <c r="G295" i="2" s="1"/>
  <c r="C298" i="2"/>
  <c r="K292" i="4"/>
  <c r="N292" i="4" s="1"/>
  <c r="G292" i="4"/>
  <c r="L292" i="4" s="1"/>
  <c r="I292" i="4"/>
  <c r="M292" i="4" s="1"/>
  <c r="V295" i="2" l="1"/>
  <c r="T294" i="2"/>
  <c r="D293" i="4"/>
  <c r="C293" i="4"/>
  <c r="AB292" i="3"/>
  <c r="E293" i="4" s="1"/>
  <c r="M297" i="2"/>
  <c r="J296" i="2"/>
  <c r="G296" i="2"/>
  <c r="D297" i="2"/>
  <c r="I293" i="4"/>
  <c r="M293" i="4" s="1"/>
  <c r="K293" i="4"/>
  <c r="N293" i="4" s="1"/>
  <c r="G293" i="4"/>
  <c r="L293" i="4" s="1"/>
  <c r="L296" i="2"/>
  <c r="I295" i="2"/>
  <c r="F295" i="2" s="1"/>
  <c r="F292" i="3"/>
  <c r="D293" i="3"/>
  <c r="A294" i="4"/>
  <c r="C293" i="3"/>
  <c r="P293" i="3"/>
  <c r="E293" i="3"/>
  <c r="G293" i="3"/>
  <c r="S293" i="3"/>
  <c r="Y293" i="3" s="1"/>
  <c r="Z293" i="3" s="1"/>
  <c r="AA293" i="3" s="1"/>
  <c r="H293" i="3"/>
  <c r="T293" i="3"/>
  <c r="J293" i="3"/>
  <c r="V293" i="3"/>
  <c r="M293" i="3"/>
  <c r="N293" i="3"/>
  <c r="I291" i="3"/>
  <c r="F292" i="4" s="1"/>
  <c r="U291" i="3"/>
  <c r="J292" i="4" s="1"/>
  <c r="O291" i="3"/>
  <c r="H292" i="4" s="1"/>
  <c r="C299" i="2"/>
  <c r="K297" i="2"/>
  <c r="H296" i="2"/>
  <c r="E296" i="2" s="1"/>
  <c r="V296" i="2" l="1"/>
  <c r="T295" i="2"/>
  <c r="D294" i="4"/>
  <c r="G294" i="4"/>
  <c r="L294" i="4" s="1"/>
  <c r="I294" i="4"/>
  <c r="M294" i="4" s="1"/>
  <c r="K294" i="4"/>
  <c r="N294" i="4" s="1"/>
  <c r="C294" i="4"/>
  <c r="AB293" i="3"/>
  <c r="E294" i="4" s="1"/>
  <c r="F293" i="3"/>
  <c r="D294" i="3"/>
  <c r="D298" i="2"/>
  <c r="I292" i="3"/>
  <c r="F293" i="4" s="1"/>
  <c r="U292" i="3"/>
  <c r="J293" i="4" s="1"/>
  <c r="O292" i="3"/>
  <c r="H293" i="4" s="1"/>
  <c r="L297" i="2"/>
  <c r="I296" i="2"/>
  <c r="F296" i="2" s="1"/>
  <c r="J297" i="2"/>
  <c r="G297" i="2" s="1"/>
  <c r="M298" i="2"/>
  <c r="K298" i="2"/>
  <c r="H297" i="2"/>
  <c r="E297" i="2" s="1"/>
  <c r="C300" i="2"/>
  <c r="A295" i="4"/>
  <c r="M294" i="3"/>
  <c r="N294" i="3"/>
  <c r="C294" i="3"/>
  <c r="P294" i="3"/>
  <c r="E294" i="3"/>
  <c r="G294" i="3"/>
  <c r="S294" i="3"/>
  <c r="Y294" i="3" s="1"/>
  <c r="Z294" i="3" s="1"/>
  <c r="AA294" i="3" s="1"/>
  <c r="H294" i="3"/>
  <c r="T294" i="3"/>
  <c r="V294" i="3"/>
  <c r="J294" i="3"/>
  <c r="V297" i="2" l="1"/>
  <c r="T296" i="2"/>
  <c r="D295" i="4"/>
  <c r="A296" i="4"/>
  <c r="J295" i="3"/>
  <c r="V295" i="3"/>
  <c r="M295" i="3"/>
  <c r="N295" i="3"/>
  <c r="C295" i="3"/>
  <c r="P295" i="3"/>
  <c r="E295" i="3"/>
  <c r="G295" i="3"/>
  <c r="H295" i="3"/>
  <c r="S295" i="3"/>
  <c r="Y295" i="3" s="1"/>
  <c r="Z295" i="3" s="1"/>
  <c r="AA295" i="3" s="1"/>
  <c r="T295" i="3"/>
  <c r="O293" i="3"/>
  <c r="H294" i="4" s="1"/>
  <c r="I293" i="3"/>
  <c r="F294" i="4" s="1"/>
  <c r="U293" i="3"/>
  <c r="J294" i="4" s="1"/>
  <c r="M299" i="2"/>
  <c r="J298" i="2"/>
  <c r="F294" i="3"/>
  <c r="D295" i="3"/>
  <c r="L298" i="2"/>
  <c r="I297" i="2"/>
  <c r="F297" i="2" s="1"/>
  <c r="C295" i="4"/>
  <c r="AB294" i="3"/>
  <c r="E295" i="4" s="1"/>
  <c r="G295" i="4"/>
  <c r="L295" i="4" s="1"/>
  <c r="I295" i="4"/>
  <c r="M295" i="4" s="1"/>
  <c r="K295" i="4"/>
  <c r="N295" i="4" s="1"/>
  <c r="C301" i="2"/>
  <c r="K299" i="2"/>
  <c r="H298" i="2"/>
  <c r="E298" i="2" s="1"/>
  <c r="G298" i="2"/>
  <c r="D299" i="2"/>
  <c r="V298" i="2" l="1"/>
  <c r="T297" i="2"/>
  <c r="D296" i="4"/>
  <c r="C302" i="2"/>
  <c r="L299" i="2"/>
  <c r="I298" i="2"/>
  <c r="F298" i="2" s="1"/>
  <c r="A297" i="4"/>
  <c r="G296" i="3"/>
  <c r="S296" i="3"/>
  <c r="Y296" i="3" s="1"/>
  <c r="Z296" i="3" s="1"/>
  <c r="AA296" i="3" s="1"/>
  <c r="H296" i="3"/>
  <c r="T296" i="3"/>
  <c r="J296" i="3"/>
  <c r="V296" i="3"/>
  <c r="M296" i="3"/>
  <c r="N296" i="3"/>
  <c r="C296" i="3"/>
  <c r="P296" i="3"/>
  <c r="E296" i="3"/>
  <c r="H299" i="2"/>
  <c r="E299" i="2" s="1"/>
  <c r="K300" i="2"/>
  <c r="F295" i="3"/>
  <c r="D296" i="3"/>
  <c r="O294" i="3"/>
  <c r="H295" i="4" s="1"/>
  <c r="I294" i="3"/>
  <c r="F295" i="4" s="1"/>
  <c r="U294" i="3"/>
  <c r="J295" i="4" s="1"/>
  <c r="M300" i="2"/>
  <c r="J299" i="2"/>
  <c r="C296" i="4"/>
  <c r="AB295" i="3"/>
  <c r="E296" i="4" s="1"/>
  <c r="G296" i="4"/>
  <c r="L296" i="4" s="1"/>
  <c r="I296" i="4"/>
  <c r="M296" i="4" s="1"/>
  <c r="K296" i="4"/>
  <c r="N296" i="4" s="1"/>
  <c r="D300" i="2"/>
  <c r="G299" i="2"/>
  <c r="V299" i="2" l="1"/>
  <c r="T298" i="2"/>
  <c r="D297" i="4"/>
  <c r="F296" i="3"/>
  <c r="D297" i="3"/>
  <c r="D301" i="2"/>
  <c r="E300" i="2"/>
  <c r="G297" i="4"/>
  <c r="L297" i="4" s="1"/>
  <c r="I297" i="4"/>
  <c r="M297" i="4" s="1"/>
  <c r="K297" i="4"/>
  <c r="N297" i="4" s="1"/>
  <c r="K301" i="2"/>
  <c r="H300" i="2"/>
  <c r="A298" i="4"/>
  <c r="C297" i="3"/>
  <c r="P297" i="3"/>
  <c r="E297" i="3"/>
  <c r="G297" i="3"/>
  <c r="S297" i="3"/>
  <c r="Y297" i="3" s="1"/>
  <c r="Z297" i="3" s="1"/>
  <c r="AA297" i="3" s="1"/>
  <c r="H297" i="3"/>
  <c r="T297" i="3"/>
  <c r="J297" i="3"/>
  <c r="V297" i="3"/>
  <c r="M297" i="3"/>
  <c r="N297" i="3"/>
  <c r="I299" i="2"/>
  <c r="F299" i="2" s="1"/>
  <c r="L300" i="2"/>
  <c r="I295" i="3"/>
  <c r="F296" i="4" s="1"/>
  <c r="U295" i="3"/>
  <c r="J296" i="4" s="1"/>
  <c r="O295" i="3"/>
  <c r="H296" i="4" s="1"/>
  <c r="M301" i="2"/>
  <c r="J300" i="2"/>
  <c r="G300" i="2" s="1"/>
  <c r="C303" i="2"/>
  <c r="C297" i="4"/>
  <c r="AB296" i="3"/>
  <c r="E297" i="4" s="1"/>
  <c r="V300" i="2" l="1"/>
  <c r="T299" i="2"/>
  <c r="D298" i="4"/>
  <c r="M302" i="2"/>
  <c r="J301" i="2"/>
  <c r="A299" i="4"/>
  <c r="M298" i="3"/>
  <c r="N298" i="3"/>
  <c r="C298" i="3"/>
  <c r="P298" i="3"/>
  <c r="E298" i="3"/>
  <c r="G298" i="3"/>
  <c r="S298" i="3"/>
  <c r="Y298" i="3" s="1"/>
  <c r="Z298" i="3" s="1"/>
  <c r="AA298" i="3" s="1"/>
  <c r="H298" i="3"/>
  <c r="T298" i="3"/>
  <c r="J298" i="3"/>
  <c r="V298" i="3"/>
  <c r="L301" i="2"/>
  <c r="I300" i="2"/>
  <c r="F300" i="2" s="1"/>
  <c r="G301" i="2"/>
  <c r="D302" i="2"/>
  <c r="K298" i="4"/>
  <c r="N298" i="4" s="1"/>
  <c r="G298" i="4"/>
  <c r="L298" i="4" s="1"/>
  <c r="I298" i="4"/>
  <c r="M298" i="4" s="1"/>
  <c r="C298" i="4"/>
  <c r="AB297" i="3"/>
  <c r="E298" i="4" s="1"/>
  <c r="C304" i="2"/>
  <c r="K302" i="2"/>
  <c r="H301" i="2"/>
  <c r="E301" i="2" s="1"/>
  <c r="F297" i="3"/>
  <c r="D298" i="3"/>
  <c r="I296" i="3"/>
  <c r="F297" i="4" s="1"/>
  <c r="U296" i="3"/>
  <c r="J297" i="4" s="1"/>
  <c r="O296" i="3"/>
  <c r="H297" i="4" s="1"/>
  <c r="V301" i="2" l="1"/>
  <c r="T300" i="2"/>
  <c r="D299" i="4"/>
  <c r="C305" i="2"/>
  <c r="A300" i="4"/>
  <c r="J299" i="3"/>
  <c r="V299" i="3"/>
  <c r="M299" i="3"/>
  <c r="N299" i="3"/>
  <c r="C299" i="3"/>
  <c r="P299" i="3"/>
  <c r="E299" i="3"/>
  <c r="G299" i="3"/>
  <c r="H299" i="3"/>
  <c r="S299" i="3"/>
  <c r="Y299" i="3" s="1"/>
  <c r="Z299" i="3" s="1"/>
  <c r="AA299" i="3" s="1"/>
  <c r="T299" i="3"/>
  <c r="O297" i="3"/>
  <c r="H298" i="4" s="1"/>
  <c r="I297" i="3"/>
  <c r="F298" i="4" s="1"/>
  <c r="U297" i="3"/>
  <c r="J298" i="4" s="1"/>
  <c r="K303" i="2"/>
  <c r="H302" i="2"/>
  <c r="E302" i="2" s="1"/>
  <c r="F298" i="3"/>
  <c r="D299" i="3"/>
  <c r="D303" i="2"/>
  <c r="L302" i="2"/>
  <c r="I301" i="2"/>
  <c r="F301" i="2" s="1"/>
  <c r="C299" i="4"/>
  <c r="AB298" i="3"/>
  <c r="E299" i="4" s="1"/>
  <c r="I299" i="4"/>
  <c r="M299" i="4" s="1"/>
  <c r="K299" i="4"/>
  <c r="N299" i="4" s="1"/>
  <c r="G299" i="4"/>
  <c r="L299" i="4" s="1"/>
  <c r="M303" i="2"/>
  <c r="J302" i="2"/>
  <c r="G302" i="2" s="1"/>
  <c r="V302" i="2" l="1"/>
  <c r="T301" i="2"/>
  <c r="D300" i="4"/>
  <c r="K304" i="2"/>
  <c r="H303" i="2"/>
  <c r="C300" i="4"/>
  <c r="AB299" i="3"/>
  <c r="E300" i="4" s="1"/>
  <c r="L303" i="2"/>
  <c r="I302" i="2"/>
  <c r="F302" i="2" s="1"/>
  <c r="G300" i="4"/>
  <c r="L300" i="4" s="1"/>
  <c r="I300" i="4"/>
  <c r="M300" i="4" s="1"/>
  <c r="K300" i="4"/>
  <c r="N300" i="4" s="1"/>
  <c r="O298" i="3"/>
  <c r="H299" i="4" s="1"/>
  <c r="I298" i="3"/>
  <c r="F299" i="4" s="1"/>
  <c r="U298" i="3"/>
  <c r="J299" i="4" s="1"/>
  <c r="C306" i="2"/>
  <c r="D304" i="2"/>
  <c r="E303" i="2"/>
  <c r="A301" i="4"/>
  <c r="G300" i="3"/>
  <c r="S300" i="3"/>
  <c r="Y300" i="3" s="1"/>
  <c r="Z300" i="3" s="1"/>
  <c r="AA300" i="3" s="1"/>
  <c r="H300" i="3"/>
  <c r="T300" i="3"/>
  <c r="J300" i="3"/>
  <c r="V300" i="3"/>
  <c r="M300" i="3"/>
  <c r="N300" i="3"/>
  <c r="C300" i="3"/>
  <c r="E300" i="3"/>
  <c r="P300" i="3"/>
  <c r="M304" i="2"/>
  <c r="J303" i="2"/>
  <c r="G303" i="2" s="1"/>
  <c r="F299" i="3"/>
  <c r="D300" i="3"/>
  <c r="V303" i="2" l="1"/>
  <c r="T302" i="2"/>
  <c r="D301" i="4"/>
  <c r="D305" i="2"/>
  <c r="C307" i="2"/>
  <c r="L304" i="2"/>
  <c r="I303" i="2"/>
  <c r="F303" i="2" s="1"/>
  <c r="C301" i="4"/>
  <c r="AB300" i="3"/>
  <c r="E301" i="4" s="1"/>
  <c r="I299" i="3"/>
  <c r="F300" i="4" s="1"/>
  <c r="U299" i="3"/>
  <c r="J300" i="4" s="1"/>
  <c r="O299" i="3"/>
  <c r="H300" i="4" s="1"/>
  <c r="K305" i="2"/>
  <c r="H304" i="2"/>
  <c r="E304" i="2" s="1"/>
  <c r="J304" i="2"/>
  <c r="G304" i="2" s="1"/>
  <c r="M305" i="2"/>
  <c r="A302" i="4"/>
  <c r="C301" i="3"/>
  <c r="P301" i="3"/>
  <c r="E301" i="3"/>
  <c r="G301" i="3"/>
  <c r="S301" i="3"/>
  <c r="Y301" i="3" s="1"/>
  <c r="Z301" i="3" s="1"/>
  <c r="AA301" i="3" s="1"/>
  <c r="H301" i="3"/>
  <c r="T301" i="3"/>
  <c r="J301" i="3"/>
  <c r="V301" i="3"/>
  <c r="M301" i="3"/>
  <c r="N301" i="3"/>
  <c r="G301" i="4"/>
  <c r="L301" i="4" s="1"/>
  <c r="I301" i="4"/>
  <c r="M301" i="4" s="1"/>
  <c r="K301" i="4"/>
  <c r="N301" i="4" s="1"/>
  <c r="F300" i="3"/>
  <c r="D301" i="3"/>
  <c r="V304" i="2" l="1"/>
  <c r="T303" i="2"/>
  <c r="D302" i="4"/>
  <c r="I300" i="3"/>
  <c r="F301" i="4" s="1"/>
  <c r="U300" i="3"/>
  <c r="J301" i="4" s="1"/>
  <c r="O300" i="3"/>
  <c r="H301" i="4" s="1"/>
  <c r="I304" i="2"/>
  <c r="F304" i="2" s="1"/>
  <c r="L305" i="2"/>
  <c r="G302" i="4"/>
  <c r="L302" i="4" s="1"/>
  <c r="I302" i="4"/>
  <c r="M302" i="4" s="1"/>
  <c r="K302" i="4"/>
  <c r="N302" i="4" s="1"/>
  <c r="C302" i="4"/>
  <c r="AB301" i="3"/>
  <c r="E302" i="4" s="1"/>
  <c r="M306" i="2"/>
  <c r="J305" i="2"/>
  <c r="G305" i="2" s="1"/>
  <c r="C308" i="2"/>
  <c r="F301" i="3"/>
  <c r="D302" i="3"/>
  <c r="K306" i="2"/>
  <c r="H305" i="2"/>
  <c r="E305" i="2" s="1"/>
  <c r="D306" i="2"/>
  <c r="A303" i="4"/>
  <c r="M302" i="3"/>
  <c r="N302" i="3"/>
  <c r="C302" i="3"/>
  <c r="P302" i="3"/>
  <c r="E302" i="3"/>
  <c r="G302" i="3"/>
  <c r="S302" i="3"/>
  <c r="Y302" i="3" s="1"/>
  <c r="Z302" i="3" s="1"/>
  <c r="AA302" i="3" s="1"/>
  <c r="H302" i="3"/>
  <c r="T302" i="3"/>
  <c r="J302" i="3"/>
  <c r="V302" i="3"/>
  <c r="V305" i="2" l="1"/>
  <c r="T304" i="2"/>
  <c r="D303" i="4"/>
  <c r="H306" i="2"/>
  <c r="K307" i="2"/>
  <c r="F302" i="3"/>
  <c r="D303" i="3"/>
  <c r="A304" i="4"/>
  <c r="J303" i="3"/>
  <c r="V303" i="3"/>
  <c r="M303" i="3"/>
  <c r="N303" i="3"/>
  <c r="C303" i="3"/>
  <c r="P303" i="3"/>
  <c r="E303" i="3"/>
  <c r="S303" i="3"/>
  <c r="Y303" i="3" s="1"/>
  <c r="Z303" i="3" s="1"/>
  <c r="AA303" i="3" s="1"/>
  <c r="T303" i="3"/>
  <c r="G303" i="3"/>
  <c r="H303" i="3"/>
  <c r="O301" i="3"/>
  <c r="H302" i="4" s="1"/>
  <c r="I301" i="3"/>
  <c r="F302" i="4" s="1"/>
  <c r="U301" i="3"/>
  <c r="J302" i="4" s="1"/>
  <c r="C309" i="2"/>
  <c r="C303" i="4"/>
  <c r="AB302" i="3"/>
  <c r="E303" i="4" s="1"/>
  <c r="L306" i="2"/>
  <c r="I305" i="2"/>
  <c r="F305" i="2" s="1"/>
  <c r="G303" i="4"/>
  <c r="L303" i="4" s="1"/>
  <c r="I303" i="4"/>
  <c r="M303" i="4" s="1"/>
  <c r="K303" i="4"/>
  <c r="N303" i="4" s="1"/>
  <c r="M307" i="2"/>
  <c r="J306" i="2"/>
  <c r="G306" i="2" s="1"/>
  <c r="D307" i="2"/>
  <c r="E306" i="2"/>
  <c r="V306" i="2" l="1"/>
  <c r="T305" i="2"/>
  <c r="D304" i="4"/>
  <c r="M308" i="2"/>
  <c r="J307" i="2"/>
  <c r="C304" i="4"/>
  <c r="AB303" i="3"/>
  <c r="E304" i="4" s="1"/>
  <c r="K304" i="4"/>
  <c r="N304" i="4" s="1"/>
  <c r="I304" i="4"/>
  <c r="M304" i="4" s="1"/>
  <c r="G304" i="4"/>
  <c r="L304" i="4" s="1"/>
  <c r="F303" i="3"/>
  <c r="D304" i="3"/>
  <c r="O302" i="3"/>
  <c r="H303" i="4" s="1"/>
  <c r="I302" i="3"/>
  <c r="F303" i="4" s="1"/>
  <c r="U302" i="3"/>
  <c r="J303" i="4" s="1"/>
  <c r="K308" i="2"/>
  <c r="H307" i="2"/>
  <c r="E307" i="2" s="1"/>
  <c r="G307" i="2"/>
  <c r="D308" i="2"/>
  <c r="A305" i="4"/>
  <c r="G304" i="3"/>
  <c r="S304" i="3"/>
  <c r="Y304" i="3" s="1"/>
  <c r="Z304" i="3" s="1"/>
  <c r="AA304" i="3" s="1"/>
  <c r="H304" i="3"/>
  <c r="T304" i="3"/>
  <c r="J304" i="3"/>
  <c r="V304" i="3"/>
  <c r="M304" i="3"/>
  <c r="N304" i="3"/>
  <c r="C304" i="3"/>
  <c r="E304" i="3"/>
  <c r="P304" i="3"/>
  <c r="L307" i="2"/>
  <c r="I306" i="2"/>
  <c r="F306" i="2" s="1"/>
  <c r="C310" i="2"/>
  <c r="V307" i="2" l="1"/>
  <c r="T306" i="2"/>
  <c r="D305" i="4"/>
  <c r="D309" i="2"/>
  <c r="C305" i="4"/>
  <c r="AB304" i="3"/>
  <c r="E305" i="4" s="1"/>
  <c r="K309" i="2"/>
  <c r="H308" i="2"/>
  <c r="E308" i="2" s="1"/>
  <c r="C311" i="2"/>
  <c r="M309" i="2"/>
  <c r="J308" i="2"/>
  <c r="G308" i="2" s="1"/>
  <c r="F304" i="3"/>
  <c r="D305" i="3"/>
  <c r="L308" i="2"/>
  <c r="I307" i="2"/>
  <c r="F307" i="2" s="1"/>
  <c r="A306" i="4"/>
  <c r="C305" i="3"/>
  <c r="P305" i="3"/>
  <c r="E305" i="3"/>
  <c r="G305" i="3"/>
  <c r="S305" i="3"/>
  <c r="Y305" i="3" s="1"/>
  <c r="Z305" i="3" s="1"/>
  <c r="AA305" i="3" s="1"/>
  <c r="H305" i="3"/>
  <c r="T305" i="3"/>
  <c r="J305" i="3"/>
  <c r="V305" i="3"/>
  <c r="M305" i="3"/>
  <c r="N305" i="3"/>
  <c r="I305" i="4"/>
  <c r="M305" i="4" s="1"/>
  <c r="K305" i="4"/>
  <c r="N305" i="4" s="1"/>
  <c r="G305" i="4"/>
  <c r="L305" i="4" s="1"/>
  <c r="I303" i="3"/>
  <c r="F304" i="4" s="1"/>
  <c r="U303" i="3"/>
  <c r="J304" i="4" s="1"/>
  <c r="O303" i="3"/>
  <c r="H304" i="4" s="1"/>
  <c r="V308" i="2" l="1"/>
  <c r="T307" i="2"/>
  <c r="D306" i="4"/>
  <c r="K310" i="2"/>
  <c r="H309" i="2"/>
  <c r="G306" i="4"/>
  <c r="L306" i="4" s="1"/>
  <c r="I306" i="4"/>
  <c r="M306" i="4" s="1"/>
  <c r="K306" i="4"/>
  <c r="N306" i="4" s="1"/>
  <c r="C306" i="4"/>
  <c r="AB305" i="3"/>
  <c r="E306" i="4" s="1"/>
  <c r="L309" i="2"/>
  <c r="I308" i="2"/>
  <c r="F308" i="2" s="1"/>
  <c r="F305" i="3"/>
  <c r="D306" i="3"/>
  <c r="I304" i="3"/>
  <c r="F305" i="4" s="1"/>
  <c r="U304" i="3"/>
  <c r="J305" i="4" s="1"/>
  <c r="O304" i="3"/>
  <c r="H305" i="4" s="1"/>
  <c r="D310" i="2"/>
  <c r="G309" i="2"/>
  <c r="E309" i="2"/>
  <c r="J309" i="2"/>
  <c r="M310" i="2"/>
  <c r="C312" i="2"/>
  <c r="A307" i="4"/>
  <c r="M306" i="3"/>
  <c r="N306" i="3"/>
  <c r="C306" i="3"/>
  <c r="P306" i="3"/>
  <c r="E306" i="3"/>
  <c r="H306" i="3"/>
  <c r="T306" i="3"/>
  <c r="G306" i="3"/>
  <c r="J306" i="3"/>
  <c r="S306" i="3"/>
  <c r="Y306" i="3" s="1"/>
  <c r="Z306" i="3" s="1"/>
  <c r="AA306" i="3" s="1"/>
  <c r="V306" i="3"/>
  <c r="V309" i="2" l="1"/>
  <c r="T308" i="2"/>
  <c r="D307" i="4"/>
  <c r="C307" i="4"/>
  <c r="AB306" i="3"/>
  <c r="E307" i="4" s="1"/>
  <c r="A308" i="4"/>
  <c r="J307" i="3"/>
  <c r="V307" i="3"/>
  <c r="M307" i="3"/>
  <c r="N307" i="3"/>
  <c r="C307" i="3"/>
  <c r="E307" i="3"/>
  <c r="G307" i="3"/>
  <c r="H307" i="3"/>
  <c r="P307" i="3"/>
  <c r="S307" i="3"/>
  <c r="Y307" i="3" s="1"/>
  <c r="Z307" i="3" s="1"/>
  <c r="AA307" i="3" s="1"/>
  <c r="T307" i="3"/>
  <c r="G307" i="4"/>
  <c r="L307" i="4" s="1"/>
  <c r="I307" i="4"/>
  <c r="M307" i="4" s="1"/>
  <c r="K307" i="4"/>
  <c r="N307" i="4" s="1"/>
  <c r="F306" i="3"/>
  <c r="D307" i="3"/>
  <c r="C313" i="2"/>
  <c r="O305" i="3"/>
  <c r="H306" i="4" s="1"/>
  <c r="I305" i="3"/>
  <c r="F306" i="4" s="1"/>
  <c r="U305" i="3"/>
  <c r="J306" i="4" s="1"/>
  <c r="K311" i="2"/>
  <c r="H310" i="2"/>
  <c r="E310" i="2" s="1"/>
  <c r="D311" i="2"/>
  <c r="M311" i="2"/>
  <c r="J310" i="2"/>
  <c r="G310" i="2" s="1"/>
  <c r="L310" i="2"/>
  <c r="I309" i="2"/>
  <c r="F309" i="2" s="1"/>
  <c r="V310" i="2" l="1"/>
  <c r="T309" i="2"/>
  <c r="D308" i="4"/>
  <c r="C308" i="4"/>
  <c r="AB307" i="3"/>
  <c r="E308" i="4" s="1"/>
  <c r="A309" i="4"/>
  <c r="G308" i="3"/>
  <c r="S308" i="3"/>
  <c r="Y308" i="3" s="1"/>
  <c r="Z308" i="3" s="1"/>
  <c r="AA308" i="3" s="1"/>
  <c r="J308" i="3"/>
  <c r="V308" i="3"/>
  <c r="N308" i="3"/>
  <c r="C308" i="3"/>
  <c r="E308" i="3"/>
  <c r="H308" i="3"/>
  <c r="M308" i="3"/>
  <c r="P308" i="3"/>
  <c r="T308" i="3"/>
  <c r="G308" i="4"/>
  <c r="L308" i="4" s="1"/>
  <c r="I308" i="4"/>
  <c r="M308" i="4" s="1"/>
  <c r="K308" i="4"/>
  <c r="N308" i="4" s="1"/>
  <c r="D312" i="2"/>
  <c r="O306" i="3"/>
  <c r="H307" i="4" s="1"/>
  <c r="I306" i="3"/>
  <c r="F307" i="4" s="1"/>
  <c r="U306" i="3"/>
  <c r="J307" i="4" s="1"/>
  <c r="H311" i="2"/>
  <c r="E311" i="2" s="1"/>
  <c r="K312" i="2"/>
  <c r="C314" i="2"/>
  <c r="M312" i="2"/>
  <c r="J311" i="2"/>
  <c r="G311" i="2" s="1"/>
  <c r="L311" i="2"/>
  <c r="I310" i="2"/>
  <c r="F310" i="2" s="1"/>
  <c r="F307" i="3"/>
  <c r="D308" i="3"/>
  <c r="V311" i="2" l="1"/>
  <c r="T310" i="2"/>
  <c r="D309" i="4"/>
  <c r="C315" i="2"/>
  <c r="D313" i="2"/>
  <c r="A310" i="4"/>
  <c r="C309" i="3"/>
  <c r="P309" i="3"/>
  <c r="G309" i="3"/>
  <c r="S309" i="3"/>
  <c r="Y309" i="3" s="1"/>
  <c r="Z309" i="3" s="1"/>
  <c r="AA309" i="3" s="1"/>
  <c r="H309" i="3"/>
  <c r="J309" i="3"/>
  <c r="M309" i="3"/>
  <c r="N309" i="3"/>
  <c r="T309" i="3"/>
  <c r="V309" i="3"/>
  <c r="E309" i="3"/>
  <c r="G309" i="4"/>
  <c r="L309" i="4" s="1"/>
  <c r="K309" i="4"/>
  <c r="N309" i="4" s="1"/>
  <c r="I309" i="4"/>
  <c r="M309" i="4" s="1"/>
  <c r="K313" i="2"/>
  <c r="H312" i="2"/>
  <c r="E312" i="2" s="1"/>
  <c r="F308" i="3"/>
  <c r="D309" i="3"/>
  <c r="I311" i="2"/>
  <c r="F311" i="2" s="1"/>
  <c r="L312" i="2"/>
  <c r="I307" i="3"/>
  <c r="F308" i="4" s="1"/>
  <c r="U307" i="3"/>
  <c r="J308" i="4" s="1"/>
  <c r="O307" i="3"/>
  <c r="H308" i="4" s="1"/>
  <c r="C309" i="4"/>
  <c r="AB308" i="3"/>
  <c r="E309" i="4" s="1"/>
  <c r="M313" i="2"/>
  <c r="J312" i="2"/>
  <c r="G312" i="2" s="1"/>
  <c r="V312" i="2" l="1"/>
  <c r="T311" i="2"/>
  <c r="D310" i="4"/>
  <c r="L313" i="2"/>
  <c r="I312" i="2"/>
  <c r="F312" i="2" s="1"/>
  <c r="A311" i="4"/>
  <c r="M310" i="3"/>
  <c r="C310" i="3"/>
  <c r="P310" i="3"/>
  <c r="H310" i="3"/>
  <c r="T310" i="3"/>
  <c r="E310" i="3"/>
  <c r="G310" i="3"/>
  <c r="J310" i="3"/>
  <c r="N310" i="3"/>
  <c r="S310" i="3"/>
  <c r="Y310" i="3" s="1"/>
  <c r="Z310" i="3" s="1"/>
  <c r="AA310" i="3" s="1"/>
  <c r="V310" i="3"/>
  <c r="K310" i="4"/>
  <c r="N310" i="4" s="1"/>
  <c r="G310" i="4"/>
  <c r="L310" i="4" s="1"/>
  <c r="I310" i="4"/>
  <c r="M310" i="4" s="1"/>
  <c r="F309" i="3"/>
  <c r="D310" i="3"/>
  <c r="I308" i="3"/>
  <c r="F309" i="4" s="1"/>
  <c r="U308" i="3"/>
  <c r="J309" i="4" s="1"/>
  <c r="O308" i="3"/>
  <c r="H309" i="4" s="1"/>
  <c r="D314" i="2"/>
  <c r="M314" i="2"/>
  <c r="J313" i="2"/>
  <c r="G313" i="2" s="1"/>
  <c r="K314" i="2"/>
  <c r="H313" i="2"/>
  <c r="E313" i="2" s="1"/>
  <c r="C310" i="4"/>
  <c r="AB309" i="3"/>
  <c r="E310" i="4" s="1"/>
  <c r="C316" i="2"/>
  <c r="V313" i="2" l="1"/>
  <c r="T312" i="2"/>
  <c r="D311" i="4"/>
  <c r="H314" i="2"/>
  <c r="E314" i="2" s="1"/>
  <c r="K315" i="2"/>
  <c r="O309" i="3"/>
  <c r="H310" i="4" s="1"/>
  <c r="I309" i="3"/>
  <c r="F310" i="4" s="1"/>
  <c r="U309" i="3"/>
  <c r="J310" i="4" s="1"/>
  <c r="C317" i="2"/>
  <c r="D315" i="2"/>
  <c r="C311" i="4"/>
  <c r="AB310" i="3"/>
  <c r="E311" i="4" s="1"/>
  <c r="A312" i="4"/>
  <c r="J311" i="3"/>
  <c r="V311" i="3"/>
  <c r="M311" i="3"/>
  <c r="C311" i="3"/>
  <c r="E311" i="3"/>
  <c r="G311" i="3"/>
  <c r="H311" i="3"/>
  <c r="N311" i="3"/>
  <c r="P311" i="3"/>
  <c r="S311" i="3"/>
  <c r="Y311" i="3" s="1"/>
  <c r="Z311" i="3" s="1"/>
  <c r="AA311" i="3" s="1"/>
  <c r="T311" i="3"/>
  <c r="I311" i="4"/>
  <c r="M311" i="4" s="1"/>
  <c r="K311" i="4"/>
  <c r="N311" i="4" s="1"/>
  <c r="G311" i="4"/>
  <c r="L311" i="4" s="1"/>
  <c r="L314" i="2"/>
  <c r="I313" i="2"/>
  <c r="F313" i="2" s="1"/>
  <c r="M315" i="2"/>
  <c r="J314" i="2"/>
  <c r="G314" i="2" s="1"/>
  <c r="F310" i="3"/>
  <c r="D311" i="3"/>
  <c r="V314" i="2" l="1"/>
  <c r="T313" i="2"/>
  <c r="D312" i="4"/>
  <c r="D316" i="2"/>
  <c r="C312" i="4"/>
  <c r="AB311" i="3"/>
  <c r="E312" i="4" s="1"/>
  <c r="C318" i="2"/>
  <c r="F311" i="3"/>
  <c r="D312" i="3"/>
  <c r="G312" i="4"/>
  <c r="L312" i="4" s="1"/>
  <c r="I312" i="4"/>
  <c r="M312" i="4" s="1"/>
  <c r="K312" i="4"/>
  <c r="N312" i="4" s="1"/>
  <c r="K316" i="2"/>
  <c r="H315" i="2"/>
  <c r="E315" i="2" s="1"/>
  <c r="O310" i="3"/>
  <c r="H311" i="4" s="1"/>
  <c r="I310" i="3"/>
  <c r="F311" i="4" s="1"/>
  <c r="U310" i="3"/>
  <c r="J311" i="4" s="1"/>
  <c r="A313" i="4"/>
  <c r="G312" i="3"/>
  <c r="S312" i="3"/>
  <c r="Y312" i="3" s="1"/>
  <c r="Z312" i="3" s="1"/>
  <c r="AA312" i="3" s="1"/>
  <c r="J312" i="3"/>
  <c r="V312" i="3"/>
  <c r="N312" i="3"/>
  <c r="C312" i="3"/>
  <c r="E312" i="3"/>
  <c r="H312" i="3"/>
  <c r="M312" i="3"/>
  <c r="P312" i="3"/>
  <c r="T312" i="3"/>
  <c r="M316" i="2"/>
  <c r="J315" i="2"/>
  <c r="G315" i="2" s="1"/>
  <c r="L315" i="2"/>
  <c r="I314" i="2"/>
  <c r="F314" i="2" s="1"/>
  <c r="V315" i="2" l="1"/>
  <c r="T314" i="2"/>
  <c r="D313" i="4"/>
  <c r="C319" i="2"/>
  <c r="C313" i="4"/>
  <c r="AB312" i="3"/>
  <c r="E313" i="4" s="1"/>
  <c r="K317" i="2"/>
  <c r="H316" i="2"/>
  <c r="E316" i="2" s="1"/>
  <c r="D317" i="2"/>
  <c r="G316" i="2"/>
  <c r="L316" i="2"/>
  <c r="I315" i="2"/>
  <c r="F315" i="2" s="1"/>
  <c r="J316" i="2"/>
  <c r="M317" i="2"/>
  <c r="A314" i="4"/>
  <c r="C313" i="3"/>
  <c r="P313" i="3"/>
  <c r="G313" i="3"/>
  <c r="S313" i="3"/>
  <c r="Y313" i="3" s="1"/>
  <c r="Z313" i="3" s="1"/>
  <c r="AA313" i="3" s="1"/>
  <c r="H313" i="3"/>
  <c r="J313" i="3"/>
  <c r="M313" i="3"/>
  <c r="N313" i="3"/>
  <c r="T313" i="3"/>
  <c r="V313" i="3"/>
  <c r="E313" i="3"/>
  <c r="G313" i="4"/>
  <c r="L313" i="4" s="1"/>
  <c r="I313" i="4"/>
  <c r="M313" i="4" s="1"/>
  <c r="K313" i="4"/>
  <c r="N313" i="4" s="1"/>
  <c r="F312" i="3"/>
  <c r="D313" i="3"/>
  <c r="I311" i="3"/>
  <c r="F312" i="4" s="1"/>
  <c r="U311" i="3"/>
  <c r="J312" i="4" s="1"/>
  <c r="O311" i="3"/>
  <c r="H312" i="4" s="1"/>
  <c r="V316" i="2" l="1"/>
  <c r="T315" i="2"/>
  <c r="D314" i="4"/>
  <c r="D318" i="2"/>
  <c r="K318" i="2"/>
  <c r="H317" i="2"/>
  <c r="E317" i="2" s="1"/>
  <c r="A315" i="4"/>
  <c r="C314" i="3"/>
  <c r="P314" i="3"/>
  <c r="E314" i="3"/>
  <c r="G314" i="3"/>
  <c r="H314" i="3"/>
  <c r="J314" i="3"/>
  <c r="M314" i="3"/>
  <c r="N314" i="3"/>
  <c r="S314" i="3"/>
  <c r="Y314" i="3" s="1"/>
  <c r="Z314" i="3" s="1"/>
  <c r="AA314" i="3" s="1"/>
  <c r="T314" i="3"/>
  <c r="V314" i="3"/>
  <c r="G314" i="4"/>
  <c r="L314" i="4" s="1"/>
  <c r="I314" i="4"/>
  <c r="M314" i="4" s="1"/>
  <c r="K314" i="4"/>
  <c r="N314" i="4" s="1"/>
  <c r="M318" i="2"/>
  <c r="J317" i="2"/>
  <c r="G317" i="2" s="1"/>
  <c r="I316" i="2"/>
  <c r="F316" i="2" s="1"/>
  <c r="L317" i="2"/>
  <c r="C320" i="2"/>
  <c r="F313" i="3"/>
  <c r="D314" i="3"/>
  <c r="I312" i="3"/>
  <c r="F313" i="4" s="1"/>
  <c r="U312" i="3"/>
  <c r="J313" i="4" s="1"/>
  <c r="O312" i="3"/>
  <c r="H313" i="4" s="1"/>
  <c r="C314" i="4"/>
  <c r="AB313" i="3"/>
  <c r="E314" i="4" s="1"/>
  <c r="V317" i="2" l="1"/>
  <c r="T316" i="2"/>
  <c r="D315" i="4"/>
  <c r="G315" i="4"/>
  <c r="L315" i="4" s="1"/>
  <c r="I315" i="4"/>
  <c r="M315" i="4" s="1"/>
  <c r="K315" i="4"/>
  <c r="N315" i="4" s="1"/>
  <c r="O313" i="3"/>
  <c r="H314" i="4" s="1"/>
  <c r="I313" i="3"/>
  <c r="F314" i="4" s="1"/>
  <c r="U313" i="3"/>
  <c r="J314" i="4" s="1"/>
  <c r="C321" i="2"/>
  <c r="L318" i="2"/>
  <c r="I317" i="2"/>
  <c r="F317" i="2" s="1"/>
  <c r="H318" i="2"/>
  <c r="E318" i="2" s="1"/>
  <c r="K319" i="2"/>
  <c r="C315" i="4"/>
  <c r="AB314" i="3"/>
  <c r="E315" i="4" s="1"/>
  <c r="M319" i="2"/>
  <c r="J318" i="2"/>
  <c r="G318" i="2"/>
  <c r="D319" i="2"/>
  <c r="A316" i="4"/>
  <c r="M315" i="3"/>
  <c r="C315" i="3"/>
  <c r="S315" i="3"/>
  <c r="Y315" i="3" s="1"/>
  <c r="Z315" i="3" s="1"/>
  <c r="AA315" i="3" s="1"/>
  <c r="T315" i="3"/>
  <c r="V315" i="3"/>
  <c r="E315" i="3"/>
  <c r="G315" i="3"/>
  <c r="H315" i="3"/>
  <c r="J315" i="3"/>
  <c r="N315" i="3"/>
  <c r="P315" i="3"/>
  <c r="F314" i="3"/>
  <c r="D315" i="3"/>
  <c r="V318" i="2" l="1"/>
  <c r="T317" i="2"/>
  <c r="D316" i="4"/>
  <c r="D320" i="2"/>
  <c r="C316" i="4"/>
  <c r="AB315" i="3"/>
  <c r="E316" i="4" s="1"/>
  <c r="M320" i="2"/>
  <c r="J319" i="2"/>
  <c r="G319" i="2" s="1"/>
  <c r="H319" i="2"/>
  <c r="E319" i="2" s="1"/>
  <c r="K320" i="2"/>
  <c r="K316" i="4"/>
  <c r="N316" i="4" s="1"/>
  <c r="G316" i="4"/>
  <c r="L316" i="4" s="1"/>
  <c r="I316" i="4"/>
  <c r="M316" i="4" s="1"/>
  <c r="F315" i="3"/>
  <c r="D316" i="3"/>
  <c r="O314" i="3"/>
  <c r="H315" i="4" s="1"/>
  <c r="I314" i="3"/>
  <c r="F315" i="4" s="1"/>
  <c r="U314" i="3"/>
  <c r="J315" i="4" s="1"/>
  <c r="C322" i="2"/>
  <c r="L319" i="2"/>
  <c r="I318" i="2"/>
  <c r="F318" i="2" s="1"/>
  <c r="A317" i="4"/>
  <c r="J316" i="3"/>
  <c r="V316" i="3"/>
  <c r="M316" i="3"/>
  <c r="N316" i="3"/>
  <c r="P316" i="3"/>
  <c r="S316" i="3"/>
  <c r="Y316" i="3" s="1"/>
  <c r="Z316" i="3" s="1"/>
  <c r="AA316" i="3" s="1"/>
  <c r="C316" i="3"/>
  <c r="T316" i="3"/>
  <c r="E316" i="3"/>
  <c r="G316" i="3"/>
  <c r="H316" i="3"/>
  <c r="V319" i="2" l="1"/>
  <c r="T318" i="2"/>
  <c r="D317" i="4"/>
  <c r="M321" i="2"/>
  <c r="J320" i="2"/>
  <c r="C317" i="4"/>
  <c r="AB316" i="3"/>
  <c r="E317" i="4" s="1"/>
  <c r="F316" i="3"/>
  <c r="D317" i="3"/>
  <c r="I315" i="3"/>
  <c r="F316" i="4" s="1"/>
  <c r="U315" i="3"/>
  <c r="J316" i="4" s="1"/>
  <c r="O315" i="3"/>
  <c r="H316" i="4" s="1"/>
  <c r="A318" i="4"/>
  <c r="C317" i="3"/>
  <c r="G317" i="3"/>
  <c r="S317" i="3"/>
  <c r="Y317" i="3" s="1"/>
  <c r="Z317" i="3" s="1"/>
  <c r="AA317" i="3" s="1"/>
  <c r="T317" i="3"/>
  <c r="E317" i="3"/>
  <c r="V317" i="3"/>
  <c r="H317" i="3"/>
  <c r="J317" i="3"/>
  <c r="M317" i="3"/>
  <c r="N317" i="3"/>
  <c r="P317" i="3"/>
  <c r="I317" i="4"/>
  <c r="M317" i="4" s="1"/>
  <c r="K317" i="4"/>
  <c r="N317" i="4" s="1"/>
  <c r="G317" i="4"/>
  <c r="L317" i="4" s="1"/>
  <c r="G320" i="2"/>
  <c r="D321" i="2"/>
  <c r="I319" i="2"/>
  <c r="F319" i="2" s="1"/>
  <c r="L320" i="2"/>
  <c r="C323" i="2"/>
  <c r="K321" i="2"/>
  <c r="H320" i="2"/>
  <c r="E320" i="2" s="1"/>
  <c r="V320" i="2" l="1"/>
  <c r="T319" i="2"/>
  <c r="D318" i="4"/>
  <c r="A319" i="4"/>
  <c r="P318" i="3"/>
  <c r="G318" i="3"/>
  <c r="V318" i="3"/>
  <c r="H318" i="3"/>
  <c r="J318" i="3"/>
  <c r="M318" i="3"/>
  <c r="N318" i="3"/>
  <c r="S318" i="3"/>
  <c r="Y318" i="3" s="1"/>
  <c r="Z318" i="3" s="1"/>
  <c r="AA318" i="3" s="1"/>
  <c r="C318" i="3"/>
  <c r="T318" i="3"/>
  <c r="E318" i="3"/>
  <c r="C318" i="4"/>
  <c r="AB317" i="3"/>
  <c r="E318" i="4" s="1"/>
  <c r="D318" i="3"/>
  <c r="F317" i="3"/>
  <c r="I316" i="3"/>
  <c r="F317" i="4" s="1"/>
  <c r="U316" i="3"/>
  <c r="J317" i="4" s="1"/>
  <c r="O316" i="3"/>
  <c r="H317" i="4" s="1"/>
  <c r="G318" i="4"/>
  <c r="L318" i="4" s="1"/>
  <c r="I318" i="4"/>
  <c r="M318" i="4" s="1"/>
  <c r="K318" i="4"/>
  <c r="N318" i="4" s="1"/>
  <c r="K322" i="2"/>
  <c r="H321" i="2"/>
  <c r="C324" i="2"/>
  <c r="J321" i="2"/>
  <c r="G321" i="2" s="1"/>
  <c r="M322" i="2"/>
  <c r="D322" i="2"/>
  <c r="E321" i="2"/>
  <c r="L321" i="2"/>
  <c r="I320" i="2"/>
  <c r="F320" i="2" s="1"/>
  <c r="V321" i="2" l="1"/>
  <c r="T320" i="2"/>
  <c r="D319" i="4"/>
  <c r="A320" i="4"/>
  <c r="M319" i="3"/>
  <c r="C319" i="3"/>
  <c r="N319" i="3"/>
  <c r="P319" i="3"/>
  <c r="S319" i="3"/>
  <c r="Y319" i="3" s="1"/>
  <c r="Z319" i="3" s="1"/>
  <c r="AA319" i="3" s="1"/>
  <c r="E319" i="3"/>
  <c r="T319" i="3"/>
  <c r="V319" i="3"/>
  <c r="G319" i="3"/>
  <c r="H319" i="3"/>
  <c r="J319" i="3"/>
  <c r="C319" i="4"/>
  <c r="AB318" i="3"/>
  <c r="E319" i="4" s="1"/>
  <c r="O317" i="3"/>
  <c r="H318" i="4" s="1"/>
  <c r="I317" i="3"/>
  <c r="F318" i="4" s="1"/>
  <c r="U317" i="3"/>
  <c r="J318" i="4" s="1"/>
  <c r="D323" i="2"/>
  <c r="E322" i="2"/>
  <c r="M323" i="2"/>
  <c r="J322" i="2"/>
  <c r="G322" i="2" s="1"/>
  <c r="C325" i="2"/>
  <c r="F318" i="3"/>
  <c r="D319" i="3"/>
  <c r="H322" i="2"/>
  <c r="K323" i="2"/>
  <c r="L322" i="2"/>
  <c r="I321" i="2"/>
  <c r="F321" i="2" s="1"/>
  <c r="G319" i="4"/>
  <c r="L319" i="4" s="1"/>
  <c r="I319" i="4"/>
  <c r="M319" i="4" s="1"/>
  <c r="K319" i="4"/>
  <c r="N319" i="4" s="1"/>
  <c r="V322" i="2" l="1"/>
  <c r="T321" i="2"/>
  <c r="D320" i="4"/>
  <c r="I322" i="2"/>
  <c r="F322" i="2" s="1"/>
  <c r="L323" i="2"/>
  <c r="H323" i="2"/>
  <c r="K324" i="2"/>
  <c r="D324" i="2"/>
  <c r="E323" i="2"/>
  <c r="A321" i="4"/>
  <c r="J320" i="3"/>
  <c r="V320" i="3"/>
  <c r="P320" i="3"/>
  <c r="C320" i="3"/>
  <c r="S320" i="3"/>
  <c r="Y320" i="3" s="1"/>
  <c r="Z320" i="3" s="1"/>
  <c r="AA320" i="3" s="1"/>
  <c r="T320" i="3"/>
  <c r="E320" i="3"/>
  <c r="G320" i="3"/>
  <c r="H320" i="3"/>
  <c r="M320" i="3"/>
  <c r="N320" i="3"/>
  <c r="D320" i="3"/>
  <c r="F319" i="3"/>
  <c r="I318" i="3"/>
  <c r="F319" i="4" s="1"/>
  <c r="O318" i="3"/>
  <c r="H319" i="4" s="1"/>
  <c r="U318" i="3"/>
  <c r="J319" i="4" s="1"/>
  <c r="C326" i="2"/>
  <c r="C320" i="4"/>
  <c r="AB319" i="3"/>
  <c r="E320" i="4" s="1"/>
  <c r="G320" i="4"/>
  <c r="L320" i="4" s="1"/>
  <c r="I320" i="4"/>
  <c r="M320" i="4" s="1"/>
  <c r="K320" i="4"/>
  <c r="N320" i="4" s="1"/>
  <c r="M324" i="2"/>
  <c r="J323" i="2"/>
  <c r="G323" i="2" s="1"/>
  <c r="V323" i="2" l="1"/>
  <c r="T322" i="2"/>
  <c r="D321" i="4"/>
  <c r="A322" i="4"/>
  <c r="C321" i="3"/>
  <c r="G321" i="3"/>
  <c r="S321" i="3"/>
  <c r="Y321" i="3" s="1"/>
  <c r="Z321" i="3" s="1"/>
  <c r="AA321" i="3" s="1"/>
  <c r="E321" i="3"/>
  <c r="V321" i="3"/>
  <c r="H321" i="3"/>
  <c r="J321" i="3"/>
  <c r="M321" i="3"/>
  <c r="N321" i="3"/>
  <c r="P321" i="3"/>
  <c r="T321" i="3"/>
  <c r="G321" i="4"/>
  <c r="L321" i="4" s="1"/>
  <c r="I321" i="4"/>
  <c r="M321" i="4" s="1"/>
  <c r="K321" i="4"/>
  <c r="N321" i="4" s="1"/>
  <c r="C321" i="4"/>
  <c r="AB320" i="3"/>
  <c r="E321" i="4" s="1"/>
  <c r="D325" i="2"/>
  <c r="J324" i="2"/>
  <c r="G324" i="2" s="1"/>
  <c r="M325" i="2"/>
  <c r="C327" i="2"/>
  <c r="K325" i="2"/>
  <c r="H324" i="2"/>
  <c r="E324" i="2" s="1"/>
  <c r="I323" i="2"/>
  <c r="F323" i="2" s="1"/>
  <c r="L324" i="2"/>
  <c r="I319" i="3"/>
  <c r="F320" i="4" s="1"/>
  <c r="U319" i="3"/>
  <c r="J320" i="4" s="1"/>
  <c r="O319" i="3"/>
  <c r="H320" i="4" s="1"/>
  <c r="F320" i="3"/>
  <c r="D321" i="3"/>
  <c r="V324" i="2" l="1"/>
  <c r="T323" i="2"/>
  <c r="D322" i="4"/>
  <c r="D322" i="3"/>
  <c r="F321" i="3"/>
  <c r="M326" i="2"/>
  <c r="J325" i="2"/>
  <c r="G325" i="2" s="1"/>
  <c r="U320" i="3"/>
  <c r="J321" i="4" s="1"/>
  <c r="I320" i="3"/>
  <c r="F321" i="4" s="1"/>
  <c r="O320" i="3"/>
  <c r="H321" i="4" s="1"/>
  <c r="A323" i="4"/>
  <c r="P322" i="3"/>
  <c r="J322" i="3"/>
  <c r="M322" i="3"/>
  <c r="N322" i="3"/>
  <c r="S322" i="3"/>
  <c r="Y322" i="3" s="1"/>
  <c r="Z322" i="3" s="1"/>
  <c r="AA322" i="3" s="1"/>
  <c r="C322" i="3"/>
  <c r="T322" i="3"/>
  <c r="E322" i="3"/>
  <c r="G322" i="3"/>
  <c r="V322" i="3"/>
  <c r="H322" i="3"/>
  <c r="C322" i="4"/>
  <c r="AB321" i="3"/>
  <c r="E322" i="4" s="1"/>
  <c r="K326" i="2"/>
  <c r="H325" i="2"/>
  <c r="C328" i="2"/>
  <c r="K322" i="4"/>
  <c r="N322" i="4" s="1"/>
  <c r="G322" i="4"/>
  <c r="L322" i="4" s="1"/>
  <c r="I322" i="4"/>
  <c r="M322" i="4" s="1"/>
  <c r="I324" i="2"/>
  <c r="F324" i="2" s="1"/>
  <c r="L325" i="2"/>
  <c r="D326" i="2"/>
  <c r="E325" i="2"/>
  <c r="V325" i="2" l="1"/>
  <c r="T324" i="2"/>
  <c r="D323" i="4"/>
  <c r="I323" i="4"/>
  <c r="M323" i="4" s="1"/>
  <c r="K323" i="4"/>
  <c r="N323" i="4" s="1"/>
  <c r="G323" i="4"/>
  <c r="L323" i="4" s="1"/>
  <c r="C329" i="2"/>
  <c r="J326" i="2"/>
  <c r="G326" i="2" s="1"/>
  <c r="M327" i="2"/>
  <c r="O321" i="3"/>
  <c r="H322" i="4" s="1"/>
  <c r="I321" i="3"/>
  <c r="F322" i="4" s="1"/>
  <c r="U321" i="3"/>
  <c r="J322" i="4" s="1"/>
  <c r="F322" i="3"/>
  <c r="D323" i="3"/>
  <c r="D327" i="2"/>
  <c r="A324" i="4"/>
  <c r="C323" i="3"/>
  <c r="N323" i="3"/>
  <c r="P323" i="3"/>
  <c r="E323" i="3"/>
  <c r="S323" i="3"/>
  <c r="Y323" i="3" s="1"/>
  <c r="Z323" i="3" s="1"/>
  <c r="AA323" i="3" s="1"/>
  <c r="T323" i="3"/>
  <c r="G323" i="3"/>
  <c r="V323" i="3"/>
  <c r="H323" i="3"/>
  <c r="J323" i="3"/>
  <c r="M323" i="3"/>
  <c r="L326" i="2"/>
  <c r="I325" i="2"/>
  <c r="F325" i="2" s="1"/>
  <c r="H326" i="2"/>
  <c r="E326" i="2" s="1"/>
  <c r="K327" i="2"/>
  <c r="C323" i="4"/>
  <c r="AB322" i="3"/>
  <c r="E323" i="4" s="1"/>
  <c r="V326" i="2" l="1"/>
  <c r="T325" i="2"/>
  <c r="D324" i="4"/>
  <c r="C324" i="4"/>
  <c r="AB323" i="3"/>
  <c r="E324" i="4" s="1"/>
  <c r="G324" i="4"/>
  <c r="L324" i="4" s="1"/>
  <c r="I324" i="4"/>
  <c r="M324" i="4" s="1"/>
  <c r="K324" i="4"/>
  <c r="N324" i="4" s="1"/>
  <c r="C330" i="2"/>
  <c r="D328" i="2"/>
  <c r="D324" i="3"/>
  <c r="F323" i="3"/>
  <c r="O322" i="3"/>
  <c r="H323" i="4" s="1"/>
  <c r="U322" i="3"/>
  <c r="J323" i="4" s="1"/>
  <c r="I322" i="3"/>
  <c r="F323" i="4" s="1"/>
  <c r="K328" i="2"/>
  <c r="H327" i="2"/>
  <c r="E327" i="2" s="1"/>
  <c r="A325" i="4"/>
  <c r="C324" i="3"/>
  <c r="P324" i="3"/>
  <c r="E324" i="3"/>
  <c r="S324" i="3"/>
  <c r="Y324" i="3" s="1"/>
  <c r="Z324" i="3" s="1"/>
  <c r="AA324" i="3" s="1"/>
  <c r="G324" i="3"/>
  <c r="T324" i="3"/>
  <c r="H324" i="3"/>
  <c r="V324" i="3"/>
  <c r="J324" i="3"/>
  <c r="M324" i="3"/>
  <c r="N324" i="3"/>
  <c r="L327" i="2"/>
  <c r="I326" i="2"/>
  <c r="F326" i="2" s="1"/>
  <c r="J327" i="2"/>
  <c r="G327" i="2" s="1"/>
  <c r="M328" i="2"/>
  <c r="V327" i="2" l="1"/>
  <c r="T326" i="2"/>
  <c r="D325" i="4"/>
  <c r="C331" i="2"/>
  <c r="H328" i="2"/>
  <c r="K329" i="2"/>
  <c r="I323" i="3"/>
  <c r="F324" i="4" s="1"/>
  <c r="U323" i="3"/>
  <c r="J324" i="4" s="1"/>
  <c r="O323" i="3"/>
  <c r="H324" i="4" s="1"/>
  <c r="F324" i="3"/>
  <c r="D325" i="3"/>
  <c r="J328" i="2"/>
  <c r="G328" i="2" s="1"/>
  <c r="M329" i="2"/>
  <c r="A326" i="4"/>
  <c r="C325" i="3"/>
  <c r="N325" i="3"/>
  <c r="P325" i="3"/>
  <c r="E325" i="3"/>
  <c r="S325" i="3"/>
  <c r="Y325" i="3" s="1"/>
  <c r="Z325" i="3" s="1"/>
  <c r="AA325" i="3" s="1"/>
  <c r="G325" i="3"/>
  <c r="T325" i="3"/>
  <c r="H325" i="3"/>
  <c r="V325" i="3"/>
  <c r="J325" i="3"/>
  <c r="M325" i="3"/>
  <c r="I327" i="2"/>
  <c r="F327" i="2" s="1"/>
  <c r="L328" i="2"/>
  <c r="D329" i="2"/>
  <c r="E328" i="2"/>
  <c r="G325" i="4"/>
  <c r="L325" i="4" s="1"/>
  <c r="I325" i="4"/>
  <c r="M325" i="4" s="1"/>
  <c r="K325" i="4"/>
  <c r="N325" i="4" s="1"/>
  <c r="C325" i="4"/>
  <c r="AB324" i="3"/>
  <c r="E325" i="4" s="1"/>
  <c r="V328" i="2" l="1"/>
  <c r="T327" i="2"/>
  <c r="D326" i="4"/>
  <c r="O324" i="3"/>
  <c r="H325" i="4" s="1"/>
  <c r="U324" i="3"/>
  <c r="J325" i="4" s="1"/>
  <c r="I324" i="3"/>
  <c r="F325" i="4" s="1"/>
  <c r="A327" i="4"/>
  <c r="M326" i="3"/>
  <c r="N326" i="3"/>
  <c r="C326" i="3"/>
  <c r="P326" i="3"/>
  <c r="E326" i="3"/>
  <c r="G326" i="3"/>
  <c r="S326" i="3"/>
  <c r="Y326" i="3" s="1"/>
  <c r="Z326" i="3" s="1"/>
  <c r="AA326" i="3" s="1"/>
  <c r="H326" i="3"/>
  <c r="T326" i="3"/>
  <c r="V326" i="3"/>
  <c r="J326" i="3"/>
  <c r="H329" i="2"/>
  <c r="E329" i="2" s="1"/>
  <c r="K330" i="2"/>
  <c r="D330" i="2"/>
  <c r="D326" i="3"/>
  <c r="F325" i="3"/>
  <c r="I328" i="2"/>
  <c r="F328" i="2" s="1"/>
  <c r="L329" i="2"/>
  <c r="C326" i="4"/>
  <c r="AB325" i="3"/>
  <c r="E326" i="4" s="1"/>
  <c r="G326" i="4"/>
  <c r="L326" i="4" s="1"/>
  <c r="K326" i="4"/>
  <c r="N326" i="4" s="1"/>
  <c r="I326" i="4"/>
  <c r="M326" i="4" s="1"/>
  <c r="C332" i="2"/>
  <c r="J329" i="2"/>
  <c r="G329" i="2" s="1"/>
  <c r="M330" i="2"/>
  <c r="V329" i="2" l="1"/>
  <c r="T328" i="2"/>
  <c r="D327" i="4"/>
  <c r="D331" i="2"/>
  <c r="A328" i="4"/>
  <c r="J327" i="3"/>
  <c r="V327" i="3"/>
  <c r="M327" i="3"/>
  <c r="N327" i="3"/>
  <c r="C327" i="3"/>
  <c r="P327" i="3"/>
  <c r="E327" i="3"/>
  <c r="H327" i="3"/>
  <c r="T327" i="3"/>
  <c r="G327" i="3"/>
  <c r="S327" i="3"/>
  <c r="Y327" i="3" s="1"/>
  <c r="Z327" i="3" s="1"/>
  <c r="AA327" i="3" s="1"/>
  <c r="H330" i="2"/>
  <c r="E330" i="2" s="1"/>
  <c r="K331" i="2"/>
  <c r="C327" i="4"/>
  <c r="AB326" i="3"/>
  <c r="E327" i="4" s="1"/>
  <c r="M331" i="2"/>
  <c r="J330" i="2"/>
  <c r="G330" i="2" s="1"/>
  <c r="G327" i="4"/>
  <c r="L327" i="4" s="1"/>
  <c r="I327" i="4"/>
  <c r="M327" i="4" s="1"/>
  <c r="K327" i="4"/>
  <c r="N327" i="4" s="1"/>
  <c r="L330" i="2"/>
  <c r="I329" i="2"/>
  <c r="F329" i="2" s="1"/>
  <c r="C333" i="2"/>
  <c r="O325" i="3"/>
  <c r="H326" i="4" s="1"/>
  <c r="U325" i="3"/>
  <c r="J326" i="4" s="1"/>
  <c r="I325" i="3"/>
  <c r="F326" i="4" s="1"/>
  <c r="F326" i="3"/>
  <c r="D327" i="3"/>
  <c r="V330" i="2" l="1"/>
  <c r="T329" i="2"/>
  <c r="D328" i="4"/>
  <c r="C328" i="4"/>
  <c r="AB327" i="3"/>
  <c r="E328" i="4" s="1"/>
  <c r="O326" i="3"/>
  <c r="H327" i="4" s="1"/>
  <c r="I326" i="3"/>
  <c r="F327" i="4" s="1"/>
  <c r="U326" i="3"/>
  <c r="J327" i="4" s="1"/>
  <c r="H331" i="2"/>
  <c r="K332" i="2"/>
  <c r="L331" i="2"/>
  <c r="I330" i="2"/>
  <c r="F330" i="2" s="1"/>
  <c r="K328" i="4"/>
  <c r="N328" i="4" s="1"/>
  <c r="G328" i="4"/>
  <c r="L328" i="4" s="1"/>
  <c r="I328" i="4"/>
  <c r="M328" i="4" s="1"/>
  <c r="F327" i="3"/>
  <c r="D328" i="3"/>
  <c r="A329" i="4"/>
  <c r="G328" i="3"/>
  <c r="S328" i="3"/>
  <c r="Y328" i="3" s="1"/>
  <c r="Z328" i="3" s="1"/>
  <c r="AA328" i="3" s="1"/>
  <c r="H328" i="3"/>
  <c r="T328" i="3"/>
  <c r="J328" i="3"/>
  <c r="V328" i="3"/>
  <c r="M328" i="3"/>
  <c r="N328" i="3"/>
  <c r="C328" i="3"/>
  <c r="E328" i="3"/>
  <c r="P328" i="3"/>
  <c r="D332" i="2"/>
  <c r="E331" i="2"/>
  <c r="C334" i="2"/>
  <c r="M332" i="2"/>
  <c r="J331" i="2"/>
  <c r="G331" i="2" s="1"/>
  <c r="V331" i="2" l="1"/>
  <c r="T330" i="2"/>
  <c r="D329" i="4"/>
  <c r="I331" i="2"/>
  <c r="F331" i="2" s="1"/>
  <c r="L332" i="2"/>
  <c r="K333" i="2"/>
  <c r="H332" i="2"/>
  <c r="E332" i="2" s="1"/>
  <c r="I329" i="4"/>
  <c r="M329" i="4" s="1"/>
  <c r="K329" i="4"/>
  <c r="N329" i="4" s="1"/>
  <c r="G329" i="4"/>
  <c r="L329" i="4" s="1"/>
  <c r="A330" i="4"/>
  <c r="P329" i="3"/>
  <c r="E329" i="3"/>
  <c r="G329" i="3"/>
  <c r="S329" i="3"/>
  <c r="Y329" i="3" s="1"/>
  <c r="Z329" i="3" s="1"/>
  <c r="AA329" i="3" s="1"/>
  <c r="H329" i="3"/>
  <c r="T329" i="3"/>
  <c r="J329" i="3"/>
  <c r="V329" i="3"/>
  <c r="N329" i="3"/>
  <c r="C329" i="3"/>
  <c r="M329" i="3"/>
  <c r="D329" i="3"/>
  <c r="F328" i="3"/>
  <c r="D333" i="2"/>
  <c r="O327" i="3"/>
  <c r="H328" i="4" s="1"/>
  <c r="I327" i="3"/>
  <c r="F328" i="4" s="1"/>
  <c r="U327" i="3"/>
  <c r="J328" i="4" s="1"/>
  <c r="C329" i="4"/>
  <c r="AB328" i="3"/>
  <c r="E329" i="4" s="1"/>
  <c r="J332" i="2"/>
  <c r="G332" i="2" s="1"/>
  <c r="M333" i="2"/>
  <c r="C335" i="2"/>
  <c r="V332" i="2" l="1"/>
  <c r="T331" i="2"/>
  <c r="D330" i="4"/>
  <c r="K334" i="2"/>
  <c r="H333" i="2"/>
  <c r="D334" i="2"/>
  <c r="E333" i="2"/>
  <c r="A331" i="4"/>
  <c r="M330" i="3"/>
  <c r="N330" i="3"/>
  <c r="C330" i="3"/>
  <c r="P330" i="3"/>
  <c r="E330" i="3"/>
  <c r="G330" i="3"/>
  <c r="S330" i="3"/>
  <c r="Y330" i="3" s="1"/>
  <c r="Z330" i="3" s="1"/>
  <c r="AA330" i="3" s="1"/>
  <c r="H330" i="3"/>
  <c r="T330" i="3"/>
  <c r="J330" i="3"/>
  <c r="V330" i="3"/>
  <c r="L333" i="2"/>
  <c r="I332" i="2"/>
  <c r="F332" i="2" s="1"/>
  <c r="C336" i="2"/>
  <c r="J333" i="2"/>
  <c r="G333" i="2" s="1"/>
  <c r="M334" i="2"/>
  <c r="I328" i="3"/>
  <c r="F329" i="4" s="1"/>
  <c r="U328" i="3"/>
  <c r="J329" i="4" s="1"/>
  <c r="O328" i="3"/>
  <c r="H329" i="4" s="1"/>
  <c r="F329" i="3"/>
  <c r="D330" i="3"/>
  <c r="C330" i="4"/>
  <c r="AB329" i="3"/>
  <c r="E330" i="4" s="1"/>
  <c r="G330" i="4"/>
  <c r="L330" i="4" s="1"/>
  <c r="I330" i="4"/>
  <c r="M330" i="4" s="1"/>
  <c r="K330" i="4"/>
  <c r="N330" i="4" s="1"/>
  <c r="V333" i="2" l="1"/>
  <c r="T332" i="2"/>
  <c r="D331" i="4"/>
  <c r="I333" i="2"/>
  <c r="F333" i="2" s="1"/>
  <c r="L334" i="2"/>
  <c r="C331" i="4"/>
  <c r="AB330" i="3"/>
  <c r="E331" i="4" s="1"/>
  <c r="G331" i="4"/>
  <c r="L331" i="4" s="1"/>
  <c r="I331" i="4"/>
  <c r="M331" i="4" s="1"/>
  <c r="K331" i="4"/>
  <c r="N331" i="4" s="1"/>
  <c r="D335" i="2"/>
  <c r="A332" i="4"/>
  <c r="J331" i="3"/>
  <c r="V331" i="3"/>
  <c r="M331" i="3"/>
  <c r="N331" i="3"/>
  <c r="C331" i="3"/>
  <c r="P331" i="3"/>
  <c r="E331" i="3"/>
  <c r="H331" i="3"/>
  <c r="T331" i="3"/>
  <c r="S331" i="3"/>
  <c r="Y331" i="3" s="1"/>
  <c r="Z331" i="3" s="1"/>
  <c r="AA331" i="3" s="1"/>
  <c r="G331" i="3"/>
  <c r="F330" i="3"/>
  <c r="D331" i="3"/>
  <c r="I329" i="3"/>
  <c r="F330" i="4" s="1"/>
  <c r="U329" i="3"/>
  <c r="J330" i="4" s="1"/>
  <c r="O329" i="3"/>
  <c r="H330" i="4" s="1"/>
  <c r="H334" i="2"/>
  <c r="E334" i="2" s="1"/>
  <c r="K335" i="2"/>
  <c r="M335" i="2"/>
  <c r="J334" i="2"/>
  <c r="G334" i="2" s="1"/>
  <c r="C337" i="2"/>
  <c r="V334" i="2" l="1"/>
  <c r="T333" i="2"/>
  <c r="D332" i="4"/>
  <c r="O330" i="3"/>
  <c r="H331" i="4" s="1"/>
  <c r="I330" i="3"/>
  <c r="F331" i="4" s="1"/>
  <c r="U330" i="3"/>
  <c r="J331" i="4" s="1"/>
  <c r="C332" i="4"/>
  <c r="AB331" i="3"/>
  <c r="E332" i="4" s="1"/>
  <c r="F331" i="3"/>
  <c r="D332" i="3"/>
  <c r="I334" i="2"/>
  <c r="F334" i="2" s="1"/>
  <c r="L335" i="2"/>
  <c r="G332" i="4"/>
  <c r="L332" i="4" s="1"/>
  <c r="I332" i="4"/>
  <c r="M332" i="4" s="1"/>
  <c r="K332" i="4"/>
  <c r="N332" i="4" s="1"/>
  <c r="M336" i="2"/>
  <c r="J335" i="2"/>
  <c r="A333" i="4"/>
  <c r="G332" i="3"/>
  <c r="S332" i="3"/>
  <c r="Y332" i="3" s="1"/>
  <c r="Z332" i="3" s="1"/>
  <c r="AA332" i="3" s="1"/>
  <c r="H332" i="3"/>
  <c r="T332" i="3"/>
  <c r="J332" i="3"/>
  <c r="V332" i="3"/>
  <c r="M332" i="3"/>
  <c r="N332" i="3"/>
  <c r="C332" i="3"/>
  <c r="E332" i="3"/>
  <c r="P332" i="3"/>
  <c r="G335" i="2"/>
  <c r="D336" i="2"/>
  <c r="C338" i="2"/>
  <c r="H335" i="2"/>
  <c r="E335" i="2" s="1"/>
  <c r="K336" i="2"/>
  <c r="V335" i="2" l="1"/>
  <c r="T334" i="2"/>
  <c r="D333" i="4"/>
  <c r="I335" i="2"/>
  <c r="F335" i="2" s="1"/>
  <c r="L336" i="2"/>
  <c r="D333" i="3"/>
  <c r="F332" i="3"/>
  <c r="I333" i="4"/>
  <c r="M333" i="4" s="1"/>
  <c r="K333" i="4"/>
  <c r="N333" i="4" s="1"/>
  <c r="G333" i="4"/>
  <c r="L333" i="4" s="1"/>
  <c r="O331" i="3"/>
  <c r="H332" i="4" s="1"/>
  <c r="U331" i="3"/>
  <c r="J332" i="4" s="1"/>
  <c r="I331" i="3"/>
  <c r="F332" i="4" s="1"/>
  <c r="D337" i="2"/>
  <c r="A334" i="4"/>
  <c r="P333" i="3"/>
  <c r="E333" i="3"/>
  <c r="G333" i="3"/>
  <c r="S333" i="3"/>
  <c r="Y333" i="3" s="1"/>
  <c r="Z333" i="3" s="1"/>
  <c r="AA333" i="3" s="1"/>
  <c r="H333" i="3"/>
  <c r="T333" i="3"/>
  <c r="J333" i="3"/>
  <c r="V333" i="3"/>
  <c r="N333" i="3"/>
  <c r="C333" i="3"/>
  <c r="M333" i="3"/>
  <c r="K337" i="2"/>
  <c r="H336" i="2"/>
  <c r="E336" i="2" s="1"/>
  <c r="J336" i="2"/>
  <c r="G336" i="2" s="1"/>
  <c r="M337" i="2"/>
  <c r="C333" i="4"/>
  <c r="AB332" i="3"/>
  <c r="E333" i="4" s="1"/>
  <c r="C339" i="2"/>
  <c r="V336" i="2" l="1"/>
  <c r="T335" i="2"/>
  <c r="D334" i="4"/>
  <c r="A335" i="4"/>
  <c r="M334" i="3"/>
  <c r="N334" i="3"/>
  <c r="C334" i="3"/>
  <c r="P334" i="3"/>
  <c r="E334" i="3"/>
  <c r="G334" i="3"/>
  <c r="S334" i="3"/>
  <c r="Y334" i="3" s="1"/>
  <c r="Z334" i="3" s="1"/>
  <c r="AA334" i="3" s="1"/>
  <c r="H334" i="3"/>
  <c r="T334" i="3"/>
  <c r="V334" i="3"/>
  <c r="J334" i="3"/>
  <c r="C334" i="4"/>
  <c r="AB333" i="3"/>
  <c r="E334" i="4" s="1"/>
  <c r="K334" i="4"/>
  <c r="N334" i="4" s="1"/>
  <c r="G334" i="4"/>
  <c r="L334" i="4" s="1"/>
  <c r="I334" i="4"/>
  <c r="M334" i="4" s="1"/>
  <c r="I332" i="3"/>
  <c r="F333" i="4" s="1"/>
  <c r="U332" i="3"/>
  <c r="J333" i="4" s="1"/>
  <c r="O332" i="3"/>
  <c r="H333" i="4" s="1"/>
  <c r="K338" i="2"/>
  <c r="H337" i="2"/>
  <c r="D338" i="2"/>
  <c r="E337" i="2"/>
  <c r="F333" i="3"/>
  <c r="D334" i="3"/>
  <c r="C340" i="2"/>
  <c r="I336" i="2"/>
  <c r="F336" i="2" s="1"/>
  <c r="L337" i="2"/>
  <c r="M338" i="2"/>
  <c r="J337" i="2"/>
  <c r="G337" i="2" s="1"/>
  <c r="V337" i="2" l="1"/>
  <c r="T336" i="2"/>
  <c r="D335" i="4"/>
  <c r="C341" i="2"/>
  <c r="A336" i="4"/>
  <c r="J335" i="3"/>
  <c r="V335" i="3"/>
  <c r="M335" i="3"/>
  <c r="N335" i="3"/>
  <c r="C335" i="3"/>
  <c r="P335" i="3"/>
  <c r="E335" i="3"/>
  <c r="H335" i="3"/>
  <c r="T335" i="3"/>
  <c r="G335" i="3"/>
  <c r="S335" i="3"/>
  <c r="Y335" i="3" s="1"/>
  <c r="Z335" i="3" s="1"/>
  <c r="AA335" i="3" s="1"/>
  <c r="F334" i="3"/>
  <c r="D335" i="3"/>
  <c r="D339" i="2"/>
  <c r="L338" i="2"/>
  <c r="I337" i="2"/>
  <c r="F337" i="2" s="1"/>
  <c r="C335" i="4"/>
  <c r="AB334" i="3"/>
  <c r="E335" i="4" s="1"/>
  <c r="I333" i="3"/>
  <c r="F334" i="4" s="1"/>
  <c r="U333" i="3"/>
  <c r="J334" i="4" s="1"/>
  <c r="O333" i="3"/>
  <c r="H334" i="4" s="1"/>
  <c r="J338" i="2"/>
  <c r="G338" i="2" s="1"/>
  <c r="M339" i="2"/>
  <c r="H338" i="2"/>
  <c r="E338" i="2" s="1"/>
  <c r="K339" i="2"/>
  <c r="I335" i="4"/>
  <c r="M335" i="4" s="1"/>
  <c r="K335" i="4"/>
  <c r="N335" i="4" s="1"/>
  <c r="G335" i="4"/>
  <c r="L335" i="4" s="1"/>
  <c r="V338" i="2" l="1"/>
  <c r="T337" i="2"/>
  <c r="D336" i="4"/>
  <c r="D340" i="2"/>
  <c r="K340" i="2"/>
  <c r="H339" i="2"/>
  <c r="E339" i="2" s="1"/>
  <c r="M340" i="2"/>
  <c r="J339" i="2"/>
  <c r="G339" i="2" s="1"/>
  <c r="C336" i="4"/>
  <c r="AB335" i="3"/>
  <c r="E336" i="4" s="1"/>
  <c r="O334" i="3"/>
  <c r="H335" i="4" s="1"/>
  <c r="I334" i="3"/>
  <c r="F335" i="4" s="1"/>
  <c r="U334" i="3"/>
  <c r="J335" i="4" s="1"/>
  <c r="A337" i="4"/>
  <c r="G336" i="3"/>
  <c r="S336" i="3"/>
  <c r="Y336" i="3" s="1"/>
  <c r="Z336" i="3" s="1"/>
  <c r="AA336" i="3" s="1"/>
  <c r="H336" i="3"/>
  <c r="T336" i="3"/>
  <c r="J336" i="3"/>
  <c r="V336" i="3"/>
  <c r="M336" i="3"/>
  <c r="C336" i="3"/>
  <c r="E336" i="3"/>
  <c r="N336" i="3"/>
  <c r="P336" i="3"/>
  <c r="G336" i="4"/>
  <c r="L336" i="4" s="1"/>
  <c r="I336" i="4"/>
  <c r="M336" i="4" s="1"/>
  <c r="K336" i="4"/>
  <c r="N336" i="4" s="1"/>
  <c r="C342" i="2"/>
  <c r="L339" i="2"/>
  <c r="I338" i="2"/>
  <c r="F338" i="2" s="1"/>
  <c r="F335" i="3"/>
  <c r="D336" i="3"/>
  <c r="V339" i="2" l="1"/>
  <c r="T338" i="2"/>
  <c r="D337" i="4"/>
  <c r="M341" i="2"/>
  <c r="J340" i="2"/>
  <c r="G340" i="2" s="1"/>
  <c r="C343" i="2"/>
  <c r="C337" i="4"/>
  <c r="AB336" i="3"/>
  <c r="E337" i="4" s="1"/>
  <c r="H340" i="2"/>
  <c r="E340" i="2" s="1"/>
  <c r="K341" i="2"/>
  <c r="G337" i="4"/>
  <c r="L337" i="4" s="1"/>
  <c r="I337" i="4"/>
  <c r="M337" i="4" s="1"/>
  <c r="K337" i="4"/>
  <c r="N337" i="4" s="1"/>
  <c r="D341" i="2"/>
  <c r="D337" i="3"/>
  <c r="F336" i="3"/>
  <c r="O335" i="3"/>
  <c r="H336" i="4" s="1"/>
  <c r="I335" i="3"/>
  <c r="F336" i="4" s="1"/>
  <c r="U335" i="3"/>
  <c r="J336" i="4" s="1"/>
  <c r="I339" i="2"/>
  <c r="F339" i="2" s="1"/>
  <c r="L340" i="2"/>
  <c r="A338" i="4"/>
  <c r="P337" i="3"/>
  <c r="E337" i="3"/>
  <c r="G337" i="3"/>
  <c r="S337" i="3"/>
  <c r="Y337" i="3" s="1"/>
  <c r="Z337" i="3" s="1"/>
  <c r="AA337" i="3" s="1"/>
  <c r="H337" i="3"/>
  <c r="T337" i="3"/>
  <c r="J337" i="3"/>
  <c r="V337" i="3"/>
  <c r="N337" i="3"/>
  <c r="C337" i="3"/>
  <c r="M337" i="3"/>
  <c r="V340" i="2" l="1"/>
  <c r="T339" i="2"/>
  <c r="D338" i="4"/>
  <c r="F337" i="3"/>
  <c r="D338" i="3"/>
  <c r="K342" i="2"/>
  <c r="H341" i="2"/>
  <c r="A339" i="4"/>
  <c r="M338" i="3"/>
  <c r="N338" i="3"/>
  <c r="C338" i="3"/>
  <c r="P338" i="3"/>
  <c r="E338" i="3"/>
  <c r="G338" i="3"/>
  <c r="S338" i="3"/>
  <c r="Y338" i="3" s="1"/>
  <c r="Z338" i="3" s="1"/>
  <c r="AA338" i="3" s="1"/>
  <c r="H338" i="3"/>
  <c r="J338" i="3"/>
  <c r="V338" i="3"/>
  <c r="T338" i="3"/>
  <c r="I336" i="3"/>
  <c r="F337" i="4" s="1"/>
  <c r="U336" i="3"/>
  <c r="J337" i="4" s="1"/>
  <c r="O336" i="3"/>
  <c r="H337" i="4" s="1"/>
  <c r="C338" i="4"/>
  <c r="AB337" i="3"/>
  <c r="E338" i="4" s="1"/>
  <c r="G338" i="4"/>
  <c r="L338" i="4" s="1"/>
  <c r="K338" i="4"/>
  <c r="N338" i="4" s="1"/>
  <c r="I338" i="4"/>
  <c r="M338" i="4" s="1"/>
  <c r="D342" i="2"/>
  <c r="E341" i="2"/>
  <c r="I340" i="2"/>
  <c r="F340" i="2" s="1"/>
  <c r="L341" i="2"/>
  <c r="C344" i="2"/>
  <c r="J341" i="2"/>
  <c r="G341" i="2" s="1"/>
  <c r="M342" i="2"/>
  <c r="V341" i="2" l="1"/>
  <c r="T340" i="2"/>
  <c r="D339" i="4"/>
  <c r="C339" i="4"/>
  <c r="AB338" i="3"/>
  <c r="E339" i="4" s="1"/>
  <c r="D343" i="2"/>
  <c r="E342" i="2"/>
  <c r="G339" i="4"/>
  <c r="L339" i="4" s="1"/>
  <c r="I339" i="4"/>
  <c r="M339" i="4" s="1"/>
  <c r="K339" i="4"/>
  <c r="N339" i="4" s="1"/>
  <c r="M343" i="2"/>
  <c r="J342" i="2"/>
  <c r="G342" i="2" s="1"/>
  <c r="K343" i="2"/>
  <c r="H342" i="2"/>
  <c r="F338" i="3"/>
  <c r="D339" i="3"/>
  <c r="I337" i="3"/>
  <c r="F338" i="4" s="1"/>
  <c r="U337" i="3"/>
  <c r="J338" i="4" s="1"/>
  <c r="O337" i="3"/>
  <c r="H338" i="4" s="1"/>
  <c r="C345" i="2"/>
  <c r="L342" i="2"/>
  <c r="I341" i="2"/>
  <c r="F341" i="2" s="1"/>
  <c r="A340" i="4"/>
  <c r="J339" i="3"/>
  <c r="V339" i="3"/>
  <c r="M339" i="3"/>
  <c r="N339" i="3"/>
  <c r="C339" i="3"/>
  <c r="P339" i="3"/>
  <c r="H339" i="3"/>
  <c r="T339" i="3"/>
  <c r="E339" i="3"/>
  <c r="G339" i="3"/>
  <c r="S339" i="3"/>
  <c r="Y339" i="3" s="1"/>
  <c r="Z339" i="3" s="1"/>
  <c r="AA339" i="3" s="1"/>
  <c r="V342" i="2" l="1"/>
  <c r="T341" i="2"/>
  <c r="D340" i="4"/>
  <c r="F339" i="3"/>
  <c r="D340" i="3"/>
  <c r="C340" i="4"/>
  <c r="AB339" i="3"/>
  <c r="E340" i="4" s="1"/>
  <c r="O338" i="3"/>
  <c r="H339" i="4" s="1"/>
  <c r="I338" i="3"/>
  <c r="F339" i="4" s="1"/>
  <c r="U338" i="3"/>
  <c r="J339" i="4" s="1"/>
  <c r="D344" i="2"/>
  <c r="A341" i="4"/>
  <c r="G340" i="3"/>
  <c r="S340" i="3"/>
  <c r="Y340" i="3" s="1"/>
  <c r="Z340" i="3" s="1"/>
  <c r="AA340" i="3" s="1"/>
  <c r="H340" i="3"/>
  <c r="T340" i="3"/>
  <c r="J340" i="3"/>
  <c r="V340" i="3"/>
  <c r="M340" i="3"/>
  <c r="C340" i="3"/>
  <c r="E340" i="3"/>
  <c r="N340" i="3"/>
  <c r="P340" i="3"/>
  <c r="K340" i="4"/>
  <c r="N340" i="4" s="1"/>
  <c r="G340" i="4"/>
  <c r="L340" i="4" s="1"/>
  <c r="I340" i="4"/>
  <c r="M340" i="4" s="1"/>
  <c r="H343" i="2"/>
  <c r="E343" i="2" s="1"/>
  <c r="K344" i="2"/>
  <c r="L343" i="2"/>
  <c r="I342" i="2"/>
  <c r="F342" i="2" s="1"/>
  <c r="M344" i="2"/>
  <c r="J343" i="2"/>
  <c r="G343" i="2" s="1"/>
  <c r="C346" i="2"/>
  <c r="V343" i="2" l="1"/>
  <c r="T342" i="2"/>
  <c r="D341" i="4"/>
  <c r="L344" i="2"/>
  <c r="I343" i="2"/>
  <c r="F343" i="2" s="1"/>
  <c r="D345" i="2"/>
  <c r="C341" i="4"/>
  <c r="AB340" i="3"/>
  <c r="E341" i="4" s="1"/>
  <c r="K345" i="2"/>
  <c r="H344" i="2"/>
  <c r="E344" i="2" s="1"/>
  <c r="D341" i="3"/>
  <c r="F340" i="3"/>
  <c r="I341" i="4"/>
  <c r="M341" i="4" s="1"/>
  <c r="K341" i="4"/>
  <c r="N341" i="4" s="1"/>
  <c r="G341" i="4"/>
  <c r="L341" i="4" s="1"/>
  <c r="O339" i="3"/>
  <c r="H340" i="4" s="1"/>
  <c r="I339" i="3"/>
  <c r="F340" i="4" s="1"/>
  <c r="U339" i="3"/>
  <c r="J340" i="4" s="1"/>
  <c r="C347" i="2"/>
  <c r="J344" i="2"/>
  <c r="G344" i="2" s="1"/>
  <c r="M345" i="2"/>
  <c r="A342" i="4"/>
  <c r="P341" i="3"/>
  <c r="E341" i="3"/>
  <c r="G341" i="3"/>
  <c r="S341" i="3"/>
  <c r="Y341" i="3" s="1"/>
  <c r="Z341" i="3" s="1"/>
  <c r="AA341" i="3" s="1"/>
  <c r="H341" i="3"/>
  <c r="T341" i="3"/>
  <c r="J341" i="3"/>
  <c r="V341" i="3"/>
  <c r="N341" i="3"/>
  <c r="C341" i="3"/>
  <c r="M341" i="3"/>
  <c r="V344" i="2" l="1"/>
  <c r="T343" i="2"/>
  <c r="D342" i="4"/>
  <c r="D346" i="2"/>
  <c r="H345" i="2"/>
  <c r="E345" i="2" s="1"/>
  <c r="K346" i="2"/>
  <c r="A343" i="4"/>
  <c r="M342" i="3"/>
  <c r="C342" i="3"/>
  <c r="P342" i="3"/>
  <c r="G342" i="3"/>
  <c r="S342" i="3"/>
  <c r="Y342" i="3" s="1"/>
  <c r="Z342" i="3" s="1"/>
  <c r="AA342" i="3" s="1"/>
  <c r="N342" i="3"/>
  <c r="T342" i="3"/>
  <c r="V342" i="3"/>
  <c r="E342" i="3"/>
  <c r="H342" i="3"/>
  <c r="J342" i="3"/>
  <c r="C348" i="2"/>
  <c r="I340" i="3"/>
  <c r="F341" i="4" s="1"/>
  <c r="U340" i="3"/>
  <c r="J341" i="4" s="1"/>
  <c r="O340" i="3"/>
  <c r="H341" i="4" s="1"/>
  <c r="I344" i="2"/>
  <c r="F344" i="2" s="1"/>
  <c r="L345" i="2"/>
  <c r="G342" i="4"/>
  <c r="L342" i="4" s="1"/>
  <c r="I342" i="4"/>
  <c r="M342" i="4" s="1"/>
  <c r="K342" i="4"/>
  <c r="N342" i="4" s="1"/>
  <c r="J345" i="2"/>
  <c r="G345" i="2" s="1"/>
  <c r="M346" i="2"/>
  <c r="F341" i="3"/>
  <c r="D342" i="3"/>
  <c r="C342" i="4"/>
  <c r="AB341" i="3"/>
  <c r="E342" i="4" s="1"/>
  <c r="V345" i="2" l="1"/>
  <c r="T344" i="2"/>
  <c r="D343" i="4"/>
  <c r="C343" i="4"/>
  <c r="AB342" i="3"/>
  <c r="E343" i="4" s="1"/>
  <c r="G343" i="4"/>
  <c r="L343" i="4" s="1"/>
  <c r="I343" i="4"/>
  <c r="M343" i="4" s="1"/>
  <c r="K343" i="4"/>
  <c r="N343" i="4" s="1"/>
  <c r="A344" i="4"/>
  <c r="J343" i="3"/>
  <c r="V343" i="3"/>
  <c r="M343" i="3"/>
  <c r="C343" i="3"/>
  <c r="P343" i="3"/>
  <c r="G343" i="3"/>
  <c r="H343" i="3"/>
  <c r="N343" i="3"/>
  <c r="S343" i="3"/>
  <c r="Y343" i="3" s="1"/>
  <c r="Z343" i="3" s="1"/>
  <c r="AA343" i="3" s="1"/>
  <c r="T343" i="3"/>
  <c r="E343" i="3"/>
  <c r="H346" i="2"/>
  <c r="E346" i="2" s="1"/>
  <c r="K347" i="2"/>
  <c r="I345" i="2"/>
  <c r="F345" i="2" s="1"/>
  <c r="L346" i="2"/>
  <c r="D347" i="2"/>
  <c r="F342" i="3"/>
  <c r="D343" i="3"/>
  <c r="I341" i="3"/>
  <c r="F342" i="4" s="1"/>
  <c r="U341" i="3"/>
  <c r="J342" i="4" s="1"/>
  <c r="O341" i="3"/>
  <c r="H342" i="4" s="1"/>
  <c r="M347" i="2"/>
  <c r="J346" i="2"/>
  <c r="G346" i="2" s="1"/>
  <c r="C349" i="2"/>
  <c r="V346" i="2" l="1"/>
  <c r="T345" i="2"/>
  <c r="D344" i="4"/>
  <c r="G344" i="4"/>
  <c r="L344" i="4" s="1"/>
  <c r="I344" i="4"/>
  <c r="M344" i="4" s="1"/>
  <c r="K344" i="4"/>
  <c r="N344" i="4" s="1"/>
  <c r="D344" i="3"/>
  <c r="F343" i="3"/>
  <c r="A345" i="4"/>
  <c r="G344" i="3"/>
  <c r="S344" i="3"/>
  <c r="Y344" i="3" s="1"/>
  <c r="Z344" i="3" s="1"/>
  <c r="AA344" i="3" s="1"/>
  <c r="J344" i="3"/>
  <c r="V344" i="3"/>
  <c r="M344" i="3"/>
  <c r="T344" i="3"/>
  <c r="C344" i="3"/>
  <c r="E344" i="3"/>
  <c r="H344" i="3"/>
  <c r="N344" i="3"/>
  <c r="P344" i="3"/>
  <c r="I346" i="2"/>
  <c r="F346" i="2" s="1"/>
  <c r="L347" i="2"/>
  <c r="O342" i="3"/>
  <c r="H343" i="4" s="1"/>
  <c r="U342" i="3"/>
  <c r="J343" i="4" s="1"/>
  <c r="I342" i="3"/>
  <c r="F343" i="4" s="1"/>
  <c r="C350" i="2"/>
  <c r="D348" i="2"/>
  <c r="M348" i="2"/>
  <c r="J347" i="2"/>
  <c r="G347" i="2" s="1"/>
  <c r="C344" i="4"/>
  <c r="AB343" i="3"/>
  <c r="E344" i="4" s="1"/>
  <c r="H347" i="2"/>
  <c r="E347" i="2" s="1"/>
  <c r="K348" i="2"/>
  <c r="V347" i="2" l="1"/>
  <c r="T346" i="2"/>
  <c r="D345" i="4"/>
  <c r="G345" i="4"/>
  <c r="L345" i="4" s="1"/>
  <c r="I345" i="4"/>
  <c r="M345" i="4" s="1"/>
  <c r="K345" i="4"/>
  <c r="N345" i="4" s="1"/>
  <c r="O343" i="3"/>
  <c r="H344" i="4" s="1"/>
  <c r="I343" i="3"/>
  <c r="F344" i="4" s="1"/>
  <c r="U343" i="3"/>
  <c r="J344" i="4" s="1"/>
  <c r="D349" i="2"/>
  <c r="A346" i="4"/>
  <c r="P345" i="3"/>
  <c r="G345" i="3"/>
  <c r="S345" i="3"/>
  <c r="Y345" i="3" s="1"/>
  <c r="Z345" i="3" s="1"/>
  <c r="AA345" i="3" s="1"/>
  <c r="M345" i="3"/>
  <c r="N345" i="3"/>
  <c r="T345" i="3"/>
  <c r="V345" i="3"/>
  <c r="C345" i="3"/>
  <c r="E345" i="3"/>
  <c r="H345" i="3"/>
  <c r="J345" i="3"/>
  <c r="D345" i="3"/>
  <c r="F344" i="3"/>
  <c r="C351" i="2"/>
  <c r="K349" i="2"/>
  <c r="H348" i="2"/>
  <c r="E348" i="2" s="1"/>
  <c r="C345" i="4"/>
  <c r="AB344" i="3"/>
  <c r="E345" i="4" s="1"/>
  <c r="J348" i="2"/>
  <c r="G348" i="2" s="1"/>
  <c r="M349" i="2"/>
  <c r="L348" i="2"/>
  <c r="I347" i="2"/>
  <c r="F347" i="2" s="1"/>
  <c r="V348" i="2" l="1"/>
  <c r="T347" i="2"/>
  <c r="D346" i="4"/>
  <c r="C346" i="4"/>
  <c r="AB345" i="3"/>
  <c r="E346" i="4" s="1"/>
  <c r="I344" i="3"/>
  <c r="F345" i="4" s="1"/>
  <c r="U344" i="3"/>
  <c r="J345" i="4" s="1"/>
  <c r="O344" i="3"/>
  <c r="H345" i="4" s="1"/>
  <c r="H349" i="2"/>
  <c r="K350" i="2"/>
  <c r="A347" i="4"/>
  <c r="M346" i="3"/>
  <c r="C346" i="3"/>
  <c r="P346" i="3"/>
  <c r="E346" i="3"/>
  <c r="V346" i="3"/>
  <c r="G346" i="3"/>
  <c r="H346" i="3"/>
  <c r="J346" i="3"/>
  <c r="N346" i="3"/>
  <c r="T346" i="3"/>
  <c r="S346" i="3"/>
  <c r="Y346" i="3" s="1"/>
  <c r="Z346" i="3" s="1"/>
  <c r="AA346" i="3" s="1"/>
  <c r="C352" i="2"/>
  <c r="G346" i="4"/>
  <c r="L346" i="4" s="1"/>
  <c r="I346" i="4"/>
  <c r="M346" i="4" s="1"/>
  <c r="K346" i="4"/>
  <c r="N346" i="4" s="1"/>
  <c r="D350" i="2"/>
  <c r="E349" i="2"/>
  <c r="F345" i="3"/>
  <c r="D346" i="3"/>
  <c r="L349" i="2"/>
  <c r="I348" i="2"/>
  <c r="F348" i="2" s="1"/>
  <c r="M350" i="2"/>
  <c r="J349" i="2"/>
  <c r="G349" i="2" s="1"/>
  <c r="V349" i="2" l="1"/>
  <c r="T348" i="2"/>
  <c r="D347" i="4"/>
  <c r="C353" i="2"/>
  <c r="C347" i="4"/>
  <c r="AB346" i="3"/>
  <c r="E347" i="4" s="1"/>
  <c r="G347" i="4"/>
  <c r="L347" i="4" s="1"/>
  <c r="I347" i="4"/>
  <c r="M347" i="4" s="1"/>
  <c r="K347" i="4"/>
  <c r="N347" i="4" s="1"/>
  <c r="K351" i="2"/>
  <c r="H350" i="2"/>
  <c r="E350" i="2" s="1"/>
  <c r="D351" i="2"/>
  <c r="A348" i="4"/>
  <c r="J347" i="3"/>
  <c r="V347" i="3"/>
  <c r="M347" i="3"/>
  <c r="C347" i="3"/>
  <c r="N347" i="3"/>
  <c r="P347" i="3"/>
  <c r="S347" i="3"/>
  <c r="Y347" i="3" s="1"/>
  <c r="Z347" i="3" s="1"/>
  <c r="AA347" i="3" s="1"/>
  <c r="T347" i="3"/>
  <c r="E347" i="3"/>
  <c r="G347" i="3"/>
  <c r="H347" i="3"/>
  <c r="M351" i="2"/>
  <c r="J350" i="2"/>
  <c r="G350" i="2" s="1"/>
  <c r="L350" i="2"/>
  <c r="I349" i="2"/>
  <c r="F349" i="2" s="1"/>
  <c r="F346" i="3"/>
  <c r="D347" i="3"/>
  <c r="I345" i="3"/>
  <c r="F346" i="4" s="1"/>
  <c r="U345" i="3"/>
  <c r="J346" i="4" s="1"/>
  <c r="O345" i="3"/>
  <c r="H346" i="4" s="1"/>
  <c r="V350" i="2" l="1"/>
  <c r="T349" i="2"/>
  <c r="D348" i="4"/>
  <c r="L351" i="2"/>
  <c r="I350" i="2"/>
  <c r="F350" i="2" s="1"/>
  <c r="C348" i="4"/>
  <c r="AB347" i="3"/>
  <c r="E348" i="4" s="1"/>
  <c r="G351" i="2"/>
  <c r="D352" i="2"/>
  <c r="C354" i="2"/>
  <c r="M352" i="2"/>
  <c r="J351" i="2"/>
  <c r="G348" i="4"/>
  <c r="L348" i="4" s="1"/>
  <c r="I348" i="4"/>
  <c r="M348" i="4" s="1"/>
  <c r="K348" i="4"/>
  <c r="N348" i="4" s="1"/>
  <c r="A349" i="4"/>
  <c r="G348" i="3"/>
  <c r="S348" i="3"/>
  <c r="Y348" i="3" s="1"/>
  <c r="Z348" i="3" s="1"/>
  <c r="AA348" i="3" s="1"/>
  <c r="J348" i="3"/>
  <c r="V348" i="3"/>
  <c r="C348" i="3"/>
  <c r="T348" i="3"/>
  <c r="E348" i="3"/>
  <c r="H348" i="3"/>
  <c r="M348" i="3"/>
  <c r="N348" i="3"/>
  <c r="P348" i="3"/>
  <c r="D348" i="3"/>
  <c r="F347" i="3"/>
  <c r="O346" i="3"/>
  <c r="H347" i="4" s="1"/>
  <c r="U346" i="3"/>
  <c r="J347" i="4" s="1"/>
  <c r="I346" i="3"/>
  <c r="F347" i="4" s="1"/>
  <c r="H351" i="2"/>
  <c r="E351" i="2" s="1"/>
  <c r="K352" i="2"/>
  <c r="V351" i="2" l="1"/>
  <c r="T350" i="2"/>
  <c r="D349" i="4"/>
  <c r="K349" i="4"/>
  <c r="N349" i="4" s="1"/>
  <c r="G349" i="4"/>
  <c r="L349" i="4" s="1"/>
  <c r="I349" i="4"/>
  <c r="M349" i="4" s="1"/>
  <c r="C349" i="4"/>
  <c r="AB348" i="3"/>
  <c r="E349" i="4" s="1"/>
  <c r="G352" i="2"/>
  <c r="D353" i="2"/>
  <c r="M353" i="2"/>
  <c r="J352" i="2"/>
  <c r="I351" i="2"/>
  <c r="F351" i="2" s="1"/>
  <c r="L352" i="2"/>
  <c r="D349" i="3"/>
  <c r="F348" i="3"/>
  <c r="A350" i="4"/>
  <c r="P349" i="3"/>
  <c r="G349" i="3"/>
  <c r="M349" i="3"/>
  <c r="N349" i="3"/>
  <c r="S349" i="3"/>
  <c r="Y349" i="3" s="1"/>
  <c r="Z349" i="3" s="1"/>
  <c r="AA349" i="3" s="1"/>
  <c r="C349" i="3"/>
  <c r="T349" i="3"/>
  <c r="E349" i="3"/>
  <c r="H349" i="3"/>
  <c r="V349" i="3"/>
  <c r="J349" i="3"/>
  <c r="K353" i="2"/>
  <c r="H352" i="2"/>
  <c r="E352" i="2" s="1"/>
  <c r="O347" i="3"/>
  <c r="H348" i="4" s="1"/>
  <c r="U347" i="3"/>
  <c r="J348" i="4" s="1"/>
  <c r="I347" i="3"/>
  <c r="F348" i="4" s="1"/>
  <c r="C355" i="2"/>
  <c r="V352" i="2" l="1"/>
  <c r="T351" i="2"/>
  <c r="D350" i="4"/>
  <c r="K354" i="2"/>
  <c r="H353" i="2"/>
  <c r="I350" i="4"/>
  <c r="M350" i="4" s="1"/>
  <c r="K350" i="4"/>
  <c r="N350" i="4" s="1"/>
  <c r="G350" i="4"/>
  <c r="L350" i="4" s="1"/>
  <c r="I348" i="3"/>
  <c r="F349" i="4" s="1"/>
  <c r="U348" i="3"/>
  <c r="J349" i="4" s="1"/>
  <c r="O348" i="3"/>
  <c r="H349" i="4" s="1"/>
  <c r="F349" i="3"/>
  <c r="D350" i="3"/>
  <c r="L353" i="2"/>
  <c r="I352" i="2"/>
  <c r="F352" i="2" s="1"/>
  <c r="C356" i="2"/>
  <c r="M354" i="2"/>
  <c r="J353" i="2"/>
  <c r="G353" i="2" s="1"/>
  <c r="A351" i="4"/>
  <c r="M350" i="3"/>
  <c r="N350" i="3"/>
  <c r="C350" i="3"/>
  <c r="P350" i="3"/>
  <c r="E350" i="3"/>
  <c r="S350" i="3"/>
  <c r="Y350" i="3" s="1"/>
  <c r="Z350" i="3" s="1"/>
  <c r="AA350" i="3" s="1"/>
  <c r="G350" i="3"/>
  <c r="T350" i="3"/>
  <c r="H350" i="3"/>
  <c r="J350" i="3"/>
  <c r="V350" i="3"/>
  <c r="C350" i="4"/>
  <c r="AB349" i="3"/>
  <c r="E350" i="4" s="1"/>
  <c r="D354" i="2"/>
  <c r="E353" i="2"/>
  <c r="V353" i="2" l="1"/>
  <c r="T352" i="2"/>
  <c r="D351" i="4"/>
  <c r="G351" i="4"/>
  <c r="L351" i="4" s="1"/>
  <c r="I351" i="4"/>
  <c r="M351" i="4" s="1"/>
  <c r="K351" i="4"/>
  <c r="N351" i="4" s="1"/>
  <c r="C351" i="4"/>
  <c r="AB350" i="3"/>
  <c r="E351" i="4" s="1"/>
  <c r="A352" i="4"/>
  <c r="J351" i="3"/>
  <c r="V351" i="3"/>
  <c r="M351" i="3"/>
  <c r="N351" i="3"/>
  <c r="C351" i="3"/>
  <c r="P351" i="3"/>
  <c r="E351" i="3"/>
  <c r="S351" i="3"/>
  <c r="Y351" i="3" s="1"/>
  <c r="Z351" i="3" s="1"/>
  <c r="AA351" i="3" s="1"/>
  <c r="G351" i="3"/>
  <c r="T351" i="3"/>
  <c r="H351" i="3"/>
  <c r="L354" i="2"/>
  <c r="I353" i="2"/>
  <c r="F353" i="2" s="1"/>
  <c r="D355" i="2"/>
  <c r="D351" i="3"/>
  <c r="F350" i="3"/>
  <c r="K355" i="2"/>
  <c r="H354" i="2"/>
  <c r="E354" i="2" s="1"/>
  <c r="M355" i="2"/>
  <c r="J354" i="2"/>
  <c r="G354" i="2" s="1"/>
  <c r="C357" i="2"/>
  <c r="I349" i="3"/>
  <c r="F350" i="4" s="1"/>
  <c r="O349" i="3"/>
  <c r="H350" i="4" s="1"/>
  <c r="U349" i="3"/>
  <c r="J350" i="4" s="1"/>
  <c r="V354" i="2" l="1"/>
  <c r="T353" i="2"/>
  <c r="D352" i="4"/>
  <c r="G352" i="4"/>
  <c r="L352" i="4" s="1"/>
  <c r="I352" i="4"/>
  <c r="M352" i="4" s="1"/>
  <c r="K352" i="4"/>
  <c r="N352" i="4" s="1"/>
  <c r="M356" i="2"/>
  <c r="J355" i="2"/>
  <c r="K356" i="2"/>
  <c r="H355" i="2"/>
  <c r="D352" i="3"/>
  <c r="F351" i="3"/>
  <c r="A353" i="4"/>
  <c r="G352" i="3"/>
  <c r="S352" i="3"/>
  <c r="Y352" i="3" s="1"/>
  <c r="Z352" i="3" s="1"/>
  <c r="AA352" i="3" s="1"/>
  <c r="J352" i="3"/>
  <c r="M352" i="3"/>
  <c r="N352" i="3"/>
  <c r="C352" i="3"/>
  <c r="P352" i="3"/>
  <c r="E352" i="3"/>
  <c r="T352" i="3"/>
  <c r="V352" i="3"/>
  <c r="H352" i="3"/>
  <c r="G355" i="2"/>
  <c r="D356" i="2"/>
  <c r="E355" i="2"/>
  <c r="C352" i="4"/>
  <c r="AB351" i="3"/>
  <c r="E352" i="4" s="1"/>
  <c r="L355" i="2"/>
  <c r="I354" i="2"/>
  <c r="F354" i="2" s="1"/>
  <c r="O350" i="3"/>
  <c r="H351" i="4" s="1"/>
  <c r="U350" i="3"/>
  <c r="J351" i="4" s="1"/>
  <c r="I350" i="3"/>
  <c r="F351" i="4" s="1"/>
  <c r="C358" i="2"/>
  <c r="V355" i="2" l="1"/>
  <c r="T354" i="2"/>
  <c r="D353" i="4"/>
  <c r="L356" i="2"/>
  <c r="I355" i="2"/>
  <c r="F355" i="2" s="1"/>
  <c r="A354" i="4"/>
  <c r="P353" i="3"/>
  <c r="V353" i="3"/>
  <c r="J353" i="3"/>
  <c r="M353" i="3"/>
  <c r="N353" i="3"/>
  <c r="C353" i="3"/>
  <c r="E353" i="3"/>
  <c r="S353" i="3"/>
  <c r="Y353" i="3" s="1"/>
  <c r="Z353" i="3" s="1"/>
  <c r="AA353" i="3" s="1"/>
  <c r="H353" i="3"/>
  <c r="G353" i="3"/>
  <c r="T353" i="3"/>
  <c r="H356" i="2"/>
  <c r="E356" i="2" s="1"/>
  <c r="K357" i="2"/>
  <c r="D357" i="2"/>
  <c r="G356" i="2"/>
  <c r="M357" i="2"/>
  <c r="J356" i="2"/>
  <c r="C353" i="4"/>
  <c r="AB352" i="3"/>
  <c r="E353" i="4" s="1"/>
  <c r="G353" i="4"/>
  <c r="L353" i="4" s="1"/>
  <c r="I353" i="4"/>
  <c r="M353" i="4" s="1"/>
  <c r="K353" i="4"/>
  <c r="N353" i="4" s="1"/>
  <c r="C359" i="2"/>
  <c r="O351" i="3"/>
  <c r="H352" i="4" s="1"/>
  <c r="I351" i="3"/>
  <c r="F352" i="4" s="1"/>
  <c r="U351" i="3"/>
  <c r="J352" i="4" s="1"/>
  <c r="D353" i="3"/>
  <c r="F352" i="3"/>
  <c r="V356" i="2" l="1"/>
  <c r="T355" i="2"/>
  <c r="D354" i="4"/>
  <c r="C354" i="4"/>
  <c r="AB353" i="3"/>
  <c r="E354" i="4" s="1"/>
  <c r="D358" i="2"/>
  <c r="K358" i="2"/>
  <c r="H357" i="2"/>
  <c r="E357" i="2" s="1"/>
  <c r="G354" i="4"/>
  <c r="L354" i="4" s="1"/>
  <c r="I354" i="4"/>
  <c r="M354" i="4" s="1"/>
  <c r="K354" i="4"/>
  <c r="N354" i="4" s="1"/>
  <c r="C360" i="2"/>
  <c r="A355" i="4"/>
  <c r="M354" i="3"/>
  <c r="H354" i="3"/>
  <c r="V354" i="3"/>
  <c r="J354" i="3"/>
  <c r="N354" i="3"/>
  <c r="C354" i="3"/>
  <c r="P354" i="3"/>
  <c r="E354" i="3"/>
  <c r="G354" i="3"/>
  <c r="T354" i="3"/>
  <c r="S354" i="3"/>
  <c r="Y354" i="3" s="1"/>
  <c r="Z354" i="3" s="1"/>
  <c r="AA354" i="3" s="1"/>
  <c r="O352" i="3"/>
  <c r="H353" i="4" s="1"/>
  <c r="I352" i="3"/>
  <c r="F353" i="4" s="1"/>
  <c r="U352" i="3"/>
  <c r="J353" i="4" s="1"/>
  <c r="D354" i="3"/>
  <c r="F353" i="3"/>
  <c r="I356" i="2"/>
  <c r="F356" i="2" s="1"/>
  <c r="L357" i="2"/>
  <c r="M358" i="2"/>
  <c r="J357" i="2"/>
  <c r="G357" i="2" s="1"/>
  <c r="V357" i="2" l="1"/>
  <c r="T356" i="2"/>
  <c r="D355" i="4"/>
  <c r="C355" i="4"/>
  <c r="AB354" i="3"/>
  <c r="E355" i="4" s="1"/>
  <c r="K359" i="2"/>
  <c r="H358" i="2"/>
  <c r="E358" i="2" s="1"/>
  <c r="K355" i="4"/>
  <c r="N355" i="4" s="1"/>
  <c r="G355" i="4"/>
  <c r="L355" i="4" s="1"/>
  <c r="I355" i="4"/>
  <c r="M355" i="4" s="1"/>
  <c r="C361" i="2"/>
  <c r="D359" i="2"/>
  <c r="M359" i="2"/>
  <c r="J358" i="2"/>
  <c r="G358" i="2" s="1"/>
  <c r="A356" i="4"/>
  <c r="J355" i="3"/>
  <c r="G355" i="3"/>
  <c r="T355" i="3"/>
  <c r="H355" i="3"/>
  <c r="V355" i="3"/>
  <c r="M355" i="3"/>
  <c r="N355" i="3"/>
  <c r="C355" i="3"/>
  <c r="P355" i="3"/>
  <c r="S355" i="3"/>
  <c r="Y355" i="3" s="1"/>
  <c r="Z355" i="3" s="1"/>
  <c r="AA355" i="3" s="1"/>
  <c r="E355" i="3"/>
  <c r="L358" i="2"/>
  <c r="I357" i="2"/>
  <c r="F357" i="2" s="1"/>
  <c r="I353" i="3"/>
  <c r="F354" i="4" s="1"/>
  <c r="O353" i="3"/>
  <c r="H354" i="4" s="1"/>
  <c r="U353" i="3"/>
  <c r="J354" i="4" s="1"/>
  <c r="D355" i="3"/>
  <c r="F354" i="3"/>
  <c r="V358" i="2" l="1"/>
  <c r="T357" i="2"/>
  <c r="D356" i="4"/>
  <c r="L359" i="2"/>
  <c r="I358" i="2"/>
  <c r="F358" i="2" s="1"/>
  <c r="I356" i="4"/>
  <c r="M356" i="4" s="1"/>
  <c r="K356" i="4"/>
  <c r="N356" i="4" s="1"/>
  <c r="G356" i="4"/>
  <c r="L356" i="4" s="1"/>
  <c r="M360" i="2"/>
  <c r="J359" i="2"/>
  <c r="G359" i="2" s="1"/>
  <c r="U354" i="3"/>
  <c r="J355" i="4" s="1"/>
  <c r="I354" i="3"/>
  <c r="F355" i="4" s="1"/>
  <c r="O354" i="3"/>
  <c r="H355" i="4" s="1"/>
  <c r="A357" i="4"/>
  <c r="E356" i="3"/>
  <c r="G356" i="3"/>
  <c r="S356" i="3"/>
  <c r="Y356" i="3" s="1"/>
  <c r="Z356" i="3" s="1"/>
  <c r="AA356" i="3" s="1"/>
  <c r="H356" i="3"/>
  <c r="T356" i="3"/>
  <c r="J356" i="3"/>
  <c r="V356" i="3"/>
  <c r="M356" i="3"/>
  <c r="N356" i="3"/>
  <c r="P356" i="3"/>
  <c r="C356" i="3"/>
  <c r="F355" i="3"/>
  <c r="D356" i="3"/>
  <c r="C356" i="4"/>
  <c r="AB355" i="3"/>
  <c r="E356" i="4" s="1"/>
  <c r="D360" i="2"/>
  <c r="K360" i="2"/>
  <c r="H359" i="2"/>
  <c r="E359" i="2" s="1"/>
  <c r="C362" i="2"/>
  <c r="V359" i="2" l="1"/>
  <c r="T358" i="2"/>
  <c r="D357" i="4"/>
  <c r="D361" i="2"/>
  <c r="M361" i="2"/>
  <c r="J360" i="2"/>
  <c r="G360" i="2" s="1"/>
  <c r="F356" i="3"/>
  <c r="D357" i="3"/>
  <c r="A358" i="4"/>
  <c r="N357" i="3"/>
  <c r="C357" i="3"/>
  <c r="P357" i="3"/>
  <c r="E357" i="3"/>
  <c r="G357" i="3"/>
  <c r="S357" i="3"/>
  <c r="Y357" i="3" s="1"/>
  <c r="Z357" i="3" s="1"/>
  <c r="AA357" i="3" s="1"/>
  <c r="H357" i="3"/>
  <c r="T357" i="3"/>
  <c r="J357" i="3"/>
  <c r="V357" i="3"/>
  <c r="M357" i="3"/>
  <c r="U355" i="3"/>
  <c r="J356" i="4" s="1"/>
  <c r="I355" i="3"/>
  <c r="F356" i="4" s="1"/>
  <c r="O355" i="3"/>
  <c r="H356" i="4" s="1"/>
  <c r="C363" i="2"/>
  <c r="G357" i="4"/>
  <c r="L357" i="4" s="1"/>
  <c r="I357" i="4"/>
  <c r="M357" i="4" s="1"/>
  <c r="K357" i="4"/>
  <c r="N357" i="4" s="1"/>
  <c r="L360" i="2"/>
  <c r="I359" i="2"/>
  <c r="F359" i="2" s="1"/>
  <c r="K361" i="2"/>
  <c r="H360" i="2"/>
  <c r="E360" i="2" s="1"/>
  <c r="C357" i="4"/>
  <c r="AB356" i="3"/>
  <c r="E357" i="4" s="1"/>
  <c r="V360" i="2" l="1"/>
  <c r="T359" i="2"/>
  <c r="D358" i="4"/>
  <c r="I356" i="3"/>
  <c r="F357" i="4" s="1"/>
  <c r="U356" i="3"/>
  <c r="J357" i="4" s="1"/>
  <c r="O356" i="3"/>
  <c r="H357" i="4" s="1"/>
  <c r="F357" i="3"/>
  <c r="D358" i="3"/>
  <c r="M362" i="2"/>
  <c r="J361" i="2"/>
  <c r="G361" i="2" s="1"/>
  <c r="C358" i="4"/>
  <c r="AB357" i="3"/>
  <c r="E358" i="4" s="1"/>
  <c r="C364" i="2"/>
  <c r="A359" i="4"/>
  <c r="M358" i="3"/>
  <c r="N358" i="3"/>
  <c r="C358" i="3"/>
  <c r="P358" i="3"/>
  <c r="E358" i="3"/>
  <c r="G358" i="3"/>
  <c r="S358" i="3"/>
  <c r="Y358" i="3" s="1"/>
  <c r="Z358" i="3" s="1"/>
  <c r="AA358" i="3" s="1"/>
  <c r="H358" i="3"/>
  <c r="T358" i="3"/>
  <c r="J358" i="3"/>
  <c r="V358" i="3"/>
  <c r="D362" i="2"/>
  <c r="G358" i="4"/>
  <c r="L358" i="4" s="1"/>
  <c r="I358" i="4"/>
  <c r="M358" i="4" s="1"/>
  <c r="K358" i="4"/>
  <c r="N358" i="4" s="1"/>
  <c r="H361" i="2"/>
  <c r="E361" i="2" s="1"/>
  <c r="K362" i="2"/>
  <c r="L361" i="2"/>
  <c r="I360" i="2"/>
  <c r="F360" i="2" s="1"/>
  <c r="V361" i="2" l="1"/>
  <c r="T360" i="2"/>
  <c r="D359" i="4"/>
  <c r="I361" i="2"/>
  <c r="F361" i="2" s="1"/>
  <c r="L362" i="2"/>
  <c r="K363" i="2"/>
  <c r="H362" i="2"/>
  <c r="M363" i="2"/>
  <c r="J362" i="2"/>
  <c r="F358" i="3"/>
  <c r="D359" i="3"/>
  <c r="A360" i="4"/>
  <c r="H359" i="3"/>
  <c r="T359" i="3"/>
  <c r="J359" i="3"/>
  <c r="V359" i="3"/>
  <c r="M359" i="3"/>
  <c r="N359" i="3"/>
  <c r="C359" i="3"/>
  <c r="P359" i="3"/>
  <c r="E359" i="3"/>
  <c r="G359" i="3"/>
  <c r="S359" i="3"/>
  <c r="Y359" i="3" s="1"/>
  <c r="Z359" i="3" s="1"/>
  <c r="AA359" i="3" s="1"/>
  <c r="O357" i="3"/>
  <c r="H358" i="4" s="1"/>
  <c r="I357" i="3"/>
  <c r="F358" i="4" s="1"/>
  <c r="U357" i="3"/>
  <c r="J358" i="4" s="1"/>
  <c r="C359" i="4"/>
  <c r="AB358" i="3"/>
  <c r="E359" i="4" s="1"/>
  <c r="G359" i="4"/>
  <c r="L359" i="4" s="1"/>
  <c r="I359" i="4"/>
  <c r="M359" i="4" s="1"/>
  <c r="K359" i="4"/>
  <c r="N359" i="4" s="1"/>
  <c r="G362" i="2"/>
  <c r="D363" i="2"/>
  <c r="E362" i="2"/>
  <c r="C365" i="2"/>
  <c r="V362" i="2" l="1"/>
  <c r="T361" i="2"/>
  <c r="D360" i="4"/>
  <c r="D360" i="3"/>
  <c r="F359" i="3"/>
  <c r="A361" i="4"/>
  <c r="E360" i="3"/>
  <c r="G360" i="3"/>
  <c r="S360" i="3"/>
  <c r="Y360" i="3" s="1"/>
  <c r="Z360" i="3" s="1"/>
  <c r="AA360" i="3" s="1"/>
  <c r="H360" i="3"/>
  <c r="T360" i="3"/>
  <c r="J360" i="3"/>
  <c r="V360" i="3"/>
  <c r="M360" i="3"/>
  <c r="N360" i="3"/>
  <c r="P360" i="3"/>
  <c r="C360" i="3"/>
  <c r="O358" i="3"/>
  <c r="H359" i="4" s="1"/>
  <c r="I358" i="3"/>
  <c r="F359" i="4" s="1"/>
  <c r="U358" i="3"/>
  <c r="J359" i="4" s="1"/>
  <c r="M364" i="2"/>
  <c r="J363" i="2"/>
  <c r="G363" i="2" s="1"/>
  <c r="K364" i="2"/>
  <c r="H363" i="2"/>
  <c r="E363" i="2" s="1"/>
  <c r="G360" i="4"/>
  <c r="L360" i="4" s="1"/>
  <c r="I360" i="4"/>
  <c r="M360" i="4" s="1"/>
  <c r="K360" i="4"/>
  <c r="N360" i="4" s="1"/>
  <c r="C360" i="4"/>
  <c r="AB359" i="3"/>
  <c r="E360" i="4" s="1"/>
  <c r="L363" i="2"/>
  <c r="I362" i="2"/>
  <c r="F362" i="2" s="1"/>
  <c r="C366" i="2"/>
  <c r="D364" i="2"/>
  <c r="V363" i="2" l="1"/>
  <c r="T362" i="2"/>
  <c r="D361" i="4"/>
  <c r="K365" i="2"/>
  <c r="H364" i="2"/>
  <c r="L364" i="2"/>
  <c r="I363" i="2"/>
  <c r="F363" i="2" s="1"/>
  <c r="M365" i="2"/>
  <c r="J364" i="2"/>
  <c r="A362" i="4"/>
  <c r="N361" i="3"/>
  <c r="C361" i="3"/>
  <c r="P361" i="3"/>
  <c r="E361" i="3"/>
  <c r="G361" i="3"/>
  <c r="S361" i="3"/>
  <c r="Y361" i="3" s="1"/>
  <c r="Z361" i="3" s="1"/>
  <c r="AA361" i="3" s="1"/>
  <c r="H361" i="3"/>
  <c r="T361" i="3"/>
  <c r="J361" i="3"/>
  <c r="V361" i="3"/>
  <c r="M361" i="3"/>
  <c r="K361" i="4"/>
  <c r="N361" i="4" s="1"/>
  <c r="G361" i="4"/>
  <c r="L361" i="4" s="1"/>
  <c r="I361" i="4"/>
  <c r="M361" i="4" s="1"/>
  <c r="I359" i="3"/>
  <c r="F360" i="4" s="1"/>
  <c r="U359" i="3"/>
  <c r="J360" i="4" s="1"/>
  <c r="O359" i="3"/>
  <c r="H360" i="4" s="1"/>
  <c r="D365" i="2"/>
  <c r="G364" i="2"/>
  <c r="E364" i="2"/>
  <c r="F360" i="3"/>
  <c r="D361" i="3"/>
  <c r="C361" i="4"/>
  <c r="AB360" i="3"/>
  <c r="E361" i="4" s="1"/>
  <c r="C367" i="2"/>
  <c r="V364" i="2" l="1"/>
  <c r="T363" i="2"/>
  <c r="D362" i="4"/>
  <c r="C362" i="4"/>
  <c r="AB361" i="3"/>
  <c r="E362" i="4" s="1"/>
  <c r="I362" i="4"/>
  <c r="M362" i="4" s="1"/>
  <c r="K362" i="4"/>
  <c r="N362" i="4" s="1"/>
  <c r="G362" i="4"/>
  <c r="L362" i="4" s="1"/>
  <c r="I360" i="3"/>
  <c r="F361" i="4" s="1"/>
  <c r="U360" i="3"/>
  <c r="J361" i="4" s="1"/>
  <c r="O360" i="3"/>
  <c r="H361" i="4" s="1"/>
  <c r="D366" i="2"/>
  <c r="M366" i="2"/>
  <c r="J365" i="2"/>
  <c r="G365" i="2" s="1"/>
  <c r="L365" i="2"/>
  <c r="I364" i="2"/>
  <c r="F364" i="2" s="1"/>
  <c r="C368" i="2"/>
  <c r="K366" i="2"/>
  <c r="H365" i="2"/>
  <c r="E365" i="2" s="1"/>
  <c r="A363" i="4"/>
  <c r="M362" i="3"/>
  <c r="N362" i="3"/>
  <c r="C362" i="3"/>
  <c r="P362" i="3"/>
  <c r="E362" i="3"/>
  <c r="G362" i="3"/>
  <c r="S362" i="3"/>
  <c r="Y362" i="3" s="1"/>
  <c r="Z362" i="3" s="1"/>
  <c r="AA362" i="3" s="1"/>
  <c r="H362" i="3"/>
  <c r="T362" i="3"/>
  <c r="J362" i="3"/>
  <c r="V362" i="3"/>
  <c r="F361" i="3"/>
  <c r="D362" i="3"/>
  <c r="V365" i="2" l="1"/>
  <c r="T364" i="2"/>
  <c r="D363" i="4"/>
  <c r="A364" i="4"/>
  <c r="H363" i="3"/>
  <c r="T363" i="3"/>
  <c r="J363" i="3"/>
  <c r="V363" i="3"/>
  <c r="M363" i="3"/>
  <c r="N363" i="3"/>
  <c r="C363" i="3"/>
  <c r="P363" i="3"/>
  <c r="E363" i="3"/>
  <c r="G363" i="3"/>
  <c r="S363" i="3"/>
  <c r="Y363" i="3" s="1"/>
  <c r="Z363" i="3" s="1"/>
  <c r="AA363" i="3" s="1"/>
  <c r="L366" i="2"/>
  <c r="I365" i="2"/>
  <c r="F365" i="2" s="1"/>
  <c r="M367" i="2"/>
  <c r="J366" i="2"/>
  <c r="G366" i="2" s="1"/>
  <c r="G363" i="4"/>
  <c r="L363" i="4" s="1"/>
  <c r="I363" i="4"/>
  <c r="M363" i="4" s="1"/>
  <c r="K363" i="4"/>
  <c r="N363" i="4" s="1"/>
  <c r="D367" i="2"/>
  <c r="C363" i="4"/>
  <c r="AB362" i="3"/>
  <c r="E363" i="4" s="1"/>
  <c r="F362" i="3"/>
  <c r="D363" i="3"/>
  <c r="O361" i="3"/>
  <c r="H362" i="4" s="1"/>
  <c r="I361" i="3"/>
  <c r="F362" i="4" s="1"/>
  <c r="U361" i="3"/>
  <c r="J362" i="4" s="1"/>
  <c r="H366" i="2"/>
  <c r="E366" i="2" s="1"/>
  <c r="K367" i="2"/>
  <c r="C369" i="2"/>
  <c r="V366" i="2" l="1"/>
  <c r="T365" i="2"/>
  <c r="D364" i="4"/>
  <c r="C364" i="4"/>
  <c r="AB363" i="3"/>
  <c r="E364" i="4" s="1"/>
  <c r="D364" i="3"/>
  <c r="F363" i="3"/>
  <c r="I366" i="2"/>
  <c r="F366" i="2" s="1"/>
  <c r="L367" i="2"/>
  <c r="G364" i="4"/>
  <c r="L364" i="4" s="1"/>
  <c r="I364" i="4"/>
  <c r="M364" i="4" s="1"/>
  <c r="K364" i="4"/>
  <c r="N364" i="4" s="1"/>
  <c r="O362" i="3"/>
  <c r="H363" i="4" s="1"/>
  <c r="U362" i="3"/>
  <c r="J363" i="4" s="1"/>
  <c r="I362" i="3"/>
  <c r="F363" i="4" s="1"/>
  <c r="M368" i="2"/>
  <c r="J367" i="2"/>
  <c r="C370" i="2"/>
  <c r="K368" i="2"/>
  <c r="H367" i="2"/>
  <c r="E367" i="2" s="1"/>
  <c r="G367" i="2"/>
  <c r="D368" i="2"/>
  <c r="A365" i="4"/>
  <c r="E364" i="3"/>
  <c r="G364" i="3"/>
  <c r="S364" i="3"/>
  <c r="Y364" i="3" s="1"/>
  <c r="Z364" i="3" s="1"/>
  <c r="AA364" i="3" s="1"/>
  <c r="H364" i="3"/>
  <c r="T364" i="3"/>
  <c r="J364" i="3"/>
  <c r="V364" i="3"/>
  <c r="M364" i="3"/>
  <c r="N364" i="3"/>
  <c r="P364" i="3"/>
  <c r="C364" i="3"/>
  <c r="V367" i="2" l="1"/>
  <c r="T366" i="2"/>
  <c r="D365" i="4"/>
  <c r="K369" i="2"/>
  <c r="H368" i="2"/>
  <c r="A366" i="4"/>
  <c r="N365" i="3"/>
  <c r="C365" i="3"/>
  <c r="P365" i="3"/>
  <c r="E365" i="3"/>
  <c r="G365" i="3"/>
  <c r="S365" i="3"/>
  <c r="Y365" i="3" s="1"/>
  <c r="Z365" i="3" s="1"/>
  <c r="AA365" i="3" s="1"/>
  <c r="H365" i="3"/>
  <c r="T365" i="3"/>
  <c r="J365" i="3"/>
  <c r="V365" i="3"/>
  <c r="M365" i="3"/>
  <c r="C371" i="2"/>
  <c r="L368" i="2"/>
  <c r="I367" i="2"/>
  <c r="F367" i="2" s="1"/>
  <c r="G365" i="4"/>
  <c r="L365" i="4" s="1"/>
  <c r="I365" i="4"/>
  <c r="M365" i="4" s="1"/>
  <c r="K365" i="4"/>
  <c r="N365" i="4" s="1"/>
  <c r="M369" i="2"/>
  <c r="J368" i="2"/>
  <c r="G368" i="2" s="1"/>
  <c r="I363" i="3"/>
  <c r="F364" i="4" s="1"/>
  <c r="U363" i="3"/>
  <c r="J364" i="4" s="1"/>
  <c r="O363" i="3"/>
  <c r="H364" i="4" s="1"/>
  <c r="F364" i="3"/>
  <c r="D365" i="3"/>
  <c r="C365" i="4"/>
  <c r="AB364" i="3"/>
  <c r="E365" i="4" s="1"/>
  <c r="D369" i="2"/>
  <c r="E368" i="2"/>
  <c r="V368" i="2" l="1"/>
  <c r="T367" i="2"/>
  <c r="D366" i="4"/>
  <c r="I364" i="3"/>
  <c r="F365" i="4" s="1"/>
  <c r="U364" i="3"/>
  <c r="J365" i="4" s="1"/>
  <c r="O364" i="3"/>
  <c r="H365" i="4" s="1"/>
  <c r="A367" i="4"/>
  <c r="M366" i="3"/>
  <c r="N366" i="3"/>
  <c r="C366" i="3"/>
  <c r="P366" i="3"/>
  <c r="E366" i="3"/>
  <c r="G366" i="3"/>
  <c r="S366" i="3"/>
  <c r="Y366" i="3" s="1"/>
  <c r="Z366" i="3" s="1"/>
  <c r="AA366" i="3" s="1"/>
  <c r="H366" i="3"/>
  <c r="T366" i="3"/>
  <c r="J366" i="3"/>
  <c r="V366" i="3"/>
  <c r="L369" i="2"/>
  <c r="I368" i="2"/>
  <c r="F368" i="2" s="1"/>
  <c r="C372" i="2"/>
  <c r="F365" i="3"/>
  <c r="D366" i="3"/>
  <c r="M370" i="2"/>
  <c r="J369" i="2"/>
  <c r="C366" i="4"/>
  <c r="AB365" i="3"/>
  <c r="E366" i="4" s="1"/>
  <c r="G366" i="4"/>
  <c r="L366" i="4" s="1"/>
  <c r="I366" i="4"/>
  <c r="M366" i="4" s="1"/>
  <c r="K366" i="4"/>
  <c r="N366" i="4" s="1"/>
  <c r="K370" i="2"/>
  <c r="H369" i="2"/>
  <c r="E369" i="2" s="1"/>
  <c r="D370" i="2"/>
  <c r="G369" i="2"/>
  <c r="V369" i="2" l="1"/>
  <c r="T368" i="2"/>
  <c r="D367" i="4"/>
  <c r="K371" i="2"/>
  <c r="H370" i="2"/>
  <c r="C373" i="2"/>
  <c r="C367" i="4"/>
  <c r="AB366" i="3"/>
  <c r="E367" i="4" s="1"/>
  <c r="K367" i="4"/>
  <c r="N367" i="4" s="1"/>
  <c r="G367" i="4"/>
  <c r="L367" i="4" s="1"/>
  <c r="I367" i="4"/>
  <c r="M367" i="4" s="1"/>
  <c r="A368" i="4"/>
  <c r="H367" i="3"/>
  <c r="T367" i="3"/>
  <c r="J367" i="3"/>
  <c r="V367" i="3"/>
  <c r="M367" i="3"/>
  <c r="N367" i="3"/>
  <c r="C367" i="3"/>
  <c r="P367" i="3"/>
  <c r="E367" i="3"/>
  <c r="G367" i="3"/>
  <c r="S367" i="3"/>
  <c r="Y367" i="3" s="1"/>
  <c r="Z367" i="3" s="1"/>
  <c r="AA367" i="3" s="1"/>
  <c r="L370" i="2"/>
  <c r="I369" i="2"/>
  <c r="F369" i="2" s="1"/>
  <c r="O365" i="3"/>
  <c r="H366" i="4" s="1"/>
  <c r="I365" i="3"/>
  <c r="F366" i="4" s="1"/>
  <c r="U365" i="3"/>
  <c r="J366" i="4" s="1"/>
  <c r="M371" i="2"/>
  <c r="J370" i="2"/>
  <c r="G370" i="2" s="1"/>
  <c r="D371" i="2"/>
  <c r="E370" i="2"/>
  <c r="F366" i="3"/>
  <c r="D367" i="3"/>
  <c r="V370" i="2" l="1"/>
  <c r="T369" i="2"/>
  <c r="D368" i="4"/>
  <c r="C368" i="4"/>
  <c r="AB367" i="3"/>
  <c r="E368" i="4" s="1"/>
  <c r="C374" i="2"/>
  <c r="M372" i="2"/>
  <c r="J371" i="2"/>
  <c r="D368" i="3"/>
  <c r="F367" i="3"/>
  <c r="I368" i="4"/>
  <c r="M368" i="4" s="1"/>
  <c r="K368" i="4"/>
  <c r="N368" i="4" s="1"/>
  <c r="G368" i="4"/>
  <c r="L368" i="4" s="1"/>
  <c r="O366" i="3"/>
  <c r="H367" i="4" s="1"/>
  <c r="I366" i="3"/>
  <c r="F367" i="4" s="1"/>
  <c r="U366" i="3"/>
  <c r="J367" i="4" s="1"/>
  <c r="H371" i="2"/>
  <c r="K372" i="2"/>
  <c r="L371" i="2"/>
  <c r="I370" i="2"/>
  <c r="F370" i="2" s="1"/>
  <c r="D372" i="2"/>
  <c r="G371" i="2"/>
  <c r="E371" i="2"/>
  <c r="A369" i="4"/>
  <c r="E368" i="3"/>
  <c r="G368" i="3"/>
  <c r="S368" i="3"/>
  <c r="Y368" i="3" s="1"/>
  <c r="Z368" i="3" s="1"/>
  <c r="AA368" i="3" s="1"/>
  <c r="H368" i="3"/>
  <c r="T368" i="3"/>
  <c r="J368" i="3"/>
  <c r="V368" i="3"/>
  <c r="M368" i="3"/>
  <c r="N368" i="3"/>
  <c r="P368" i="3"/>
  <c r="C368" i="3"/>
  <c r="V371" i="2" l="1"/>
  <c r="T370" i="2"/>
  <c r="D369" i="4"/>
  <c r="K373" i="2"/>
  <c r="H372" i="2"/>
  <c r="F368" i="3"/>
  <c r="D369" i="3"/>
  <c r="M373" i="2"/>
  <c r="J372" i="2"/>
  <c r="I371" i="2"/>
  <c r="F371" i="2" s="1"/>
  <c r="L372" i="2"/>
  <c r="I367" i="3"/>
  <c r="F368" i="4" s="1"/>
  <c r="U367" i="3"/>
  <c r="J368" i="4" s="1"/>
  <c r="O367" i="3"/>
  <c r="H368" i="4" s="1"/>
  <c r="A370" i="4"/>
  <c r="N369" i="3"/>
  <c r="C369" i="3"/>
  <c r="P369" i="3"/>
  <c r="E369" i="3"/>
  <c r="G369" i="3"/>
  <c r="S369" i="3"/>
  <c r="Y369" i="3" s="1"/>
  <c r="Z369" i="3" s="1"/>
  <c r="AA369" i="3" s="1"/>
  <c r="H369" i="3"/>
  <c r="T369" i="3"/>
  <c r="J369" i="3"/>
  <c r="V369" i="3"/>
  <c r="M369" i="3"/>
  <c r="G369" i="4"/>
  <c r="L369" i="4" s="1"/>
  <c r="I369" i="4"/>
  <c r="M369" i="4" s="1"/>
  <c r="K369" i="4"/>
  <c r="N369" i="4" s="1"/>
  <c r="C375" i="2"/>
  <c r="C369" i="4"/>
  <c r="AB368" i="3"/>
  <c r="E369" i="4" s="1"/>
  <c r="G372" i="2"/>
  <c r="D373" i="2"/>
  <c r="E372" i="2"/>
  <c r="V372" i="2" l="1"/>
  <c r="T371" i="2"/>
  <c r="D370" i="4"/>
  <c r="L373" i="2"/>
  <c r="I372" i="2"/>
  <c r="F372" i="2" s="1"/>
  <c r="A371" i="4"/>
  <c r="M370" i="3"/>
  <c r="N370" i="3"/>
  <c r="C370" i="3"/>
  <c r="P370" i="3"/>
  <c r="E370" i="3"/>
  <c r="G370" i="3"/>
  <c r="S370" i="3"/>
  <c r="Y370" i="3" s="1"/>
  <c r="Z370" i="3" s="1"/>
  <c r="AA370" i="3" s="1"/>
  <c r="H370" i="3"/>
  <c r="T370" i="3"/>
  <c r="J370" i="3"/>
  <c r="V370" i="3"/>
  <c r="M374" i="2"/>
  <c r="J373" i="2"/>
  <c r="G373" i="2" s="1"/>
  <c r="F369" i="3"/>
  <c r="D370" i="3"/>
  <c r="I368" i="3"/>
  <c r="F369" i="4" s="1"/>
  <c r="U368" i="3"/>
  <c r="J369" i="4" s="1"/>
  <c r="O368" i="3"/>
  <c r="H369" i="4" s="1"/>
  <c r="D374" i="2"/>
  <c r="K374" i="2"/>
  <c r="H373" i="2"/>
  <c r="E373" i="2" s="1"/>
  <c r="C376" i="2"/>
  <c r="C370" i="4"/>
  <c r="AB369" i="3"/>
  <c r="E370" i="4" s="1"/>
  <c r="G370" i="4"/>
  <c r="L370" i="4" s="1"/>
  <c r="I370" i="4"/>
  <c r="M370" i="4" s="1"/>
  <c r="K370" i="4"/>
  <c r="N370" i="4" s="1"/>
  <c r="V373" i="2" l="1"/>
  <c r="T372" i="2"/>
  <c r="D371" i="4"/>
  <c r="A372" i="4"/>
  <c r="H371" i="3"/>
  <c r="T371" i="3"/>
  <c r="J371" i="3"/>
  <c r="V371" i="3"/>
  <c r="M371" i="3"/>
  <c r="N371" i="3"/>
  <c r="C371" i="3"/>
  <c r="P371" i="3"/>
  <c r="E371" i="3"/>
  <c r="G371" i="3"/>
  <c r="S371" i="3"/>
  <c r="Y371" i="3" s="1"/>
  <c r="Z371" i="3" s="1"/>
  <c r="AA371" i="3" s="1"/>
  <c r="C377" i="2"/>
  <c r="F370" i="3"/>
  <c r="D371" i="3"/>
  <c r="O369" i="3"/>
  <c r="H370" i="4" s="1"/>
  <c r="I369" i="3"/>
  <c r="F370" i="4" s="1"/>
  <c r="U369" i="3"/>
  <c r="J370" i="4" s="1"/>
  <c r="K375" i="2"/>
  <c r="H374" i="2"/>
  <c r="E374" i="2" s="1"/>
  <c r="M375" i="2"/>
  <c r="J374" i="2"/>
  <c r="C371" i="4"/>
  <c r="AB370" i="3"/>
  <c r="E371" i="4" s="1"/>
  <c r="G371" i="4"/>
  <c r="L371" i="4" s="1"/>
  <c r="I371" i="4"/>
  <c r="M371" i="4" s="1"/>
  <c r="K371" i="4"/>
  <c r="N371" i="4" s="1"/>
  <c r="L374" i="2"/>
  <c r="I373" i="2"/>
  <c r="F373" i="2" s="1"/>
  <c r="D375" i="2"/>
  <c r="G374" i="2"/>
  <c r="V374" i="2" l="1"/>
  <c r="T373" i="2"/>
  <c r="D372" i="4"/>
  <c r="C372" i="4"/>
  <c r="AB371" i="3"/>
  <c r="E372" i="4" s="1"/>
  <c r="O370" i="3"/>
  <c r="H371" i="4" s="1"/>
  <c r="I370" i="3"/>
  <c r="F371" i="4" s="1"/>
  <c r="U370" i="3"/>
  <c r="J371" i="4" s="1"/>
  <c r="D372" i="3"/>
  <c r="F371" i="3"/>
  <c r="G372" i="4"/>
  <c r="L372" i="4" s="1"/>
  <c r="I372" i="4"/>
  <c r="M372" i="4" s="1"/>
  <c r="K372" i="4"/>
  <c r="N372" i="4" s="1"/>
  <c r="L375" i="2"/>
  <c r="I374" i="2"/>
  <c r="F374" i="2" s="1"/>
  <c r="K376" i="2"/>
  <c r="H375" i="2"/>
  <c r="E375" i="2" s="1"/>
  <c r="C378" i="2"/>
  <c r="D376" i="2"/>
  <c r="M376" i="2"/>
  <c r="J375" i="2"/>
  <c r="G375" i="2" s="1"/>
  <c r="A373" i="4"/>
  <c r="E372" i="3"/>
  <c r="G372" i="3"/>
  <c r="S372" i="3"/>
  <c r="Y372" i="3" s="1"/>
  <c r="Z372" i="3" s="1"/>
  <c r="AA372" i="3" s="1"/>
  <c r="H372" i="3"/>
  <c r="T372" i="3"/>
  <c r="J372" i="3"/>
  <c r="V372" i="3"/>
  <c r="M372" i="3"/>
  <c r="N372" i="3"/>
  <c r="P372" i="3"/>
  <c r="C372" i="3"/>
  <c r="V375" i="2" l="1"/>
  <c r="T374" i="2"/>
  <c r="D373" i="4"/>
  <c r="I371" i="3"/>
  <c r="F372" i="4" s="1"/>
  <c r="U371" i="3"/>
  <c r="J372" i="4" s="1"/>
  <c r="O371" i="3"/>
  <c r="H372" i="4" s="1"/>
  <c r="C379" i="2"/>
  <c r="A374" i="4"/>
  <c r="N373" i="3"/>
  <c r="C373" i="3"/>
  <c r="P373" i="3"/>
  <c r="E373" i="3"/>
  <c r="G373" i="3"/>
  <c r="S373" i="3"/>
  <c r="Y373" i="3" s="1"/>
  <c r="Z373" i="3" s="1"/>
  <c r="AA373" i="3" s="1"/>
  <c r="H373" i="3"/>
  <c r="T373" i="3"/>
  <c r="J373" i="3"/>
  <c r="V373" i="3"/>
  <c r="M373" i="3"/>
  <c r="F372" i="3"/>
  <c r="D373" i="3"/>
  <c r="K373" i="4"/>
  <c r="N373" i="4" s="1"/>
  <c r="G373" i="4"/>
  <c r="L373" i="4" s="1"/>
  <c r="I373" i="4"/>
  <c r="M373" i="4" s="1"/>
  <c r="K377" i="2"/>
  <c r="H376" i="2"/>
  <c r="E376" i="2" s="1"/>
  <c r="J376" i="2"/>
  <c r="M377" i="2"/>
  <c r="L376" i="2"/>
  <c r="I375" i="2"/>
  <c r="F375" i="2" s="1"/>
  <c r="C373" i="4"/>
  <c r="AB372" i="3"/>
  <c r="E373" i="4" s="1"/>
  <c r="D377" i="2"/>
  <c r="G376" i="2"/>
  <c r="V376" i="2" l="1"/>
  <c r="T375" i="2"/>
  <c r="D374" i="4"/>
  <c r="C374" i="4"/>
  <c r="AB373" i="3"/>
  <c r="E374" i="4" s="1"/>
  <c r="I374" i="4"/>
  <c r="M374" i="4" s="1"/>
  <c r="K374" i="4"/>
  <c r="N374" i="4" s="1"/>
  <c r="G374" i="4"/>
  <c r="L374" i="4" s="1"/>
  <c r="F373" i="3"/>
  <c r="D374" i="3"/>
  <c r="I372" i="3"/>
  <c r="F373" i="4" s="1"/>
  <c r="U372" i="3"/>
  <c r="J373" i="4" s="1"/>
  <c r="O372" i="3"/>
  <c r="H373" i="4" s="1"/>
  <c r="I376" i="2"/>
  <c r="F376" i="2" s="1"/>
  <c r="L377" i="2"/>
  <c r="M378" i="2"/>
  <c r="J377" i="2"/>
  <c r="G377" i="2" s="1"/>
  <c r="K378" i="2"/>
  <c r="H377" i="2"/>
  <c r="E377" i="2" s="1"/>
  <c r="C380" i="2"/>
  <c r="D378" i="2"/>
  <c r="A375" i="4"/>
  <c r="M374" i="3"/>
  <c r="N374" i="3"/>
  <c r="C374" i="3"/>
  <c r="P374" i="3"/>
  <c r="E374" i="3"/>
  <c r="G374" i="3"/>
  <c r="S374" i="3"/>
  <c r="Y374" i="3" s="1"/>
  <c r="Z374" i="3" s="1"/>
  <c r="AA374" i="3" s="1"/>
  <c r="H374" i="3"/>
  <c r="T374" i="3"/>
  <c r="J374" i="3"/>
  <c r="V374" i="3"/>
  <c r="V377" i="2" l="1"/>
  <c r="T376" i="2"/>
  <c r="D375" i="4"/>
  <c r="A376" i="4"/>
  <c r="H375" i="3"/>
  <c r="T375" i="3"/>
  <c r="J375" i="3"/>
  <c r="V375" i="3"/>
  <c r="M375" i="3"/>
  <c r="N375" i="3"/>
  <c r="C375" i="3"/>
  <c r="P375" i="3"/>
  <c r="E375" i="3"/>
  <c r="G375" i="3"/>
  <c r="S375" i="3"/>
  <c r="Y375" i="3" s="1"/>
  <c r="Z375" i="3" s="1"/>
  <c r="AA375" i="3" s="1"/>
  <c r="F374" i="3"/>
  <c r="D375" i="3"/>
  <c r="H378" i="2"/>
  <c r="E378" i="2" s="1"/>
  <c r="K379" i="2"/>
  <c r="C375" i="4"/>
  <c r="AB374" i="3"/>
  <c r="E375" i="4" s="1"/>
  <c r="G375" i="4"/>
  <c r="L375" i="4" s="1"/>
  <c r="I375" i="4"/>
  <c r="M375" i="4" s="1"/>
  <c r="K375" i="4"/>
  <c r="N375" i="4" s="1"/>
  <c r="M379" i="2"/>
  <c r="J378" i="2"/>
  <c r="L378" i="2"/>
  <c r="I377" i="2"/>
  <c r="F377" i="2" s="1"/>
  <c r="O373" i="3"/>
  <c r="H374" i="4" s="1"/>
  <c r="I373" i="3"/>
  <c r="F374" i="4" s="1"/>
  <c r="U373" i="3"/>
  <c r="J374" i="4" s="1"/>
  <c r="G378" i="2"/>
  <c r="D379" i="2"/>
  <c r="C381" i="2"/>
  <c r="V378" i="2" l="1"/>
  <c r="T377" i="2"/>
  <c r="D376" i="4"/>
  <c r="C376" i="4"/>
  <c r="AB375" i="3"/>
  <c r="E376" i="4" s="1"/>
  <c r="K380" i="2"/>
  <c r="H379" i="2"/>
  <c r="C382" i="2"/>
  <c r="L379" i="2"/>
  <c r="I378" i="2"/>
  <c r="F378" i="2" s="1"/>
  <c r="D376" i="3"/>
  <c r="F375" i="3"/>
  <c r="M380" i="2"/>
  <c r="J379" i="2"/>
  <c r="G379" i="2" s="1"/>
  <c r="O374" i="3"/>
  <c r="H375" i="4" s="1"/>
  <c r="I374" i="3"/>
  <c r="F375" i="4" s="1"/>
  <c r="U374" i="3"/>
  <c r="J375" i="4" s="1"/>
  <c r="G376" i="4"/>
  <c r="L376" i="4" s="1"/>
  <c r="I376" i="4"/>
  <c r="M376" i="4" s="1"/>
  <c r="K376" i="4"/>
  <c r="N376" i="4" s="1"/>
  <c r="D380" i="2"/>
  <c r="E379" i="2"/>
  <c r="A377" i="4"/>
  <c r="E376" i="3"/>
  <c r="G376" i="3"/>
  <c r="S376" i="3"/>
  <c r="Y376" i="3" s="1"/>
  <c r="Z376" i="3" s="1"/>
  <c r="AA376" i="3" s="1"/>
  <c r="H376" i="3"/>
  <c r="T376" i="3"/>
  <c r="J376" i="3"/>
  <c r="V376" i="3"/>
  <c r="M376" i="3"/>
  <c r="N376" i="3"/>
  <c r="P376" i="3"/>
  <c r="C376" i="3"/>
  <c r="V379" i="2" l="1"/>
  <c r="T378" i="2"/>
  <c r="D377" i="4"/>
  <c r="L380" i="2"/>
  <c r="I379" i="2"/>
  <c r="F379" i="2" s="1"/>
  <c r="A378" i="4"/>
  <c r="N377" i="3"/>
  <c r="C377" i="3"/>
  <c r="P377" i="3"/>
  <c r="E377" i="3"/>
  <c r="G377" i="3"/>
  <c r="S377" i="3"/>
  <c r="Y377" i="3" s="1"/>
  <c r="Z377" i="3" s="1"/>
  <c r="AA377" i="3" s="1"/>
  <c r="H377" i="3"/>
  <c r="T377" i="3"/>
  <c r="J377" i="3"/>
  <c r="V377" i="3"/>
  <c r="M377" i="3"/>
  <c r="C383" i="2"/>
  <c r="K381" i="2"/>
  <c r="H380" i="2"/>
  <c r="F376" i="3"/>
  <c r="D377" i="3"/>
  <c r="G377" i="4"/>
  <c r="L377" i="4" s="1"/>
  <c r="I377" i="4"/>
  <c r="M377" i="4" s="1"/>
  <c r="K377" i="4"/>
  <c r="N377" i="4" s="1"/>
  <c r="C377" i="4"/>
  <c r="AB376" i="3"/>
  <c r="E377" i="4" s="1"/>
  <c r="D381" i="2"/>
  <c r="E380" i="2"/>
  <c r="M381" i="2"/>
  <c r="J380" i="2"/>
  <c r="G380" i="2" s="1"/>
  <c r="I375" i="3"/>
  <c r="F376" i="4" s="1"/>
  <c r="U375" i="3"/>
  <c r="J376" i="4" s="1"/>
  <c r="O375" i="3"/>
  <c r="H376" i="4" s="1"/>
  <c r="V380" i="2" l="1"/>
  <c r="T379" i="2"/>
  <c r="D378" i="4"/>
  <c r="A379" i="4"/>
  <c r="M378" i="3"/>
  <c r="N378" i="3"/>
  <c r="C378" i="3"/>
  <c r="P378" i="3"/>
  <c r="E378" i="3"/>
  <c r="G378" i="3"/>
  <c r="S378" i="3"/>
  <c r="Y378" i="3" s="1"/>
  <c r="Z378" i="3" s="1"/>
  <c r="AA378" i="3" s="1"/>
  <c r="H378" i="3"/>
  <c r="T378" i="3"/>
  <c r="J378" i="3"/>
  <c r="V378" i="3"/>
  <c r="I376" i="3"/>
  <c r="F377" i="4" s="1"/>
  <c r="U376" i="3"/>
  <c r="J377" i="4" s="1"/>
  <c r="O376" i="3"/>
  <c r="H377" i="4" s="1"/>
  <c r="K382" i="2"/>
  <c r="H381" i="2"/>
  <c r="E381" i="2" s="1"/>
  <c r="J381" i="2"/>
  <c r="M382" i="2"/>
  <c r="F377" i="3"/>
  <c r="D378" i="3"/>
  <c r="D382" i="2"/>
  <c r="G381" i="2"/>
  <c r="C384" i="2"/>
  <c r="C378" i="4"/>
  <c r="AB377" i="3"/>
  <c r="E378" i="4" s="1"/>
  <c r="G378" i="4"/>
  <c r="L378" i="4" s="1"/>
  <c r="I378" i="4"/>
  <c r="M378" i="4" s="1"/>
  <c r="K378" i="4"/>
  <c r="N378" i="4" s="1"/>
  <c r="L381" i="2"/>
  <c r="I380" i="2"/>
  <c r="F380" i="2" s="1"/>
  <c r="V381" i="2" l="1"/>
  <c r="T380" i="2"/>
  <c r="D379" i="4"/>
  <c r="F378" i="3"/>
  <c r="D379" i="3"/>
  <c r="A380" i="4"/>
  <c r="H379" i="3"/>
  <c r="T379" i="3"/>
  <c r="J379" i="3"/>
  <c r="V379" i="3"/>
  <c r="M379" i="3"/>
  <c r="N379" i="3"/>
  <c r="C379" i="3"/>
  <c r="P379" i="3"/>
  <c r="E379" i="3"/>
  <c r="G379" i="3"/>
  <c r="S379" i="3"/>
  <c r="Y379" i="3" s="1"/>
  <c r="Z379" i="3" s="1"/>
  <c r="AA379" i="3" s="1"/>
  <c r="M383" i="2"/>
  <c r="J382" i="2"/>
  <c r="G382" i="2" s="1"/>
  <c r="K383" i="2"/>
  <c r="H382" i="2"/>
  <c r="E382" i="2" s="1"/>
  <c r="L382" i="2"/>
  <c r="I381" i="2"/>
  <c r="F381" i="2" s="1"/>
  <c r="O377" i="3"/>
  <c r="H378" i="4" s="1"/>
  <c r="I377" i="3"/>
  <c r="F378" i="4" s="1"/>
  <c r="U377" i="3"/>
  <c r="J378" i="4" s="1"/>
  <c r="C385" i="2"/>
  <c r="C379" i="4"/>
  <c r="AB378" i="3"/>
  <c r="E379" i="4" s="1"/>
  <c r="K379" i="4"/>
  <c r="N379" i="4" s="1"/>
  <c r="G379" i="4"/>
  <c r="L379" i="4" s="1"/>
  <c r="I379" i="4"/>
  <c r="M379" i="4" s="1"/>
  <c r="D383" i="2"/>
  <c r="V382" i="2" l="1"/>
  <c r="T381" i="2"/>
  <c r="D380" i="4"/>
  <c r="C380" i="4"/>
  <c r="AB379" i="3"/>
  <c r="E380" i="4" s="1"/>
  <c r="L383" i="2"/>
  <c r="I382" i="2"/>
  <c r="F382" i="2" s="1"/>
  <c r="I380" i="4"/>
  <c r="M380" i="4" s="1"/>
  <c r="K380" i="4"/>
  <c r="N380" i="4" s="1"/>
  <c r="G380" i="4"/>
  <c r="L380" i="4" s="1"/>
  <c r="D380" i="3"/>
  <c r="F379" i="3"/>
  <c r="H383" i="2"/>
  <c r="E383" i="2" s="1"/>
  <c r="K384" i="2"/>
  <c r="M384" i="2"/>
  <c r="J383" i="2"/>
  <c r="C386" i="2"/>
  <c r="D384" i="2"/>
  <c r="G383" i="2"/>
  <c r="A381" i="4"/>
  <c r="E380" i="3"/>
  <c r="G380" i="3"/>
  <c r="S380" i="3"/>
  <c r="Y380" i="3" s="1"/>
  <c r="Z380" i="3" s="1"/>
  <c r="AA380" i="3" s="1"/>
  <c r="H380" i="3"/>
  <c r="T380" i="3"/>
  <c r="J380" i="3"/>
  <c r="V380" i="3"/>
  <c r="M380" i="3"/>
  <c r="N380" i="3"/>
  <c r="P380" i="3"/>
  <c r="C380" i="3"/>
  <c r="O378" i="3"/>
  <c r="H379" i="4" s="1"/>
  <c r="U378" i="3"/>
  <c r="J379" i="4" s="1"/>
  <c r="I378" i="3"/>
  <c r="F379" i="4" s="1"/>
  <c r="V383" i="2" l="1"/>
  <c r="T382" i="2"/>
  <c r="D381" i="4"/>
  <c r="D385" i="2"/>
  <c r="C387" i="2"/>
  <c r="A382" i="4"/>
  <c r="N381" i="3"/>
  <c r="C381" i="3"/>
  <c r="P381" i="3"/>
  <c r="E381" i="3"/>
  <c r="G381" i="3"/>
  <c r="S381" i="3"/>
  <c r="Y381" i="3" s="1"/>
  <c r="Z381" i="3" s="1"/>
  <c r="AA381" i="3" s="1"/>
  <c r="H381" i="3"/>
  <c r="T381" i="3"/>
  <c r="J381" i="3"/>
  <c r="V381" i="3"/>
  <c r="M381" i="3"/>
  <c r="M385" i="2"/>
  <c r="J384" i="2"/>
  <c r="G384" i="2" s="1"/>
  <c r="I383" i="2"/>
  <c r="F383" i="2" s="1"/>
  <c r="L384" i="2"/>
  <c r="K385" i="2"/>
  <c r="H384" i="2"/>
  <c r="E384" i="2" s="1"/>
  <c r="G381" i="4"/>
  <c r="L381" i="4" s="1"/>
  <c r="I381" i="4"/>
  <c r="M381" i="4" s="1"/>
  <c r="K381" i="4"/>
  <c r="N381" i="4" s="1"/>
  <c r="C381" i="4"/>
  <c r="AB380" i="3"/>
  <c r="E381" i="4" s="1"/>
  <c r="I379" i="3"/>
  <c r="F380" i="4" s="1"/>
  <c r="U379" i="3"/>
  <c r="J380" i="4" s="1"/>
  <c r="O379" i="3"/>
  <c r="H380" i="4" s="1"/>
  <c r="F380" i="3"/>
  <c r="D381" i="3"/>
  <c r="V384" i="2" l="1"/>
  <c r="T383" i="2"/>
  <c r="D382" i="4"/>
  <c r="C382" i="4"/>
  <c r="AB381" i="3"/>
  <c r="E382" i="4" s="1"/>
  <c r="G382" i="4"/>
  <c r="L382" i="4" s="1"/>
  <c r="I382" i="4"/>
  <c r="M382" i="4" s="1"/>
  <c r="K382" i="4"/>
  <c r="N382" i="4" s="1"/>
  <c r="C388" i="2"/>
  <c r="M386" i="2"/>
  <c r="J385" i="2"/>
  <c r="G385" i="2" s="1"/>
  <c r="F381" i="3"/>
  <c r="D382" i="3"/>
  <c r="I380" i="3"/>
  <c r="F381" i="4" s="1"/>
  <c r="U380" i="3"/>
  <c r="J381" i="4" s="1"/>
  <c r="O380" i="3"/>
  <c r="H381" i="4" s="1"/>
  <c r="D386" i="2"/>
  <c r="K386" i="2"/>
  <c r="H385" i="2"/>
  <c r="E385" i="2" s="1"/>
  <c r="A383" i="4"/>
  <c r="M382" i="3"/>
  <c r="N382" i="3"/>
  <c r="C382" i="3"/>
  <c r="P382" i="3"/>
  <c r="E382" i="3"/>
  <c r="G382" i="3"/>
  <c r="S382" i="3"/>
  <c r="Y382" i="3" s="1"/>
  <c r="Z382" i="3" s="1"/>
  <c r="AA382" i="3" s="1"/>
  <c r="H382" i="3"/>
  <c r="T382" i="3"/>
  <c r="J382" i="3"/>
  <c r="V382" i="3"/>
  <c r="L385" i="2"/>
  <c r="I384" i="2"/>
  <c r="F384" i="2" s="1"/>
  <c r="V385" i="2" l="1"/>
  <c r="T384" i="2"/>
  <c r="D383" i="4"/>
  <c r="D387" i="2"/>
  <c r="E386" i="2"/>
  <c r="C383" i="4"/>
  <c r="AB382" i="3"/>
  <c r="E383" i="4" s="1"/>
  <c r="G383" i="4"/>
  <c r="L383" i="4" s="1"/>
  <c r="I383" i="4"/>
  <c r="M383" i="4" s="1"/>
  <c r="K383" i="4"/>
  <c r="N383" i="4" s="1"/>
  <c r="O381" i="3"/>
  <c r="H382" i="4" s="1"/>
  <c r="I381" i="3"/>
  <c r="F382" i="4" s="1"/>
  <c r="U381" i="3"/>
  <c r="J382" i="4" s="1"/>
  <c r="K387" i="2"/>
  <c r="H386" i="2"/>
  <c r="M387" i="2"/>
  <c r="J386" i="2"/>
  <c r="G386" i="2" s="1"/>
  <c r="A384" i="4"/>
  <c r="H383" i="3"/>
  <c r="T383" i="3"/>
  <c r="J383" i="3"/>
  <c r="V383" i="3"/>
  <c r="M383" i="3"/>
  <c r="N383" i="3"/>
  <c r="C383" i="3"/>
  <c r="P383" i="3"/>
  <c r="E383" i="3"/>
  <c r="G383" i="3"/>
  <c r="S383" i="3"/>
  <c r="Y383" i="3" s="1"/>
  <c r="Z383" i="3" s="1"/>
  <c r="AA383" i="3" s="1"/>
  <c r="L386" i="2"/>
  <c r="I385" i="2"/>
  <c r="F385" i="2" s="1"/>
  <c r="F382" i="3"/>
  <c r="D383" i="3"/>
  <c r="C389" i="2"/>
  <c r="V386" i="2" l="1"/>
  <c r="T385" i="2"/>
  <c r="D384" i="4"/>
  <c r="L387" i="2"/>
  <c r="I386" i="2"/>
  <c r="F386" i="2" s="1"/>
  <c r="G384" i="4"/>
  <c r="L384" i="4" s="1"/>
  <c r="I384" i="4"/>
  <c r="M384" i="4" s="1"/>
  <c r="K384" i="4"/>
  <c r="N384" i="4" s="1"/>
  <c r="A385" i="4"/>
  <c r="E384" i="3"/>
  <c r="G384" i="3"/>
  <c r="S384" i="3"/>
  <c r="Y384" i="3" s="1"/>
  <c r="Z384" i="3" s="1"/>
  <c r="AA384" i="3" s="1"/>
  <c r="H384" i="3"/>
  <c r="T384" i="3"/>
  <c r="J384" i="3"/>
  <c r="V384" i="3"/>
  <c r="M384" i="3"/>
  <c r="N384" i="3"/>
  <c r="P384" i="3"/>
  <c r="C384" i="3"/>
  <c r="M388" i="2"/>
  <c r="J387" i="2"/>
  <c r="C384" i="4"/>
  <c r="AB383" i="3"/>
  <c r="E384" i="4" s="1"/>
  <c r="K388" i="2"/>
  <c r="H387" i="2"/>
  <c r="E387" i="2" s="1"/>
  <c r="G387" i="2"/>
  <c r="D388" i="2"/>
  <c r="C390" i="2"/>
  <c r="D384" i="3"/>
  <c r="F383" i="3"/>
  <c r="O382" i="3"/>
  <c r="H383" i="4" s="1"/>
  <c r="I382" i="3"/>
  <c r="F383" i="4" s="1"/>
  <c r="U382" i="3"/>
  <c r="J383" i="4" s="1"/>
  <c r="V387" i="2" l="1"/>
  <c r="T386" i="2"/>
  <c r="D385" i="4"/>
  <c r="J388" i="2"/>
  <c r="G388" i="2" s="1"/>
  <c r="M389" i="2"/>
  <c r="K385" i="4"/>
  <c r="N385" i="4" s="1"/>
  <c r="G385" i="4"/>
  <c r="L385" i="4" s="1"/>
  <c r="I385" i="4"/>
  <c r="M385" i="4" s="1"/>
  <c r="D389" i="2"/>
  <c r="C385" i="4"/>
  <c r="AB384" i="3"/>
  <c r="E385" i="4" s="1"/>
  <c r="L388" i="2"/>
  <c r="I387" i="2"/>
  <c r="F387" i="2" s="1"/>
  <c r="K389" i="2"/>
  <c r="H388" i="2"/>
  <c r="E388" i="2" s="1"/>
  <c r="I383" i="3"/>
  <c r="F384" i="4" s="1"/>
  <c r="U383" i="3"/>
  <c r="J384" i="4" s="1"/>
  <c r="O383" i="3"/>
  <c r="H384" i="4" s="1"/>
  <c r="F384" i="3"/>
  <c r="D385" i="3"/>
  <c r="C391" i="2"/>
  <c r="A386" i="4"/>
  <c r="N385" i="3"/>
  <c r="C385" i="3"/>
  <c r="P385" i="3"/>
  <c r="E385" i="3"/>
  <c r="G385" i="3"/>
  <c r="S385" i="3"/>
  <c r="Y385" i="3" s="1"/>
  <c r="Z385" i="3" s="1"/>
  <c r="AA385" i="3" s="1"/>
  <c r="H385" i="3"/>
  <c r="T385" i="3"/>
  <c r="J385" i="3"/>
  <c r="V385" i="3"/>
  <c r="M385" i="3"/>
  <c r="V388" i="2" l="1"/>
  <c r="T387" i="2"/>
  <c r="D386" i="4"/>
  <c r="K390" i="2"/>
  <c r="H389" i="2"/>
  <c r="A387" i="4"/>
  <c r="M386" i="3"/>
  <c r="N386" i="3"/>
  <c r="C386" i="3"/>
  <c r="P386" i="3"/>
  <c r="E386" i="3"/>
  <c r="G386" i="3"/>
  <c r="S386" i="3"/>
  <c r="Y386" i="3" s="1"/>
  <c r="Z386" i="3" s="1"/>
  <c r="AA386" i="3" s="1"/>
  <c r="H386" i="3"/>
  <c r="T386" i="3"/>
  <c r="J386" i="3"/>
  <c r="V386" i="3"/>
  <c r="D390" i="2"/>
  <c r="E389" i="2"/>
  <c r="I386" i="4"/>
  <c r="M386" i="4" s="1"/>
  <c r="K386" i="4"/>
  <c r="N386" i="4" s="1"/>
  <c r="G386" i="4"/>
  <c r="L386" i="4" s="1"/>
  <c r="C386" i="4"/>
  <c r="AB385" i="3"/>
  <c r="E386" i="4" s="1"/>
  <c r="M390" i="2"/>
  <c r="J389" i="2"/>
  <c r="G389" i="2" s="1"/>
  <c r="C392" i="2"/>
  <c r="F385" i="3"/>
  <c r="D386" i="3"/>
  <c r="I388" i="2"/>
  <c r="F388" i="2" s="1"/>
  <c r="L389" i="2"/>
  <c r="I384" i="3"/>
  <c r="F385" i="4" s="1"/>
  <c r="U384" i="3"/>
  <c r="J385" i="4" s="1"/>
  <c r="O384" i="3"/>
  <c r="H385" i="4" s="1"/>
  <c r="V389" i="2" l="1"/>
  <c r="T388" i="2"/>
  <c r="D387" i="4"/>
  <c r="A388" i="4"/>
  <c r="H387" i="3"/>
  <c r="T387" i="3"/>
  <c r="J387" i="3"/>
  <c r="V387" i="3"/>
  <c r="M387" i="3"/>
  <c r="N387" i="3"/>
  <c r="C387" i="3"/>
  <c r="P387" i="3"/>
  <c r="E387" i="3"/>
  <c r="G387" i="3"/>
  <c r="S387" i="3"/>
  <c r="Y387" i="3" s="1"/>
  <c r="Z387" i="3" s="1"/>
  <c r="AA387" i="3" s="1"/>
  <c r="L390" i="2"/>
  <c r="I389" i="2"/>
  <c r="F389" i="2" s="1"/>
  <c r="F386" i="3"/>
  <c r="D387" i="3"/>
  <c r="O385" i="3"/>
  <c r="H386" i="4" s="1"/>
  <c r="I385" i="3"/>
  <c r="F386" i="4" s="1"/>
  <c r="U385" i="3"/>
  <c r="J386" i="4" s="1"/>
  <c r="C393" i="2"/>
  <c r="D391" i="2"/>
  <c r="M391" i="2"/>
  <c r="J390" i="2"/>
  <c r="G390" i="2" s="1"/>
  <c r="C387" i="4"/>
  <c r="AB386" i="3"/>
  <c r="E387" i="4" s="1"/>
  <c r="G387" i="4"/>
  <c r="L387" i="4" s="1"/>
  <c r="I387" i="4"/>
  <c r="M387" i="4" s="1"/>
  <c r="K387" i="4"/>
  <c r="N387" i="4" s="1"/>
  <c r="H390" i="2"/>
  <c r="E390" i="2" s="1"/>
  <c r="K391" i="2"/>
  <c r="V390" i="2" l="1"/>
  <c r="T389" i="2"/>
  <c r="D388" i="4"/>
  <c r="C388" i="4"/>
  <c r="AB387" i="3"/>
  <c r="E388" i="4" s="1"/>
  <c r="M392" i="2"/>
  <c r="J391" i="2"/>
  <c r="G391" i="2" s="1"/>
  <c r="K392" i="2"/>
  <c r="H391" i="2"/>
  <c r="E391" i="2" s="1"/>
  <c r="O386" i="3"/>
  <c r="H387" i="4" s="1"/>
  <c r="I386" i="3"/>
  <c r="F387" i="4" s="1"/>
  <c r="U386" i="3"/>
  <c r="J387" i="4" s="1"/>
  <c r="L391" i="2"/>
  <c r="I390" i="2"/>
  <c r="F390" i="2" s="1"/>
  <c r="D388" i="3"/>
  <c r="F387" i="3"/>
  <c r="D392" i="2"/>
  <c r="G388" i="4"/>
  <c r="L388" i="4" s="1"/>
  <c r="I388" i="4"/>
  <c r="M388" i="4" s="1"/>
  <c r="K388" i="4"/>
  <c r="N388" i="4" s="1"/>
  <c r="C394" i="2"/>
  <c r="A389" i="4"/>
  <c r="E388" i="3"/>
  <c r="G388" i="3"/>
  <c r="S388" i="3"/>
  <c r="Y388" i="3" s="1"/>
  <c r="Z388" i="3" s="1"/>
  <c r="AA388" i="3" s="1"/>
  <c r="H388" i="3"/>
  <c r="T388" i="3"/>
  <c r="J388" i="3"/>
  <c r="V388" i="3"/>
  <c r="M388" i="3"/>
  <c r="N388" i="3"/>
  <c r="P388" i="3"/>
  <c r="C388" i="3"/>
  <c r="V391" i="2" l="1"/>
  <c r="T390" i="2"/>
  <c r="D389" i="4"/>
  <c r="L392" i="2"/>
  <c r="I391" i="2"/>
  <c r="F391" i="2" s="1"/>
  <c r="A390" i="4"/>
  <c r="N389" i="3"/>
  <c r="C389" i="3"/>
  <c r="P389" i="3"/>
  <c r="E389" i="3"/>
  <c r="G389" i="3"/>
  <c r="S389" i="3"/>
  <c r="Y389" i="3" s="1"/>
  <c r="Z389" i="3" s="1"/>
  <c r="AA389" i="3" s="1"/>
  <c r="H389" i="3"/>
  <c r="T389" i="3"/>
  <c r="J389" i="3"/>
  <c r="V389" i="3"/>
  <c r="M389" i="3"/>
  <c r="K393" i="2"/>
  <c r="H392" i="2"/>
  <c r="G389" i="4"/>
  <c r="L389" i="4" s="1"/>
  <c r="K389" i="4"/>
  <c r="N389" i="4" s="1"/>
  <c r="I389" i="4"/>
  <c r="M389" i="4" s="1"/>
  <c r="D393" i="2"/>
  <c r="E392" i="2"/>
  <c r="M393" i="2"/>
  <c r="J392" i="2"/>
  <c r="G392" i="2" s="1"/>
  <c r="C389" i="4"/>
  <c r="AB388" i="3"/>
  <c r="E389" i="4" s="1"/>
  <c r="C395" i="2"/>
  <c r="I387" i="3"/>
  <c r="F388" i="4" s="1"/>
  <c r="U387" i="3"/>
  <c r="J388" i="4" s="1"/>
  <c r="O387" i="3"/>
  <c r="H388" i="4" s="1"/>
  <c r="F388" i="3"/>
  <c r="D389" i="3"/>
  <c r="V392" i="2" l="1"/>
  <c r="T391" i="2"/>
  <c r="D390" i="4"/>
  <c r="A391" i="4"/>
  <c r="M390" i="3"/>
  <c r="N390" i="3"/>
  <c r="C390" i="3"/>
  <c r="P390" i="3"/>
  <c r="E390" i="3"/>
  <c r="G390" i="3"/>
  <c r="S390" i="3"/>
  <c r="Y390" i="3" s="1"/>
  <c r="Z390" i="3" s="1"/>
  <c r="AA390" i="3" s="1"/>
  <c r="H390" i="3"/>
  <c r="T390" i="3"/>
  <c r="J390" i="3"/>
  <c r="V390" i="3"/>
  <c r="J393" i="2"/>
  <c r="G393" i="2" s="1"/>
  <c r="M394" i="2"/>
  <c r="F389" i="3"/>
  <c r="D390" i="3"/>
  <c r="K394" i="2"/>
  <c r="H393" i="2"/>
  <c r="E393" i="2" s="1"/>
  <c r="C396" i="2"/>
  <c r="I388" i="3"/>
  <c r="F389" i="4" s="1"/>
  <c r="U388" i="3"/>
  <c r="J389" i="4" s="1"/>
  <c r="O388" i="3"/>
  <c r="H389" i="4" s="1"/>
  <c r="C390" i="4"/>
  <c r="AB389" i="3"/>
  <c r="E390" i="4" s="1"/>
  <c r="I390" i="4"/>
  <c r="M390" i="4" s="1"/>
  <c r="G390" i="4"/>
  <c r="L390" i="4" s="1"/>
  <c r="K390" i="4"/>
  <c r="N390" i="4" s="1"/>
  <c r="D394" i="2"/>
  <c r="L393" i="2"/>
  <c r="I392" i="2"/>
  <c r="F392" i="2" s="1"/>
  <c r="V393" i="2" l="1"/>
  <c r="T392" i="2"/>
  <c r="D391" i="4"/>
  <c r="A392" i="4"/>
  <c r="H391" i="3"/>
  <c r="T391" i="3"/>
  <c r="J391" i="3"/>
  <c r="V391" i="3"/>
  <c r="M391" i="3"/>
  <c r="N391" i="3"/>
  <c r="C391" i="3"/>
  <c r="P391" i="3"/>
  <c r="E391" i="3"/>
  <c r="G391" i="3"/>
  <c r="S391" i="3"/>
  <c r="Y391" i="3" s="1"/>
  <c r="Z391" i="3" s="1"/>
  <c r="AA391" i="3" s="1"/>
  <c r="K395" i="2"/>
  <c r="H394" i="2"/>
  <c r="E394" i="2" s="1"/>
  <c r="F390" i="3"/>
  <c r="D391" i="3"/>
  <c r="G394" i="2"/>
  <c r="D395" i="2"/>
  <c r="O389" i="3"/>
  <c r="H390" i="4" s="1"/>
  <c r="I389" i="3"/>
  <c r="F390" i="4" s="1"/>
  <c r="U389" i="3"/>
  <c r="J390" i="4" s="1"/>
  <c r="C397" i="2"/>
  <c r="L394" i="2"/>
  <c r="I393" i="2"/>
  <c r="F393" i="2" s="1"/>
  <c r="M395" i="2"/>
  <c r="J394" i="2"/>
  <c r="C391" i="4"/>
  <c r="AB390" i="3"/>
  <c r="E391" i="4" s="1"/>
  <c r="K391" i="4"/>
  <c r="N391" i="4" s="1"/>
  <c r="G391" i="4"/>
  <c r="L391" i="4" s="1"/>
  <c r="I391" i="4"/>
  <c r="M391" i="4" s="1"/>
  <c r="V394" i="2" l="1"/>
  <c r="T393" i="2"/>
  <c r="D392" i="4"/>
  <c r="D396" i="2"/>
  <c r="M396" i="2"/>
  <c r="J395" i="2"/>
  <c r="G395" i="2" s="1"/>
  <c r="C392" i="4"/>
  <c r="AB391" i="3"/>
  <c r="E392" i="4" s="1"/>
  <c r="L395" i="2"/>
  <c r="I394" i="2"/>
  <c r="F394" i="2" s="1"/>
  <c r="D392" i="3"/>
  <c r="F391" i="3"/>
  <c r="C398" i="2"/>
  <c r="O390" i="3"/>
  <c r="H391" i="4" s="1"/>
  <c r="I390" i="3"/>
  <c r="F391" i="4" s="1"/>
  <c r="U390" i="3"/>
  <c r="J391" i="4" s="1"/>
  <c r="H395" i="2"/>
  <c r="E395" i="2" s="1"/>
  <c r="K396" i="2"/>
  <c r="I392" i="4"/>
  <c r="M392" i="4" s="1"/>
  <c r="K392" i="4"/>
  <c r="N392" i="4" s="1"/>
  <c r="G392" i="4"/>
  <c r="L392" i="4" s="1"/>
  <c r="A393" i="4"/>
  <c r="E392" i="3"/>
  <c r="G392" i="3"/>
  <c r="S392" i="3"/>
  <c r="Y392" i="3" s="1"/>
  <c r="Z392" i="3" s="1"/>
  <c r="AA392" i="3" s="1"/>
  <c r="H392" i="3"/>
  <c r="T392" i="3"/>
  <c r="J392" i="3"/>
  <c r="V392" i="3"/>
  <c r="M392" i="3"/>
  <c r="N392" i="3"/>
  <c r="P392" i="3"/>
  <c r="C392" i="3"/>
  <c r="V395" i="2" l="1"/>
  <c r="T394" i="2"/>
  <c r="D393" i="4"/>
  <c r="K397" i="2"/>
  <c r="H396" i="2"/>
  <c r="M397" i="2"/>
  <c r="J396" i="2"/>
  <c r="I395" i="2"/>
  <c r="F395" i="2" s="1"/>
  <c r="L396" i="2"/>
  <c r="A394" i="4"/>
  <c r="N393" i="3"/>
  <c r="C393" i="3"/>
  <c r="P393" i="3"/>
  <c r="E393" i="3"/>
  <c r="G393" i="3"/>
  <c r="S393" i="3"/>
  <c r="Y393" i="3" s="1"/>
  <c r="Z393" i="3" s="1"/>
  <c r="AA393" i="3" s="1"/>
  <c r="H393" i="3"/>
  <c r="T393" i="3"/>
  <c r="J393" i="3"/>
  <c r="V393" i="3"/>
  <c r="M393" i="3"/>
  <c r="G393" i="4"/>
  <c r="L393" i="4" s="1"/>
  <c r="I393" i="4"/>
  <c r="M393" i="4" s="1"/>
  <c r="K393" i="4"/>
  <c r="N393" i="4" s="1"/>
  <c r="C399" i="2"/>
  <c r="C393" i="4"/>
  <c r="AB392" i="3"/>
  <c r="E393" i="4" s="1"/>
  <c r="I391" i="3"/>
  <c r="F392" i="4" s="1"/>
  <c r="U391" i="3"/>
  <c r="J392" i="4" s="1"/>
  <c r="O391" i="3"/>
  <c r="H392" i="4" s="1"/>
  <c r="G396" i="2"/>
  <c r="D397" i="2"/>
  <c r="E396" i="2"/>
  <c r="F392" i="3"/>
  <c r="D393" i="3"/>
  <c r="V396" i="2" l="1"/>
  <c r="T395" i="2"/>
  <c r="D394" i="4"/>
  <c r="C394" i="4"/>
  <c r="AB393" i="3"/>
  <c r="E394" i="4" s="1"/>
  <c r="G394" i="4"/>
  <c r="L394" i="4" s="1"/>
  <c r="I394" i="4"/>
  <c r="M394" i="4" s="1"/>
  <c r="K394" i="4"/>
  <c r="N394" i="4" s="1"/>
  <c r="L397" i="2"/>
  <c r="I396" i="2"/>
  <c r="F396" i="2" s="1"/>
  <c r="C400" i="2"/>
  <c r="M398" i="2"/>
  <c r="J397" i="2"/>
  <c r="G397" i="2" s="1"/>
  <c r="I392" i="3"/>
  <c r="F393" i="4" s="1"/>
  <c r="U392" i="3"/>
  <c r="J393" i="4" s="1"/>
  <c r="O392" i="3"/>
  <c r="H393" i="4" s="1"/>
  <c r="K398" i="2"/>
  <c r="H397" i="2"/>
  <c r="E397" i="2" s="1"/>
  <c r="D398" i="2"/>
  <c r="A395" i="4"/>
  <c r="M394" i="3"/>
  <c r="N394" i="3"/>
  <c r="C394" i="3"/>
  <c r="P394" i="3"/>
  <c r="E394" i="3"/>
  <c r="G394" i="3"/>
  <c r="S394" i="3"/>
  <c r="Y394" i="3" s="1"/>
  <c r="Z394" i="3" s="1"/>
  <c r="AA394" i="3" s="1"/>
  <c r="H394" i="3"/>
  <c r="T394" i="3"/>
  <c r="J394" i="3"/>
  <c r="V394" i="3"/>
  <c r="F393" i="3"/>
  <c r="D394" i="3"/>
  <c r="V397" i="2" l="1"/>
  <c r="T396" i="2"/>
  <c r="D395" i="4"/>
  <c r="L398" i="2"/>
  <c r="I397" i="2"/>
  <c r="F397" i="2" s="1"/>
  <c r="A396" i="4"/>
  <c r="H395" i="3"/>
  <c r="T395" i="3"/>
  <c r="J395" i="3"/>
  <c r="V395" i="3"/>
  <c r="M395" i="3"/>
  <c r="N395" i="3"/>
  <c r="C395" i="3"/>
  <c r="P395" i="3"/>
  <c r="E395" i="3"/>
  <c r="G395" i="3"/>
  <c r="S395" i="3"/>
  <c r="Y395" i="3" s="1"/>
  <c r="Z395" i="3" s="1"/>
  <c r="AA395" i="3" s="1"/>
  <c r="K399" i="2"/>
  <c r="H398" i="2"/>
  <c r="E398" i="2" s="1"/>
  <c r="C395" i="4"/>
  <c r="AB394" i="3"/>
  <c r="E395" i="4" s="1"/>
  <c r="G395" i="4"/>
  <c r="L395" i="4" s="1"/>
  <c r="K395" i="4"/>
  <c r="N395" i="4" s="1"/>
  <c r="I395" i="4"/>
  <c r="M395" i="4" s="1"/>
  <c r="M399" i="2"/>
  <c r="J398" i="2"/>
  <c r="G398" i="2" s="1"/>
  <c r="F394" i="3"/>
  <c r="D395" i="3"/>
  <c r="C401" i="2"/>
  <c r="D399" i="2"/>
  <c r="O393" i="3"/>
  <c r="H394" i="4" s="1"/>
  <c r="I393" i="3"/>
  <c r="F394" i="4" s="1"/>
  <c r="U393" i="3"/>
  <c r="J394" i="4" s="1"/>
  <c r="V398" i="2" l="1"/>
  <c r="T397" i="2"/>
  <c r="D396" i="4"/>
  <c r="C396" i="4"/>
  <c r="AB395" i="3"/>
  <c r="E396" i="4" s="1"/>
  <c r="D400" i="2"/>
  <c r="E399" i="2"/>
  <c r="C402" i="2"/>
  <c r="D396" i="3"/>
  <c r="F395" i="3"/>
  <c r="K400" i="2"/>
  <c r="H399" i="2"/>
  <c r="I396" i="4"/>
  <c r="M396" i="4" s="1"/>
  <c r="K396" i="4"/>
  <c r="N396" i="4" s="1"/>
  <c r="G396" i="4"/>
  <c r="L396" i="4" s="1"/>
  <c r="O394" i="3"/>
  <c r="H395" i="4" s="1"/>
  <c r="U394" i="3"/>
  <c r="J395" i="4" s="1"/>
  <c r="I394" i="3"/>
  <c r="F395" i="4" s="1"/>
  <c r="M400" i="2"/>
  <c r="J399" i="2"/>
  <c r="G399" i="2" s="1"/>
  <c r="A397" i="4"/>
  <c r="E396" i="3"/>
  <c r="G396" i="3"/>
  <c r="S396" i="3"/>
  <c r="Y396" i="3" s="1"/>
  <c r="Z396" i="3" s="1"/>
  <c r="AA396" i="3" s="1"/>
  <c r="H396" i="3"/>
  <c r="T396" i="3"/>
  <c r="J396" i="3"/>
  <c r="V396" i="3"/>
  <c r="M396" i="3"/>
  <c r="N396" i="3"/>
  <c r="P396" i="3"/>
  <c r="C396" i="3"/>
  <c r="L399" i="2"/>
  <c r="I398" i="2"/>
  <c r="F398" i="2" s="1"/>
  <c r="V399" i="2" l="1"/>
  <c r="T398" i="2"/>
  <c r="D397" i="4"/>
  <c r="D401" i="2"/>
  <c r="C403" i="2"/>
  <c r="A398" i="4"/>
  <c r="N397" i="3"/>
  <c r="C397" i="3"/>
  <c r="P397" i="3"/>
  <c r="E397" i="3"/>
  <c r="G397" i="3"/>
  <c r="S397" i="3"/>
  <c r="Y397" i="3" s="1"/>
  <c r="Z397" i="3" s="1"/>
  <c r="AA397" i="3" s="1"/>
  <c r="H397" i="3"/>
  <c r="T397" i="3"/>
  <c r="J397" i="3"/>
  <c r="V397" i="3"/>
  <c r="M397" i="3"/>
  <c r="L400" i="2"/>
  <c r="I399" i="2"/>
  <c r="F399" i="2" s="1"/>
  <c r="K397" i="4"/>
  <c r="N397" i="4" s="1"/>
  <c r="G397" i="4"/>
  <c r="L397" i="4" s="1"/>
  <c r="I397" i="4"/>
  <c r="M397" i="4" s="1"/>
  <c r="K401" i="2"/>
  <c r="H400" i="2"/>
  <c r="E400" i="2" s="1"/>
  <c r="J400" i="2"/>
  <c r="G400" i="2" s="1"/>
  <c r="M401" i="2"/>
  <c r="I395" i="3"/>
  <c r="F396" i="4" s="1"/>
  <c r="U395" i="3"/>
  <c r="J396" i="4" s="1"/>
  <c r="O395" i="3"/>
  <c r="H396" i="4" s="1"/>
  <c r="C397" i="4"/>
  <c r="AB396" i="3"/>
  <c r="E397" i="4" s="1"/>
  <c r="F396" i="3"/>
  <c r="D397" i="3"/>
  <c r="V400" i="2" l="1"/>
  <c r="T399" i="2"/>
  <c r="D398" i="4"/>
  <c r="M402" i="2"/>
  <c r="J401" i="2"/>
  <c r="C398" i="4"/>
  <c r="AB397" i="3"/>
  <c r="E398" i="4" s="1"/>
  <c r="I398" i="4"/>
  <c r="M398" i="4" s="1"/>
  <c r="K398" i="4"/>
  <c r="N398" i="4" s="1"/>
  <c r="G398" i="4"/>
  <c r="L398" i="4" s="1"/>
  <c r="I400" i="2"/>
  <c r="F400" i="2" s="1"/>
  <c r="L401" i="2"/>
  <c r="C404" i="2"/>
  <c r="A399" i="4"/>
  <c r="M398" i="3"/>
  <c r="N398" i="3"/>
  <c r="C398" i="3"/>
  <c r="P398" i="3"/>
  <c r="E398" i="3"/>
  <c r="G398" i="3"/>
  <c r="S398" i="3"/>
  <c r="Y398" i="3" s="1"/>
  <c r="Z398" i="3" s="1"/>
  <c r="AA398" i="3" s="1"/>
  <c r="H398" i="3"/>
  <c r="T398" i="3"/>
  <c r="J398" i="3"/>
  <c r="V398" i="3"/>
  <c r="K402" i="2"/>
  <c r="H401" i="2"/>
  <c r="E401" i="2" s="1"/>
  <c r="F397" i="3"/>
  <c r="D398" i="3"/>
  <c r="I396" i="3"/>
  <c r="F397" i="4" s="1"/>
  <c r="U396" i="3"/>
  <c r="J397" i="4" s="1"/>
  <c r="O396" i="3"/>
  <c r="H397" i="4" s="1"/>
  <c r="G401" i="2"/>
  <c r="D402" i="2"/>
  <c r="V401" i="2" l="1"/>
  <c r="T400" i="2"/>
  <c r="D399" i="4"/>
  <c r="A400" i="4"/>
  <c r="H399" i="3"/>
  <c r="T399" i="3"/>
  <c r="J399" i="3"/>
  <c r="V399" i="3"/>
  <c r="M399" i="3"/>
  <c r="N399" i="3"/>
  <c r="P399" i="3"/>
  <c r="E399" i="3"/>
  <c r="G399" i="3"/>
  <c r="S399" i="3"/>
  <c r="Y399" i="3" s="1"/>
  <c r="Z399" i="3" s="1"/>
  <c r="AA399" i="3" s="1"/>
  <c r="C399" i="3"/>
  <c r="C399" i="4"/>
  <c r="AB398" i="3"/>
  <c r="E399" i="4" s="1"/>
  <c r="G399" i="4"/>
  <c r="L399" i="4" s="1"/>
  <c r="I399" i="4"/>
  <c r="M399" i="4" s="1"/>
  <c r="K399" i="4"/>
  <c r="N399" i="4" s="1"/>
  <c r="C405" i="2"/>
  <c r="F398" i="3"/>
  <c r="D399" i="3"/>
  <c r="H402" i="2"/>
  <c r="K403" i="2"/>
  <c r="D403" i="2"/>
  <c r="E402" i="2"/>
  <c r="O397" i="3"/>
  <c r="H398" i="4" s="1"/>
  <c r="I397" i="3"/>
  <c r="F398" i="4" s="1"/>
  <c r="U397" i="3"/>
  <c r="J398" i="4" s="1"/>
  <c r="M403" i="2"/>
  <c r="J402" i="2"/>
  <c r="G402" i="2" s="1"/>
  <c r="L402" i="2"/>
  <c r="I401" i="2"/>
  <c r="F401" i="2" s="1"/>
  <c r="V402" i="2" l="1"/>
  <c r="T401" i="2"/>
  <c r="D400" i="4"/>
  <c r="A401" i="4"/>
  <c r="E400" i="3"/>
  <c r="G400" i="3"/>
  <c r="S400" i="3"/>
  <c r="Y400" i="3" s="1"/>
  <c r="Z400" i="3" s="1"/>
  <c r="AA400" i="3" s="1"/>
  <c r="H400" i="3"/>
  <c r="T400" i="3"/>
  <c r="J400" i="3"/>
  <c r="V400" i="3"/>
  <c r="M400" i="3"/>
  <c r="N400" i="3"/>
  <c r="P400" i="3"/>
  <c r="C400" i="3"/>
  <c r="C400" i="4"/>
  <c r="AB399" i="3"/>
  <c r="E400" i="4" s="1"/>
  <c r="G403" i="2"/>
  <c r="D404" i="2"/>
  <c r="K404" i="2"/>
  <c r="H403" i="2"/>
  <c r="E403" i="2" s="1"/>
  <c r="L403" i="2"/>
  <c r="I402" i="2"/>
  <c r="F402" i="2" s="1"/>
  <c r="D400" i="3"/>
  <c r="F399" i="3"/>
  <c r="M404" i="2"/>
  <c r="J403" i="2"/>
  <c r="O398" i="3"/>
  <c r="H399" i="4" s="1"/>
  <c r="I398" i="3"/>
  <c r="F399" i="4" s="1"/>
  <c r="U398" i="3"/>
  <c r="J399" i="4" s="1"/>
  <c r="G400" i="4"/>
  <c r="L400" i="4" s="1"/>
  <c r="I400" i="4"/>
  <c r="M400" i="4" s="1"/>
  <c r="K400" i="4"/>
  <c r="N400" i="4" s="1"/>
  <c r="C406" i="2"/>
  <c r="V403" i="2" l="1"/>
  <c r="T402" i="2"/>
  <c r="D401" i="4"/>
  <c r="C401" i="4"/>
  <c r="AB400" i="3"/>
  <c r="E401" i="4" s="1"/>
  <c r="K405" i="2"/>
  <c r="H404" i="2"/>
  <c r="E404" i="2" s="1"/>
  <c r="M405" i="2"/>
  <c r="J404" i="2"/>
  <c r="A402" i="4"/>
  <c r="N401" i="3"/>
  <c r="C401" i="3"/>
  <c r="P401" i="3"/>
  <c r="E401" i="3"/>
  <c r="G401" i="3"/>
  <c r="S401" i="3"/>
  <c r="Y401" i="3" s="1"/>
  <c r="Z401" i="3" s="1"/>
  <c r="AA401" i="3" s="1"/>
  <c r="H401" i="3"/>
  <c r="T401" i="3"/>
  <c r="J401" i="3"/>
  <c r="V401" i="3"/>
  <c r="M401" i="3"/>
  <c r="G404" i="2"/>
  <c r="D405" i="2"/>
  <c r="C407" i="2"/>
  <c r="I399" i="3"/>
  <c r="F400" i="4" s="1"/>
  <c r="U399" i="3"/>
  <c r="J400" i="4" s="1"/>
  <c r="O399" i="3"/>
  <c r="H400" i="4" s="1"/>
  <c r="F400" i="3"/>
  <c r="D401" i="3"/>
  <c r="G401" i="4"/>
  <c r="L401" i="4" s="1"/>
  <c r="K401" i="4"/>
  <c r="N401" i="4" s="1"/>
  <c r="I401" i="4"/>
  <c r="M401" i="4" s="1"/>
  <c r="L404" i="2"/>
  <c r="I403" i="2"/>
  <c r="F403" i="2" s="1"/>
  <c r="V404" i="2" l="1"/>
  <c r="T403" i="2"/>
  <c r="D402" i="4"/>
  <c r="F401" i="3"/>
  <c r="D402" i="3"/>
  <c r="I400" i="3"/>
  <c r="F401" i="4" s="1"/>
  <c r="U400" i="3"/>
  <c r="J401" i="4" s="1"/>
  <c r="O400" i="3"/>
  <c r="H401" i="4" s="1"/>
  <c r="C402" i="4"/>
  <c r="AB401" i="3"/>
  <c r="E402" i="4" s="1"/>
  <c r="I402" i="4"/>
  <c r="M402" i="4" s="1"/>
  <c r="G402" i="4"/>
  <c r="L402" i="4" s="1"/>
  <c r="K402" i="4"/>
  <c r="N402" i="4" s="1"/>
  <c r="D406" i="2"/>
  <c r="J405" i="2"/>
  <c r="G405" i="2" s="1"/>
  <c r="M406" i="2"/>
  <c r="K406" i="2"/>
  <c r="H405" i="2"/>
  <c r="E405" i="2" s="1"/>
  <c r="L405" i="2"/>
  <c r="I404" i="2"/>
  <c r="F404" i="2" s="1"/>
  <c r="C408" i="2"/>
  <c r="A403" i="4"/>
  <c r="M402" i="3"/>
  <c r="N402" i="3"/>
  <c r="C402" i="3"/>
  <c r="P402" i="3"/>
  <c r="E402" i="3"/>
  <c r="G402" i="3"/>
  <c r="S402" i="3"/>
  <c r="Y402" i="3" s="1"/>
  <c r="Z402" i="3" s="1"/>
  <c r="AA402" i="3" s="1"/>
  <c r="H402" i="3"/>
  <c r="T402" i="3"/>
  <c r="J402" i="3"/>
  <c r="V402" i="3"/>
  <c r="V405" i="2" l="1"/>
  <c r="T404" i="2"/>
  <c r="D403" i="4"/>
  <c r="A404" i="4"/>
  <c r="H403" i="3"/>
  <c r="T403" i="3"/>
  <c r="J403" i="3"/>
  <c r="V403" i="3"/>
  <c r="M403" i="3"/>
  <c r="P403" i="3"/>
  <c r="E403" i="3"/>
  <c r="G403" i="3"/>
  <c r="S403" i="3"/>
  <c r="Y403" i="3" s="1"/>
  <c r="Z403" i="3" s="1"/>
  <c r="AA403" i="3" s="1"/>
  <c r="C403" i="3"/>
  <c r="N403" i="3"/>
  <c r="M407" i="2"/>
  <c r="J406" i="2"/>
  <c r="G406" i="2" s="1"/>
  <c r="C403" i="4"/>
  <c r="AB402" i="3"/>
  <c r="E403" i="4" s="1"/>
  <c r="K403" i="4"/>
  <c r="N403" i="4" s="1"/>
  <c r="G403" i="4"/>
  <c r="L403" i="4" s="1"/>
  <c r="I403" i="4"/>
  <c r="M403" i="4" s="1"/>
  <c r="K407" i="2"/>
  <c r="H406" i="2"/>
  <c r="E406" i="2" s="1"/>
  <c r="D407" i="2"/>
  <c r="D403" i="3"/>
  <c r="F402" i="3"/>
  <c r="C409" i="2"/>
  <c r="O401" i="3"/>
  <c r="H402" i="4" s="1"/>
  <c r="I401" i="3"/>
  <c r="F402" i="4" s="1"/>
  <c r="U401" i="3"/>
  <c r="J402" i="4" s="1"/>
  <c r="L406" i="2"/>
  <c r="I405" i="2"/>
  <c r="F405" i="2" s="1"/>
  <c r="V406" i="2" l="1"/>
  <c r="T405" i="2"/>
  <c r="D404" i="4"/>
  <c r="A405" i="4"/>
  <c r="E404" i="3"/>
  <c r="G404" i="3"/>
  <c r="S404" i="3"/>
  <c r="Y404" i="3" s="1"/>
  <c r="Z404" i="3" s="1"/>
  <c r="AA404" i="3" s="1"/>
  <c r="H404" i="3"/>
  <c r="T404" i="3"/>
  <c r="J404" i="3"/>
  <c r="V404" i="3"/>
  <c r="M404" i="3"/>
  <c r="N404" i="3"/>
  <c r="P404" i="3"/>
  <c r="C404" i="3"/>
  <c r="C410" i="2"/>
  <c r="C404" i="4"/>
  <c r="AB403" i="3"/>
  <c r="E404" i="4" s="1"/>
  <c r="O402" i="3"/>
  <c r="H403" i="4" s="1"/>
  <c r="I402" i="3"/>
  <c r="F403" i="4" s="1"/>
  <c r="U402" i="3"/>
  <c r="J403" i="4" s="1"/>
  <c r="D408" i="2"/>
  <c r="D404" i="3"/>
  <c r="F403" i="3"/>
  <c r="L407" i="2"/>
  <c r="I406" i="2"/>
  <c r="F406" i="2" s="1"/>
  <c r="M408" i="2"/>
  <c r="J407" i="2"/>
  <c r="G407" i="2" s="1"/>
  <c r="I404" i="4"/>
  <c r="M404" i="4" s="1"/>
  <c r="K404" i="4"/>
  <c r="N404" i="4" s="1"/>
  <c r="G404" i="4"/>
  <c r="L404" i="4" s="1"/>
  <c r="H407" i="2"/>
  <c r="E407" i="2" s="1"/>
  <c r="K408" i="2"/>
  <c r="V407" i="2" l="1"/>
  <c r="T406" i="2"/>
  <c r="D405" i="4"/>
  <c r="D409" i="2"/>
  <c r="E408" i="2"/>
  <c r="C405" i="4"/>
  <c r="AB404" i="3"/>
  <c r="E405" i="4" s="1"/>
  <c r="M409" i="2"/>
  <c r="J408" i="2"/>
  <c r="G408" i="2" s="1"/>
  <c r="I407" i="2"/>
  <c r="F407" i="2" s="1"/>
  <c r="L408" i="2"/>
  <c r="K409" i="2"/>
  <c r="H408" i="2"/>
  <c r="I403" i="3"/>
  <c r="F404" i="4" s="1"/>
  <c r="U403" i="3"/>
  <c r="J404" i="4" s="1"/>
  <c r="O403" i="3"/>
  <c r="H404" i="4" s="1"/>
  <c r="F404" i="3"/>
  <c r="D405" i="3"/>
  <c r="C411" i="2"/>
  <c r="A406" i="4"/>
  <c r="N405" i="3"/>
  <c r="C405" i="3"/>
  <c r="P405" i="3"/>
  <c r="E405" i="3"/>
  <c r="G405" i="3"/>
  <c r="S405" i="3"/>
  <c r="Y405" i="3" s="1"/>
  <c r="Z405" i="3" s="1"/>
  <c r="AA405" i="3" s="1"/>
  <c r="J405" i="3"/>
  <c r="V405" i="3"/>
  <c r="M405" i="3"/>
  <c r="H405" i="3"/>
  <c r="T405" i="3"/>
  <c r="G405" i="4"/>
  <c r="L405" i="4" s="1"/>
  <c r="I405" i="4"/>
  <c r="M405" i="4" s="1"/>
  <c r="K405" i="4"/>
  <c r="N405" i="4" s="1"/>
  <c r="V408" i="2" l="1"/>
  <c r="T407" i="2"/>
  <c r="D406" i="4"/>
  <c r="C412" i="2"/>
  <c r="A407" i="4"/>
  <c r="M406" i="3"/>
  <c r="C406" i="3"/>
  <c r="P406" i="3"/>
  <c r="G406" i="3"/>
  <c r="S406" i="3"/>
  <c r="Y406" i="3" s="1"/>
  <c r="Z406" i="3" s="1"/>
  <c r="AA406" i="3" s="1"/>
  <c r="J406" i="3"/>
  <c r="V406" i="3"/>
  <c r="H406" i="3"/>
  <c r="N406" i="3"/>
  <c r="T406" i="3"/>
  <c r="E406" i="3"/>
  <c r="G406" i="4"/>
  <c r="L406" i="4" s="1"/>
  <c r="I406" i="4"/>
  <c r="M406" i="4" s="1"/>
  <c r="K406" i="4"/>
  <c r="N406" i="4" s="1"/>
  <c r="M410" i="2"/>
  <c r="J409" i="2"/>
  <c r="G409" i="2" s="1"/>
  <c r="C406" i="4"/>
  <c r="AB405" i="3"/>
  <c r="E406" i="4" s="1"/>
  <c r="F405" i="3"/>
  <c r="D406" i="3"/>
  <c r="I404" i="3"/>
  <c r="F405" i="4" s="1"/>
  <c r="U404" i="3"/>
  <c r="J405" i="4" s="1"/>
  <c r="O404" i="3"/>
  <c r="H405" i="4" s="1"/>
  <c r="D410" i="2"/>
  <c r="K410" i="2"/>
  <c r="H409" i="2"/>
  <c r="E409" i="2" s="1"/>
  <c r="L409" i="2"/>
  <c r="I408" i="2"/>
  <c r="F408" i="2" s="1"/>
  <c r="V409" i="2" l="1"/>
  <c r="T408" i="2"/>
  <c r="D407" i="4"/>
  <c r="D411" i="2"/>
  <c r="C407" i="4"/>
  <c r="AB406" i="3"/>
  <c r="E407" i="4" s="1"/>
  <c r="D407" i="3"/>
  <c r="F406" i="3"/>
  <c r="A408" i="4"/>
  <c r="H407" i="3"/>
  <c r="T407" i="3"/>
  <c r="J407" i="3"/>
  <c r="V407" i="3"/>
  <c r="M407" i="3"/>
  <c r="P407" i="3"/>
  <c r="G407" i="3"/>
  <c r="S407" i="3"/>
  <c r="Y407" i="3" s="1"/>
  <c r="Z407" i="3" s="1"/>
  <c r="AA407" i="3" s="1"/>
  <c r="C407" i="3"/>
  <c r="E407" i="3"/>
  <c r="N407" i="3"/>
  <c r="G407" i="4"/>
  <c r="L407" i="4" s="1"/>
  <c r="K407" i="4"/>
  <c r="N407" i="4" s="1"/>
  <c r="I407" i="4"/>
  <c r="M407" i="4" s="1"/>
  <c r="L410" i="2"/>
  <c r="I409" i="2"/>
  <c r="F409" i="2" s="1"/>
  <c r="O405" i="3"/>
  <c r="H406" i="4" s="1"/>
  <c r="I405" i="3"/>
  <c r="F406" i="4" s="1"/>
  <c r="U405" i="3"/>
  <c r="J406" i="4" s="1"/>
  <c r="C413" i="2"/>
  <c r="K411" i="2"/>
  <c r="H410" i="2"/>
  <c r="E410" i="2" s="1"/>
  <c r="M411" i="2"/>
  <c r="J410" i="2"/>
  <c r="G410" i="2" s="1"/>
  <c r="V410" i="2" l="1"/>
  <c r="T409" i="2"/>
  <c r="D408" i="4"/>
  <c r="O406" i="3"/>
  <c r="H407" i="4" s="1"/>
  <c r="I406" i="3"/>
  <c r="F407" i="4" s="1"/>
  <c r="U406" i="3"/>
  <c r="J407" i="4" s="1"/>
  <c r="D408" i="3"/>
  <c r="F407" i="3"/>
  <c r="M412" i="2"/>
  <c r="J411" i="2"/>
  <c r="C414" i="2"/>
  <c r="A409" i="4"/>
  <c r="E408" i="3"/>
  <c r="G408" i="3"/>
  <c r="S408" i="3"/>
  <c r="Y408" i="3" s="1"/>
  <c r="Z408" i="3" s="1"/>
  <c r="AA408" i="3" s="1"/>
  <c r="J408" i="3"/>
  <c r="V408" i="3"/>
  <c r="M408" i="3"/>
  <c r="P408" i="3"/>
  <c r="C408" i="3"/>
  <c r="H408" i="3"/>
  <c r="N408" i="3"/>
  <c r="T408" i="3"/>
  <c r="I408" i="4"/>
  <c r="M408" i="4" s="1"/>
  <c r="G408" i="4"/>
  <c r="L408" i="4" s="1"/>
  <c r="K408" i="4"/>
  <c r="N408" i="4" s="1"/>
  <c r="L411" i="2"/>
  <c r="I410" i="2"/>
  <c r="F410" i="2" s="1"/>
  <c r="C408" i="4"/>
  <c r="AB407" i="3"/>
  <c r="E408" i="4" s="1"/>
  <c r="K412" i="2"/>
  <c r="H411" i="2"/>
  <c r="G411" i="2"/>
  <c r="D412" i="2"/>
  <c r="E411" i="2"/>
  <c r="V411" i="2" l="1"/>
  <c r="T410" i="2"/>
  <c r="D409" i="4"/>
  <c r="K413" i="2"/>
  <c r="H412" i="2"/>
  <c r="C415" i="2"/>
  <c r="L412" i="2"/>
  <c r="I411" i="2"/>
  <c r="F411" i="2" s="1"/>
  <c r="C409" i="4"/>
  <c r="AB408" i="3"/>
  <c r="E409" i="4" s="1"/>
  <c r="J412" i="2"/>
  <c r="G412" i="2" s="1"/>
  <c r="M413" i="2"/>
  <c r="I407" i="3"/>
  <c r="F408" i="4" s="1"/>
  <c r="U407" i="3"/>
  <c r="J408" i="4" s="1"/>
  <c r="O407" i="3"/>
  <c r="H408" i="4" s="1"/>
  <c r="F408" i="3"/>
  <c r="D409" i="3"/>
  <c r="A410" i="4"/>
  <c r="N409" i="3"/>
  <c r="C409" i="3"/>
  <c r="P409" i="3"/>
  <c r="G409" i="3"/>
  <c r="S409" i="3"/>
  <c r="Y409" i="3" s="1"/>
  <c r="Z409" i="3" s="1"/>
  <c r="AA409" i="3" s="1"/>
  <c r="J409" i="3"/>
  <c r="V409" i="3"/>
  <c r="M409" i="3"/>
  <c r="E409" i="3"/>
  <c r="H409" i="3"/>
  <c r="T409" i="3"/>
  <c r="D413" i="2"/>
  <c r="E412" i="2"/>
  <c r="K409" i="4"/>
  <c r="N409" i="4" s="1"/>
  <c r="G409" i="4"/>
  <c r="L409" i="4" s="1"/>
  <c r="I409" i="4"/>
  <c r="M409" i="4" s="1"/>
  <c r="V412" i="2" l="1"/>
  <c r="T411" i="2"/>
  <c r="D410" i="4"/>
  <c r="I412" i="2"/>
  <c r="F412" i="2" s="1"/>
  <c r="L413" i="2"/>
  <c r="D414" i="2"/>
  <c r="A411" i="4"/>
  <c r="M410" i="3"/>
  <c r="C410" i="3"/>
  <c r="P410" i="3"/>
  <c r="G410" i="3"/>
  <c r="S410" i="3"/>
  <c r="Y410" i="3" s="1"/>
  <c r="Z410" i="3" s="1"/>
  <c r="AA410" i="3" s="1"/>
  <c r="J410" i="3"/>
  <c r="V410" i="3"/>
  <c r="H410" i="3"/>
  <c r="N410" i="3"/>
  <c r="T410" i="3"/>
  <c r="E410" i="3"/>
  <c r="I410" i="4"/>
  <c r="M410" i="4" s="1"/>
  <c r="K410" i="4"/>
  <c r="N410" i="4" s="1"/>
  <c r="G410" i="4"/>
  <c r="L410" i="4" s="1"/>
  <c r="F409" i="3"/>
  <c r="D410" i="3"/>
  <c r="I408" i="3"/>
  <c r="F409" i="4" s="1"/>
  <c r="U408" i="3"/>
  <c r="J409" i="4" s="1"/>
  <c r="O408" i="3"/>
  <c r="H409" i="4" s="1"/>
  <c r="C416" i="2"/>
  <c r="C410" i="4"/>
  <c r="AB409" i="3"/>
  <c r="E410" i="4" s="1"/>
  <c r="K414" i="2"/>
  <c r="H413" i="2"/>
  <c r="E413" i="2" s="1"/>
  <c r="M414" i="2"/>
  <c r="J413" i="2"/>
  <c r="G413" i="2" s="1"/>
  <c r="V413" i="2" l="1"/>
  <c r="T412" i="2"/>
  <c r="D411" i="4"/>
  <c r="C411" i="4"/>
  <c r="AB410" i="3"/>
  <c r="E411" i="4" s="1"/>
  <c r="G411" i="4"/>
  <c r="L411" i="4" s="1"/>
  <c r="K411" i="4"/>
  <c r="N411" i="4" s="1"/>
  <c r="I411" i="4"/>
  <c r="M411" i="4" s="1"/>
  <c r="H414" i="2"/>
  <c r="E414" i="2" s="1"/>
  <c r="K415" i="2"/>
  <c r="C417" i="2"/>
  <c r="A412" i="4"/>
  <c r="H411" i="3"/>
  <c r="T411" i="3"/>
  <c r="J411" i="3"/>
  <c r="V411" i="3"/>
  <c r="M411" i="3"/>
  <c r="P411" i="3"/>
  <c r="G411" i="3"/>
  <c r="S411" i="3"/>
  <c r="Y411" i="3" s="1"/>
  <c r="Z411" i="3" s="1"/>
  <c r="AA411" i="3" s="1"/>
  <c r="C411" i="3"/>
  <c r="E411" i="3"/>
  <c r="N411" i="3"/>
  <c r="D415" i="2"/>
  <c r="D411" i="3"/>
  <c r="F410" i="3"/>
  <c r="M415" i="2"/>
  <c r="J414" i="2"/>
  <c r="G414" i="2" s="1"/>
  <c r="O409" i="3"/>
  <c r="H410" i="4" s="1"/>
  <c r="I409" i="3"/>
  <c r="F410" i="4" s="1"/>
  <c r="U409" i="3"/>
  <c r="J410" i="4" s="1"/>
  <c r="L414" i="2"/>
  <c r="I413" i="2"/>
  <c r="F413" i="2" s="1"/>
  <c r="V414" i="2" l="1"/>
  <c r="T413" i="2"/>
  <c r="D412" i="4"/>
  <c r="C412" i="4"/>
  <c r="AB411" i="3"/>
  <c r="E412" i="4" s="1"/>
  <c r="O410" i="3"/>
  <c r="H411" i="4" s="1"/>
  <c r="I410" i="3"/>
  <c r="F411" i="4" s="1"/>
  <c r="U410" i="3"/>
  <c r="J411" i="4" s="1"/>
  <c r="I412" i="4"/>
  <c r="M412" i="4" s="1"/>
  <c r="G412" i="4"/>
  <c r="L412" i="4" s="1"/>
  <c r="K412" i="4"/>
  <c r="N412" i="4" s="1"/>
  <c r="M416" i="2"/>
  <c r="J415" i="2"/>
  <c r="K416" i="2"/>
  <c r="H415" i="2"/>
  <c r="G415" i="2"/>
  <c r="D416" i="2"/>
  <c r="E415" i="2"/>
  <c r="A413" i="4"/>
  <c r="G412" i="3"/>
  <c r="S412" i="3"/>
  <c r="Y412" i="3" s="1"/>
  <c r="Z412" i="3" s="1"/>
  <c r="AA412" i="3" s="1"/>
  <c r="J412" i="3"/>
  <c r="V412" i="3"/>
  <c r="M412" i="3"/>
  <c r="P412" i="3"/>
  <c r="T412" i="3"/>
  <c r="C412" i="3"/>
  <c r="E412" i="3"/>
  <c r="H412" i="3"/>
  <c r="N412" i="3"/>
  <c r="C418" i="2"/>
  <c r="L415" i="2"/>
  <c r="I414" i="2"/>
  <c r="F414" i="2" s="1"/>
  <c r="D412" i="3"/>
  <c r="F411" i="3"/>
  <c r="V415" i="2" l="1"/>
  <c r="T414" i="2"/>
  <c r="D413" i="4"/>
  <c r="G413" i="4"/>
  <c r="L413" i="4" s="1"/>
  <c r="K413" i="4"/>
  <c r="N413" i="4" s="1"/>
  <c r="I413" i="4"/>
  <c r="M413" i="4" s="1"/>
  <c r="D417" i="2"/>
  <c r="C419" i="2"/>
  <c r="A414" i="4"/>
  <c r="P413" i="3"/>
  <c r="J413" i="3"/>
  <c r="V413" i="3"/>
  <c r="M413" i="3"/>
  <c r="N413" i="3"/>
  <c r="S413" i="3"/>
  <c r="Y413" i="3" s="1"/>
  <c r="Z413" i="3" s="1"/>
  <c r="AA413" i="3" s="1"/>
  <c r="T413" i="3"/>
  <c r="C413" i="3"/>
  <c r="E413" i="3"/>
  <c r="G413" i="3"/>
  <c r="H413" i="3"/>
  <c r="I411" i="3"/>
  <c r="F412" i="4" s="1"/>
  <c r="O411" i="3"/>
  <c r="H412" i="4" s="1"/>
  <c r="U411" i="3"/>
  <c r="J412" i="4" s="1"/>
  <c r="C413" i="4"/>
  <c r="AB412" i="3"/>
  <c r="E413" i="4" s="1"/>
  <c r="K417" i="2"/>
  <c r="H416" i="2"/>
  <c r="E416" i="2" s="1"/>
  <c r="D413" i="3"/>
  <c r="F412" i="3"/>
  <c r="L416" i="2"/>
  <c r="I415" i="2"/>
  <c r="F415" i="2" s="1"/>
  <c r="M417" i="2"/>
  <c r="J416" i="2"/>
  <c r="G416" i="2" s="1"/>
  <c r="V416" i="2" l="1"/>
  <c r="T415" i="2"/>
  <c r="D414" i="4"/>
  <c r="D418" i="2"/>
  <c r="K418" i="2"/>
  <c r="H417" i="2"/>
  <c r="E417" i="2" s="1"/>
  <c r="A415" i="4"/>
  <c r="M414" i="3"/>
  <c r="C414" i="3"/>
  <c r="G414" i="3"/>
  <c r="J414" i="3"/>
  <c r="V414" i="3"/>
  <c r="S414" i="3"/>
  <c r="Y414" i="3" s="1"/>
  <c r="Z414" i="3" s="1"/>
  <c r="AA414" i="3" s="1"/>
  <c r="T414" i="3"/>
  <c r="E414" i="3"/>
  <c r="H414" i="3"/>
  <c r="N414" i="3"/>
  <c r="P414" i="3"/>
  <c r="C414" i="4"/>
  <c r="AB413" i="3"/>
  <c r="E414" i="4" s="1"/>
  <c r="J417" i="2"/>
  <c r="G417" i="2" s="1"/>
  <c r="M418" i="2"/>
  <c r="I414" i="4"/>
  <c r="M414" i="4" s="1"/>
  <c r="G414" i="4"/>
  <c r="L414" i="4" s="1"/>
  <c r="K414" i="4"/>
  <c r="N414" i="4" s="1"/>
  <c r="C420" i="2"/>
  <c r="L417" i="2"/>
  <c r="I416" i="2"/>
  <c r="F416" i="2" s="1"/>
  <c r="I412" i="3"/>
  <c r="F413" i="4" s="1"/>
  <c r="U412" i="3"/>
  <c r="J413" i="4" s="1"/>
  <c r="O412" i="3"/>
  <c r="H413" i="4" s="1"/>
  <c r="F413" i="3"/>
  <c r="D414" i="3"/>
  <c r="V417" i="2" l="1"/>
  <c r="T416" i="2"/>
  <c r="D415" i="4"/>
  <c r="C415" i="4"/>
  <c r="AB414" i="3"/>
  <c r="E415" i="4" s="1"/>
  <c r="K415" i="4"/>
  <c r="N415" i="4" s="1"/>
  <c r="G415" i="4"/>
  <c r="L415" i="4" s="1"/>
  <c r="I415" i="4"/>
  <c r="M415" i="4" s="1"/>
  <c r="C421" i="2"/>
  <c r="I413" i="3"/>
  <c r="F414" i="4" s="1"/>
  <c r="O413" i="3"/>
  <c r="H414" i="4" s="1"/>
  <c r="U413" i="3"/>
  <c r="J414" i="4" s="1"/>
  <c r="A416" i="4"/>
  <c r="J415" i="3"/>
  <c r="V415" i="3"/>
  <c r="G415" i="3"/>
  <c r="S415" i="3"/>
  <c r="Y415" i="3" s="1"/>
  <c r="Z415" i="3" s="1"/>
  <c r="AA415" i="3" s="1"/>
  <c r="H415" i="3"/>
  <c r="M415" i="3"/>
  <c r="N415" i="3"/>
  <c r="P415" i="3"/>
  <c r="C415" i="3"/>
  <c r="T415" i="3"/>
  <c r="E415" i="3"/>
  <c r="K419" i="2"/>
  <c r="H418" i="2"/>
  <c r="E418" i="2" s="1"/>
  <c r="L418" i="2"/>
  <c r="I417" i="2"/>
  <c r="F417" i="2" s="1"/>
  <c r="F414" i="3"/>
  <c r="D415" i="3"/>
  <c r="D419" i="2"/>
  <c r="M419" i="2"/>
  <c r="J418" i="2"/>
  <c r="G418" i="2" s="1"/>
  <c r="V418" i="2" l="1"/>
  <c r="T417" i="2"/>
  <c r="D416" i="4"/>
  <c r="C416" i="4"/>
  <c r="AB415" i="3"/>
  <c r="E416" i="4" s="1"/>
  <c r="G416" i="4"/>
  <c r="L416" i="4" s="1"/>
  <c r="I416" i="4"/>
  <c r="M416" i="4" s="1"/>
  <c r="K416" i="4"/>
  <c r="N416" i="4" s="1"/>
  <c r="D416" i="3"/>
  <c r="F415" i="3"/>
  <c r="H419" i="2"/>
  <c r="E419" i="2" s="1"/>
  <c r="K420" i="2"/>
  <c r="D420" i="2"/>
  <c r="O414" i="3"/>
  <c r="H415" i="4" s="1"/>
  <c r="U414" i="3"/>
  <c r="J415" i="4" s="1"/>
  <c r="I414" i="3"/>
  <c r="F415" i="4" s="1"/>
  <c r="L419" i="2"/>
  <c r="I418" i="2"/>
  <c r="F418" i="2" s="1"/>
  <c r="M420" i="2"/>
  <c r="J419" i="2"/>
  <c r="G419" i="2" s="1"/>
  <c r="A417" i="4"/>
  <c r="G416" i="3"/>
  <c r="S416" i="3"/>
  <c r="Y416" i="3" s="1"/>
  <c r="Z416" i="3" s="1"/>
  <c r="AA416" i="3" s="1"/>
  <c r="P416" i="3"/>
  <c r="M416" i="3"/>
  <c r="N416" i="3"/>
  <c r="C416" i="3"/>
  <c r="E416" i="3"/>
  <c r="T416" i="3"/>
  <c r="H416" i="3"/>
  <c r="V416" i="3"/>
  <c r="J416" i="3"/>
  <c r="C422" i="2"/>
  <c r="V419" i="2" l="1"/>
  <c r="T418" i="2"/>
  <c r="D417" i="4"/>
  <c r="I415" i="3"/>
  <c r="F416" i="4" s="1"/>
  <c r="O415" i="3"/>
  <c r="H416" i="4" s="1"/>
  <c r="U415" i="3"/>
  <c r="J416" i="4" s="1"/>
  <c r="I419" i="2"/>
  <c r="F419" i="2" s="1"/>
  <c r="L420" i="2"/>
  <c r="D417" i="3"/>
  <c r="F416" i="3"/>
  <c r="C423" i="2"/>
  <c r="A418" i="4"/>
  <c r="P417" i="3"/>
  <c r="M417" i="3"/>
  <c r="N417" i="3"/>
  <c r="C417" i="3"/>
  <c r="E417" i="3"/>
  <c r="S417" i="3"/>
  <c r="Y417" i="3" s="1"/>
  <c r="Z417" i="3" s="1"/>
  <c r="AA417" i="3" s="1"/>
  <c r="G417" i="3"/>
  <c r="T417" i="3"/>
  <c r="H417" i="3"/>
  <c r="V417" i="3"/>
  <c r="J417" i="3"/>
  <c r="C417" i="4"/>
  <c r="AB416" i="3"/>
  <c r="E417" i="4" s="1"/>
  <c r="G417" i="4"/>
  <c r="L417" i="4" s="1"/>
  <c r="I417" i="4"/>
  <c r="M417" i="4" s="1"/>
  <c r="K417" i="4"/>
  <c r="N417" i="4" s="1"/>
  <c r="D421" i="2"/>
  <c r="K421" i="2"/>
  <c r="H420" i="2"/>
  <c r="E420" i="2" s="1"/>
  <c r="M421" i="2"/>
  <c r="J420" i="2"/>
  <c r="G420" i="2" s="1"/>
  <c r="V420" i="2" l="1"/>
  <c r="T419" i="2"/>
  <c r="D418" i="4"/>
  <c r="C424" i="2"/>
  <c r="O416" i="3"/>
  <c r="H417" i="4" s="1"/>
  <c r="U416" i="3"/>
  <c r="J417" i="4" s="1"/>
  <c r="I416" i="3"/>
  <c r="F417" i="4" s="1"/>
  <c r="D418" i="3"/>
  <c r="F417" i="3"/>
  <c r="L421" i="2"/>
  <c r="I420" i="2"/>
  <c r="F420" i="2" s="1"/>
  <c r="D422" i="2"/>
  <c r="M422" i="2"/>
  <c r="J421" i="2"/>
  <c r="G421" i="2" s="1"/>
  <c r="A419" i="4"/>
  <c r="J418" i="3"/>
  <c r="V418" i="3"/>
  <c r="M418" i="3"/>
  <c r="N418" i="3"/>
  <c r="C418" i="3"/>
  <c r="P418" i="3"/>
  <c r="E418" i="3"/>
  <c r="G418" i="3"/>
  <c r="S418" i="3"/>
  <c r="Y418" i="3" s="1"/>
  <c r="Z418" i="3" s="1"/>
  <c r="AA418" i="3" s="1"/>
  <c r="H418" i="3"/>
  <c r="T418" i="3"/>
  <c r="C418" i="4"/>
  <c r="AB417" i="3"/>
  <c r="E418" i="4" s="1"/>
  <c r="K422" i="2"/>
  <c r="H421" i="2"/>
  <c r="E421" i="2" s="1"/>
  <c r="G418" i="4"/>
  <c r="L418" i="4" s="1"/>
  <c r="I418" i="4"/>
  <c r="M418" i="4" s="1"/>
  <c r="K418" i="4"/>
  <c r="N418" i="4" s="1"/>
  <c r="V421" i="2" l="1"/>
  <c r="T420" i="2"/>
  <c r="D419" i="4"/>
  <c r="K423" i="2"/>
  <c r="H422" i="2"/>
  <c r="C419" i="4"/>
  <c r="AB418" i="3"/>
  <c r="E419" i="4" s="1"/>
  <c r="L422" i="2"/>
  <c r="I421" i="2"/>
  <c r="F421" i="2" s="1"/>
  <c r="O417" i="3"/>
  <c r="H418" i="4" s="1"/>
  <c r="U417" i="3"/>
  <c r="J418" i="4" s="1"/>
  <c r="I417" i="3"/>
  <c r="F418" i="4" s="1"/>
  <c r="F418" i="3"/>
  <c r="D419" i="3"/>
  <c r="M423" i="2"/>
  <c r="J422" i="2"/>
  <c r="C425" i="2"/>
  <c r="K419" i="4"/>
  <c r="N419" i="4" s="1"/>
  <c r="G419" i="4"/>
  <c r="L419" i="4" s="1"/>
  <c r="I419" i="4"/>
  <c r="M419" i="4" s="1"/>
  <c r="A420" i="4"/>
  <c r="G419" i="3"/>
  <c r="S419" i="3"/>
  <c r="Y419" i="3" s="1"/>
  <c r="Z419" i="3" s="1"/>
  <c r="AA419" i="3" s="1"/>
  <c r="H419" i="3"/>
  <c r="T419" i="3"/>
  <c r="J419" i="3"/>
  <c r="V419" i="3"/>
  <c r="M419" i="3"/>
  <c r="N419" i="3"/>
  <c r="C419" i="3"/>
  <c r="P419" i="3"/>
  <c r="E419" i="3"/>
  <c r="D423" i="2"/>
  <c r="G422" i="2"/>
  <c r="E422" i="2"/>
  <c r="V422" i="2" l="1"/>
  <c r="T421" i="2"/>
  <c r="D420" i="4"/>
  <c r="O418" i="3"/>
  <c r="H419" i="4" s="1"/>
  <c r="U418" i="3"/>
  <c r="J419" i="4" s="1"/>
  <c r="I418" i="3"/>
  <c r="F419" i="4" s="1"/>
  <c r="L423" i="2"/>
  <c r="I422" i="2"/>
  <c r="F422" i="2" s="1"/>
  <c r="C426" i="2"/>
  <c r="K424" i="2"/>
  <c r="H423" i="2"/>
  <c r="E423" i="2" s="1"/>
  <c r="C420" i="4"/>
  <c r="AB419" i="3"/>
  <c r="E420" i="4" s="1"/>
  <c r="M424" i="2"/>
  <c r="J423" i="2"/>
  <c r="G423" i="2" s="1"/>
  <c r="D424" i="2"/>
  <c r="A421" i="4"/>
  <c r="P420" i="3"/>
  <c r="E420" i="3"/>
  <c r="G420" i="3"/>
  <c r="S420" i="3"/>
  <c r="Y420" i="3" s="1"/>
  <c r="Z420" i="3" s="1"/>
  <c r="AA420" i="3" s="1"/>
  <c r="H420" i="3"/>
  <c r="T420" i="3"/>
  <c r="J420" i="3"/>
  <c r="V420" i="3"/>
  <c r="M420" i="3"/>
  <c r="N420" i="3"/>
  <c r="C420" i="3"/>
  <c r="I420" i="4"/>
  <c r="M420" i="4" s="1"/>
  <c r="K420" i="4"/>
  <c r="N420" i="4" s="1"/>
  <c r="G420" i="4"/>
  <c r="L420" i="4" s="1"/>
  <c r="D420" i="3"/>
  <c r="F419" i="3"/>
  <c r="V423" i="2" l="1"/>
  <c r="T422" i="2"/>
  <c r="D421" i="4"/>
  <c r="K425" i="2"/>
  <c r="H424" i="2"/>
  <c r="G421" i="4"/>
  <c r="L421" i="4" s="1"/>
  <c r="I421" i="4"/>
  <c r="M421" i="4" s="1"/>
  <c r="K421" i="4"/>
  <c r="N421" i="4" s="1"/>
  <c r="C427" i="2"/>
  <c r="F420" i="3"/>
  <c r="D421" i="3"/>
  <c r="C421" i="4"/>
  <c r="AB420" i="3"/>
  <c r="E421" i="4" s="1"/>
  <c r="D425" i="2"/>
  <c r="E424" i="2"/>
  <c r="I419" i="3"/>
  <c r="F420" i="4" s="1"/>
  <c r="U419" i="3"/>
  <c r="J420" i="4" s="1"/>
  <c r="O419" i="3"/>
  <c r="H420" i="4" s="1"/>
  <c r="L424" i="2"/>
  <c r="I423" i="2"/>
  <c r="F423" i="2" s="1"/>
  <c r="J424" i="2"/>
  <c r="G424" i="2" s="1"/>
  <c r="M425" i="2"/>
  <c r="A422" i="4"/>
  <c r="M421" i="3"/>
  <c r="N421" i="3"/>
  <c r="C421" i="3"/>
  <c r="P421" i="3"/>
  <c r="E421" i="3"/>
  <c r="G421" i="3"/>
  <c r="S421" i="3"/>
  <c r="Y421" i="3" s="1"/>
  <c r="Z421" i="3" s="1"/>
  <c r="AA421" i="3" s="1"/>
  <c r="H421" i="3"/>
  <c r="T421" i="3"/>
  <c r="J421" i="3"/>
  <c r="V421" i="3"/>
  <c r="V424" i="2" l="1"/>
  <c r="T423" i="2"/>
  <c r="D422" i="4"/>
  <c r="A423" i="4"/>
  <c r="J422" i="3"/>
  <c r="V422" i="3"/>
  <c r="M422" i="3"/>
  <c r="N422" i="3"/>
  <c r="C422" i="3"/>
  <c r="P422" i="3"/>
  <c r="E422" i="3"/>
  <c r="G422" i="3"/>
  <c r="S422" i="3"/>
  <c r="Y422" i="3" s="1"/>
  <c r="Z422" i="3" s="1"/>
  <c r="AA422" i="3" s="1"/>
  <c r="H422" i="3"/>
  <c r="T422" i="3"/>
  <c r="C428" i="2"/>
  <c r="G422" i="4"/>
  <c r="L422" i="4" s="1"/>
  <c r="I422" i="4"/>
  <c r="M422" i="4" s="1"/>
  <c r="K422" i="4"/>
  <c r="N422" i="4" s="1"/>
  <c r="D426" i="2"/>
  <c r="C422" i="4"/>
  <c r="AB421" i="3"/>
  <c r="E422" i="4" s="1"/>
  <c r="M426" i="2"/>
  <c r="J425" i="2"/>
  <c r="G425" i="2" s="1"/>
  <c r="F421" i="3"/>
  <c r="D422" i="3"/>
  <c r="K426" i="2"/>
  <c r="H425" i="2"/>
  <c r="E425" i="2" s="1"/>
  <c r="I424" i="2"/>
  <c r="F424" i="2" s="1"/>
  <c r="L425" i="2"/>
  <c r="I420" i="3"/>
  <c r="F421" i="4" s="1"/>
  <c r="U420" i="3"/>
  <c r="J421" i="4" s="1"/>
  <c r="O420" i="3"/>
  <c r="H421" i="4" s="1"/>
  <c r="V425" i="2" l="1"/>
  <c r="T424" i="2"/>
  <c r="D423" i="4"/>
  <c r="A424" i="4"/>
  <c r="G423" i="3"/>
  <c r="S423" i="3"/>
  <c r="Y423" i="3" s="1"/>
  <c r="Z423" i="3" s="1"/>
  <c r="AA423" i="3" s="1"/>
  <c r="H423" i="3"/>
  <c r="T423" i="3"/>
  <c r="J423" i="3"/>
  <c r="V423" i="3"/>
  <c r="M423" i="3"/>
  <c r="N423" i="3"/>
  <c r="C423" i="3"/>
  <c r="P423" i="3"/>
  <c r="E423" i="3"/>
  <c r="C429" i="2"/>
  <c r="C423" i="4"/>
  <c r="AB422" i="3"/>
  <c r="E423" i="4" s="1"/>
  <c r="H426" i="2"/>
  <c r="K427" i="2"/>
  <c r="O421" i="3"/>
  <c r="H422" i="4" s="1"/>
  <c r="I421" i="3"/>
  <c r="F422" i="4" s="1"/>
  <c r="U421" i="3"/>
  <c r="J422" i="4" s="1"/>
  <c r="F422" i="3"/>
  <c r="D423" i="3"/>
  <c r="M427" i="2"/>
  <c r="J426" i="2"/>
  <c r="L426" i="2"/>
  <c r="I425" i="2"/>
  <c r="F425" i="2" s="1"/>
  <c r="G426" i="2"/>
  <c r="D427" i="2"/>
  <c r="E426" i="2"/>
  <c r="G423" i="4"/>
  <c r="L423" i="4" s="1"/>
  <c r="I423" i="4"/>
  <c r="M423" i="4" s="1"/>
  <c r="K423" i="4"/>
  <c r="N423" i="4" s="1"/>
  <c r="V426" i="2" l="1"/>
  <c r="T425" i="2"/>
  <c r="D424" i="4"/>
  <c r="K428" i="2"/>
  <c r="H427" i="2"/>
  <c r="C424" i="4"/>
  <c r="AB423" i="3"/>
  <c r="E424" i="4" s="1"/>
  <c r="G427" i="2"/>
  <c r="D428" i="2"/>
  <c r="E427" i="2"/>
  <c r="L427" i="2"/>
  <c r="I426" i="2"/>
  <c r="F426" i="2" s="1"/>
  <c r="C430" i="2"/>
  <c r="M428" i="2"/>
  <c r="J427" i="2"/>
  <c r="D424" i="3"/>
  <c r="F423" i="3"/>
  <c r="A425" i="4"/>
  <c r="P424" i="3"/>
  <c r="E424" i="3"/>
  <c r="G424" i="3"/>
  <c r="S424" i="3"/>
  <c r="Y424" i="3" s="1"/>
  <c r="Z424" i="3" s="1"/>
  <c r="AA424" i="3" s="1"/>
  <c r="H424" i="3"/>
  <c r="T424" i="3"/>
  <c r="J424" i="3"/>
  <c r="V424" i="3"/>
  <c r="M424" i="3"/>
  <c r="N424" i="3"/>
  <c r="C424" i="3"/>
  <c r="G424" i="4"/>
  <c r="L424" i="4" s="1"/>
  <c r="I424" i="4"/>
  <c r="M424" i="4" s="1"/>
  <c r="K424" i="4"/>
  <c r="N424" i="4" s="1"/>
  <c r="O422" i="3"/>
  <c r="H423" i="4" s="1"/>
  <c r="I422" i="3"/>
  <c r="F423" i="4" s="1"/>
  <c r="U422" i="3"/>
  <c r="J423" i="4" s="1"/>
  <c r="V427" i="2" l="1"/>
  <c r="T426" i="2"/>
  <c r="D425" i="4"/>
  <c r="K425" i="4"/>
  <c r="N425" i="4" s="1"/>
  <c r="G425" i="4"/>
  <c r="L425" i="4" s="1"/>
  <c r="I425" i="4"/>
  <c r="M425" i="4" s="1"/>
  <c r="D429" i="2"/>
  <c r="I423" i="3"/>
  <c r="F424" i="4" s="1"/>
  <c r="U423" i="3"/>
  <c r="J424" i="4" s="1"/>
  <c r="O423" i="3"/>
  <c r="H424" i="4" s="1"/>
  <c r="A426" i="4"/>
  <c r="M425" i="3"/>
  <c r="N425" i="3"/>
  <c r="C425" i="3"/>
  <c r="P425" i="3"/>
  <c r="E425" i="3"/>
  <c r="G425" i="3"/>
  <c r="S425" i="3"/>
  <c r="Y425" i="3" s="1"/>
  <c r="Z425" i="3" s="1"/>
  <c r="AA425" i="3" s="1"/>
  <c r="H425" i="3"/>
  <c r="T425" i="3"/>
  <c r="J425" i="3"/>
  <c r="V425" i="3"/>
  <c r="L428" i="2"/>
  <c r="I427" i="2"/>
  <c r="F427" i="2" s="1"/>
  <c r="C425" i="4"/>
  <c r="AB424" i="3"/>
  <c r="E425" i="4" s="1"/>
  <c r="F424" i="3"/>
  <c r="D425" i="3"/>
  <c r="M429" i="2"/>
  <c r="J428" i="2"/>
  <c r="G428" i="2" s="1"/>
  <c r="K429" i="2"/>
  <c r="H428" i="2"/>
  <c r="E428" i="2" s="1"/>
  <c r="C431" i="2"/>
  <c r="V428" i="2" l="1"/>
  <c r="T427" i="2"/>
  <c r="D426" i="4"/>
  <c r="J429" i="2"/>
  <c r="M430" i="2"/>
  <c r="F425" i="3"/>
  <c r="D426" i="3"/>
  <c r="A427" i="4"/>
  <c r="J426" i="3"/>
  <c r="V426" i="3"/>
  <c r="M426" i="3"/>
  <c r="N426" i="3"/>
  <c r="C426" i="3"/>
  <c r="P426" i="3"/>
  <c r="E426" i="3"/>
  <c r="G426" i="3"/>
  <c r="S426" i="3"/>
  <c r="Y426" i="3" s="1"/>
  <c r="Z426" i="3" s="1"/>
  <c r="AA426" i="3" s="1"/>
  <c r="H426" i="3"/>
  <c r="T426" i="3"/>
  <c r="D430" i="2"/>
  <c r="G429" i="2"/>
  <c r="E429" i="2"/>
  <c r="I424" i="3"/>
  <c r="F425" i="4" s="1"/>
  <c r="U424" i="3"/>
  <c r="J425" i="4" s="1"/>
  <c r="O424" i="3"/>
  <c r="H425" i="4" s="1"/>
  <c r="L429" i="2"/>
  <c r="I428" i="2"/>
  <c r="F428" i="2" s="1"/>
  <c r="C432" i="2"/>
  <c r="C426" i="4"/>
  <c r="AB425" i="3"/>
  <c r="E426" i="4" s="1"/>
  <c r="I426" i="4"/>
  <c r="M426" i="4" s="1"/>
  <c r="K426" i="4"/>
  <c r="N426" i="4" s="1"/>
  <c r="G426" i="4"/>
  <c r="L426" i="4" s="1"/>
  <c r="K430" i="2"/>
  <c r="H429" i="2"/>
  <c r="V429" i="2" l="1"/>
  <c r="T428" i="2"/>
  <c r="D427" i="4"/>
  <c r="C427" i="4"/>
  <c r="AB426" i="3"/>
  <c r="E427" i="4" s="1"/>
  <c r="G427" i="4"/>
  <c r="L427" i="4" s="1"/>
  <c r="I427" i="4"/>
  <c r="M427" i="4" s="1"/>
  <c r="K427" i="4"/>
  <c r="N427" i="4" s="1"/>
  <c r="G430" i="2"/>
  <c r="D431" i="2"/>
  <c r="C433" i="2"/>
  <c r="F426" i="3"/>
  <c r="D427" i="3"/>
  <c r="K431" i="2"/>
  <c r="H430" i="2"/>
  <c r="E430" i="2" s="1"/>
  <c r="O425" i="3"/>
  <c r="H426" i="4" s="1"/>
  <c r="I425" i="3"/>
  <c r="F426" i="4" s="1"/>
  <c r="U425" i="3"/>
  <c r="J426" i="4" s="1"/>
  <c r="L430" i="2"/>
  <c r="I429" i="2"/>
  <c r="F429" i="2" s="1"/>
  <c r="M431" i="2"/>
  <c r="J430" i="2"/>
  <c r="A428" i="4"/>
  <c r="G427" i="3"/>
  <c r="S427" i="3"/>
  <c r="Y427" i="3" s="1"/>
  <c r="Z427" i="3" s="1"/>
  <c r="AA427" i="3" s="1"/>
  <c r="H427" i="3"/>
  <c r="T427" i="3"/>
  <c r="J427" i="3"/>
  <c r="V427" i="3"/>
  <c r="M427" i="3"/>
  <c r="N427" i="3"/>
  <c r="C427" i="3"/>
  <c r="P427" i="3"/>
  <c r="E427" i="3"/>
  <c r="V430" i="2" l="1"/>
  <c r="T429" i="2"/>
  <c r="D428" i="4"/>
  <c r="D428" i="3"/>
  <c r="F427" i="3"/>
  <c r="M432" i="2"/>
  <c r="J431" i="2"/>
  <c r="O426" i="3"/>
  <c r="H427" i="4" s="1"/>
  <c r="I426" i="3"/>
  <c r="F427" i="4" s="1"/>
  <c r="U426" i="3"/>
  <c r="J427" i="4" s="1"/>
  <c r="A429" i="4"/>
  <c r="P428" i="3"/>
  <c r="E428" i="3"/>
  <c r="G428" i="3"/>
  <c r="S428" i="3"/>
  <c r="Y428" i="3" s="1"/>
  <c r="Z428" i="3" s="1"/>
  <c r="AA428" i="3" s="1"/>
  <c r="H428" i="3"/>
  <c r="T428" i="3"/>
  <c r="J428" i="3"/>
  <c r="V428" i="3"/>
  <c r="M428" i="3"/>
  <c r="N428" i="3"/>
  <c r="C428" i="3"/>
  <c r="G428" i="4"/>
  <c r="L428" i="4" s="1"/>
  <c r="I428" i="4"/>
  <c r="M428" i="4" s="1"/>
  <c r="K428" i="4"/>
  <c r="N428" i="4" s="1"/>
  <c r="C434" i="2"/>
  <c r="H431" i="2"/>
  <c r="E431" i="2" s="1"/>
  <c r="K432" i="2"/>
  <c r="L431" i="2"/>
  <c r="I430" i="2"/>
  <c r="F430" i="2" s="1"/>
  <c r="C428" i="4"/>
  <c r="AB427" i="3"/>
  <c r="E428" i="4" s="1"/>
  <c r="D432" i="2"/>
  <c r="G431" i="2"/>
  <c r="V431" i="2" l="1"/>
  <c r="T430" i="2"/>
  <c r="D429" i="4"/>
  <c r="I431" i="2"/>
  <c r="F431" i="2" s="1"/>
  <c r="L432" i="2"/>
  <c r="G429" i="4"/>
  <c r="L429" i="4" s="1"/>
  <c r="I429" i="4"/>
  <c r="M429" i="4" s="1"/>
  <c r="K429" i="4"/>
  <c r="N429" i="4" s="1"/>
  <c r="K433" i="2"/>
  <c r="H432" i="2"/>
  <c r="C429" i="4"/>
  <c r="AB428" i="3"/>
  <c r="E429" i="4" s="1"/>
  <c r="C435" i="2"/>
  <c r="M433" i="2"/>
  <c r="J432" i="2"/>
  <c r="G432" i="2" s="1"/>
  <c r="I427" i="3"/>
  <c r="F428" i="4" s="1"/>
  <c r="U427" i="3"/>
  <c r="J428" i="4" s="1"/>
  <c r="O427" i="3"/>
  <c r="H428" i="4" s="1"/>
  <c r="F428" i="3"/>
  <c r="D429" i="3"/>
  <c r="D433" i="2"/>
  <c r="E432" i="2"/>
  <c r="A430" i="4"/>
  <c r="M429" i="3"/>
  <c r="N429" i="3"/>
  <c r="C429" i="3"/>
  <c r="P429" i="3"/>
  <c r="E429" i="3"/>
  <c r="G429" i="3"/>
  <c r="S429" i="3"/>
  <c r="Y429" i="3" s="1"/>
  <c r="Z429" i="3" s="1"/>
  <c r="AA429" i="3" s="1"/>
  <c r="H429" i="3"/>
  <c r="T429" i="3"/>
  <c r="J429" i="3"/>
  <c r="V429" i="3"/>
  <c r="V432" i="2" l="1"/>
  <c r="T431" i="2"/>
  <c r="D430" i="4"/>
  <c r="C436" i="2"/>
  <c r="A431" i="4"/>
  <c r="J430" i="3"/>
  <c r="V430" i="3"/>
  <c r="M430" i="3"/>
  <c r="N430" i="3"/>
  <c r="C430" i="3"/>
  <c r="P430" i="3"/>
  <c r="E430" i="3"/>
  <c r="G430" i="3"/>
  <c r="S430" i="3"/>
  <c r="Y430" i="3" s="1"/>
  <c r="Z430" i="3" s="1"/>
  <c r="AA430" i="3" s="1"/>
  <c r="H430" i="3"/>
  <c r="T430" i="3"/>
  <c r="F429" i="3"/>
  <c r="D430" i="3"/>
  <c r="I428" i="3"/>
  <c r="F429" i="4" s="1"/>
  <c r="U428" i="3"/>
  <c r="J429" i="4" s="1"/>
  <c r="O428" i="3"/>
  <c r="H429" i="4" s="1"/>
  <c r="K434" i="2"/>
  <c r="H433" i="2"/>
  <c r="E433" i="2" s="1"/>
  <c r="C430" i="4"/>
  <c r="AB429" i="3"/>
  <c r="E430" i="4" s="1"/>
  <c r="G430" i="4"/>
  <c r="L430" i="4" s="1"/>
  <c r="I430" i="4"/>
  <c r="M430" i="4" s="1"/>
  <c r="K430" i="4"/>
  <c r="N430" i="4" s="1"/>
  <c r="L433" i="2"/>
  <c r="I432" i="2"/>
  <c r="F432" i="2" s="1"/>
  <c r="G433" i="2"/>
  <c r="D434" i="2"/>
  <c r="M434" i="2"/>
  <c r="J433" i="2"/>
  <c r="V433" i="2" l="1"/>
  <c r="T432" i="2"/>
  <c r="D431" i="4"/>
  <c r="C431" i="4"/>
  <c r="AB430" i="3"/>
  <c r="E431" i="4" s="1"/>
  <c r="O429" i="3"/>
  <c r="H430" i="4" s="1"/>
  <c r="I429" i="3"/>
  <c r="F430" i="4" s="1"/>
  <c r="U429" i="3"/>
  <c r="J430" i="4" s="1"/>
  <c r="K431" i="4"/>
  <c r="N431" i="4" s="1"/>
  <c r="G431" i="4"/>
  <c r="L431" i="4" s="1"/>
  <c r="I431" i="4"/>
  <c r="M431" i="4" s="1"/>
  <c r="C437" i="2"/>
  <c r="K435" i="2"/>
  <c r="H434" i="2"/>
  <c r="L434" i="2"/>
  <c r="I433" i="2"/>
  <c r="F433" i="2" s="1"/>
  <c r="F430" i="3"/>
  <c r="D431" i="3"/>
  <c r="M435" i="2"/>
  <c r="J434" i="2"/>
  <c r="G434" i="2" s="1"/>
  <c r="A432" i="4"/>
  <c r="G431" i="3"/>
  <c r="S431" i="3"/>
  <c r="Y431" i="3" s="1"/>
  <c r="Z431" i="3" s="1"/>
  <c r="AA431" i="3" s="1"/>
  <c r="H431" i="3"/>
  <c r="T431" i="3"/>
  <c r="J431" i="3"/>
  <c r="V431" i="3"/>
  <c r="M431" i="3"/>
  <c r="N431" i="3"/>
  <c r="C431" i="3"/>
  <c r="P431" i="3"/>
  <c r="E431" i="3"/>
  <c r="D435" i="2"/>
  <c r="E434" i="2"/>
  <c r="V434" i="2" l="1"/>
  <c r="T433" i="2"/>
  <c r="D432" i="4"/>
  <c r="M436" i="2"/>
  <c r="J435" i="2"/>
  <c r="D432" i="3"/>
  <c r="F431" i="3"/>
  <c r="O430" i="3"/>
  <c r="H431" i="4" s="1"/>
  <c r="I430" i="3"/>
  <c r="F431" i="4" s="1"/>
  <c r="U430" i="3"/>
  <c r="J431" i="4" s="1"/>
  <c r="C432" i="4"/>
  <c r="AB431" i="3"/>
  <c r="E432" i="4" s="1"/>
  <c r="L435" i="2"/>
  <c r="I434" i="2"/>
  <c r="F434" i="2" s="1"/>
  <c r="K436" i="2"/>
  <c r="H435" i="2"/>
  <c r="C438" i="2"/>
  <c r="G435" i="2"/>
  <c r="D436" i="2"/>
  <c r="E435" i="2"/>
  <c r="A433" i="4"/>
  <c r="P432" i="3"/>
  <c r="E432" i="3"/>
  <c r="G432" i="3"/>
  <c r="S432" i="3"/>
  <c r="Y432" i="3" s="1"/>
  <c r="Z432" i="3" s="1"/>
  <c r="AA432" i="3" s="1"/>
  <c r="H432" i="3"/>
  <c r="T432" i="3"/>
  <c r="J432" i="3"/>
  <c r="V432" i="3"/>
  <c r="M432" i="3"/>
  <c r="N432" i="3"/>
  <c r="C432" i="3"/>
  <c r="I432" i="4"/>
  <c r="M432" i="4" s="1"/>
  <c r="K432" i="4"/>
  <c r="N432" i="4" s="1"/>
  <c r="G432" i="4"/>
  <c r="L432" i="4" s="1"/>
  <c r="V435" i="2" l="1"/>
  <c r="T434" i="2"/>
  <c r="D433" i="4"/>
  <c r="G433" i="4"/>
  <c r="L433" i="4" s="1"/>
  <c r="I433" i="4"/>
  <c r="M433" i="4" s="1"/>
  <c r="K433" i="4"/>
  <c r="N433" i="4" s="1"/>
  <c r="L436" i="2"/>
  <c r="I435" i="2"/>
  <c r="F435" i="2" s="1"/>
  <c r="C433" i="4"/>
  <c r="AB432" i="3"/>
  <c r="E433" i="4" s="1"/>
  <c r="D437" i="2"/>
  <c r="C439" i="2"/>
  <c r="I431" i="3"/>
  <c r="F432" i="4" s="1"/>
  <c r="U431" i="3"/>
  <c r="J432" i="4" s="1"/>
  <c r="O431" i="3"/>
  <c r="H432" i="4" s="1"/>
  <c r="F432" i="3"/>
  <c r="D433" i="3"/>
  <c r="A434" i="4"/>
  <c r="M433" i="3"/>
  <c r="N433" i="3"/>
  <c r="C433" i="3"/>
  <c r="P433" i="3"/>
  <c r="E433" i="3"/>
  <c r="G433" i="3"/>
  <c r="S433" i="3"/>
  <c r="Y433" i="3" s="1"/>
  <c r="Z433" i="3" s="1"/>
  <c r="AA433" i="3" s="1"/>
  <c r="H433" i="3"/>
  <c r="T433" i="3"/>
  <c r="J433" i="3"/>
  <c r="V433" i="3"/>
  <c r="J436" i="2"/>
  <c r="G436" i="2" s="1"/>
  <c r="M437" i="2"/>
  <c r="K437" i="2"/>
  <c r="H436" i="2"/>
  <c r="E436" i="2" s="1"/>
  <c r="V436" i="2" l="1"/>
  <c r="T435" i="2"/>
  <c r="D434" i="4"/>
  <c r="I432" i="3"/>
  <c r="F433" i="4" s="1"/>
  <c r="U432" i="3"/>
  <c r="J433" i="4" s="1"/>
  <c r="O432" i="3"/>
  <c r="H433" i="4" s="1"/>
  <c r="I436" i="2"/>
  <c r="F436" i="2" s="1"/>
  <c r="L437" i="2"/>
  <c r="A435" i="4"/>
  <c r="J434" i="3"/>
  <c r="V434" i="3"/>
  <c r="M434" i="3"/>
  <c r="N434" i="3"/>
  <c r="C434" i="3"/>
  <c r="P434" i="3"/>
  <c r="E434" i="3"/>
  <c r="G434" i="3"/>
  <c r="S434" i="3"/>
  <c r="Y434" i="3" s="1"/>
  <c r="Z434" i="3" s="1"/>
  <c r="AA434" i="3" s="1"/>
  <c r="H434" i="3"/>
  <c r="T434" i="3"/>
  <c r="C440" i="2"/>
  <c r="C434" i="4"/>
  <c r="AB433" i="3"/>
  <c r="E434" i="4" s="1"/>
  <c r="G434" i="4"/>
  <c r="L434" i="4" s="1"/>
  <c r="I434" i="4"/>
  <c r="M434" i="4" s="1"/>
  <c r="K434" i="4"/>
  <c r="N434" i="4" s="1"/>
  <c r="K438" i="2"/>
  <c r="H437" i="2"/>
  <c r="E437" i="2" s="1"/>
  <c r="M438" i="2"/>
  <c r="J437" i="2"/>
  <c r="G437" i="2" s="1"/>
  <c r="F433" i="3"/>
  <c r="D434" i="3"/>
  <c r="D438" i="2"/>
  <c r="V437" i="2" l="1"/>
  <c r="T436" i="2"/>
  <c r="D435" i="4"/>
  <c r="C441" i="2"/>
  <c r="C435" i="4"/>
  <c r="AB434" i="3"/>
  <c r="E435" i="4" s="1"/>
  <c r="M439" i="2"/>
  <c r="J438" i="2"/>
  <c r="O433" i="3"/>
  <c r="H434" i="4" s="1"/>
  <c r="I433" i="3"/>
  <c r="F434" i="4" s="1"/>
  <c r="U433" i="3"/>
  <c r="J434" i="4" s="1"/>
  <c r="G435" i="4"/>
  <c r="L435" i="4" s="1"/>
  <c r="I435" i="4"/>
  <c r="M435" i="4" s="1"/>
  <c r="K435" i="4"/>
  <c r="N435" i="4" s="1"/>
  <c r="L438" i="2"/>
  <c r="I437" i="2"/>
  <c r="F437" i="2" s="1"/>
  <c r="A436" i="4"/>
  <c r="G435" i="3"/>
  <c r="S435" i="3"/>
  <c r="Y435" i="3" s="1"/>
  <c r="Z435" i="3" s="1"/>
  <c r="AA435" i="3" s="1"/>
  <c r="H435" i="3"/>
  <c r="T435" i="3"/>
  <c r="J435" i="3"/>
  <c r="V435" i="3"/>
  <c r="M435" i="3"/>
  <c r="N435" i="3"/>
  <c r="C435" i="3"/>
  <c r="P435" i="3"/>
  <c r="E435" i="3"/>
  <c r="H438" i="2"/>
  <c r="K439" i="2"/>
  <c r="G438" i="2"/>
  <c r="D439" i="2"/>
  <c r="E438" i="2"/>
  <c r="F434" i="3"/>
  <c r="D435" i="3"/>
  <c r="V438" i="2" l="1"/>
  <c r="T437" i="2"/>
  <c r="D436" i="4"/>
  <c r="D440" i="2"/>
  <c r="O434" i="3"/>
  <c r="H435" i="4" s="1"/>
  <c r="U434" i="3"/>
  <c r="J435" i="4" s="1"/>
  <c r="I434" i="3"/>
  <c r="F435" i="4" s="1"/>
  <c r="A437" i="4"/>
  <c r="P436" i="3"/>
  <c r="E436" i="3"/>
  <c r="G436" i="3"/>
  <c r="S436" i="3"/>
  <c r="Y436" i="3" s="1"/>
  <c r="Z436" i="3" s="1"/>
  <c r="AA436" i="3" s="1"/>
  <c r="H436" i="3"/>
  <c r="T436" i="3"/>
  <c r="J436" i="3"/>
  <c r="V436" i="3"/>
  <c r="M436" i="3"/>
  <c r="N436" i="3"/>
  <c r="C436" i="3"/>
  <c r="G436" i="4"/>
  <c r="L436" i="4" s="1"/>
  <c r="I436" i="4"/>
  <c r="M436" i="4" s="1"/>
  <c r="K436" i="4"/>
  <c r="N436" i="4" s="1"/>
  <c r="M440" i="2"/>
  <c r="J439" i="2"/>
  <c r="G439" i="2" s="1"/>
  <c r="L439" i="2"/>
  <c r="I438" i="2"/>
  <c r="F438" i="2" s="1"/>
  <c r="K440" i="2"/>
  <c r="H439" i="2"/>
  <c r="E439" i="2" s="1"/>
  <c r="D436" i="3"/>
  <c r="F435" i="3"/>
  <c r="C442" i="2"/>
  <c r="C436" i="4"/>
  <c r="AB435" i="3"/>
  <c r="E436" i="4" s="1"/>
  <c r="V439" i="2" l="1"/>
  <c r="T438" i="2"/>
  <c r="D437" i="4"/>
  <c r="K437" i="4"/>
  <c r="N437" i="4" s="1"/>
  <c r="G437" i="4"/>
  <c r="L437" i="4" s="1"/>
  <c r="I437" i="4"/>
  <c r="M437" i="4" s="1"/>
  <c r="C437" i="4"/>
  <c r="AB436" i="3"/>
  <c r="E437" i="4" s="1"/>
  <c r="M441" i="2"/>
  <c r="J440" i="2"/>
  <c r="G440" i="2" s="1"/>
  <c r="D441" i="2"/>
  <c r="C443" i="2"/>
  <c r="A438" i="4"/>
  <c r="M437" i="3"/>
  <c r="N437" i="3"/>
  <c r="C437" i="3"/>
  <c r="P437" i="3"/>
  <c r="E437" i="3"/>
  <c r="G437" i="3"/>
  <c r="S437" i="3"/>
  <c r="Y437" i="3" s="1"/>
  <c r="Z437" i="3" s="1"/>
  <c r="AA437" i="3" s="1"/>
  <c r="H437" i="3"/>
  <c r="T437" i="3"/>
  <c r="J437" i="3"/>
  <c r="V437" i="3"/>
  <c r="F436" i="3"/>
  <c r="D437" i="3"/>
  <c r="K441" i="2"/>
  <c r="H440" i="2"/>
  <c r="E440" i="2" s="1"/>
  <c r="L440" i="2"/>
  <c r="I439" i="2"/>
  <c r="F439" i="2" s="1"/>
  <c r="I435" i="3"/>
  <c r="F436" i="4" s="1"/>
  <c r="U435" i="3"/>
  <c r="J436" i="4" s="1"/>
  <c r="O435" i="3"/>
  <c r="H436" i="4" s="1"/>
  <c r="V440" i="2" l="1"/>
  <c r="T439" i="2"/>
  <c r="D438" i="4"/>
  <c r="K442" i="2"/>
  <c r="H441" i="2"/>
  <c r="F437" i="3"/>
  <c r="D438" i="3"/>
  <c r="C438" i="4"/>
  <c r="AB437" i="3"/>
  <c r="E438" i="4" s="1"/>
  <c r="I438" i="4"/>
  <c r="M438" i="4" s="1"/>
  <c r="K438" i="4"/>
  <c r="N438" i="4" s="1"/>
  <c r="G438" i="4"/>
  <c r="L438" i="4" s="1"/>
  <c r="J441" i="2"/>
  <c r="M442" i="2"/>
  <c r="I436" i="3"/>
  <c r="F437" i="4" s="1"/>
  <c r="U436" i="3"/>
  <c r="J437" i="4" s="1"/>
  <c r="O436" i="3"/>
  <c r="H437" i="4" s="1"/>
  <c r="C444" i="2"/>
  <c r="A439" i="4"/>
  <c r="J438" i="3"/>
  <c r="V438" i="3"/>
  <c r="M438" i="3"/>
  <c r="N438" i="3"/>
  <c r="C438" i="3"/>
  <c r="P438" i="3"/>
  <c r="E438" i="3"/>
  <c r="G438" i="3"/>
  <c r="S438" i="3"/>
  <c r="Y438" i="3" s="1"/>
  <c r="Z438" i="3" s="1"/>
  <c r="AA438" i="3" s="1"/>
  <c r="H438" i="3"/>
  <c r="T438" i="3"/>
  <c r="D442" i="2"/>
  <c r="G441" i="2"/>
  <c r="E441" i="2"/>
  <c r="L441" i="2"/>
  <c r="I440" i="2"/>
  <c r="F440" i="2" s="1"/>
  <c r="V441" i="2" l="1"/>
  <c r="T440" i="2"/>
  <c r="D439" i="4"/>
  <c r="G439" i="4"/>
  <c r="L439" i="4" s="1"/>
  <c r="I439" i="4"/>
  <c r="M439" i="4" s="1"/>
  <c r="K439" i="4"/>
  <c r="N439" i="4" s="1"/>
  <c r="C445" i="2"/>
  <c r="D443" i="2"/>
  <c r="F438" i="3"/>
  <c r="D439" i="3"/>
  <c r="O437" i="3"/>
  <c r="H438" i="4" s="1"/>
  <c r="I437" i="3"/>
  <c r="F438" i="4" s="1"/>
  <c r="U437" i="3"/>
  <c r="J438" i="4" s="1"/>
  <c r="M443" i="2"/>
  <c r="J442" i="2"/>
  <c r="G442" i="2" s="1"/>
  <c r="A440" i="4"/>
  <c r="G439" i="3"/>
  <c r="S439" i="3"/>
  <c r="Y439" i="3" s="1"/>
  <c r="Z439" i="3" s="1"/>
  <c r="AA439" i="3" s="1"/>
  <c r="H439" i="3"/>
  <c r="T439" i="3"/>
  <c r="J439" i="3"/>
  <c r="V439" i="3"/>
  <c r="M439" i="3"/>
  <c r="N439" i="3"/>
  <c r="C439" i="3"/>
  <c r="P439" i="3"/>
  <c r="E439" i="3"/>
  <c r="L442" i="2"/>
  <c r="I441" i="2"/>
  <c r="F441" i="2" s="1"/>
  <c r="K443" i="2"/>
  <c r="H442" i="2"/>
  <c r="E442" i="2" s="1"/>
  <c r="C439" i="4"/>
  <c r="AB438" i="3"/>
  <c r="E439" i="4" s="1"/>
  <c r="V442" i="2" l="1"/>
  <c r="T441" i="2"/>
  <c r="D440" i="4"/>
  <c r="A441" i="4"/>
  <c r="P440" i="3"/>
  <c r="E440" i="3"/>
  <c r="G440" i="3"/>
  <c r="S440" i="3"/>
  <c r="Y440" i="3" s="1"/>
  <c r="Z440" i="3" s="1"/>
  <c r="AA440" i="3" s="1"/>
  <c r="H440" i="3"/>
  <c r="T440" i="3"/>
  <c r="J440" i="3"/>
  <c r="V440" i="3"/>
  <c r="M440" i="3"/>
  <c r="N440" i="3"/>
  <c r="C440" i="3"/>
  <c r="G440" i="4"/>
  <c r="L440" i="4" s="1"/>
  <c r="I440" i="4"/>
  <c r="M440" i="4" s="1"/>
  <c r="K440" i="4"/>
  <c r="N440" i="4" s="1"/>
  <c r="C446" i="2"/>
  <c r="M444" i="2"/>
  <c r="J443" i="2"/>
  <c r="G443" i="2" s="1"/>
  <c r="D440" i="3"/>
  <c r="F439" i="3"/>
  <c r="O438" i="3"/>
  <c r="H439" i="4" s="1"/>
  <c r="I438" i="3"/>
  <c r="F439" i="4" s="1"/>
  <c r="U438" i="3"/>
  <c r="J439" i="4" s="1"/>
  <c r="C440" i="4"/>
  <c r="AB439" i="3"/>
  <c r="E440" i="4" s="1"/>
  <c r="D444" i="2"/>
  <c r="H443" i="2"/>
  <c r="E443" i="2" s="1"/>
  <c r="K444" i="2"/>
  <c r="L443" i="2"/>
  <c r="I442" i="2"/>
  <c r="F442" i="2" s="1"/>
  <c r="V443" i="2" l="1"/>
  <c r="T442" i="2"/>
  <c r="D441" i="4"/>
  <c r="C447" i="2"/>
  <c r="D445" i="2"/>
  <c r="A442" i="4"/>
  <c r="M441" i="3"/>
  <c r="N441" i="3"/>
  <c r="C441" i="3"/>
  <c r="P441" i="3"/>
  <c r="E441" i="3"/>
  <c r="G441" i="3"/>
  <c r="S441" i="3"/>
  <c r="Y441" i="3" s="1"/>
  <c r="Z441" i="3" s="1"/>
  <c r="AA441" i="3" s="1"/>
  <c r="H441" i="3"/>
  <c r="T441" i="3"/>
  <c r="J441" i="3"/>
  <c r="V441" i="3"/>
  <c r="K445" i="2"/>
  <c r="H444" i="2"/>
  <c r="E444" i="2" s="1"/>
  <c r="I439" i="3"/>
  <c r="F440" i="4" s="1"/>
  <c r="U439" i="3"/>
  <c r="J440" i="4" s="1"/>
  <c r="O439" i="3"/>
  <c r="H440" i="4" s="1"/>
  <c r="F440" i="3"/>
  <c r="D441" i="3"/>
  <c r="G441" i="4"/>
  <c r="L441" i="4" s="1"/>
  <c r="I441" i="4"/>
  <c r="M441" i="4" s="1"/>
  <c r="K441" i="4"/>
  <c r="N441" i="4" s="1"/>
  <c r="I443" i="2"/>
  <c r="F443" i="2" s="1"/>
  <c r="L444" i="2"/>
  <c r="M445" i="2"/>
  <c r="J444" i="2"/>
  <c r="G444" i="2" s="1"/>
  <c r="C441" i="4"/>
  <c r="AB440" i="3"/>
  <c r="E441" i="4" s="1"/>
  <c r="V444" i="2" l="1"/>
  <c r="T443" i="2"/>
  <c r="D442" i="4"/>
  <c r="C442" i="4"/>
  <c r="AB441" i="3"/>
  <c r="E442" i="4" s="1"/>
  <c r="G442" i="4"/>
  <c r="L442" i="4" s="1"/>
  <c r="I442" i="4"/>
  <c r="M442" i="4" s="1"/>
  <c r="K442" i="4"/>
  <c r="N442" i="4" s="1"/>
  <c r="D446" i="2"/>
  <c r="K446" i="2"/>
  <c r="H445" i="2"/>
  <c r="E445" i="2" s="1"/>
  <c r="F441" i="3"/>
  <c r="D442" i="3"/>
  <c r="I440" i="3"/>
  <c r="F441" i="4" s="1"/>
  <c r="U440" i="3"/>
  <c r="J441" i="4" s="1"/>
  <c r="O440" i="3"/>
  <c r="H441" i="4" s="1"/>
  <c r="A443" i="4"/>
  <c r="J442" i="3"/>
  <c r="V442" i="3"/>
  <c r="M442" i="3"/>
  <c r="N442" i="3"/>
  <c r="C442" i="3"/>
  <c r="P442" i="3"/>
  <c r="E442" i="3"/>
  <c r="G442" i="3"/>
  <c r="S442" i="3"/>
  <c r="Y442" i="3" s="1"/>
  <c r="Z442" i="3" s="1"/>
  <c r="AA442" i="3" s="1"/>
  <c r="H442" i="3"/>
  <c r="T442" i="3"/>
  <c r="C448" i="2"/>
  <c r="M446" i="2"/>
  <c r="J445" i="2"/>
  <c r="G445" i="2" s="1"/>
  <c r="L445" i="2"/>
  <c r="I444" i="2"/>
  <c r="F444" i="2" s="1"/>
  <c r="V445" i="2" l="1"/>
  <c r="T444" i="2"/>
  <c r="D443" i="4"/>
  <c r="D447" i="2"/>
  <c r="A444" i="4"/>
  <c r="G443" i="3"/>
  <c r="S443" i="3"/>
  <c r="Y443" i="3" s="1"/>
  <c r="Z443" i="3" s="1"/>
  <c r="AA443" i="3" s="1"/>
  <c r="H443" i="3"/>
  <c r="T443" i="3"/>
  <c r="J443" i="3"/>
  <c r="V443" i="3"/>
  <c r="M443" i="3"/>
  <c r="N443" i="3"/>
  <c r="C443" i="3"/>
  <c r="P443" i="3"/>
  <c r="E443" i="3"/>
  <c r="F442" i="3"/>
  <c r="D443" i="3"/>
  <c r="O441" i="3"/>
  <c r="H442" i="4" s="1"/>
  <c r="I441" i="3"/>
  <c r="F442" i="4" s="1"/>
  <c r="U441" i="3"/>
  <c r="J442" i="4" s="1"/>
  <c r="L446" i="2"/>
  <c r="I445" i="2"/>
  <c r="F445" i="2" s="1"/>
  <c r="K443" i="4"/>
  <c r="N443" i="4" s="1"/>
  <c r="G443" i="4"/>
  <c r="L443" i="4" s="1"/>
  <c r="I443" i="4"/>
  <c r="M443" i="4" s="1"/>
  <c r="K447" i="2"/>
  <c r="H446" i="2"/>
  <c r="E446" i="2" s="1"/>
  <c r="M447" i="2"/>
  <c r="J446" i="2"/>
  <c r="G446" i="2" s="1"/>
  <c r="C449" i="2"/>
  <c r="C443" i="4"/>
  <c r="AB442" i="3"/>
  <c r="E443" i="4" s="1"/>
  <c r="V446" i="2" l="1"/>
  <c r="T445" i="2"/>
  <c r="D444" i="4"/>
  <c r="A445" i="4"/>
  <c r="P444" i="3"/>
  <c r="E444" i="3"/>
  <c r="G444" i="3"/>
  <c r="S444" i="3"/>
  <c r="Y444" i="3" s="1"/>
  <c r="Z444" i="3" s="1"/>
  <c r="AA444" i="3" s="1"/>
  <c r="H444" i="3"/>
  <c r="T444" i="3"/>
  <c r="J444" i="3"/>
  <c r="V444" i="3"/>
  <c r="M444" i="3"/>
  <c r="N444" i="3"/>
  <c r="C444" i="3"/>
  <c r="I444" i="4"/>
  <c r="M444" i="4" s="1"/>
  <c r="K444" i="4"/>
  <c r="N444" i="4" s="1"/>
  <c r="G444" i="4"/>
  <c r="L444" i="4" s="1"/>
  <c r="M448" i="2"/>
  <c r="J447" i="2"/>
  <c r="G447" i="2" s="1"/>
  <c r="D444" i="3"/>
  <c r="F443" i="3"/>
  <c r="C444" i="4"/>
  <c r="AB443" i="3"/>
  <c r="E444" i="4" s="1"/>
  <c r="D448" i="2"/>
  <c r="K448" i="2"/>
  <c r="H447" i="2"/>
  <c r="E447" i="2" s="1"/>
  <c r="O442" i="3"/>
  <c r="H443" i="4" s="1"/>
  <c r="I442" i="3"/>
  <c r="F443" i="4" s="1"/>
  <c r="U442" i="3"/>
  <c r="J443" i="4" s="1"/>
  <c r="C450" i="2"/>
  <c r="L447" i="2"/>
  <c r="I446" i="2"/>
  <c r="F446" i="2" s="1"/>
  <c r="V447" i="2" l="1"/>
  <c r="T446" i="2"/>
  <c r="D445" i="4"/>
  <c r="A446" i="4"/>
  <c r="M445" i="3"/>
  <c r="N445" i="3"/>
  <c r="C445" i="3"/>
  <c r="P445" i="3"/>
  <c r="E445" i="3"/>
  <c r="G445" i="3"/>
  <c r="S445" i="3"/>
  <c r="Y445" i="3" s="1"/>
  <c r="Z445" i="3" s="1"/>
  <c r="AA445" i="3" s="1"/>
  <c r="H445" i="3"/>
  <c r="T445" i="3"/>
  <c r="J445" i="3"/>
  <c r="V445" i="3"/>
  <c r="F444" i="3"/>
  <c r="D445" i="3"/>
  <c r="J448" i="2"/>
  <c r="M449" i="2"/>
  <c r="K449" i="2"/>
  <c r="H448" i="2"/>
  <c r="C451" i="2"/>
  <c r="G445" i="4"/>
  <c r="L445" i="4" s="1"/>
  <c r="I445" i="4"/>
  <c r="M445" i="4" s="1"/>
  <c r="K445" i="4"/>
  <c r="N445" i="4" s="1"/>
  <c r="D449" i="2"/>
  <c r="G448" i="2"/>
  <c r="E448" i="2"/>
  <c r="L448" i="2"/>
  <c r="I447" i="2"/>
  <c r="F447" i="2" s="1"/>
  <c r="I443" i="3"/>
  <c r="F444" i="4" s="1"/>
  <c r="U443" i="3"/>
  <c r="J444" i="4" s="1"/>
  <c r="O443" i="3"/>
  <c r="H444" i="4" s="1"/>
  <c r="C445" i="4"/>
  <c r="AB444" i="3"/>
  <c r="E445" i="4" s="1"/>
  <c r="V448" i="2" l="1"/>
  <c r="T447" i="2"/>
  <c r="D446" i="4"/>
  <c r="C452" i="2"/>
  <c r="A447" i="4"/>
  <c r="J446" i="3"/>
  <c r="V446" i="3"/>
  <c r="M446" i="3"/>
  <c r="N446" i="3"/>
  <c r="C446" i="3"/>
  <c r="P446" i="3"/>
  <c r="E446" i="3"/>
  <c r="G446" i="3"/>
  <c r="S446" i="3"/>
  <c r="Y446" i="3" s="1"/>
  <c r="Z446" i="3" s="1"/>
  <c r="AA446" i="3" s="1"/>
  <c r="H446" i="3"/>
  <c r="T446" i="3"/>
  <c r="K450" i="2"/>
  <c r="H449" i="2"/>
  <c r="E449" i="2" s="1"/>
  <c r="I448" i="2"/>
  <c r="F448" i="2" s="1"/>
  <c r="L449" i="2"/>
  <c r="G449" i="2"/>
  <c r="D450" i="2"/>
  <c r="M450" i="2"/>
  <c r="J449" i="2"/>
  <c r="F445" i="3"/>
  <c r="D446" i="3"/>
  <c r="I444" i="3"/>
  <c r="F445" i="4" s="1"/>
  <c r="U444" i="3"/>
  <c r="J445" i="4" s="1"/>
  <c r="O444" i="3"/>
  <c r="H445" i="4" s="1"/>
  <c r="C446" i="4"/>
  <c r="AB445" i="3"/>
  <c r="E446" i="4" s="1"/>
  <c r="G446" i="4"/>
  <c r="L446" i="4" s="1"/>
  <c r="I446" i="4"/>
  <c r="M446" i="4" s="1"/>
  <c r="K446" i="4"/>
  <c r="N446" i="4" s="1"/>
  <c r="V449" i="2" l="1"/>
  <c r="T448" i="2"/>
  <c r="D447" i="4"/>
  <c r="C447" i="4"/>
  <c r="AB446" i="3"/>
  <c r="E447" i="4" s="1"/>
  <c r="L450" i="2"/>
  <c r="I449" i="2"/>
  <c r="F449" i="2" s="1"/>
  <c r="H450" i="2"/>
  <c r="K451" i="2"/>
  <c r="F446" i="3"/>
  <c r="D447" i="3"/>
  <c r="O445" i="3"/>
  <c r="H446" i="4" s="1"/>
  <c r="I445" i="3"/>
  <c r="F446" i="4" s="1"/>
  <c r="U445" i="3"/>
  <c r="J446" i="4" s="1"/>
  <c r="A448" i="4"/>
  <c r="G447" i="3"/>
  <c r="S447" i="3"/>
  <c r="Y447" i="3" s="1"/>
  <c r="Z447" i="3" s="1"/>
  <c r="AA447" i="3" s="1"/>
  <c r="H447" i="3"/>
  <c r="T447" i="3"/>
  <c r="J447" i="3"/>
  <c r="V447" i="3"/>
  <c r="M447" i="3"/>
  <c r="C447" i="3"/>
  <c r="P447" i="3"/>
  <c r="E447" i="3"/>
  <c r="N447" i="3"/>
  <c r="G447" i="4"/>
  <c r="L447" i="4" s="1"/>
  <c r="K447" i="4"/>
  <c r="N447" i="4" s="1"/>
  <c r="I447" i="4"/>
  <c r="M447" i="4" s="1"/>
  <c r="C453" i="2"/>
  <c r="M451" i="2"/>
  <c r="J450" i="2"/>
  <c r="G450" i="2" s="1"/>
  <c r="D451" i="2"/>
  <c r="E450" i="2"/>
  <c r="V450" i="2" l="1"/>
  <c r="T449" i="2"/>
  <c r="D448" i="4"/>
  <c r="M452" i="2"/>
  <c r="J451" i="2"/>
  <c r="D448" i="3"/>
  <c r="F447" i="3"/>
  <c r="C448" i="4"/>
  <c r="AB447" i="3"/>
  <c r="E448" i="4" s="1"/>
  <c r="O446" i="3"/>
  <c r="H447" i="4" s="1"/>
  <c r="I446" i="3"/>
  <c r="F447" i="4" s="1"/>
  <c r="U446" i="3"/>
  <c r="J447" i="4" s="1"/>
  <c r="K452" i="2"/>
  <c r="H451" i="2"/>
  <c r="L451" i="2"/>
  <c r="I450" i="2"/>
  <c r="F450" i="2" s="1"/>
  <c r="G451" i="2"/>
  <c r="D452" i="2"/>
  <c r="E451" i="2"/>
  <c r="I448" i="4"/>
  <c r="M448" i="4" s="1"/>
  <c r="G448" i="4"/>
  <c r="L448" i="4" s="1"/>
  <c r="K448" i="4"/>
  <c r="N448" i="4" s="1"/>
  <c r="C454" i="2"/>
  <c r="A449" i="4"/>
  <c r="P448" i="3"/>
  <c r="E448" i="3"/>
  <c r="G448" i="3"/>
  <c r="S448" i="3"/>
  <c r="Y448" i="3" s="1"/>
  <c r="Z448" i="3" s="1"/>
  <c r="AA448" i="3" s="1"/>
  <c r="H448" i="3"/>
  <c r="T448" i="3"/>
  <c r="J448" i="3"/>
  <c r="V448" i="3"/>
  <c r="M448" i="3"/>
  <c r="N448" i="3"/>
  <c r="C448" i="3"/>
  <c r="V451" i="2" l="1"/>
  <c r="T450" i="2"/>
  <c r="D449" i="4"/>
  <c r="K453" i="2"/>
  <c r="H452" i="2"/>
  <c r="A450" i="4"/>
  <c r="M449" i="3"/>
  <c r="N449" i="3"/>
  <c r="C449" i="3"/>
  <c r="P449" i="3"/>
  <c r="E449" i="3"/>
  <c r="G449" i="3"/>
  <c r="S449" i="3"/>
  <c r="Y449" i="3" s="1"/>
  <c r="Z449" i="3" s="1"/>
  <c r="AA449" i="3" s="1"/>
  <c r="J449" i="3"/>
  <c r="V449" i="3"/>
  <c r="T449" i="3"/>
  <c r="H449" i="3"/>
  <c r="K449" i="4"/>
  <c r="N449" i="4" s="1"/>
  <c r="G449" i="4"/>
  <c r="L449" i="4" s="1"/>
  <c r="I449" i="4"/>
  <c r="M449" i="4" s="1"/>
  <c r="D453" i="2"/>
  <c r="E452" i="2"/>
  <c r="I447" i="3"/>
  <c r="F448" i="4" s="1"/>
  <c r="U447" i="3"/>
  <c r="J448" i="4" s="1"/>
  <c r="O447" i="3"/>
  <c r="H448" i="4" s="1"/>
  <c r="F448" i="3"/>
  <c r="D449" i="3"/>
  <c r="C449" i="4"/>
  <c r="AB448" i="3"/>
  <c r="E449" i="4" s="1"/>
  <c r="C455" i="2"/>
  <c r="M453" i="2"/>
  <c r="J452" i="2"/>
  <c r="G452" i="2" s="1"/>
  <c r="L452" i="2"/>
  <c r="I451" i="2"/>
  <c r="F451" i="2" s="1"/>
  <c r="V452" i="2" l="1"/>
  <c r="T451" i="2"/>
  <c r="D450" i="4"/>
  <c r="A451" i="4"/>
  <c r="J450" i="3"/>
  <c r="V450" i="3"/>
  <c r="M450" i="3"/>
  <c r="N450" i="3"/>
  <c r="C450" i="3"/>
  <c r="P450" i="3"/>
  <c r="G450" i="3"/>
  <c r="S450" i="3"/>
  <c r="Y450" i="3" s="1"/>
  <c r="Z450" i="3" s="1"/>
  <c r="AA450" i="3" s="1"/>
  <c r="H450" i="3"/>
  <c r="T450" i="3"/>
  <c r="E450" i="3"/>
  <c r="C450" i="4"/>
  <c r="AB449" i="3"/>
  <c r="E450" i="4" s="1"/>
  <c r="F449" i="3"/>
  <c r="D450" i="3"/>
  <c r="I448" i="3"/>
  <c r="F449" i="4" s="1"/>
  <c r="U448" i="3"/>
  <c r="J449" i="4" s="1"/>
  <c r="O448" i="3"/>
  <c r="H449" i="4" s="1"/>
  <c r="I450" i="4"/>
  <c r="M450" i="4" s="1"/>
  <c r="K450" i="4"/>
  <c r="N450" i="4" s="1"/>
  <c r="G450" i="4"/>
  <c r="L450" i="4" s="1"/>
  <c r="K454" i="2"/>
  <c r="H453" i="2"/>
  <c r="J453" i="2"/>
  <c r="G453" i="2" s="1"/>
  <c r="M454" i="2"/>
  <c r="C456" i="2"/>
  <c r="D454" i="2"/>
  <c r="E453" i="2"/>
  <c r="L453" i="2"/>
  <c r="I452" i="2"/>
  <c r="F452" i="2" s="1"/>
  <c r="V453" i="2" l="1"/>
  <c r="T452" i="2"/>
  <c r="D451" i="4"/>
  <c r="M455" i="2"/>
  <c r="J454" i="2"/>
  <c r="G454" i="2" s="1"/>
  <c r="F450" i="3"/>
  <c r="D451" i="3"/>
  <c r="C457" i="2"/>
  <c r="O449" i="3"/>
  <c r="H450" i="4" s="1"/>
  <c r="I449" i="3"/>
  <c r="F450" i="4" s="1"/>
  <c r="U449" i="3"/>
  <c r="J450" i="4" s="1"/>
  <c r="C451" i="4"/>
  <c r="AB450" i="3"/>
  <c r="E451" i="4" s="1"/>
  <c r="D455" i="2"/>
  <c r="L454" i="2"/>
  <c r="I453" i="2"/>
  <c r="F453" i="2" s="1"/>
  <c r="A452" i="4"/>
  <c r="G451" i="3"/>
  <c r="S451" i="3"/>
  <c r="Y451" i="3" s="1"/>
  <c r="Z451" i="3" s="1"/>
  <c r="AA451" i="3" s="1"/>
  <c r="H451" i="3"/>
  <c r="T451" i="3"/>
  <c r="J451" i="3"/>
  <c r="V451" i="3"/>
  <c r="M451" i="3"/>
  <c r="C451" i="3"/>
  <c r="P451" i="3"/>
  <c r="E451" i="3"/>
  <c r="N451" i="3"/>
  <c r="G451" i="4"/>
  <c r="L451" i="4" s="1"/>
  <c r="I451" i="4"/>
  <c r="M451" i="4" s="1"/>
  <c r="K451" i="4"/>
  <c r="N451" i="4" s="1"/>
  <c r="K455" i="2"/>
  <c r="H454" i="2"/>
  <c r="E454" i="2" s="1"/>
  <c r="V454" i="2" l="1"/>
  <c r="T453" i="2"/>
  <c r="D452" i="4"/>
  <c r="G452" i="4"/>
  <c r="L452" i="4" s="1"/>
  <c r="I452" i="4"/>
  <c r="M452" i="4" s="1"/>
  <c r="K452" i="4"/>
  <c r="N452" i="4" s="1"/>
  <c r="A453" i="4"/>
  <c r="P452" i="3"/>
  <c r="E452" i="3"/>
  <c r="G452" i="3"/>
  <c r="S452" i="3"/>
  <c r="Y452" i="3" s="1"/>
  <c r="Z452" i="3" s="1"/>
  <c r="AA452" i="3" s="1"/>
  <c r="H452" i="3"/>
  <c r="T452" i="3"/>
  <c r="J452" i="3"/>
  <c r="V452" i="3"/>
  <c r="M452" i="3"/>
  <c r="N452" i="3"/>
  <c r="C452" i="3"/>
  <c r="C458" i="2"/>
  <c r="L455" i="2"/>
  <c r="I454" i="2"/>
  <c r="F454" i="2" s="1"/>
  <c r="D452" i="3"/>
  <c r="F451" i="3"/>
  <c r="H455" i="2"/>
  <c r="E455" i="2" s="1"/>
  <c r="K456" i="2"/>
  <c r="C452" i="4"/>
  <c r="AB451" i="3"/>
  <c r="E452" i="4" s="1"/>
  <c r="D456" i="2"/>
  <c r="O450" i="3"/>
  <c r="H451" i="4" s="1"/>
  <c r="I450" i="3"/>
  <c r="F451" i="4" s="1"/>
  <c r="U450" i="3"/>
  <c r="J451" i="4" s="1"/>
  <c r="M456" i="2"/>
  <c r="J455" i="2"/>
  <c r="G455" i="2" s="1"/>
  <c r="V455" i="2" l="1"/>
  <c r="T454" i="2"/>
  <c r="D453" i="4"/>
  <c r="D457" i="2"/>
  <c r="G453" i="4"/>
  <c r="L453" i="4" s="1"/>
  <c r="K453" i="4"/>
  <c r="N453" i="4" s="1"/>
  <c r="I453" i="4"/>
  <c r="M453" i="4" s="1"/>
  <c r="I455" i="2"/>
  <c r="F455" i="2" s="1"/>
  <c r="L456" i="2"/>
  <c r="A454" i="4"/>
  <c r="M453" i="3"/>
  <c r="N453" i="3"/>
  <c r="C453" i="3"/>
  <c r="P453" i="3"/>
  <c r="E453" i="3"/>
  <c r="G453" i="3"/>
  <c r="S453" i="3"/>
  <c r="Y453" i="3" s="1"/>
  <c r="Z453" i="3" s="1"/>
  <c r="AA453" i="3" s="1"/>
  <c r="J453" i="3"/>
  <c r="V453" i="3"/>
  <c r="T453" i="3"/>
  <c r="H453" i="3"/>
  <c r="K457" i="2"/>
  <c r="H456" i="2"/>
  <c r="E456" i="2" s="1"/>
  <c r="M457" i="2"/>
  <c r="J456" i="2"/>
  <c r="G456" i="2" s="1"/>
  <c r="C459" i="2"/>
  <c r="C453" i="4"/>
  <c r="AB452" i="3"/>
  <c r="E453" i="4" s="1"/>
  <c r="I451" i="3"/>
  <c r="F452" i="4" s="1"/>
  <c r="U451" i="3"/>
  <c r="J452" i="4" s="1"/>
  <c r="O451" i="3"/>
  <c r="H452" i="4" s="1"/>
  <c r="F452" i="3"/>
  <c r="D453" i="3"/>
  <c r="V456" i="2" l="1"/>
  <c r="T455" i="2"/>
  <c r="D454" i="4"/>
  <c r="A455" i="4"/>
  <c r="J454" i="3"/>
  <c r="V454" i="3"/>
  <c r="M454" i="3"/>
  <c r="N454" i="3"/>
  <c r="C454" i="3"/>
  <c r="P454" i="3"/>
  <c r="G454" i="3"/>
  <c r="S454" i="3"/>
  <c r="Y454" i="3" s="1"/>
  <c r="Z454" i="3" s="1"/>
  <c r="AA454" i="3" s="1"/>
  <c r="H454" i="3"/>
  <c r="T454" i="3"/>
  <c r="E454" i="3"/>
  <c r="M458" i="2"/>
  <c r="J457" i="2"/>
  <c r="G457" i="2" s="1"/>
  <c r="C460" i="2"/>
  <c r="F453" i="3"/>
  <c r="D454" i="3"/>
  <c r="I452" i="3"/>
  <c r="F453" i="4" s="1"/>
  <c r="U452" i="3"/>
  <c r="J453" i="4" s="1"/>
  <c r="O452" i="3"/>
  <c r="H453" i="4" s="1"/>
  <c r="K458" i="2"/>
  <c r="H457" i="2"/>
  <c r="E457" i="2" s="1"/>
  <c r="C454" i="4"/>
  <c r="AB453" i="3"/>
  <c r="E454" i="4" s="1"/>
  <c r="D458" i="2"/>
  <c r="I454" i="4"/>
  <c r="M454" i="4" s="1"/>
  <c r="G454" i="4"/>
  <c r="L454" i="4" s="1"/>
  <c r="K454" i="4"/>
  <c r="N454" i="4" s="1"/>
  <c r="L457" i="2"/>
  <c r="I456" i="2"/>
  <c r="F456" i="2" s="1"/>
  <c r="V457" i="2" l="1"/>
  <c r="T456" i="2"/>
  <c r="D455" i="4"/>
  <c r="F454" i="3"/>
  <c r="D455" i="3"/>
  <c r="C455" i="4"/>
  <c r="AB454" i="3"/>
  <c r="E455" i="4" s="1"/>
  <c r="C461" i="2"/>
  <c r="D459" i="2"/>
  <c r="G458" i="2"/>
  <c r="L458" i="2"/>
  <c r="I457" i="2"/>
  <c r="F457" i="2" s="1"/>
  <c r="M459" i="2"/>
  <c r="J458" i="2"/>
  <c r="K455" i="4"/>
  <c r="N455" i="4" s="1"/>
  <c r="G455" i="4"/>
  <c r="L455" i="4" s="1"/>
  <c r="I455" i="4"/>
  <c r="M455" i="4" s="1"/>
  <c r="O453" i="3"/>
  <c r="H454" i="4" s="1"/>
  <c r="I453" i="3"/>
  <c r="F454" i="4" s="1"/>
  <c r="U453" i="3"/>
  <c r="J454" i="4" s="1"/>
  <c r="K459" i="2"/>
  <c r="H458" i="2"/>
  <c r="E458" i="2" s="1"/>
  <c r="A456" i="4"/>
  <c r="G455" i="3"/>
  <c r="S455" i="3"/>
  <c r="Y455" i="3" s="1"/>
  <c r="Z455" i="3" s="1"/>
  <c r="AA455" i="3" s="1"/>
  <c r="H455" i="3"/>
  <c r="T455" i="3"/>
  <c r="J455" i="3"/>
  <c r="V455" i="3"/>
  <c r="M455" i="3"/>
  <c r="C455" i="3"/>
  <c r="P455" i="3"/>
  <c r="E455" i="3"/>
  <c r="N455" i="3"/>
  <c r="V458" i="2" l="1"/>
  <c r="T457" i="2"/>
  <c r="D456" i="4"/>
  <c r="C462" i="2"/>
  <c r="I456" i="4"/>
  <c r="M456" i="4" s="1"/>
  <c r="K456" i="4"/>
  <c r="N456" i="4" s="1"/>
  <c r="G456" i="4"/>
  <c r="L456" i="4" s="1"/>
  <c r="A457" i="4"/>
  <c r="P456" i="3"/>
  <c r="G456" i="3"/>
  <c r="S456" i="3"/>
  <c r="Y456" i="3" s="1"/>
  <c r="Z456" i="3" s="1"/>
  <c r="AA456" i="3" s="1"/>
  <c r="H456" i="3"/>
  <c r="T456" i="3"/>
  <c r="J456" i="3"/>
  <c r="V456" i="3"/>
  <c r="N456" i="3"/>
  <c r="M456" i="3"/>
  <c r="C456" i="3"/>
  <c r="E456" i="3"/>
  <c r="M460" i="2"/>
  <c r="J459" i="2"/>
  <c r="G459" i="2"/>
  <c r="D460" i="2"/>
  <c r="K460" i="2"/>
  <c r="H459" i="2"/>
  <c r="E459" i="2" s="1"/>
  <c r="D456" i="3"/>
  <c r="F455" i="3"/>
  <c r="L459" i="2"/>
  <c r="I458" i="2"/>
  <c r="F458" i="2" s="1"/>
  <c r="O454" i="3"/>
  <c r="H455" i="4" s="1"/>
  <c r="I454" i="3"/>
  <c r="F455" i="4" s="1"/>
  <c r="U454" i="3"/>
  <c r="J455" i="4" s="1"/>
  <c r="C456" i="4"/>
  <c r="AB455" i="3"/>
  <c r="E456" i="4" s="1"/>
  <c r="V459" i="2" l="1"/>
  <c r="T458" i="2"/>
  <c r="D457" i="4"/>
  <c r="L460" i="2"/>
  <c r="I459" i="2"/>
  <c r="F459" i="2" s="1"/>
  <c r="G457" i="4"/>
  <c r="L457" i="4" s="1"/>
  <c r="I457" i="4"/>
  <c r="M457" i="4" s="1"/>
  <c r="K457" i="4"/>
  <c r="N457" i="4" s="1"/>
  <c r="A458" i="4"/>
  <c r="M457" i="3"/>
  <c r="C457" i="3"/>
  <c r="P457" i="3"/>
  <c r="E457" i="3"/>
  <c r="G457" i="3"/>
  <c r="S457" i="3"/>
  <c r="Y457" i="3" s="1"/>
  <c r="Z457" i="3" s="1"/>
  <c r="AA457" i="3" s="1"/>
  <c r="T457" i="3"/>
  <c r="V457" i="3"/>
  <c r="H457" i="3"/>
  <c r="J457" i="3"/>
  <c r="N457" i="3"/>
  <c r="C457" i="4"/>
  <c r="AB456" i="3"/>
  <c r="E457" i="4" s="1"/>
  <c r="D461" i="2"/>
  <c r="C463" i="2"/>
  <c r="I455" i="3"/>
  <c r="F456" i="4" s="1"/>
  <c r="U455" i="3"/>
  <c r="J456" i="4" s="1"/>
  <c r="O455" i="3"/>
  <c r="H456" i="4" s="1"/>
  <c r="F456" i="3"/>
  <c r="D457" i="3"/>
  <c r="K461" i="2"/>
  <c r="H460" i="2"/>
  <c r="E460" i="2" s="1"/>
  <c r="J460" i="2"/>
  <c r="G460" i="2" s="1"/>
  <c r="M461" i="2"/>
  <c r="V460" i="2" l="1"/>
  <c r="T459" i="2"/>
  <c r="D458" i="4"/>
  <c r="C458" i="4"/>
  <c r="AB457" i="3"/>
  <c r="E458" i="4" s="1"/>
  <c r="G458" i="4"/>
  <c r="L458" i="4" s="1"/>
  <c r="I458" i="4"/>
  <c r="M458" i="4" s="1"/>
  <c r="K458" i="4"/>
  <c r="N458" i="4" s="1"/>
  <c r="A459" i="4"/>
  <c r="J458" i="3"/>
  <c r="V458" i="3"/>
  <c r="M458" i="3"/>
  <c r="C458" i="3"/>
  <c r="P458" i="3"/>
  <c r="N458" i="3"/>
  <c r="S458" i="3"/>
  <c r="Y458" i="3" s="1"/>
  <c r="Z458" i="3" s="1"/>
  <c r="AA458" i="3" s="1"/>
  <c r="T458" i="3"/>
  <c r="E458" i="3"/>
  <c r="G458" i="3"/>
  <c r="H458" i="3"/>
  <c r="C464" i="2"/>
  <c r="K462" i="2"/>
  <c r="H461" i="2"/>
  <c r="I460" i="2"/>
  <c r="F460" i="2" s="1"/>
  <c r="L461" i="2"/>
  <c r="J461" i="2"/>
  <c r="M462" i="2"/>
  <c r="F457" i="3"/>
  <c r="D458" i="3"/>
  <c r="G461" i="2"/>
  <c r="D462" i="2"/>
  <c r="E461" i="2"/>
  <c r="I456" i="3"/>
  <c r="F457" i="4" s="1"/>
  <c r="U456" i="3"/>
  <c r="J457" i="4" s="1"/>
  <c r="O456" i="3"/>
  <c r="H457" i="4" s="1"/>
  <c r="V461" i="2" l="1"/>
  <c r="T460" i="2"/>
  <c r="D459" i="4"/>
  <c r="G459" i="4"/>
  <c r="L459" i="4" s="1"/>
  <c r="K459" i="4"/>
  <c r="N459" i="4" s="1"/>
  <c r="I459" i="4"/>
  <c r="M459" i="4" s="1"/>
  <c r="F458" i="3"/>
  <c r="D459" i="3"/>
  <c r="O457" i="3"/>
  <c r="H458" i="4" s="1"/>
  <c r="I457" i="3"/>
  <c r="F458" i="4" s="1"/>
  <c r="U457" i="3"/>
  <c r="J458" i="4" s="1"/>
  <c r="A460" i="4"/>
  <c r="G459" i="3"/>
  <c r="S459" i="3"/>
  <c r="Y459" i="3" s="1"/>
  <c r="Z459" i="3" s="1"/>
  <c r="AA459" i="3" s="1"/>
  <c r="J459" i="3"/>
  <c r="V459" i="3"/>
  <c r="M459" i="3"/>
  <c r="C459" i="3"/>
  <c r="N459" i="3"/>
  <c r="P459" i="3"/>
  <c r="T459" i="3"/>
  <c r="E459" i="3"/>
  <c r="H459" i="3"/>
  <c r="M463" i="2"/>
  <c r="J462" i="2"/>
  <c r="L462" i="2"/>
  <c r="I461" i="2"/>
  <c r="F461" i="2" s="1"/>
  <c r="H462" i="2"/>
  <c r="E462" i="2" s="1"/>
  <c r="K463" i="2"/>
  <c r="C459" i="4"/>
  <c r="AB458" i="3"/>
  <c r="E459" i="4" s="1"/>
  <c r="G462" i="2"/>
  <c r="D463" i="2"/>
  <c r="C465" i="2"/>
  <c r="V462" i="2" l="1"/>
  <c r="T461" i="2"/>
  <c r="D460" i="4"/>
  <c r="D464" i="2"/>
  <c r="E463" i="2"/>
  <c r="D460" i="3"/>
  <c r="F459" i="3"/>
  <c r="O458" i="3"/>
  <c r="H459" i="4" s="1"/>
  <c r="U458" i="3"/>
  <c r="J459" i="4" s="1"/>
  <c r="I458" i="3"/>
  <c r="F459" i="4" s="1"/>
  <c r="C460" i="4"/>
  <c r="AB459" i="3"/>
  <c r="E460" i="4" s="1"/>
  <c r="H463" i="2"/>
  <c r="K464" i="2"/>
  <c r="M464" i="2"/>
  <c r="J463" i="2"/>
  <c r="G463" i="2" s="1"/>
  <c r="I460" i="4"/>
  <c r="M460" i="4" s="1"/>
  <c r="K460" i="4"/>
  <c r="N460" i="4" s="1"/>
  <c r="G460" i="4"/>
  <c r="L460" i="4" s="1"/>
  <c r="C466" i="2"/>
  <c r="L463" i="2"/>
  <c r="I462" i="2"/>
  <c r="F462" i="2" s="1"/>
  <c r="A461" i="4"/>
  <c r="P460" i="3"/>
  <c r="G460" i="3"/>
  <c r="S460" i="3"/>
  <c r="Y460" i="3" s="1"/>
  <c r="Z460" i="3" s="1"/>
  <c r="AA460" i="3" s="1"/>
  <c r="J460" i="3"/>
  <c r="V460" i="3"/>
  <c r="H460" i="3"/>
  <c r="M460" i="3"/>
  <c r="N460" i="3"/>
  <c r="T460" i="3"/>
  <c r="E460" i="3"/>
  <c r="C460" i="3"/>
  <c r="V463" i="2" l="1"/>
  <c r="T462" i="2"/>
  <c r="D461" i="4"/>
  <c r="I459" i="3"/>
  <c r="F460" i="4" s="1"/>
  <c r="U459" i="3"/>
  <c r="J460" i="4" s="1"/>
  <c r="O459" i="3"/>
  <c r="H460" i="4" s="1"/>
  <c r="F460" i="3"/>
  <c r="D461" i="3"/>
  <c r="A462" i="4"/>
  <c r="M461" i="3"/>
  <c r="C461" i="3"/>
  <c r="P461" i="3"/>
  <c r="G461" i="3"/>
  <c r="S461" i="3"/>
  <c r="Y461" i="3" s="1"/>
  <c r="Z461" i="3" s="1"/>
  <c r="AA461" i="3" s="1"/>
  <c r="E461" i="3"/>
  <c r="H461" i="3"/>
  <c r="J461" i="3"/>
  <c r="N461" i="3"/>
  <c r="T461" i="3"/>
  <c r="V461" i="3"/>
  <c r="M465" i="2"/>
  <c r="J464" i="2"/>
  <c r="G464" i="2" s="1"/>
  <c r="D465" i="2"/>
  <c r="K461" i="4"/>
  <c r="N461" i="4" s="1"/>
  <c r="G461" i="4"/>
  <c r="L461" i="4" s="1"/>
  <c r="I461" i="4"/>
  <c r="M461" i="4" s="1"/>
  <c r="L464" i="2"/>
  <c r="I463" i="2"/>
  <c r="F463" i="2" s="1"/>
  <c r="K465" i="2"/>
  <c r="H464" i="2"/>
  <c r="E464" i="2" s="1"/>
  <c r="C461" i="4"/>
  <c r="AB460" i="3"/>
  <c r="E461" i="4" s="1"/>
  <c r="C467" i="2"/>
  <c r="V464" i="2" l="1"/>
  <c r="T463" i="2"/>
  <c r="D462" i="4"/>
  <c r="K466" i="2"/>
  <c r="H465" i="2"/>
  <c r="E465" i="2" s="1"/>
  <c r="L465" i="2"/>
  <c r="I464" i="2"/>
  <c r="F464" i="2" s="1"/>
  <c r="J465" i="2"/>
  <c r="M466" i="2"/>
  <c r="I462" i="4"/>
  <c r="M462" i="4" s="1"/>
  <c r="K462" i="4"/>
  <c r="N462" i="4" s="1"/>
  <c r="G462" i="4"/>
  <c r="L462" i="4" s="1"/>
  <c r="F461" i="3"/>
  <c r="D462" i="3"/>
  <c r="I460" i="3"/>
  <c r="F461" i="4" s="1"/>
  <c r="U460" i="3"/>
  <c r="J461" i="4" s="1"/>
  <c r="O460" i="3"/>
  <c r="H461" i="4" s="1"/>
  <c r="C468" i="2"/>
  <c r="C462" i="4"/>
  <c r="AB461" i="3"/>
  <c r="E462" i="4" s="1"/>
  <c r="A463" i="4"/>
  <c r="J462" i="3"/>
  <c r="V462" i="3"/>
  <c r="M462" i="3"/>
  <c r="C462" i="3"/>
  <c r="P462" i="3"/>
  <c r="E462" i="3"/>
  <c r="G462" i="3"/>
  <c r="H462" i="3"/>
  <c r="N462" i="3"/>
  <c r="S462" i="3"/>
  <c r="Y462" i="3" s="1"/>
  <c r="Z462" i="3" s="1"/>
  <c r="AA462" i="3" s="1"/>
  <c r="T462" i="3"/>
  <c r="D466" i="2"/>
  <c r="G465" i="2"/>
  <c r="V465" i="2" l="1"/>
  <c r="T464" i="2"/>
  <c r="D463" i="4"/>
  <c r="D467" i="2"/>
  <c r="A464" i="4"/>
  <c r="G463" i="3"/>
  <c r="S463" i="3"/>
  <c r="Y463" i="3" s="1"/>
  <c r="Z463" i="3" s="1"/>
  <c r="AA463" i="3" s="1"/>
  <c r="J463" i="3"/>
  <c r="V463" i="3"/>
  <c r="M463" i="3"/>
  <c r="C463" i="3"/>
  <c r="E463" i="3"/>
  <c r="H463" i="3"/>
  <c r="N463" i="3"/>
  <c r="P463" i="3"/>
  <c r="T463" i="3"/>
  <c r="C469" i="2"/>
  <c r="M467" i="2"/>
  <c r="J466" i="2"/>
  <c r="G466" i="2" s="1"/>
  <c r="L466" i="2"/>
  <c r="I465" i="2"/>
  <c r="F465" i="2" s="1"/>
  <c r="C463" i="4"/>
  <c r="AB462" i="3"/>
  <c r="E463" i="4" s="1"/>
  <c r="F462" i="3"/>
  <c r="D463" i="3"/>
  <c r="O461" i="3"/>
  <c r="H462" i="4" s="1"/>
  <c r="I461" i="3"/>
  <c r="F462" i="4" s="1"/>
  <c r="U461" i="3"/>
  <c r="J462" i="4" s="1"/>
  <c r="K467" i="2"/>
  <c r="H466" i="2"/>
  <c r="E466" i="2" s="1"/>
  <c r="G463" i="4"/>
  <c r="L463" i="4" s="1"/>
  <c r="I463" i="4"/>
  <c r="M463" i="4" s="1"/>
  <c r="K463" i="4"/>
  <c r="N463" i="4" s="1"/>
  <c r="V466" i="2" l="1"/>
  <c r="T465" i="2"/>
  <c r="D464" i="4"/>
  <c r="G464" i="4"/>
  <c r="L464" i="4" s="1"/>
  <c r="I464" i="4"/>
  <c r="M464" i="4" s="1"/>
  <c r="K464" i="4"/>
  <c r="N464" i="4" s="1"/>
  <c r="M468" i="2"/>
  <c r="J467" i="2"/>
  <c r="G467" i="2" s="1"/>
  <c r="C470" i="2"/>
  <c r="D464" i="3"/>
  <c r="F463" i="3"/>
  <c r="O462" i="3"/>
  <c r="H463" i="4" s="1"/>
  <c r="I462" i="3"/>
  <c r="F463" i="4" s="1"/>
  <c r="U462" i="3"/>
  <c r="J463" i="4" s="1"/>
  <c r="D468" i="2"/>
  <c r="H467" i="2"/>
  <c r="E467" i="2" s="1"/>
  <c r="K468" i="2"/>
  <c r="A465" i="4"/>
  <c r="P464" i="3"/>
  <c r="G464" i="3"/>
  <c r="S464" i="3"/>
  <c r="Y464" i="3" s="1"/>
  <c r="Z464" i="3" s="1"/>
  <c r="AA464" i="3" s="1"/>
  <c r="J464" i="3"/>
  <c r="V464" i="3"/>
  <c r="T464" i="3"/>
  <c r="C464" i="3"/>
  <c r="E464" i="3"/>
  <c r="H464" i="3"/>
  <c r="M464" i="3"/>
  <c r="N464" i="3"/>
  <c r="L467" i="2"/>
  <c r="I466" i="2"/>
  <c r="F466" i="2" s="1"/>
  <c r="C464" i="4"/>
  <c r="AB463" i="3"/>
  <c r="E464" i="4" s="1"/>
  <c r="V467" i="2" l="1"/>
  <c r="T466" i="2"/>
  <c r="D465" i="4"/>
  <c r="I467" i="2"/>
  <c r="F467" i="2" s="1"/>
  <c r="L468" i="2"/>
  <c r="I463" i="3"/>
  <c r="F464" i="4" s="1"/>
  <c r="U463" i="3"/>
  <c r="J464" i="4" s="1"/>
  <c r="O463" i="3"/>
  <c r="H464" i="4" s="1"/>
  <c r="C471" i="2"/>
  <c r="A466" i="4"/>
  <c r="M465" i="3"/>
  <c r="C465" i="3"/>
  <c r="P465" i="3"/>
  <c r="G465" i="3"/>
  <c r="S465" i="3"/>
  <c r="Y465" i="3" s="1"/>
  <c r="Z465" i="3" s="1"/>
  <c r="AA465" i="3" s="1"/>
  <c r="T465" i="3"/>
  <c r="V465" i="3"/>
  <c r="E465" i="3"/>
  <c r="H465" i="3"/>
  <c r="J465" i="3"/>
  <c r="N465" i="3"/>
  <c r="M469" i="2"/>
  <c r="J468" i="2"/>
  <c r="G468" i="2" s="1"/>
  <c r="D469" i="2"/>
  <c r="G465" i="4"/>
  <c r="L465" i="4" s="1"/>
  <c r="K465" i="4"/>
  <c r="N465" i="4" s="1"/>
  <c r="I465" i="4"/>
  <c r="M465" i="4" s="1"/>
  <c r="F464" i="3"/>
  <c r="D465" i="3"/>
  <c r="C465" i="4"/>
  <c r="AB464" i="3"/>
  <c r="E465" i="4" s="1"/>
  <c r="K469" i="2"/>
  <c r="H468" i="2"/>
  <c r="E468" i="2" s="1"/>
  <c r="V468" i="2" l="1"/>
  <c r="T467" i="2"/>
  <c r="D466" i="4"/>
  <c r="M470" i="2"/>
  <c r="J469" i="2"/>
  <c r="C472" i="2"/>
  <c r="A467" i="4"/>
  <c r="J466" i="3"/>
  <c r="V466" i="3"/>
  <c r="M466" i="3"/>
  <c r="C466" i="3"/>
  <c r="N466" i="3"/>
  <c r="P466" i="3"/>
  <c r="S466" i="3"/>
  <c r="Y466" i="3" s="1"/>
  <c r="Z466" i="3" s="1"/>
  <c r="AA466" i="3" s="1"/>
  <c r="T466" i="3"/>
  <c r="E466" i="3"/>
  <c r="G466" i="3"/>
  <c r="H466" i="3"/>
  <c r="C466" i="4"/>
  <c r="AB465" i="3"/>
  <c r="E466" i="4" s="1"/>
  <c r="I466" i="4"/>
  <c r="M466" i="4" s="1"/>
  <c r="G466" i="4"/>
  <c r="L466" i="4" s="1"/>
  <c r="K466" i="4"/>
  <c r="N466" i="4" s="1"/>
  <c r="I468" i="2"/>
  <c r="F468" i="2" s="1"/>
  <c r="L469" i="2"/>
  <c r="K470" i="2"/>
  <c r="H469" i="2"/>
  <c r="E469" i="2" s="1"/>
  <c r="G469" i="2"/>
  <c r="D470" i="2"/>
  <c r="F465" i="3"/>
  <c r="D466" i="3"/>
  <c r="I464" i="3"/>
  <c r="F465" i="4" s="1"/>
  <c r="U464" i="3"/>
  <c r="J465" i="4" s="1"/>
  <c r="O464" i="3"/>
  <c r="H465" i="4" s="1"/>
  <c r="V469" i="2" l="1"/>
  <c r="T468" i="2"/>
  <c r="D467" i="4"/>
  <c r="C467" i="4"/>
  <c r="AB466" i="3"/>
  <c r="E467" i="4" s="1"/>
  <c r="D471" i="2"/>
  <c r="K467" i="4"/>
  <c r="N467" i="4" s="1"/>
  <c r="G467" i="4"/>
  <c r="L467" i="4" s="1"/>
  <c r="I467" i="4"/>
  <c r="M467" i="4" s="1"/>
  <c r="C473" i="2"/>
  <c r="K471" i="2"/>
  <c r="H470" i="2"/>
  <c r="E470" i="2" s="1"/>
  <c r="L470" i="2"/>
  <c r="I469" i="2"/>
  <c r="F469" i="2" s="1"/>
  <c r="M471" i="2"/>
  <c r="J470" i="2"/>
  <c r="G470" i="2" s="1"/>
  <c r="F466" i="3"/>
  <c r="D467" i="3"/>
  <c r="O465" i="3"/>
  <c r="H466" i="4" s="1"/>
  <c r="I465" i="3"/>
  <c r="F466" i="4" s="1"/>
  <c r="U465" i="3"/>
  <c r="J466" i="4" s="1"/>
  <c r="A468" i="4"/>
  <c r="G467" i="3"/>
  <c r="S467" i="3"/>
  <c r="Y467" i="3" s="1"/>
  <c r="Z467" i="3" s="1"/>
  <c r="AA467" i="3" s="1"/>
  <c r="J467" i="3"/>
  <c r="V467" i="3"/>
  <c r="C467" i="3"/>
  <c r="T467" i="3"/>
  <c r="E467" i="3"/>
  <c r="H467" i="3"/>
  <c r="M467" i="3"/>
  <c r="N467" i="3"/>
  <c r="P467" i="3"/>
  <c r="V470" i="2" l="1"/>
  <c r="T469" i="2"/>
  <c r="D468" i="4"/>
  <c r="M472" i="2"/>
  <c r="J471" i="2"/>
  <c r="L471" i="2"/>
  <c r="I470" i="2"/>
  <c r="F470" i="2" s="1"/>
  <c r="K472" i="2"/>
  <c r="H471" i="2"/>
  <c r="I468" i="4"/>
  <c r="M468" i="4" s="1"/>
  <c r="K468" i="4"/>
  <c r="N468" i="4" s="1"/>
  <c r="G468" i="4"/>
  <c r="L468" i="4" s="1"/>
  <c r="A469" i="4"/>
  <c r="P468" i="3"/>
  <c r="G468" i="3"/>
  <c r="S468" i="3"/>
  <c r="Y468" i="3" s="1"/>
  <c r="Z468" i="3" s="1"/>
  <c r="AA468" i="3" s="1"/>
  <c r="H468" i="3"/>
  <c r="J468" i="3"/>
  <c r="M468" i="3"/>
  <c r="N468" i="3"/>
  <c r="E468" i="3"/>
  <c r="V468" i="3"/>
  <c r="C468" i="3"/>
  <c r="T468" i="3"/>
  <c r="G471" i="2"/>
  <c r="D472" i="2"/>
  <c r="E471" i="2"/>
  <c r="C474" i="2"/>
  <c r="C468" i="4"/>
  <c r="AB467" i="3"/>
  <c r="E468" i="4" s="1"/>
  <c r="D468" i="3"/>
  <c r="F467" i="3"/>
  <c r="O466" i="3"/>
  <c r="H467" i="4" s="1"/>
  <c r="U466" i="3"/>
  <c r="J467" i="4" s="1"/>
  <c r="I466" i="3"/>
  <c r="F467" i="4" s="1"/>
  <c r="V471" i="2" l="1"/>
  <c r="T470" i="2"/>
  <c r="D469" i="4"/>
  <c r="C469" i="4"/>
  <c r="AB468" i="3"/>
  <c r="E469" i="4" s="1"/>
  <c r="K473" i="2"/>
  <c r="H472" i="2"/>
  <c r="C475" i="2"/>
  <c r="A470" i="4"/>
  <c r="M469" i="3"/>
  <c r="P469" i="3"/>
  <c r="N469" i="3"/>
  <c r="S469" i="3"/>
  <c r="Y469" i="3" s="1"/>
  <c r="Z469" i="3" s="1"/>
  <c r="AA469" i="3" s="1"/>
  <c r="C469" i="3"/>
  <c r="T469" i="3"/>
  <c r="E469" i="3"/>
  <c r="G469" i="3"/>
  <c r="V469" i="3"/>
  <c r="H469" i="3"/>
  <c r="J469" i="3"/>
  <c r="L472" i="2"/>
  <c r="I471" i="2"/>
  <c r="F471" i="2" s="1"/>
  <c r="U467" i="3"/>
  <c r="J468" i="4" s="1"/>
  <c r="I467" i="3"/>
  <c r="F468" i="4" s="1"/>
  <c r="O467" i="3"/>
  <c r="H468" i="4" s="1"/>
  <c r="G469" i="4"/>
  <c r="L469" i="4" s="1"/>
  <c r="I469" i="4"/>
  <c r="M469" i="4" s="1"/>
  <c r="K469" i="4"/>
  <c r="N469" i="4" s="1"/>
  <c r="J472" i="2"/>
  <c r="G472" i="2" s="1"/>
  <c r="M473" i="2"/>
  <c r="D473" i="2"/>
  <c r="E472" i="2"/>
  <c r="D469" i="3"/>
  <c r="F468" i="3"/>
  <c r="V472" i="2" l="1"/>
  <c r="T471" i="2"/>
  <c r="D470" i="4"/>
  <c r="C470" i="4"/>
  <c r="AB469" i="3"/>
  <c r="E470" i="4" s="1"/>
  <c r="G470" i="4"/>
  <c r="L470" i="4" s="1"/>
  <c r="I470" i="4"/>
  <c r="M470" i="4" s="1"/>
  <c r="K470" i="4"/>
  <c r="N470" i="4" s="1"/>
  <c r="C476" i="2"/>
  <c r="D474" i="2"/>
  <c r="I472" i="2"/>
  <c r="F472" i="2" s="1"/>
  <c r="L473" i="2"/>
  <c r="I468" i="3"/>
  <c r="F469" i="4" s="1"/>
  <c r="U468" i="3"/>
  <c r="J469" i="4" s="1"/>
  <c r="O468" i="3"/>
  <c r="H469" i="4" s="1"/>
  <c r="F469" i="3"/>
  <c r="D470" i="3"/>
  <c r="K474" i="2"/>
  <c r="H473" i="2"/>
  <c r="E473" i="2" s="1"/>
  <c r="J473" i="2"/>
  <c r="G473" i="2" s="1"/>
  <c r="M474" i="2"/>
  <c r="A471" i="4"/>
  <c r="J470" i="3"/>
  <c r="V470" i="3"/>
  <c r="M470" i="3"/>
  <c r="C470" i="3"/>
  <c r="S470" i="3"/>
  <c r="Y470" i="3" s="1"/>
  <c r="Z470" i="3" s="1"/>
  <c r="AA470" i="3" s="1"/>
  <c r="E470" i="3"/>
  <c r="T470" i="3"/>
  <c r="G470" i="3"/>
  <c r="H470" i="3"/>
  <c r="P470" i="3"/>
  <c r="N470" i="3"/>
  <c r="V473" i="2" l="1"/>
  <c r="T472" i="2"/>
  <c r="D471" i="4"/>
  <c r="G471" i="4"/>
  <c r="L471" i="4" s="1"/>
  <c r="K471" i="4"/>
  <c r="N471" i="4" s="1"/>
  <c r="I471" i="4"/>
  <c r="M471" i="4" s="1"/>
  <c r="A472" i="4"/>
  <c r="G471" i="3"/>
  <c r="S471" i="3"/>
  <c r="Y471" i="3" s="1"/>
  <c r="Z471" i="3" s="1"/>
  <c r="AA471" i="3" s="1"/>
  <c r="E471" i="3"/>
  <c r="T471" i="3"/>
  <c r="H471" i="3"/>
  <c r="V471" i="3"/>
  <c r="J471" i="3"/>
  <c r="M471" i="3"/>
  <c r="N471" i="3"/>
  <c r="C471" i="3"/>
  <c r="P471" i="3"/>
  <c r="M475" i="2"/>
  <c r="J474" i="2"/>
  <c r="G474" i="2" s="1"/>
  <c r="O469" i="3"/>
  <c r="H470" i="4" s="1"/>
  <c r="U469" i="3"/>
  <c r="J470" i="4" s="1"/>
  <c r="I469" i="3"/>
  <c r="F470" i="4" s="1"/>
  <c r="C477" i="2"/>
  <c r="C471" i="4"/>
  <c r="AB470" i="3"/>
  <c r="E471" i="4" s="1"/>
  <c r="D475" i="2"/>
  <c r="H474" i="2"/>
  <c r="E474" i="2" s="1"/>
  <c r="K475" i="2"/>
  <c r="L474" i="2"/>
  <c r="I473" i="2"/>
  <c r="F473" i="2" s="1"/>
  <c r="D471" i="3"/>
  <c r="F470" i="3"/>
  <c r="V474" i="2" l="1"/>
  <c r="T473" i="2"/>
  <c r="D472" i="4"/>
  <c r="H475" i="2"/>
  <c r="E475" i="2" s="1"/>
  <c r="K476" i="2"/>
  <c r="I472" i="4"/>
  <c r="M472" i="4" s="1"/>
  <c r="G472" i="4"/>
  <c r="L472" i="4" s="1"/>
  <c r="K472" i="4"/>
  <c r="N472" i="4" s="1"/>
  <c r="M476" i="2"/>
  <c r="J475" i="2"/>
  <c r="G475" i="2" s="1"/>
  <c r="D476" i="2"/>
  <c r="O470" i="3"/>
  <c r="H471" i="4" s="1"/>
  <c r="U470" i="3"/>
  <c r="J471" i="4" s="1"/>
  <c r="I470" i="3"/>
  <c r="F471" i="4" s="1"/>
  <c r="A473" i="4"/>
  <c r="P472" i="3"/>
  <c r="T472" i="3"/>
  <c r="G472" i="3"/>
  <c r="V472" i="3"/>
  <c r="H472" i="3"/>
  <c r="J472" i="3"/>
  <c r="M472" i="3"/>
  <c r="N472" i="3"/>
  <c r="E472" i="3"/>
  <c r="S472" i="3"/>
  <c r="Y472" i="3" s="1"/>
  <c r="Z472" i="3" s="1"/>
  <c r="AA472" i="3" s="1"/>
  <c r="C472" i="3"/>
  <c r="C472" i="4"/>
  <c r="AB471" i="3"/>
  <c r="E472" i="4" s="1"/>
  <c r="C478" i="2"/>
  <c r="L475" i="2"/>
  <c r="I474" i="2"/>
  <c r="F474" i="2" s="1"/>
  <c r="D472" i="3"/>
  <c r="F471" i="3"/>
  <c r="V475" i="2" l="1"/>
  <c r="T474" i="2"/>
  <c r="D473" i="4"/>
  <c r="C479" i="2"/>
  <c r="M477" i="2"/>
  <c r="J476" i="2"/>
  <c r="K473" i="4"/>
  <c r="N473" i="4" s="1"/>
  <c r="G473" i="4"/>
  <c r="L473" i="4" s="1"/>
  <c r="I473" i="4"/>
  <c r="M473" i="4" s="1"/>
  <c r="U471" i="3"/>
  <c r="J472" i="4" s="1"/>
  <c r="I471" i="3"/>
  <c r="F472" i="4" s="1"/>
  <c r="O471" i="3"/>
  <c r="H472" i="4" s="1"/>
  <c r="C473" i="4"/>
  <c r="AB472" i="3"/>
  <c r="E473" i="4" s="1"/>
  <c r="K477" i="2"/>
  <c r="H476" i="2"/>
  <c r="A474" i="4"/>
  <c r="M473" i="3"/>
  <c r="H473" i="3"/>
  <c r="V473" i="3"/>
  <c r="J473" i="3"/>
  <c r="N473" i="3"/>
  <c r="P473" i="3"/>
  <c r="C473" i="3"/>
  <c r="S473" i="3"/>
  <c r="Y473" i="3" s="1"/>
  <c r="Z473" i="3" s="1"/>
  <c r="AA473" i="3" s="1"/>
  <c r="G473" i="3"/>
  <c r="E473" i="3"/>
  <c r="T473" i="3"/>
  <c r="L476" i="2"/>
  <c r="I475" i="2"/>
  <c r="F475" i="2" s="1"/>
  <c r="G476" i="2"/>
  <c r="D477" i="2"/>
  <c r="E476" i="2"/>
  <c r="F472" i="3"/>
  <c r="D473" i="3"/>
  <c r="V476" i="2" l="1"/>
  <c r="T475" i="2"/>
  <c r="D474" i="4"/>
  <c r="C474" i="4"/>
  <c r="AB473" i="3"/>
  <c r="E474" i="4" s="1"/>
  <c r="L477" i="2"/>
  <c r="I476" i="2"/>
  <c r="F476" i="2" s="1"/>
  <c r="K478" i="2"/>
  <c r="H477" i="2"/>
  <c r="J477" i="2"/>
  <c r="M478" i="2"/>
  <c r="I474" i="4"/>
  <c r="M474" i="4" s="1"/>
  <c r="K474" i="4"/>
  <c r="N474" i="4" s="1"/>
  <c r="G474" i="4"/>
  <c r="L474" i="4" s="1"/>
  <c r="F473" i="3"/>
  <c r="D474" i="3"/>
  <c r="I472" i="3"/>
  <c r="F473" i="4" s="1"/>
  <c r="U472" i="3"/>
  <c r="J473" i="4" s="1"/>
  <c r="O472" i="3"/>
  <c r="H473" i="4" s="1"/>
  <c r="C480" i="2"/>
  <c r="A475" i="4"/>
  <c r="J474" i="3"/>
  <c r="V474" i="3"/>
  <c r="C474" i="3"/>
  <c r="M474" i="3"/>
  <c r="N474" i="3"/>
  <c r="P474" i="3"/>
  <c r="E474" i="3"/>
  <c r="S474" i="3"/>
  <c r="Y474" i="3" s="1"/>
  <c r="Z474" i="3" s="1"/>
  <c r="AA474" i="3" s="1"/>
  <c r="T474" i="3"/>
  <c r="H474" i="3"/>
  <c r="G474" i="3"/>
  <c r="D478" i="2"/>
  <c r="G477" i="2"/>
  <c r="E477" i="2"/>
  <c r="V477" i="2" l="1"/>
  <c r="T476" i="2"/>
  <c r="D475" i="4"/>
  <c r="D479" i="2"/>
  <c r="C481" i="2"/>
  <c r="M479" i="2"/>
  <c r="J478" i="2"/>
  <c r="G478" i="2" s="1"/>
  <c r="K479" i="2"/>
  <c r="H478" i="2"/>
  <c r="E478" i="2" s="1"/>
  <c r="D475" i="3"/>
  <c r="F474" i="3"/>
  <c r="C475" i="4"/>
  <c r="AB474" i="3"/>
  <c r="E475" i="4" s="1"/>
  <c r="I473" i="3"/>
  <c r="F474" i="4" s="1"/>
  <c r="O473" i="3"/>
  <c r="H474" i="4" s="1"/>
  <c r="U473" i="3"/>
  <c r="J474" i="4" s="1"/>
  <c r="L478" i="2"/>
  <c r="I477" i="2"/>
  <c r="F477" i="2" s="1"/>
  <c r="A476" i="4"/>
  <c r="J475" i="3"/>
  <c r="V475" i="3"/>
  <c r="M475" i="3"/>
  <c r="N475" i="3"/>
  <c r="C475" i="3"/>
  <c r="P475" i="3"/>
  <c r="E475" i="3"/>
  <c r="H475" i="3"/>
  <c r="T475" i="3"/>
  <c r="S475" i="3"/>
  <c r="Y475" i="3" s="1"/>
  <c r="Z475" i="3" s="1"/>
  <c r="AA475" i="3" s="1"/>
  <c r="G475" i="3"/>
  <c r="G475" i="4"/>
  <c r="L475" i="4" s="1"/>
  <c r="I475" i="4"/>
  <c r="M475" i="4" s="1"/>
  <c r="K475" i="4"/>
  <c r="N475" i="4" s="1"/>
  <c r="V478" i="2" l="1"/>
  <c r="T477" i="2"/>
  <c r="D476" i="4"/>
  <c r="G476" i="4"/>
  <c r="L476" i="4" s="1"/>
  <c r="I476" i="4"/>
  <c r="M476" i="4" s="1"/>
  <c r="K476" i="4"/>
  <c r="N476" i="4" s="1"/>
  <c r="M480" i="2"/>
  <c r="J479" i="2"/>
  <c r="L479" i="2"/>
  <c r="I478" i="2"/>
  <c r="F478" i="2" s="1"/>
  <c r="C482" i="2"/>
  <c r="A477" i="4"/>
  <c r="G476" i="3"/>
  <c r="S476" i="3"/>
  <c r="Y476" i="3" s="1"/>
  <c r="Z476" i="3" s="1"/>
  <c r="AA476" i="3" s="1"/>
  <c r="H476" i="3"/>
  <c r="T476" i="3"/>
  <c r="J476" i="3"/>
  <c r="V476" i="3"/>
  <c r="M476" i="3"/>
  <c r="N476" i="3"/>
  <c r="C476" i="3"/>
  <c r="E476" i="3"/>
  <c r="P476" i="3"/>
  <c r="D480" i="2"/>
  <c r="G479" i="2"/>
  <c r="E479" i="2"/>
  <c r="O474" i="3"/>
  <c r="H475" i="4" s="1"/>
  <c r="I474" i="3"/>
  <c r="F475" i="4" s="1"/>
  <c r="U474" i="3"/>
  <c r="J475" i="4" s="1"/>
  <c r="C476" i="4"/>
  <c r="AB475" i="3"/>
  <c r="E476" i="4" s="1"/>
  <c r="F475" i="3"/>
  <c r="D476" i="3"/>
  <c r="H479" i="2"/>
  <c r="K480" i="2"/>
  <c r="V479" i="2" l="1"/>
  <c r="T478" i="2"/>
  <c r="D477" i="4"/>
  <c r="J480" i="2"/>
  <c r="G480" i="2" s="1"/>
  <c r="M481" i="2"/>
  <c r="C477" i="4"/>
  <c r="AB476" i="3"/>
  <c r="E477" i="4" s="1"/>
  <c r="I479" i="2"/>
  <c r="F479" i="2" s="1"/>
  <c r="L480" i="2"/>
  <c r="K481" i="2"/>
  <c r="H480" i="2"/>
  <c r="E480" i="2" s="1"/>
  <c r="D481" i="2"/>
  <c r="F476" i="3"/>
  <c r="D477" i="3"/>
  <c r="G477" i="4"/>
  <c r="L477" i="4" s="1"/>
  <c r="K477" i="4"/>
  <c r="N477" i="4" s="1"/>
  <c r="I477" i="4"/>
  <c r="M477" i="4" s="1"/>
  <c r="I475" i="3"/>
  <c r="F476" i="4" s="1"/>
  <c r="U475" i="3"/>
  <c r="J476" i="4" s="1"/>
  <c r="O475" i="3"/>
  <c r="H476" i="4" s="1"/>
  <c r="C483" i="2"/>
  <c r="A478" i="4"/>
  <c r="C477" i="3"/>
  <c r="P477" i="3"/>
  <c r="E477" i="3"/>
  <c r="G477" i="3"/>
  <c r="S477" i="3"/>
  <c r="Y477" i="3" s="1"/>
  <c r="Z477" i="3" s="1"/>
  <c r="AA477" i="3" s="1"/>
  <c r="H477" i="3"/>
  <c r="T477" i="3"/>
  <c r="J477" i="3"/>
  <c r="V477" i="3"/>
  <c r="N477" i="3"/>
  <c r="M477" i="3"/>
  <c r="V480" i="2" l="1"/>
  <c r="T479" i="2"/>
  <c r="D478" i="4"/>
  <c r="K482" i="2"/>
  <c r="H481" i="2"/>
  <c r="I480" i="2"/>
  <c r="F480" i="2" s="1"/>
  <c r="L481" i="2"/>
  <c r="D482" i="2"/>
  <c r="E481" i="2"/>
  <c r="C478" i="4"/>
  <c r="AB477" i="3"/>
  <c r="E478" i="4" s="1"/>
  <c r="I478" i="4"/>
  <c r="M478" i="4" s="1"/>
  <c r="K478" i="4"/>
  <c r="N478" i="4" s="1"/>
  <c r="G478" i="4"/>
  <c r="L478" i="4" s="1"/>
  <c r="F477" i="3"/>
  <c r="D478" i="3"/>
  <c r="I476" i="3"/>
  <c r="F477" i="4" s="1"/>
  <c r="U476" i="3"/>
  <c r="J477" i="4" s="1"/>
  <c r="O476" i="3"/>
  <c r="H477" i="4" s="1"/>
  <c r="M482" i="2"/>
  <c r="J481" i="2"/>
  <c r="G481" i="2" s="1"/>
  <c r="A479" i="4"/>
  <c r="M478" i="3"/>
  <c r="N478" i="3"/>
  <c r="C478" i="3"/>
  <c r="P478" i="3"/>
  <c r="E478" i="3"/>
  <c r="G478" i="3"/>
  <c r="S478" i="3"/>
  <c r="Y478" i="3" s="1"/>
  <c r="Z478" i="3" s="1"/>
  <c r="AA478" i="3" s="1"/>
  <c r="H478" i="3"/>
  <c r="T478" i="3"/>
  <c r="J478" i="3"/>
  <c r="V478" i="3"/>
  <c r="C484" i="2"/>
  <c r="V481" i="2" l="1"/>
  <c r="T480" i="2"/>
  <c r="D479" i="4"/>
  <c r="A480" i="4"/>
  <c r="J479" i="3"/>
  <c r="V479" i="3"/>
  <c r="M479" i="3"/>
  <c r="N479" i="3"/>
  <c r="C479" i="3"/>
  <c r="P479" i="3"/>
  <c r="E479" i="3"/>
  <c r="H479" i="3"/>
  <c r="T479" i="3"/>
  <c r="G479" i="3"/>
  <c r="S479" i="3"/>
  <c r="Y479" i="3" s="1"/>
  <c r="Z479" i="3" s="1"/>
  <c r="AA479" i="3" s="1"/>
  <c r="F478" i="3"/>
  <c r="D479" i="3"/>
  <c r="O477" i="3"/>
  <c r="H478" i="4" s="1"/>
  <c r="I477" i="3"/>
  <c r="F478" i="4" s="1"/>
  <c r="U477" i="3"/>
  <c r="J478" i="4" s="1"/>
  <c r="D483" i="2"/>
  <c r="C485" i="2"/>
  <c r="L482" i="2"/>
  <c r="I481" i="2"/>
  <c r="F481" i="2" s="1"/>
  <c r="K479" i="4"/>
  <c r="N479" i="4" s="1"/>
  <c r="G479" i="4"/>
  <c r="L479" i="4" s="1"/>
  <c r="I479" i="4"/>
  <c r="M479" i="4" s="1"/>
  <c r="H482" i="2"/>
  <c r="E482" i="2" s="1"/>
  <c r="K483" i="2"/>
  <c r="C479" i="4"/>
  <c r="AB478" i="3"/>
  <c r="E479" i="4" s="1"/>
  <c r="M483" i="2"/>
  <c r="J482" i="2"/>
  <c r="G482" i="2" s="1"/>
  <c r="V482" i="2" l="1"/>
  <c r="T481" i="2"/>
  <c r="D480" i="4"/>
  <c r="A481" i="4"/>
  <c r="G480" i="3"/>
  <c r="S480" i="3"/>
  <c r="Y480" i="3" s="1"/>
  <c r="Z480" i="3" s="1"/>
  <c r="AA480" i="3" s="1"/>
  <c r="H480" i="3"/>
  <c r="T480" i="3"/>
  <c r="J480" i="3"/>
  <c r="V480" i="3"/>
  <c r="M480" i="3"/>
  <c r="N480" i="3"/>
  <c r="C480" i="3"/>
  <c r="E480" i="3"/>
  <c r="P480" i="3"/>
  <c r="C480" i="4"/>
  <c r="AB479" i="3"/>
  <c r="E480" i="4" s="1"/>
  <c r="G483" i="2"/>
  <c r="D484" i="2"/>
  <c r="L483" i="2"/>
  <c r="I482" i="2"/>
  <c r="F482" i="2" s="1"/>
  <c r="F479" i="3"/>
  <c r="D480" i="3"/>
  <c r="O478" i="3"/>
  <c r="H479" i="4" s="1"/>
  <c r="I478" i="3"/>
  <c r="F479" i="4" s="1"/>
  <c r="U478" i="3"/>
  <c r="J479" i="4" s="1"/>
  <c r="I480" i="4"/>
  <c r="M480" i="4" s="1"/>
  <c r="K480" i="4"/>
  <c r="N480" i="4" s="1"/>
  <c r="G480" i="4"/>
  <c r="L480" i="4" s="1"/>
  <c r="M484" i="2"/>
  <c r="J483" i="2"/>
  <c r="K484" i="2"/>
  <c r="H483" i="2"/>
  <c r="E483" i="2" s="1"/>
  <c r="C486" i="2"/>
  <c r="V483" i="2" l="1"/>
  <c r="T482" i="2"/>
  <c r="D481" i="4"/>
  <c r="L484" i="2"/>
  <c r="I483" i="2"/>
  <c r="F483" i="2" s="1"/>
  <c r="C481" i="4"/>
  <c r="AB480" i="3"/>
  <c r="E481" i="4" s="1"/>
  <c r="C487" i="2"/>
  <c r="J484" i="2"/>
  <c r="G484" i="2" s="1"/>
  <c r="M485" i="2"/>
  <c r="D485" i="2"/>
  <c r="G481" i="4"/>
  <c r="L481" i="4" s="1"/>
  <c r="I481" i="4"/>
  <c r="M481" i="4" s="1"/>
  <c r="K481" i="4"/>
  <c r="N481" i="4" s="1"/>
  <c r="K485" i="2"/>
  <c r="H484" i="2"/>
  <c r="E484" i="2" s="1"/>
  <c r="F480" i="3"/>
  <c r="D481" i="3"/>
  <c r="A482" i="4"/>
  <c r="C481" i="3"/>
  <c r="P481" i="3"/>
  <c r="E481" i="3"/>
  <c r="G481" i="3"/>
  <c r="S481" i="3"/>
  <c r="Y481" i="3" s="1"/>
  <c r="Z481" i="3" s="1"/>
  <c r="AA481" i="3" s="1"/>
  <c r="H481" i="3"/>
  <c r="T481" i="3"/>
  <c r="J481" i="3"/>
  <c r="V481" i="3"/>
  <c r="N481" i="3"/>
  <c r="M481" i="3"/>
  <c r="I479" i="3"/>
  <c r="F480" i="4" s="1"/>
  <c r="U479" i="3"/>
  <c r="J480" i="4" s="1"/>
  <c r="O479" i="3"/>
  <c r="H480" i="4" s="1"/>
  <c r="V484" i="2" l="1"/>
  <c r="T483" i="2"/>
  <c r="D482" i="4"/>
  <c r="D486" i="2"/>
  <c r="K486" i="2"/>
  <c r="H485" i="2"/>
  <c r="E485" i="2" s="1"/>
  <c r="J485" i="2"/>
  <c r="G485" i="2" s="1"/>
  <c r="M486" i="2"/>
  <c r="C488" i="2"/>
  <c r="A483" i="4"/>
  <c r="M482" i="3"/>
  <c r="N482" i="3"/>
  <c r="C482" i="3"/>
  <c r="P482" i="3"/>
  <c r="E482" i="3"/>
  <c r="G482" i="3"/>
  <c r="S482" i="3"/>
  <c r="Y482" i="3" s="1"/>
  <c r="Z482" i="3" s="1"/>
  <c r="AA482" i="3" s="1"/>
  <c r="H482" i="3"/>
  <c r="T482" i="3"/>
  <c r="V482" i="3"/>
  <c r="J482" i="3"/>
  <c r="C482" i="4"/>
  <c r="AB481" i="3"/>
  <c r="E482" i="4" s="1"/>
  <c r="G482" i="4"/>
  <c r="L482" i="4" s="1"/>
  <c r="I482" i="4"/>
  <c r="M482" i="4" s="1"/>
  <c r="K482" i="4"/>
  <c r="N482" i="4" s="1"/>
  <c r="I484" i="2"/>
  <c r="F484" i="2" s="1"/>
  <c r="L485" i="2"/>
  <c r="F481" i="3"/>
  <c r="D482" i="3"/>
  <c r="I480" i="3"/>
  <c r="F481" i="4" s="1"/>
  <c r="U480" i="3"/>
  <c r="J481" i="4" s="1"/>
  <c r="O480" i="3"/>
  <c r="H481" i="4" s="1"/>
  <c r="V485" i="2" l="1"/>
  <c r="T484" i="2"/>
  <c r="D483" i="4"/>
  <c r="M487" i="2"/>
  <c r="J486" i="2"/>
  <c r="A484" i="4"/>
  <c r="J483" i="3"/>
  <c r="V483" i="3"/>
  <c r="M483" i="3"/>
  <c r="N483" i="3"/>
  <c r="C483" i="3"/>
  <c r="P483" i="3"/>
  <c r="E483" i="3"/>
  <c r="H483" i="3"/>
  <c r="T483" i="3"/>
  <c r="G483" i="3"/>
  <c r="S483" i="3"/>
  <c r="Y483" i="3" s="1"/>
  <c r="Z483" i="3" s="1"/>
  <c r="AA483" i="3" s="1"/>
  <c r="H486" i="2"/>
  <c r="E486" i="2" s="1"/>
  <c r="K487" i="2"/>
  <c r="G486" i="2"/>
  <c r="D487" i="2"/>
  <c r="C483" i="4"/>
  <c r="AB482" i="3"/>
  <c r="E483" i="4" s="1"/>
  <c r="G483" i="4"/>
  <c r="L483" i="4" s="1"/>
  <c r="K483" i="4"/>
  <c r="N483" i="4" s="1"/>
  <c r="I483" i="4"/>
  <c r="M483" i="4" s="1"/>
  <c r="O481" i="3"/>
  <c r="H482" i="4" s="1"/>
  <c r="I481" i="3"/>
  <c r="F482" i="4" s="1"/>
  <c r="U481" i="3"/>
  <c r="J482" i="4" s="1"/>
  <c r="F482" i="3"/>
  <c r="D483" i="3"/>
  <c r="L486" i="2"/>
  <c r="I485" i="2"/>
  <c r="F485" i="2" s="1"/>
  <c r="C489" i="2"/>
  <c r="V486" i="2" l="1"/>
  <c r="T485" i="2"/>
  <c r="D484" i="4"/>
  <c r="O482" i="3"/>
  <c r="H483" i="4" s="1"/>
  <c r="I482" i="3"/>
  <c r="F483" i="4" s="1"/>
  <c r="U482" i="3"/>
  <c r="J483" i="4" s="1"/>
  <c r="C484" i="4"/>
  <c r="AB483" i="3"/>
  <c r="E484" i="4" s="1"/>
  <c r="H487" i="2"/>
  <c r="E487" i="2" s="1"/>
  <c r="K488" i="2"/>
  <c r="C490" i="2"/>
  <c r="D488" i="2"/>
  <c r="I484" i="4"/>
  <c r="M484" i="4" s="1"/>
  <c r="G484" i="4"/>
  <c r="L484" i="4" s="1"/>
  <c r="K484" i="4"/>
  <c r="N484" i="4" s="1"/>
  <c r="M488" i="2"/>
  <c r="J487" i="2"/>
  <c r="G487" i="2" s="1"/>
  <c r="L487" i="2"/>
  <c r="I486" i="2"/>
  <c r="F486" i="2" s="1"/>
  <c r="F483" i="3"/>
  <c r="D484" i="3"/>
  <c r="A485" i="4"/>
  <c r="G484" i="3"/>
  <c r="S484" i="3"/>
  <c r="Y484" i="3" s="1"/>
  <c r="Z484" i="3" s="1"/>
  <c r="AA484" i="3" s="1"/>
  <c r="H484" i="3"/>
  <c r="T484" i="3"/>
  <c r="J484" i="3"/>
  <c r="V484" i="3"/>
  <c r="M484" i="3"/>
  <c r="N484" i="3"/>
  <c r="C484" i="3"/>
  <c r="E484" i="3"/>
  <c r="P484" i="3"/>
  <c r="V487" i="2" l="1"/>
  <c r="T486" i="2"/>
  <c r="D485" i="4"/>
  <c r="C491" i="2"/>
  <c r="K489" i="2"/>
  <c r="H488" i="2"/>
  <c r="M489" i="2"/>
  <c r="J488" i="2"/>
  <c r="A486" i="4"/>
  <c r="C485" i="3"/>
  <c r="P485" i="3"/>
  <c r="E485" i="3"/>
  <c r="G485" i="3"/>
  <c r="S485" i="3"/>
  <c r="Y485" i="3" s="1"/>
  <c r="Z485" i="3" s="1"/>
  <c r="AA485" i="3" s="1"/>
  <c r="H485" i="3"/>
  <c r="T485" i="3"/>
  <c r="J485" i="3"/>
  <c r="V485" i="3"/>
  <c r="N485" i="3"/>
  <c r="M485" i="3"/>
  <c r="F484" i="3"/>
  <c r="D485" i="3"/>
  <c r="I483" i="3"/>
  <c r="F484" i="4" s="1"/>
  <c r="U483" i="3"/>
  <c r="J484" i="4" s="1"/>
  <c r="O483" i="3"/>
  <c r="H484" i="4" s="1"/>
  <c r="I487" i="2"/>
  <c r="F487" i="2" s="1"/>
  <c r="L488" i="2"/>
  <c r="G488" i="2"/>
  <c r="D489" i="2"/>
  <c r="E488" i="2"/>
  <c r="K485" i="4"/>
  <c r="N485" i="4" s="1"/>
  <c r="G485" i="4"/>
  <c r="L485" i="4" s="1"/>
  <c r="I485" i="4"/>
  <c r="M485" i="4" s="1"/>
  <c r="C485" i="4"/>
  <c r="AB484" i="3"/>
  <c r="E485" i="4" s="1"/>
  <c r="V488" i="2" l="1"/>
  <c r="T487" i="2"/>
  <c r="D486" i="4"/>
  <c r="I484" i="3"/>
  <c r="F485" i="4" s="1"/>
  <c r="U484" i="3"/>
  <c r="J485" i="4" s="1"/>
  <c r="O484" i="3"/>
  <c r="H485" i="4" s="1"/>
  <c r="F485" i="3"/>
  <c r="D486" i="3"/>
  <c r="C486" i="4"/>
  <c r="AB485" i="3"/>
  <c r="E486" i="4" s="1"/>
  <c r="I486" i="4"/>
  <c r="M486" i="4" s="1"/>
  <c r="K486" i="4"/>
  <c r="N486" i="4" s="1"/>
  <c r="G486" i="4"/>
  <c r="L486" i="4" s="1"/>
  <c r="J489" i="2"/>
  <c r="G489" i="2" s="1"/>
  <c r="M490" i="2"/>
  <c r="K490" i="2"/>
  <c r="H489" i="2"/>
  <c r="E489" i="2" s="1"/>
  <c r="D490" i="2"/>
  <c r="L489" i="2"/>
  <c r="I488" i="2"/>
  <c r="F488" i="2" s="1"/>
  <c r="C492" i="2"/>
  <c r="A487" i="4"/>
  <c r="M486" i="3"/>
  <c r="N486" i="3"/>
  <c r="C486" i="3"/>
  <c r="P486" i="3"/>
  <c r="E486" i="3"/>
  <c r="G486" i="3"/>
  <c r="S486" i="3"/>
  <c r="Y486" i="3" s="1"/>
  <c r="Z486" i="3" s="1"/>
  <c r="AA486" i="3" s="1"/>
  <c r="H486" i="3"/>
  <c r="T486" i="3"/>
  <c r="J486" i="3"/>
  <c r="V486" i="3"/>
  <c r="V489" i="2" l="1"/>
  <c r="T488" i="2"/>
  <c r="D487" i="4"/>
  <c r="A488" i="4"/>
  <c r="J487" i="3"/>
  <c r="V487" i="3"/>
  <c r="M487" i="3"/>
  <c r="N487" i="3"/>
  <c r="C487" i="3"/>
  <c r="P487" i="3"/>
  <c r="E487" i="3"/>
  <c r="H487" i="3"/>
  <c r="T487" i="3"/>
  <c r="G487" i="3"/>
  <c r="S487" i="3"/>
  <c r="Y487" i="3" s="1"/>
  <c r="Z487" i="3" s="1"/>
  <c r="AA487" i="3" s="1"/>
  <c r="G490" i="2"/>
  <c r="D491" i="2"/>
  <c r="M491" i="2"/>
  <c r="J490" i="2"/>
  <c r="C493" i="2"/>
  <c r="C487" i="4"/>
  <c r="AB486" i="3"/>
  <c r="E487" i="4" s="1"/>
  <c r="F486" i="3"/>
  <c r="D487" i="3"/>
  <c r="G487" i="4"/>
  <c r="L487" i="4" s="1"/>
  <c r="I487" i="4"/>
  <c r="M487" i="4" s="1"/>
  <c r="K487" i="4"/>
  <c r="N487" i="4" s="1"/>
  <c r="K491" i="2"/>
  <c r="H490" i="2"/>
  <c r="E490" i="2" s="1"/>
  <c r="O485" i="3"/>
  <c r="H486" i="4" s="1"/>
  <c r="I485" i="3"/>
  <c r="F486" i="4" s="1"/>
  <c r="U485" i="3"/>
  <c r="J486" i="4" s="1"/>
  <c r="L490" i="2"/>
  <c r="I489" i="2"/>
  <c r="F489" i="2" s="1"/>
  <c r="V490" i="2" l="1"/>
  <c r="T489" i="2"/>
  <c r="D488" i="4"/>
  <c r="A489" i="4"/>
  <c r="G488" i="3"/>
  <c r="S488" i="3"/>
  <c r="Y488" i="3" s="1"/>
  <c r="Z488" i="3" s="1"/>
  <c r="AA488" i="3" s="1"/>
  <c r="H488" i="3"/>
  <c r="T488" i="3"/>
  <c r="J488" i="3"/>
  <c r="V488" i="3"/>
  <c r="M488" i="3"/>
  <c r="N488" i="3"/>
  <c r="C488" i="3"/>
  <c r="E488" i="3"/>
  <c r="P488" i="3"/>
  <c r="M492" i="2"/>
  <c r="J491" i="2"/>
  <c r="D492" i="2"/>
  <c r="G491" i="2"/>
  <c r="E491" i="2"/>
  <c r="C488" i="4"/>
  <c r="AB487" i="3"/>
  <c r="E488" i="4" s="1"/>
  <c r="H491" i="2"/>
  <c r="K492" i="2"/>
  <c r="L491" i="2"/>
  <c r="I490" i="2"/>
  <c r="F490" i="2" s="1"/>
  <c r="F487" i="3"/>
  <c r="D488" i="3"/>
  <c r="O486" i="3"/>
  <c r="H487" i="4" s="1"/>
  <c r="I486" i="3"/>
  <c r="F487" i="4" s="1"/>
  <c r="U486" i="3"/>
  <c r="J487" i="4" s="1"/>
  <c r="G488" i="4"/>
  <c r="L488" i="4" s="1"/>
  <c r="I488" i="4"/>
  <c r="M488" i="4" s="1"/>
  <c r="K488" i="4"/>
  <c r="N488" i="4" s="1"/>
  <c r="C494" i="2"/>
  <c r="V491" i="2" l="1"/>
  <c r="T490" i="2"/>
  <c r="D489" i="4"/>
  <c r="C489" i="4"/>
  <c r="AB488" i="3"/>
  <c r="E489" i="4" s="1"/>
  <c r="D493" i="2"/>
  <c r="G492" i="2"/>
  <c r="C495" i="2"/>
  <c r="I487" i="3"/>
  <c r="F488" i="4" s="1"/>
  <c r="U487" i="3"/>
  <c r="J488" i="4" s="1"/>
  <c r="O487" i="3"/>
  <c r="H488" i="4" s="1"/>
  <c r="J492" i="2"/>
  <c r="M493" i="2"/>
  <c r="I491" i="2"/>
  <c r="F491" i="2" s="1"/>
  <c r="L492" i="2"/>
  <c r="G489" i="4"/>
  <c r="L489" i="4" s="1"/>
  <c r="K489" i="4"/>
  <c r="N489" i="4" s="1"/>
  <c r="I489" i="4"/>
  <c r="M489" i="4" s="1"/>
  <c r="K493" i="2"/>
  <c r="H492" i="2"/>
  <c r="E492" i="2" s="1"/>
  <c r="A490" i="4"/>
  <c r="C489" i="3"/>
  <c r="P489" i="3"/>
  <c r="E489" i="3"/>
  <c r="G489" i="3"/>
  <c r="S489" i="3"/>
  <c r="Y489" i="3" s="1"/>
  <c r="Z489" i="3" s="1"/>
  <c r="AA489" i="3" s="1"/>
  <c r="H489" i="3"/>
  <c r="T489" i="3"/>
  <c r="J489" i="3"/>
  <c r="V489" i="3"/>
  <c r="N489" i="3"/>
  <c r="M489" i="3"/>
  <c r="F488" i="3"/>
  <c r="D489" i="3"/>
  <c r="V492" i="2" l="1"/>
  <c r="T491" i="2"/>
  <c r="D490" i="4"/>
  <c r="C496" i="2"/>
  <c r="D494" i="2"/>
  <c r="A491" i="4"/>
  <c r="M490" i="3"/>
  <c r="N490" i="3"/>
  <c r="C490" i="3"/>
  <c r="P490" i="3"/>
  <c r="E490" i="3"/>
  <c r="G490" i="3"/>
  <c r="S490" i="3"/>
  <c r="Y490" i="3" s="1"/>
  <c r="Z490" i="3" s="1"/>
  <c r="AA490" i="3" s="1"/>
  <c r="H490" i="3"/>
  <c r="T490" i="3"/>
  <c r="J490" i="3"/>
  <c r="V490" i="3"/>
  <c r="I492" i="2"/>
  <c r="F492" i="2" s="1"/>
  <c r="L493" i="2"/>
  <c r="F489" i="3"/>
  <c r="D490" i="3"/>
  <c r="I488" i="3"/>
  <c r="F489" i="4" s="1"/>
  <c r="U488" i="3"/>
  <c r="J489" i="4" s="1"/>
  <c r="O488" i="3"/>
  <c r="H489" i="4" s="1"/>
  <c r="M494" i="2"/>
  <c r="J493" i="2"/>
  <c r="G493" i="2" s="1"/>
  <c r="C490" i="4"/>
  <c r="AB489" i="3"/>
  <c r="E490" i="4" s="1"/>
  <c r="I490" i="4"/>
  <c r="M490" i="4" s="1"/>
  <c r="G490" i="4"/>
  <c r="L490" i="4" s="1"/>
  <c r="K490" i="4"/>
  <c r="N490" i="4" s="1"/>
  <c r="K494" i="2"/>
  <c r="H493" i="2"/>
  <c r="E493" i="2" s="1"/>
  <c r="V493" i="2" l="1"/>
  <c r="T492" i="2"/>
  <c r="D491" i="4"/>
  <c r="C491" i="4"/>
  <c r="AB490" i="3"/>
  <c r="E491" i="4" s="1"/>
  <c r="K491" i="4"/>
  <c r="N491" i="4" s="1"/>
  <c r="G491" i="4"/>
  <c r="L491" i="4" s="1"/>
  <c r="I491" i="4"/>
  <c r="M491" i="4" s="1"/>
  <c r="M495" i="2"/>
  <c r="J494" i="2"/>
  <c r="G494" i="2" s="1"/>
  <c r="H494" i="2"/>
  <c r="E494" i="2" s="1"/>
  <c r="K495" i="2"/>
  <c r="D495" i="2"/>
  <c r="A492" i="4"/>
  <c r="J491" i="3"/>
  <c r="V491" i="3"/>
  <c r="M491" i="3"/>
  <c r="N491" i="3"/>
  <c r="C491" i="3"/>
  <c r="P491" i="3"/>
  <c r="E491" i="3"/>
  <c r="H491" i="3"/>
  <c r="T491" i="3"/>
  <c r="S491" i="3"/>
  <c r="Y491" i="3" s="1"/>
  <c r="Z491" i="3" s="1"/>
  <c r="AA491" i="3" s="1"/>
  <c r="G491" i="3"/>
  <c r="C497" i="2"/>
  <c r="F490" i="3"/>
  <c r="D491" i="3"/>
  <c r="O489" i="3"/>
  <c r="H490" i="4" s="1"/>
  <c r="I489" i="3"/>
  <c r="F490" i="4" s="1"/>
  <c r="U489" i="3"/>
  <c r="J490" i="4" s="1"/>
  <c r="L494" i="2"/>
  <c r="I493" i="2"/>
  <c r="F493" i="2" s="1"/>
  <c r="V494" i="2" l="1"/>
  <c r="T493" i="2"/>
  <c r="D492" i="4"/>
  <c r="C492" i="4"/>
  <c r="AB491" i="3"/>
  <c r="E492" i="4" s="1"/>
  <c r="M496" i="2"/>
  <c r="J495" i="2"/>
  <c r="O490" i="3"/>
  <c r="H491" i="4" s="1"/>
  <c r="I490" i="3"/>
  <c r="F491" i="4" s="1"/>
  <c r="U490" i="3"/>
  <c r="J491" i="4" s="1"/>
  <c r="I492" i="4"/>
  <c r="M492" i="4" s="1"/>
  <c r="K492" i="4"/>
  <c r="N492" i="4" s="1"/>
  <c r="G492" i="4"/>
  <c r="L492" i="4" s="1"/>
  <c r="A493" i="4"/>
  <c r="G492" i="3"/>
  <c r="S492" i="3"/>
  <c r="Y492" i="3" s="1"/>
  <c r="Z492" i="3" s="1"/>
  <c r="AA492" i="3" s="1"/>
  <c r="H492" i="3"/>
  <c r="T492" i="3"/>
  <c r="J492" i="3"/>
  <c r="V492" i="3"/>
  <c r="M492" i="3"/>
  <c r="N492" i="3"/>
  <c r="C492" i="3"/>
  <c r="E492" i="3"/>
  <c r="P492" i="3"/>
  <c r="C498" i="2"/>
  <c r="G495" i="2"/>
  <c r="D496" i="2"/>
  <c r="K496" i="2"/>
  <c r="H495" i="2"/>
  <c r="E495" i="2" s="1"/>
  <c r="L495" i="2"/>
  <c r="I494" i="2"/>
  <c r="F494" i="2" s="1"/>
  <c r="F491" i="3"/>
  <c r="D492" i="3"/>
  <c r="V495" i="2" l="1"/>
  <c r="T494" i="2"/>
  <c r="D493" i="4"/>
  <c r="J496" i="2"/>
  <c r="G496" i="2" s="1"/>
  <c r="M497" i="2"/>
  <c r="G493" i="4"/>
  <c r="L493" i="4" s="1"/>
  <c r="I493" i="4"/>
  <c r="M493" i="4" s="1"/>
  <c r="K493" i="4"/>
  <c r="N493" i="4" s="1"/>
  <c r="C493" i="4"/>
  <c r="AB492" i="3"/>
  <c r="E493" i="4" s="1"/>
  <c r="D497" i="2"/>
  <c r="I491" i="3"/>
  <c r="F492" i="4" s="1"/>
  <c r="U491" i="3"/>
  <c r="J492" i="4" s="1"/>
  <c r="O491" i="3"/>
  <c r="H492" i="4" s="1"/>
  <c r="L496" i="2"/>
  <c r="I495" i="2"/>
  <c r="F495" i="2" s="1"/>
  <c r="A494" i="4"/>
  <c r="C493" i="3"/>
  <c r="P493" i="3"/>
  <c r="E493" i="3"/>
  <c r="G493" i="3"/>
  <c r="S493" i="3"/>
  <c r="Y493" i="3" s="1"/>
  <c r="Z493" i="3" s="1"/>
  <c r="AA493" i="3" s="1"/>
  <c r="H493" i="3"/>
  <c r="T493" i="3"/>
  <c r="J493" i="3"/>
  <c r="V493" i="3"/>
  <c r="N493" i="3"/>
  <c r="M493" i="3"/>
  <c r="C499" i="2"/>
  <c r="F492" i="3"/>
  <c r="D493" i="3"/>
  <c r="K497" i="2"/>
  <c r="H496" i="2"/>
  <c r="E496" i="2" s="1"/>
  <c r="V496" i="2" l="1"/>
  <c r="T495" i="2"/>
  <c r="D494" i="4"/>
  <c r="C494" i="4"/>
  <c r="AB493" i="3"/>
  <c r="E494" i="4" s="1"/>
  <c r="G494" i="4"/>
  <c r="L494" i="4" s="1"/>
  <c r="I494" i="4"/>
  <c r="M494" i="4" s="1"/>
  <c r="K494" i="4"/>
  <c r="N494" i="4" s="1"/>
  <c r="J497" i="2"/>
  <c r="G497" i="2" s="1"/>
  <c r="M498" i="2"/>
  <c r="C500" i="2"/>
  <c r="I496" i="2"/>
  <c r="F496" i="2" s="1"/>
  <c r="L497" i="2"/>
  <c r="F493" i="3"/>
  <c r="D494" i="3"/>
  <c r="I492" i="3"/>
  <c r="F493" i="4" s="1"/>
  <c r="U492" i="3"/>
  <c r="J493" i="4" s="1"/>
  <c r="O492" i="3"/>
  <c r="H493" i="4" s="1"/>
  <c r="A495" i="4"/>
  <c r="M494" i="3"/>
  <c r="N494" i="3"/>
  <c r="C494" i="3"/>
  <c r="P494" i="3"/>
  <c r="E494" i="3"/>
  <c r="G494" i="3"/>
  <c r="S494" i="3"/>
  <c r="Y494" i="3" s="1"/>
  <c r="Z494" i="3" s="1"/>
  <c r="AA494" i="3" s="1"/>
  <c r="H494" i="3"/>
  <c r="T494" i="3"/>
  <c r="J494" i="3"/>
  <c r="V494" i="3"/>
  <c r="K498" i="2"/>
  <c r="H497" i="2"/>
  <c r="E497" i="2" s="1"/>
  <c r="D498" i="2"/>
  <c r="V497" i="2" l="1"/>
  <c r="T496" i="2"/>
  <c r="D495" i="4"/>
  <c r="G495" i="4"/>
  <c r="L495" i="4" s="1"/>
  <c r="K495" i="4"/>
  <c r="N495" i="4" s="1"/>
  <c r="I495" i="4"/>
  <c r="M495" i="4" s="1"/>
  <c r="H498" i="2"/>
  <c r="E498" i="2" s="1"/>
  <c r="K499" i="2"/>
  <c r="C495" i="4"/>
  <c r="AB494" i="3"/>
  <c r="E495" i="4" s="1"/>
  <c r="J498" i="2"/>
  <c r="M499" i="2"/>
  <c r="F494" i="3"/>
  <c r="D495" i="3"/>
  <c r="O493" i="3"/>
  <c r="H494" i="4" s="1"/>
  <c r="I493" i="3"/>
  <c r="F494" i="4" s="1"/>
  <c r="U493" i="3"/>
  <c r="J494" i="4" s="1"/>
  <c r="A496" i="4"/>
  <c r="J495" i="3"/>
  <c r="V495" i="3"/>
  <c r="M495" i="3"/>
  <c r="N495" i="3"/>
  <c r="C495" i="3"/>
  <c r="P495" i="3"/>
  <c r="E495" i="3"/>
  <c r="H495" i="3"/>
  <c r="T495" i="3"/>
  <c r="G495" i="3"/>
  <c r="S495" i="3"/>
  <c r="Y495" i="3" s="1"/>
  <c r="Z495" i="3" s="1"/>
  <c r="AA495" i="3" s="1"/>
  <c r="L498" i="2"/>
  <c r="I497" i="2"/>
  <c r="F497" i="2" s="1"/>
  <c r="G498" i="2"/>
  <c r="D499" i="2"/>
  <c r="C501" i="2"/>
  <c r="V498" i="2" l="1"/>
  <c r="T497" i="2"/>
  <c r="D496" i="4"/>
  <c r="C496" i="4"/>
  <c r="AB495" i="3"/>
  <c r="E496" i="4" s="1"/>
  <c r="H499" i="2"/>
  <c r="K500" i="2"/>
  <c r="D500" i="2"/>
  <c r="E499" i="2"/>
  <c r="L499" i="2"/>
  <c r="I498" i="2"/>
  <c r="F498" i="2" s="1"/>
  <c r="I496" i="4"/>
  <c r="M496" i="4" s="1"/>
  <c r="K496" i="4"/>
  <c r="N496" i="4" s="1"/>
  <c r="G496" i="4"/>
  <c r="L496" i="4" s="1"/>
  <c r="A497" i="4"/>
  <c r="G496" i="3"/>
  <c r="S496" i="3"/>
  <c r="Y496" i="3" s="1"/>
  <c r="Z496" i="3" s="1"/>
  <c r="AA496" i="3" s="1"/>
  <c r="H496" i="3"/>
  <c r="T496" i="3"/>
  <c r="J496" i="3"/>
  <c r="V496" i="3"/>
  <c r="M496" i="3"/>
  <c r="N496" i="3"/>
  <c r="C496" i="3"/>
  <c r="E496" i="3"/>
  <c r="P496" i="3"/>
  <c r="F495" i="3"/>
  <c r="D496" i="3"/>
  <c r="O494" i="3"/>
  <c r="H495" i="4" s="1"/>
  <c r="I494" i="3"/>
  <c r="F495" i="4" s="1"/>
  <c r="U494" i="3"/>
  <c r="J495" i="4" s="1"/>
  <c r="M500" i="2"/>
  <c r="J499" i="2"/>
  <c r="G499" i="2" s="1"/>
  <c r="C502" i="2"/>
  <c r="V499" i="2" l="1"/>
  <c r="T498" i="2"/>
  <c r="D497" i="4"/>
  <c r="J500" i="2"/>
  <c r="M501" i="2"/>
  <c r="K497" i="4"/>
  <c r="N497" i="4" s="1"/>
  <c r="G497" i="4"/>
  <c r="L497" i="4" s="1"/>
  <c r="I497" i="4"/>
  <c r="M497" i="4" s="1"/>
  <c r="G500" i="2"/>
  <c r="D501" i="2"/>
  <c r="I499" i="2"/>
  <c r="F499" i="2" s="1"/>
  <c r="L500" i="2"/>
  <c r="F496" i="3"/>
  <c r="D497" i="3"/>
  <c r="I495" i="3"/>
  <c r="F496" i="4" s="1"/>
  <c r="U495" i="3"/>
  <c r="J496" i="4" s="1"/>
  <c r="O495" i="3"/>
  <c r="H496" i="4" s="1"/>
  <c r="A498" i="4"/>
  <c r="C497" i="3"/>
  <c r="P497" i="3"/>
  <c r="E497" i="3"/>
  <c r="G497" i="3"/>
  <c r="S497" i="3"/>
  <c r="Y497" i="3" s="1"/>
  <c r="Z497" i="3" s="1"/>
  <c r="AA497" i="3" s="1"/>
  <c r="H497" i="3"/>
  <c r="T497" i="3"/>
  <c r="J497" i="3"/>
  <c r="V497" i="3"/>
  <c r="N497" i="3"/>
  <c r="M497" i="3"/>
  <c r="H500" i="2"/>
  <c r="E500" i="2" s="1"/>
  <c r="K501" i="2"/>
  <c r="C503" i="2"/>
  <c r="C497" i="4"/>
  <c r="AB496" i="3"/>
  <c r="E497" i="4" s="1"/>
  <c r="V500" i="2" l="1"/>
  <c r="T499" i="2"/>
  <c r="D498" i="4"/>
  <c r="C498" i="4"/>
  <c r="AB497" i="3"/>
  <c r="E498" i="4" s="1"/>
  <c r="I498" i="4"/>
  <c r="M498" i="4" s="1"/>
  <c r="K498" i="4"/>
  <c r="N498" i="4" s="1"/>
  <c r="G498" i="4"/>
  <c r="L498" i="4" s="1"/>
  <c r="L501" i="2"/>
  <c r="I500" i="2"/>
  <c r="F500" i="2" s="1"/>
  <c r="C504" i="2"/>
  <c r="J501" i="2"/>
  <c r="G501" i="2" s="1"/>
  <c r="M502" i="2"/>
  <c r="F497" i="3"/>
  <c r="D498" i="3"/>
  <c r="A499" i="4"/>
  <c r="M498" i="3"/>
  <c r="N498" i="3"/>
  <c r="C498" i="3"/>
  <c r="P498" i="3"/>
  <c r="E498" i="3"/>
  <c r="G498" i="3"/>
  <c r="S498" i="3"/>
  <c r="Y498" i="3" s="1"/>
  <c r="Z498" i="3" s="1"/>
  <c r="AA498" i="3" s="1"/>
  <c r="H498" i="3"/>
  <c r="T498" i="3"/>
  <c r="V498" i="3"/>
  <c r="J498" i="3"/>
  <c r="I496" i="3"/>
  <c r="F497" i="4" s="1"/>
  <c r="U496" i="3"/>
  <c r="J497" i="4" s="1"/>
  <c r="O496" i="3"/>
  <c r="H497" i="4" s="1"/>
  <c r="K502" i="2"/>
  <c r="H501" i="2"/>
  <c r="D502" i="2"/>
  <c r="E501" i="2"/>
  <c r="V501" i="2" l="1"/>
  <c r="T500" i="2"/>
  <c r="D499" i="4"/>
  <c r="I501" i="2"/>
  <c r="F501" i="2" s="1"/>
  <c r="L502" i="2"/>
  <c r="C499" i="4"/>
  <c r="AB498" i="3"/>
  <c r="E499" i="4" s="1"/>
  <c r="H502" i="2"/>
  <c r="K503" i="2"/>
  <c r="O497" i="3"/>
  <c r="H498" i="4" s="1"/>
  <c r="I497" i="3"/>
  <c r="F498" i="4" s="1"/>
  <c r="U497" i="3"/>
  <c r="J498" i="4" s="1"/>
  <c r="G499" i="4"/>
  <c r="L499" i="4" s="1"/>
  <c r="I499" i="4"/>
  <c r="M499" i="4" s="1"/>
  <c r="K499" i="4"/>
  <c r="N499" i="4" s="1"/>
  <c r="F498" i="3"/>
  <c r="D499" i="3"/>
  <c r="D503" i="2"/>
  <c r="E502" i="2"/>
  <c r="A500" i="4"/>
  <c r="J499" i="3"/>
  <c r="V499" i="3"/>
  <c r="M499" i="3"/>
  <c r="N499" i="3"/>
  <c r="C499" i="3"/>
  <c r="P499" i="3"/>
  <c r="E499" i="3"/>
  <c r="H499" i="3"/>
  <c r="T499" i="3"/>
  <c r="G499" i="3"/>
  <c r="S499" i="3"/>
  <c r="Y499" i="3" s="1"/>
  <c r="Z499" i="3" s="1"/>
  <c r="AA499" i="3" s="1"/>
  <c r="M503" i="2"/>
  <c r="J502" i="2"/>
  <c r="G502" i="2" s="1"/>
  <c r="C505" i="2"/>
  <c r="V502" i="2" l="1"/>
  <c r="T501" i="2"/>
  <c r="D500" i="4"/>
  <c r="M504" i="2"/>
  <c r="J503" i="2"/>
  <c r="A501" i="4"/>
  <c r="G500" i="3"/>
  <c r="S500" i="3"/>
  <c r="Y500" i="3" s="1"/>
  <c r="Z500" i="3" s="1"/>
  <c r="AA500" i="3" s="1"/>
  <c r="H500" i="3"/>
  <c r="T500" i="3"/>
  <c r="J500" i="3"/>
  <c r="V500" i="3"/>
  <c r="M500" i="3"/>
  <c r="N500" i="3"/>
  <c r="C500" i="3"/>
  <c r="E500" i="3"/>
  <c r="P500" i="3"/>
  <c r="H503" i="2"/>
  <c r="E503" i="2" s="1"/>
  <c r="K504" i="2"/>
  <c r="F499" i="3"/>
  <c r="D500" i="3"/>
  <c r="G503" i="2"/>
  <c r="D504" i="2"/>
  <c r="C506" i="2"/>
  <c r="O498" i="3"/>
  <c r="H499" i="4" s="1"/>
  <c r="I498" i="3"/>
  <c r="F499" i="4" s="1"/>
  <c r="U498" i="3"/>
  <c r="J499" i="4" s="1"/>
  <c r="C500" i="4"/>
  <c r="AB499" i="3"/>
  <c r="E500" i="4" s="1"/>
  <c r="L503" i="2"/>
  <c r="I502" i="2"/>
  <c r="F502" i="2" s="1"/>
  <c r="G500" i="4"/>
  <c r="L500" i="4" s="1"/>
  <c r="I500" i="4"/>
  <c r="M500" i="4" s="1"/>
  <c r="K500" i="4"/>
  <c r="N500" i="4" s="1"/>
  <c r="V503" i="2" l="1"/>
  <c r="T502" i="2"/>
  <c r="D501" i="4"/>
  <c r="I503" i="2"/>
  <c r="F503" i="2" s="1"/>
  <c r="L504" i="2"/>
  <c r="D505" i="2"/>
  <c r="E504" i="2"/>
  <c r="I499" i="3"/>
  <c r="F500" i="4" s="1"/>
  <c r="U499" i="3"/>
  <c r="J500" i="4" s="1"/>
  <c r="O499" i="3"/>
  <c r="H500" i="4" s="1"/>
  <c r="K505" i="2"/>
  <c r="H504" i="2"/>
  <c r="G501" i="4"/>
  <c r="L501" i="4" s="1"/>
  <c r="K501" i="4"/>
  <c r="N501" i="4" s="1"/>
  <c r="I501" i="4"/>
  <c r="M501" i="4" s="1"/>
  <c r="C501" i="4"/>
  <c r="AB500" i="3"/>
  <c r="E501" i="4" s="1"/>
  <c r="F500" i="3"/>
  <c r="D501" i="3"/>
  <c r="C507" i="2"/>
  <c r="A502" i="4"/>
  <c r="C501" i="3"/>
  <c r="P501" i="3"/>
  <c r="E501" i="3"/>
  <c r="G501" i="3"/>
  <c r="S501" i="3"/>
  <c r="Y501" i="3" s="1"/>
  <c r="Z501" i="3" s="1"/>
  <c r="AA501" i="3" s="1"/>
  <c r="H501" i="3"/>
  <c r="T501" i="3"/>
  <c r="J501" i="3"/>
  <c r="V501" i="3"/>
  <c r="N501" i="3"/>
  <c r="M501" i="3"/>
  <c r="J504" i="2"/>
  <c r="G504" i="2" s="1"/>
  <c r="M505" i="2"/>
  <c r="V504" i="2" l="1"/>
  <c r="T503" i="2"/>
  <c r="D502" i="4"/>
  <c r="F501" i="3"/>
  <c r="D502" i="3"/>
  <c r="A503" i="4"/>
  <c r="M502" i="3"/>
  <c r="N502" i="3"/>
  <c r="C502" i="3"/>
  <c r="P502" i="3"/>
  <c r="E502" i="3"/>
  <c r="G502" i="3"/>
  <c r="S502" i="3"/>
  <c r="Y502" i="3" s="1"/>
  <c r="Z502" i="3" s="1"/>
  <c r="AA502" i="3" s="1"/>
  <c r="H502" i="3"/>
  <c r="T502" i="3"/>
  <c r="J502" i="3"/>
  <c r="V502" i="3"/>
  <c r="J505" i="2"/>
  <c r="G505" i="2" s="1"/>
  <c r="M506" i="2"/>
  <c r="D506" i="2"/>
  <c r="I500" i="3"/>
  <c r="F501" i="4" s="1"/>
  <c r="U500" i="3"/>
  <c r="J501" i="4" s="1"/>
  <c r="O500" i="3"/>
  <c r="H501" i="4" s="1"/>
  <c r="I504" i="2"/>
  <c r="F504" i="2" s="1"/>
  <c r="L505" i="2"/>
  <c r="C508" i="2"/>
  <c r="C502" i="4"/>
  <c r="AB501" i="3"/>
  <c r="E502" i="4" s="1"/>
  <c r="I502" i="4"/>
  <c r="M502" i="4" s="1"/>
  <c r="G502" i="4"/>
  <c r="L502" i="4" s="1"/>
  <c r="K502" i="4"/>
  <c r="N502" i="4" s="1"/>
  <c r="H505" i="2"/>
  <c r="E505" i="2" s="1"/>
  <c r="K506" i="2"/>
  <c r="V505" i="2" l="1"/>
  <c r="T504" i="2"/>
  <c r="D503" i="4"/>
  <c r="A504" i="4"/>
  <c r="J503" i="3"/>
  <c r="V503" i="3"/>
  <c r="M503" i="3"/>
  <c r="N503" i="3"/>
  <c r="C503" i="3"/>
  <c r="P503" i="3"/>
  <c r="E503" i="3"/>
  <c r="H503" i="3"/>
  <c r="T503" i="3"/>
  <c r="G503" i="3"/>
  <c r="S503" i="3"/>
  <c r="Y503" i="3" s="1"/>
  <c r="Z503" i="3" s="1"/>
  <c r="AA503" i="3" s="1"/>
  <c r="D507" i="2"/>
  <c r="J506" i="2"/>
  <c r="G506" i="2" s="1"/>
  <c r="M507" i="2"/>
  <c r="C509" i="2"/>
  <c r="K507" i="2"/>
  <c r="H506" i="2"/>
  <c r="E506" i="2" s="1"/>
  <c r="C503" i="4"/>
  <c r="AB502" i="3"/>
  <c r="E503" i="4" s="1"/>
  <c r="L506" i="2"/>
  <c r="I505" i="2"/>
  <c r="F505" i="2" s="1"/>
  <c r="K503" i="4"/>
  <c r="N503" i="4" s="1"/>
  <c r="G503" i="4"/>
  <c r="L503" i="4" s="1"/>
  <c r="I503" i="4"/>
  <c r="M503" i="4" s="1"/>
  <c r="F502" i="3"/>
  <c r="D503" i="3"/>
  <c r="O501" i="3"/>
  <c r="H502" i="4" s="1"/>
  <c r="I501" i="3"/>
  <c r="F502" i="4" s="1"/>
  <c r="U501" i="3"/>
  <c r="J502" i="4" s="1"/>
  <c r="V506" i="2" l="1"/>
  <c r="T505" i="2"/>
  <c r="D504" i="4"/>
  <c r="A505" i="4"/>
  <c r="G504" i="3"/>
  <c r="S504" i="3"/>
  <c r="Y504" i="3" s="1"/>
  <c r="Z504" i="3" s="1"/>
  <c r="AA504" i="3" s="1"/>
  <c r="H504" i="3"/>
  <c r="T504" i="3"/>
  <c r="J504" i="3"/>
  <c r="V504" i="3"/>
  <c r="M504" i="3"/>
  <c r="N504" i="3"/>
  <c r="C504" i="3"/>
  <c r="E504" i="3"/>
  <c r="P504" i="3"/>
  <c r="J507" i="2"/>
  <c r="M508" i="2"/>
  <c r="I506" i="2"/>
  <c r="F506" i="2" s="1"/>
  <c r="L507" i="2"/>
  <c r="C504" i="4"/>
  <c r="AB503" i="3"/>
  <c r="E504" i="4" s="1"/>
  <c r="G507" i="2"/>
  <c r="D508" i="2"/>
  <c r="C510" i="2"/>
  <c r="I504" i="4"/>
  <c r="M504" i="4" s="1"/>
  <c r="K504" i="4"/>
  <c r="N504" i="4" s="1"/>
  <c r="G504" i="4"/>
  <c r="L504" i="4" s="1"/>
  <c r="F503" i="3"/>
  <c r="D504" i="3"/>
  <c r="O502" i="3"/>
  <c r="H503" i="4" s="1"/>
  <c r="I502" i="3"/>
  <c r="F503" i="4" s="1"/>
  <c r="U502" i="3"/>
  <c r="J503" i="4" s="1"/>
  <c r="K508" i="2"/>
  <c r="H507" i="2"/>
  <c r="E507" i="2" s="1"/>
  <c r="V507" i="2" l="1"/>
  <c r="T506" i="2"/>
  <c r="D505" i="4"/>
  <c r="C511" i="2"/>
  <c r="I503" i="3"/>
  <c r="F504" i="4" s="1"/>
  <c r="U503" i="3"/>
  <c r="J504" i="4" s="1"/>
  <c r="O503" i="3"/>
  <c r="H504" i="4" s="1"/>
  <c r="D509" i="2"/>
  <c r="G508" i="2"/>
  <c r="C505" i="4"/>
  <c r="AB504" i="3"/>
  <c r="E505" i="4" s="1"/>
  <c r="L508" i="2"/>
  <c r="I507" i="2"/>
  <c r="F507" i="2" s="1"/>
  <c r="J508" i="2"/>
  <c r="M509" i="2"/>
  <c r="G505" i="4"/>
  <c r="L505" i="4" s="1"/>
  <c r="I505" i="4"/>
  <c r="M505" i="4" s="1"/>
  <c r="K505" i="4"/>
  <c r="N505" i="4" s="1"/>
  <c r="H508" i="2"/>
  <c r="E508" i="2" s="1"/>
  <c r="K509" i="2"/>
  <c r="A506" i="4"/>
  <c r="C505" i="3"/>
  <c r="P505" i="3"/>
  <c r="E505" i="3"/>
  <c r="G505" i="3"/>
  <c r="S505" i="3"/>
  <c r="Y505" i="3" s="1"/>
  <c r="Z505" i="3" s="1"/>
  <c r="AA505" i="3" s="1"/>
  <c r="H505" i="3"/>
  <c r="T505" i="3"/>
  <c r="J505" i="3"/>
  <c r="V505" i="3"/>
  <c r="N505" i="3"/>
  <c r="M505" i="3"/>
  <c r="F504" i="3"/>
  <c r="D505" i="3"/>
  <c r="V508" i="2" l="1"/>
  <c r="T507" i="2"/>
  <c r="D506" i="4"/>
  <c r="D510" i="2"/>
  <c r="J509" i="2"/>
  <c r="G509" i="2" s="1"/>
  <c r="M510" i="2"/>
  <c r="I504" i="3"/>
  <c r="F505" i="4" s="1"/>
  <c r="U504" i="3"/>
  <c r="J505" i="4" s="1"/>
  <c r="O504" i="3"/>
  <c r="H505" i="4" s="1"/>
  <c r="C506" i="4"/>
  <c r="AB505" i="3"/>
  <c r="E506" i="4" s="1"/>
  <c r="G506" i="4"/>
  <c r="L506" i="4" s="1"/>
  <c r="I506" i="4"/>
  <c r="M506" i="4" s="1"/>
  <c r="K506" i="4"/>
  <c r="N506" i="4" s="1"/>
  <c r="L509" i="2"/>
  <c r="I508" i="2"/>
  <c r="F508" i="2" s="1"/>
  <c r="C512" i="2"/>
  <c r="A507" i="4"/>
  <c r="M506" i="3"/>
  <c r="N506" i="3"/>
  <c r="C506" i="3"/>
  <c r="P506" i="3"/>
  <c r="E506" i="3"/>
  <c r="G506" i="3"/>
  <c r="S506" i="3"/>
  <c r="Y506" i="3" s="1"/>
  <c r="Z506" i="3" s="1"/>
  <c r="AA506" i="3" s="1"/>
  <c r="H506" i="3"/>
  <c r="T506" i="3"/>
  <c r="J506" i="3"/>
  <c r="V506" i="3"/>
  <c r="K510" i="2"/>
  <c r="H509" i="2"/>
  <c r="E509" i="2" s="1"/>
  <c r="F505" i="3"/>
  <c r="D506" i="3"/>
  <c r="V509" i="2" l="1"/>
  <c r="T508" i="2"/>
  <c r="D507" i="4"/>
  <c r="C513" i="2"/>
  <c r="L510" i="2"/>
  <c r="I509" i="2"/>
  <c r="F509" i="2" s="1"/>
  <c r="J510" i="2"/>
  <c r="G510" i="2" s="1"/>
  <c r="M511" i="2"/>
  <c r="A508" i="4"/>
  <c r="J507" i="3"/>
  <c r="V507" i="3"/>
  <c r="M507" i="3"/>
  <c r="N507" i="3"/>
  <c r="C507" i="3"/>
  <c r="P507" i="3"/>
  <c r="E507" i="3"/>
  <c r="H507" i="3"/>
  <c r="T507" i="3"/>
  <c r="S507" i="3"/>
  <c r="Y507" i="3" s="1"/>
  <c r="Z507" i="3" s="1"/>
  <c r="AA507" i="3" s="1"/>
  <c r="G507" i="3"/>
  <c r="F506" i="3"/>
  <c r="D507" i="3"/>
  <c r="O505" i="3"/>
  <c r="H506" i="4" s="1"/>
  <c r="I505" i="3"/>
  <c r="F506" i="4" s="1"/>
  <c r="U505" i="3"/>
  <c r="J506" i="4" s="1"/>
  <c r="K511" i="2"/>
  <c r="H510" i="2"/>
  <c r="E510" i="2" s="1"/>
  <c r="D511" i="2"/>
  <c r="G507" i="4"/>
  <c r="L507" i="4" s="1"/>
  <c r="K507" i="4"/>
  <c r="N507" i="4" s="1"/>
  <c r="I507" i="4"/>
  <c r="M507" i="4" s="1"/>
  <c r="C507" i="4"/>
  <c r="AB506" i="3"/>
  <c r="E507" i="4" s="1"/>
  <c r="V510" i="2" l="1"/>
  <c r="T509" i="2"/>
  <c r="D508" i="4"/>
  <c r="F507" i="3"/>
  <c r="D508" i="3"/>
  <c r="I508" i="4"/>
  <c r="M508" i="4" s="1"/>
  <c r="G508" i="4"/>
  <c r="L508" i="4" s="1"/>
  <c r="K508" i="4"/>
  <c r="N508" i="4" s="1"/>
  <c r="J511" i="2"/>
  <c r="G511" i="2" s="1"/>
  <c r="M512" i="2"/>
  <c r="D512" i="2"/>
  <c r="A509" i="4"/>
  <c r="G508" i="3"/>
  <c r="S508" i="3"/>
  <c r="Y508" i="3" s="1"/>
  <c r="Z508" i="3" s="1"/>
  <c r="AA508" i="3" s="1"/>
  <c r="H508" i="3"/>
  <c r="T508" i="3"/>
  <c r="J508" i="3"/>
  <c r="V508" i="3"/>
  <c r="M508" i="3"/>
  <c r="N508" i="3"/>
  <c r="C508" i="3"/>
  <c r="E508" i="3"/>
  <c r="P508" i="3"/>
  <c r="L511" i="2"/>
  <c r="I510" i="2"/>
  <c r="F510" i="2" s="1"/>
  <c r="O506" i="3"/>
  <c r="H507" i="4" s="1"/>
  <c r="I506" i="3"/>
  <c r="F507" i="4" s="1"/>
  <c r="U506" i="3"/>
  <c r="J507" i="4" s="1"/>
  <c r="H511" i="2"/>
  <c r="E511" i="2" s="1"/>
  <c r="K512" i="2"/>
  <c r="C514" i="2"/>
  <c r="C508" i="4"/>
  <c r="AB507" i="3"/>
  <c r="E508" i="4" s="1"/>
  <c r="V511" i="2" l="1"/>
  <c r="T510" i="2"/>
  <c r="D509" i="4"/>
  <c r="J512" i="2"/>
  <c r="M513" i="2"/>
  <c r="F508" i="3"/>
  <c r="D509" i="3"/>
  <c r="K509" i="4"/>
  <c r="N509" i="4" s="1"/>
  <c r="G509" i="4"/>
  <c r="L509" i="4" s="1"/>
  <c r="I509" i="4"/>
  <c r="M509" i="4" s="1"/>
  <c r="A510" i="4"/>
  <c r="C509" i="3"/>
  <c r="P509" i="3"/>
  <c r="E509" i="3"/>
  <c r="G509" i="3"/>
  <c r="S509" i="3"/>
  <c r="Y509" i="3" s="1"/>
  <c r="Z509" i="3" s="1"/>
  <c r="AA509" i="3" s="1"/>
  <c r="H509" i="3"/>
  <c r="T509" i="3"/>
  <c r="J509" i="3"/>
  <c r="V509" i="3"/>
  <c r="N509" i="3"/>
  <c r="M509" i="3"/>
  <c r="C515" i="2"/>
  <c r="I507" i="3"/>
  <c r="F508" i="4" s="1"/>
  <c r="U507" i="3"/>
  <c r="J508" i="4" s="1"/>
  <c r="O507" i="3"/>
  <c r="H508" i="4" s="1"/>
  <c r="D513" i="2"/>
  <c r="G512" i="2"/>
  <c r="L512" i="2"/>
  <c r="I511" i="2"/>
  <c r="F511" i="2" s="1"/>
  <c r="H512" i="2"/>
  <c r="E512" i="2" s="1"/>
  <c r="K513" i="2"/>
  <c r="C509" i="4"/>
  <c r="AB508" i="3"/>
  <c r="E509" i="4" s="1"/>
  <c r="V512" i="2" l="1"/>
  <c r="T511" i="2"/>
  <c r="D510" i="4"/>
  <c r="F509" i="3"/>
  <c r="D510" i="3"/>
  <c r="A511" i="4"/>
  <c r="M510" i="3"/>
  <c r="N510" i="3"/>
  <c r="C510" i="3"/>
  <c r="P510" i="3"/>
  <c r="E510" i="3"/>
  <c r="G510" i="3"/>
  <c r="S510" i="3"/>
  <c r="Y510" i="3" s="1"/>
  <c r="Z510" i="3" s="1"/>
  <c r="AA510" i="3" s="1"/>
  <c r="H510" i="3"/>
  <c r="T510" i="3"/>
  <c r="J510" i="3"/>
  <c r="V510" i="3"/>
  <c r="I508" i="3"/>
  <c r="F509" i="4" s="1"/>
  <c r="U508" i="3"/>
  <c r="J509" i="4" s="1"/>
  <c r="O508" i="3"/>
  <c r="H509" i="4" s="1"/>
  <c r="J513" i="2"/>
  <c r="G513" i="2" s="1"/>
  <c r="M514" i="2"/>
  <c r="K514" i="2"/>
  <c r="H513" i="2"/>
  <c r="C516" i="2"/>
  <c r="D514" i="2"/>
  <c r="E513" i="2"/>
  <c r="L513" i="2"/>
  <c r="I512" i="2"/>
  <c r="F512" i="2" s="1"/>
  <c r="C510" i="4"/>
  <c r="AB509" i="3"/>
  <c r="E510" i="4" s="1"/>
  <c r="I510" i="4"/>
  <c r="M510" i="4" s="1"/>
  <c r="K510" i="4"/>
  <c r="N510" i="4" s="1"/>
  <c r="G510" i="4"/>
  <c r="L510" i="4" s="1"/>
  <c r="V513" i="2" l="1"/>
  <c r="T512" i="2"/>
  <c r="D511" i="4"/>
  <c r="H514" i="2"/>
  <c r="K515" i="2"/>
  <c r="A512" i="4"/>
  <c r="J511" i="3"/>
  <c r="V511" i="3"/>
  <c r="M511" i="3"/>
  <c r="N511" i="3"/>
  <c r="C511" i="3"/>
  <c r="P511" i="3"/>
  <c r="E511" i="3"/>
  <c r="H511" i="3"/>
  <c r="T511" i="3"/>
  <c r="G511" i="3"/>
  <c r="S511" i="3"/>
  <c r="Y511" i="3" s="1"/>
  <c r="Z511" i="3" s="1"/>
  <c r="AA511" i="3" s="1"/>
  <c r="J514" i="2"/>
  <c r="G514" i="2" s="1"/>
  <c r="M515" i="2"/>
  <c r="I513" i="2"/>
  <c r="F513" i="2" s="1"/>
  <c r="L514" i="2"/>
  <c r="C511" i="4"/>
  <c r="AB510" i="3"/>
  <c r="E511" i="4" s="1"/>
  <c r="G511" i="4"/>
  <c r="L511" i="4" s="1"/>
  <c r="I511" i="4"/>
  <c r="M511" i="4" s="1"/>
  <c r="K511" i="4"/>
  <c r="N511" i="4" s="1"/>
  <c r="F510" i="3"/>
  <c r="D511" i="3"/>
  <c r="O509" i="3"/>
  <c r="H510" i="4" s="1"/>
  <c r="I509" i="3"/>
  <c r="F510" i="4" s="1"/>
  <c r="U509" i="3"/>
  <c r="J510" i="4" s="1"/>
  <c r="D515" i="2"/>
  <c r="E514" i="2"/>
  <c r="C517" i="2"/>
  <c r="V514" i="2" l="1"/>
  <c r="T513" i="2"/>
  <c r="D512" i="4"/>
  <c r="C512" i="4"/>
  <c r="AB511" i="3"/>
  <c r="E512" i="4" s="1"/>
  <c r="F511" i="3"/>
  <c r="D512" i="3"/>
  <c r="J515" i="2"/>
  <c r="M516" i="2"/>
  <c r="D516" i="2"/>
  <c r="G515" i="2"/>
  <c r="L515" i="2"/>
  <c r="I514" i="2"/>
  <c r="F514" i="2" s="1"/>
  <c r="O510" i="3"/>
  <c r="H511" i="4" s="1"/>
  <c r="I510" i="3"/>
  <c r="F511" i="4" s="1"/>
  <c r="U510" i="3"/>
  <c r="J511" i="4" s="1"/>
  <c r="C518" i="2"/>
  <c r="G512" i="4"/>
  <c r="L512" i="4" s="1"/>
  <c r="I512" i="4"/>
  <c r="M512" i="4" s="1"/>
  <c r="K512" i="4"/>
  <c r="N512" i="4" s="1"/>
  <c r="H515" i="2"/>
  <c r="E515" i="2" s="1"/>
  <c r="K516" i="2"/>
  <c r="A513" i="4"/>
  <c r="G512" i="3"/>
  <c r="S512" i="3"/>
  <c r="Y512" i="3" s="1"/>
  <c r="Z512" i="3" s="1"/>
  <c r="AA512" i="3" s="1"/>
  <c r="H512" i="3"/>
  <c r="T512" i="3"/>
  <c r="J512" i="3"/>
  <c r="V512" i="3"/>
  <c r="M512" i="3"/>
  <c r="N512" i="3"/>
  <c r="C512" i="3"/>
  <c r="E512" i="3"/>
  <c r="P512" i="3"/>
  <c r="V515" i="2" l="1"/>
  <c r="T514" i="2"/>
  <c r="D513" i="4"/>
  <c r="D517" i="2"/>
  <c r="C519" i="2"/>
  <c r="J516" i="2"/>
  <c r="G516" i="2" s="1"/>
  <c r="M517" i="2"/>
  <c r="G513" i="4"/>
  <c r="L513" i="4" s="1"/>
  <c r="K513" i="4"/>
  <c r="N513" i="4" s="1"/>
  <c r="I513" i="4"/>
  <c r="M513" i="4" s="1"/>
  <c r="F512" i="3"/>
  <c r="D513" i="3"/>
  <c r="I511" i="3"/>
  <c r="F512" i="4" s="1"/>
  <c r="U511" i="3"/>
  <c r="J512" i="4" s="1"/>
  <c r="O511" i="3"/>
  <c r="H512" i="4" s="1"/>
  <c r="K517" i="2"/>
  <c r="H516" i="2"/>
  <c r="E516" i="2" s="1"/>
  <c r="A514" i="4"/>
  <c r="C513" i="3"/>
  <c r="P513" i="3"/>
  <c r="E513" i="3"/>
  <c r="G513" i="3"/>
  <c r="S513" i="3"/>
  <c r="Y513" i="3" s="1"/>
  <c r="Z513" i="3" s="1"/>
  <c r="AA513" i="3" s="1"/>
  <c r="H513" i="3"/>
  <c r="T513" i="3"/>
  <c r="J513" i="3"/>
  <c r="V513" i="3"/>
  <c r="N513" i="3"/>
  <c r="M513" i="3"/>
  <c r="I515" i="2"/>
  <c r="F515" i="2" s="1"/>
  <c r="L516" i="2"/>
  <c r="C513" i="4"/>
  <c r="AB512" i="3"/>
  <c r="E513" i="4" s="1"/>
  <c r="V516" i="2" l="1"/>
  <c r="T515" i="2"/>
  <c r="D514" i="4"/>
  <c r="C520" i="2"/>
  <c r="J517" i="2"/>
  <c r="G517" i="2" s="1"/>
  <c r="M518" i="2"/>
  <c r="F513" i="3"/>
  <c r="D514" i="3"/>
  <c r="I512" i="3"/>
  <c r="F513" i="4" s="1"/>
  <c r="U512" i="3"/>
  <c r="J513" i="4" s="1"/>
  <c r="O512" i="3"/>
  <c r="H513" i="4" s="1"/>
  <c r="A515" i="4"/>
  <c r="M514" i="3"/>
  <c r="N514" i="3"/>
  <c r="C514" i="3"/>
  <c r="P514" i="3"/>
  <c r="E514" i="3"/>
  <c r="G514" i="3"/>
  <c r="S514" i="3"/>
  <c r="Y514" i="3" s="1"/>
  <c r="Z514" i="3" s="1"/>
  <c r="AA514" i="3" s="1"/>
  <c r="H514" i="3"/>
  <c r="T514" i="3"/>
  <c r="V514" i="3"/>
  <c r="J514" i="3"/>
  <c r="D518" i="2"/>
  <c r="H517" i="2"/>
  <c r="E517" i="2" s="1"/>
  <c r="K518" i="2"/>
  <c r="I516" i="2"/>
  <c r="F516" i="2" s="1"/>
  <c r="L517" i="2"/>
  <c r="C514" i="4"/>
  <c r="AB513" i="3"/>
  <c r="E514" i="4" s="1"/>
  <c r="I514" i="4"/>
  <c r="M514" i="4" s="1"/>
  <c r="K514" i="4"/>
  <c r="N514" i="4" s="1"/>
  <c r="G514" i="4"/>
  <c r="L514" i="4" s="1"/>
  <c r="V517" i="2" l="1"/>
  <c r="T516" i="2"/>
  <c r="D515" i="4"/>
  <c r="F514" i="3"/>
  <c r="D515" i="3"/>
  <c r="L518" i="2"/>
  <c r="I517" i="2"/>
  <c r="F517" i="2" s="1"/>
  <c r="O513" i="3"/>
  <c r="H514" i="4" s="1"/>
  <c r="I513" i="3"/>
  <c r="F514" i="4" s="1"/>
  <c r="U513" i="3"/>
  <c r="J514" i="4" s="1"/>
  <c r="H518" i="2"/>
  <c r="K519" i="2"/>
  <c r="A516" i="4"/>
  <c r="J515" i="3"/>
  <c r="V515" i="3"/>
  <c r="M515" i="3"/>
  <c r="N515" i="3"/>
  <c r="C515" i="3"/>
  <c r="P515" i="3"/>
  <c r="E515" i="3"/>
  <c r="H515" i="3"/>
  <c r="T515" i="3"/>
  <c r="G515" i="3"/>
  <c r="S515" i="3"/>
  <c r="Y515" i="3" s="1"/>
  <c r="Z515" i="3" s="1"/>
  <c r="AA515" i="3" s="1"/>
  <c r="J518" i="2"/>
  <c r="G518" i="2" s="1"/>
  <c r="M519" i="2"/>
  <c r="C521" i="2"/>
  <c r="D519" i="2"/>
  <c r="E518" i="2"/>
  <c r="C515" i="4"/>
  <c r="AB514" i="3"/>
  <c r="E515" i="4" s="1"/>
  <c r="K515" i="4"/>
  <c r="N515" i="4" s="1"/>
  <c r="G515" i="4"/>
  <c r="L515" i="4" s="1"/>
  <c r="I515" i="4"/>
  <c r="M515" i="4" s="1"/>
  <c r="V518" i="2" l="1"/>
  <c r="T517" i="2"/>
  <c r="D516" i="4"/>
  <c r="I516" i="4"/>
  <c r="M516" i="4" s="1"/>
  <c r="K516" i="4"/>
  <c r="N516" i="4" s="1"/>
  <c r="G516" i="4"/>
  <c r="L516" i="4" s="1"/>
  <c r="K520" i="2"/>
  <c r="H519" i="2"/>
  <c r="A517" i="4"/>
  <c r="G516" i="3"/>
  <c r="S516" i="3"/>
  <c r="Y516" i="3" s="1"/>
  <c r="Z516" i="3" s="1"/>
  <c r="AA516" i="3" s="1"/>
  <c r="H516" i="3"/>
  <c r="T516" i="3"/>
  <c r="J516" i="3"/>
  <c r="V516" i="3"/>
  <c r="M516" i="3"/>
  <c r="N516" i="3"/>
  <c r="C516" i="3"/>
  <c r="E516" i="3"/>
  <c r="P516" i="3"/>
  <c r="D520" i="2"/>
  <c r="E519" i="2"/>
  <c r="I518" i="2"/>
  <c r="F518" i="2" s="1"/>
  <c r="L519" i="2"/>
  <c r="C522" i="2"/>
  <c r="F515" i="3"/>
  <c r="D516" i="3"/>
  <c r="C516" i="4"/>
  <c r="AB515" i="3"/>
  <c r="E516" i="4" s="1"/>
  <c r="O514" i="3"/>
  <c r="H515" i="4" s="1"/>
  <c r="I514" i="3"/>
  <c r="F515" i="4" s="1"/>
  <c r="U514" i="3"/>
  <c r="J515" i="4" s="1"/>
  <c r="J519" i="2"/>
  <c r="G519" i="2" s="1"/>
  <c r="M520" i="2"/>
  <c r="V519" i="2" l="1"/>
  <c r="T518" i="2"/>
  <c r="D517" i="4"/>
  <c r="G517" i="4"/>
  <c r="L517" i="4" s="1"/>
  <c r="I517" i="4"/>
  <c r="M517" i="4" s="1"/>
  <c r="K517" i="4"/>
  <c r="N517" i="4" s="1"/>
  <c r="F516" i="3"/>
  <c r="D517" i="3"/>
  <c r="I515" i="3"/>
  <c r="F516" i="4" s="1"/>
  <c r="U515" i="3"/>
  <c r="J516" i="4" s="1"/>
  <c r="O515" i="3"/>
  <c r="H516" i="4" s="1"/>
  <c r="A518" i="4"/>
  <c r="C517" i="3"/>
  <c r="P517" i="3"/>
  <c r="E517" i="3"/>
  <c r="G517" i="3"/>
  <c r="S517" i="3"/>
  <c r="Y517" i="3" s="1"/>
  <c r="Z517" i="3" s="1"/>
  <c r="AA517" i="3" s="1"/>
  <c r="H517" i="3"/>
  <c r="T517" i="3"/>
  <c r="J517" i="3"/>
  <c r="V517" i="3"/>
  <c r="N517" i="3"/>
  <c r="M517" i="3"/>
  <c r="D521" i="2"/>
  <c r="C523" i="2"/>
  <c r="H520" i="2"/>
  <c r="E520" i="2" s="1"/>
  <c r="K521" i="2"/>
  <c r="M521" i="2"/>
  <c r="J520" i="2"/>
  <c r="G520" i="2" s="1"/>
  <c r="I519" i="2"/>
  <c r="F519" i="2" s="1"/>
  <c r="L520" i="2"/>
  <c r="C517" i="4"/>
  <c r="AB516" i="3"/>
  <c r="E517" i="4" s="1"/>
  <c r="V520" i="2" l="1"/>
  <c r="T519" i="2"/>
  <c r="D518" i="4"/>
  <c r="F517" i="3"/>
  <c r="D518" i="3"/>
  <c r="J521" i="2"/>
  <c r="M522" i="2"/>
  <c r="I516" i="3"/>
  <c r="F517" i="4" s="1"/>
  <c r="U516" i="3"/>
  <c r="J517" i="4" s="1"/>
  <c r="O516" i="3"/>
  <c r="H517" i="4" s="1"/>
  <c r="A519" i="4"/>
  <c r="M518" i="3"/>
  <c r="N518" i="3"/>
  <c r="C518" i="3"/>
  <c r="P518" i="3"/>
  <c r="E518" i="3"/>
  <c r="G518" i="3"/>
  <c r="S518" i="3"/>
  <c r="Y518" i="3" s="1"/>
  <c r="Z518" i="3" s="1"/>
  <c r="AA518" i="3" s="1"/>
  <c r="H518" i="3"/>
  <c r="T518" i="3"/>
  <c r="J518" i="3"/>
  <c r="V518" i="3"/>
  <c r="K522" i="2"/>
  <c r="H521" i="2"/>
  <c r="E521" i="2" s="1"/>
  <c r="C524" i="2"/>
  <c r="L521" i="2"/>
  <c r="I520" i="2"/>
  <c r="F520" i="2" s="1"/>
  <c r="D522" i="2"/>
  <c r="G521" i="2"/>
  <c r="C518" i="4"/>
  <c r="AB517" i="3"/>
  <c r="E518" i="4" s="1"/>
  <c r="G518" i="4"/>
  <c r="L518" i="4" s="1"/>
  <c r="I518" i="4"/>
  <c r="M518" i="4" s="1"/>
  <c r="K518" i="4"/>
  <c r="N518" i="4" s="1"/>
  <c r="V521" i="2" l="1"/>
  <c r="T520" i="2"/>
  <c r="D519" i="4"/>
  <c r="K523" i="2"/>
  <c r="H522" i="2"/>
  <c r="G519" i="4"/>
  <c r="L519" i="4" s="1"/>
  <c r="K519" i="4"/>
  <c r="N519" i="4" s="1"/>
  <c r="I519" i="4"/>
  <c r="M519" i="4" s="1"/>
  <c r="C519" i="4"/>
  <c r="AB518" i="3"/>
  <c r="E519" i="4" s="1"/>
  <c r="J522" i="2"/>
  <c r="M523" i="2"/>
  <c r="L522" i="2"/>
  <c r="I521" i="2"/>
  <c r="F521" i="2" s="1"/>
  <c r="A520" i="4"/>
  <c r="J519" i="3"/>
  <c r="V519" i="3"/>
  <c r="M519" i="3"/>
  <c r="N519" i="3"/>
  <c r="C519" i="3"/>
  <c r="P519" i="3"/>
  <c r="E519" i="3"/>
  <c r="H519" i="3"/>
  <c r="T519" i="3"/>
  <c r="G519" i="3"/>
  <c r="S519" i="3"/>
  <c r="Y519" i="3" s="1"/>
  <c r="Z519" i="3" s="1"/>
  <c r="AA519" i="3" s="1"/>
  <c r="F518" i="3"/>
  <c r="D519" i="3"/>
  <c r="C525" i="2"/>
  <c r="O517" i="3"/>
  <c r="H518" i="4" s="1"/>
  <c r="I517" i="3"/>
  <c r="F518" i="4" s="1"/>
  <c r="U517" i="3"/>
  <c r="J518" i="4" s="1"/>
  <c r="G522" i="2"/>
  <c r="D523" i="2"/>
  <c r="E522" i="2"/>
  <c r="V522" i="2" l="1"/>
  <c r="T521" i="2"/>
  <c r="D520" i="4"/>
  <c r="C526" i="2"/>
  <c r="I520" i="4"/>
  <c r="M520" i="4" s="1"/>
  <c r="G520" i="4"/>
  <c r="L520" i="4" s="1"/>
  <c r="K520" i="4"/>
  <c r="N520" i="4" s="1"/>
  <c r="D524" i="2"/>
  <c r="I522" i="2"/>
  <c r="F522" i="2" s="1"/>
  <c r="L523" i="2"/>
  <c r="H523" i="2"/>
  <c r="E523" i="2" s="1"/>
  <c r="K524" i="2"/>
  <c r="C520" i="4"/>
  <c r="AB519" i="3"/>
  <c r="E520" i="4" s="1"/>
  <c r="F519" i="3"/>
  <c r="D520" i="3"/>
  <c r="O518" i="3"/>
  <c r="H519" i="4" s="1"/>
  <c r="I518" i="3"/>
  <c r="F519" i="4" s="1"/>
  <c r="U518" i="3"/>
  <c r="J519" i="4" s="1"/>
  <c r="M524" i="2"/>
  <c r="J523" i="2"/>
  <c r="G523" i="2" s="1"/>
  <c r="A521" i="4"/>
  <c r="G520" i="3"/>
  <c r="S520" i="3"/>
  <c r="Y520" i="3" s="1"/>
  <c r="Z520" i="3" s="1"/>
  <c r="AA520" i="3" s="1"/>
  <c r="H520" i="3"/>
  <c r="T520" i="3"/>
  <c r="J520" i="3"/>
  <c r="V520" i="3"/>
  <c r="M520" i="3"/>
  <c r="N520" i="3"/>
  <c r="C520" i="3"/>
  <c r="E520" i="3"/>
  <c r="P520" i="3"/>
  <c r="V523" i="2" l="1"/>
  <c r="T522" i="2"/>
  <c r="D521" i="4"/>
  <c r="I519" i="3"/>
  <c r="F520" i="4" s="1"/>
  <c r="U519" i="3"/>
  <c r="J520" i="4" s="1"/>
  <c r="O519" i="3"/>
  <c r="H520" i="4" s="1"/>
  <c r="K525" i="2"/>
  <c r="H524" i="2"/>
  <c r="K521" i="4"/>
  <c r="N521" i="4" s="1"/>
  <c r="G521" i="4"/>
  <c r="L521" i="4" s="1"/>
  <c r="I521" i="4"/>
  <c r="M521" i="4" s="1"/>
  <c r="L524" i="2"/>
  <c r="I523" i="2"/>
  <c r="F523" i="2" s="1"/>
  <c r="A522" i="4"/>
  <c r="C521" i="3"/>
  <c r="P521" i="3"/>
  <c r="E521" i="3"/>
  <c r="G521" i="3"/>
  <c r="S521" i="3"/>
  <c r="Y521" i="3" s="1"/>
  <c r="Z521" i="3" s="1"/>
  <c r="AA521" i="3" s="1"/>
  <c r="H521" i="3"/>
  <c r="T521" i="3"/>
  <c r="J521" i="3"/>
  <c r="V521" i="3"/>
  <c r="N521" i="3"/>
  <c r="M521" i="3"/>
  <c r="F520" i="3"/>
  <c r="D521" i="3"/>
  <c r="M525" i="2"/>
  <c r="J524" i="2"/>
  <c r="C527" i="2"/>
  <c r="C521" i="4"/>
  <c r="AB520" i="3"/>
  <c r="E521" i="4" s="1"/>
  <c r="D525" i="2"/>
  <c r="G524" i="2"/>
  <c r="E524" i="2"/>
  <c r="V524" i="2" l="1"/>
  <c r="T523" i="2"/>
  <c r="D522" i="4"/>
  <c r="C528" i="2"/>
  <c r="A523" i="4"/>
  <c r="M522" i="3"/>
  <c r="N522" i="3"/>
  <c r="C522" i="3"/>
  <c r="P522" i="3"/>
  <c r="E522" i="3"/>
  <c r="G522" i="3"/>
  <c r="S522" i="3"/>
  <c r="Y522" i="3" s="1"/>
  <c r="Z522" i="3" s="1"/>
  <c r="AA522" i="3" s="1"/>
  <c r="H522" i="3"/>
  <c r="T522" i="3"/>
  <c r="J522" i="3"/>
  <c r="V522" i="3"/>
  <c r="J525" i="2"/>
  <c r="G525" i="2" s="1"/>
  <c r="M526" i="2"/>
  <c r="H525" i="2"/>
  <c r="K526" i="2"/>
  <c r="F521" i="3"/>
  <c r="D522" i="3"/>
  <c r="I520" i="3"/>
  <c r="F521" i="4" s="1"/>
  <c r="U520" i="3"/>
  <c r="J521" i="4" s="1"/>
  <c r="O520" i="3"/>
  <c r="H521" i="4" s="1"/>
  <c r="I522" i="4"/>
  <c r="M522" i="4" s="1"/>
  <c r="K522" i="4"/>
  <c r="N522" i="4" s="1"/>
  <c r="G522" i="4"/>
  <c r="L522" i="4" s="1"/>
  <c r="C522" i="4"/>
  <c r="AB521" i="3"/>
  <c r="E522" i="4" s="1"/>
  <c r="D526" i="2"/>
  <c r="E525" i="2"/>
  <c r="L525" i="2"/>
  <c r="I524" i="2"/>
  <c r="F524" i="2" s="1"/>
  <c r="V525" i="2" l="1"/>
  <c r="T524" i="2"/>
  <c r="D523" i="4"/>
  <c r="D527" i="2"/>
  <c r="F522" i="3"/>
  <c r="D523" i="3"/>
  <c r="A524" i="4"/>
  <c r="J523" i="3"/>
  <c r="V523" i="3"/>
  <c r="M523" i="3"/>
  <c r="N523" i="3"/>
  <c r="C523" i="3"/>
  <c r="P523" i="3"/>
  <c r="E523" i="3"/>
  <c r="H523" i="3"/>
  <c r="T523" i="3"/>
  <c r="S523" i="3"/>
  <c r="Y523" i="3" s="1"/>
  <c r="Z523" i="3" s="1"/>
  <c r="AA523" i="3" s="1"/>
  <c r="G523" i="3"/>
  <c r="O521" i="3"/>
  <c r="H522" i="4" s="1"/>
  <c r="I521" i="3"/>
  <c r="F522" i="4" s="1"/>
  <c r="U521" i="3"/>
  <c r="J522" i="4" s="1"/>
  <c r="H526" i="2"/>
  <c r="E526" i="2" s="1"/>
  <c r="K527" i="2"/>
  <c r="M527" i="2"/>
  <c r="J526" i="2"/>
  <c r="G526" i="2" s="1"/>
  <c r="C523" i="4"/>
  <c r="AB522" i="3"/>
  <c r="E523" i="4" s="1"/>
  <c r="G523" i="4"/>
  <c r="L523" i="4" s="1"/>
  <c r="I523" i="4"/>
  <c r="M523" i="4" s="1"/>
  <c r="K523" i="4"/>
  <c r="N523" i="4" s="1"/>
  <c r="C529" i="2"/>
  <c r="I525" i="2"/>
  <c r="F525" i="2" s="1"/>
  <c r="L526" i="2"/>
  <c r="V526" i="2" l="1"/>
  <c r="T525" i="2"/>
  <c r="D524" i="4"/>
  <c r="G524" i="4"/>
  <c r="L524" i="4" s="1"/>
  <c r="I524" i="4"/>
  <c r="M524" i="4" s="1"/>
  <c r="K524" i="4"/>
  <c r="N524" i="4" s="1"/>
  <c r="F523" i="3"/>
  <c r="D524" i="3"/>
  <c r="O522" i="3"/>
  <c r="H523" i="4" s="1"/>
  <c r="I522" i="3"/>
  <c r="F523" i="4" s="1"/>
  <c r="U522" i="3"/>
  <c r="J523" i="4" s="1"/>
  <c r="A525" i="4"/>
  <c r="G524" i="3"/>
  <c r="S524" i="3"/>
  <c r="Y524" i="3" s="1"/>
  <c r="Z524" i="3" s="1"/>
  <c r="AA524" i="3" s="1"/>
  <c r="H524" i="3"/>
  <c r="T524" i="3"/>
  <c r="J524" i="3"/>
  <c r="V524" i="3"/>
  <c r="M524" i="3"/>
  <c r="N524" i="3"/>
  <c r="C524" i="3"/>
  <c r="E524" i="3"/>
  <c r="P524" i="3"/>
  <c r="D528" i="2"/>
  <c r="L527" i="2"/>
  <c r="I526" i="2"/>
  <c r="F526" i="2" s="1"/>
  <c r="C530" i="2"/>
  <c r="J527" i="2"/>
  <c r="G527" i="2" s="1"/>
  <c r="M528" i="2"/>
  <c r="K528" i="2"/>
  <c r="H527" i="2"/>
  <c r="E527" i="2" s="1"/>
  <c r="C524" i="4"/>
  <c r="AB523" i="3"/>
  <c r="E524" i="4" s="1"/>
  <c r="V527" i="2" l="1"/>
  <c r="T526" i="2"/>
  <c r="D525" i="4"/>
  <c r="C531" i="2"/>
  <c r="F524" i="3"/>
  <c r="D525" i="3"/>
  <c r="C525" i="4"/>
  <c r="AB524" i="3"/>
  <c r="E525" i="4" s="1"/>
  <c r="I523" i="3"/>
  <c r="F524" i="4" s="1"/>
  <c r="U523" i="3"/>
  <c r="J524" i="4" s="1"/>
  <c r="O523" i="3"/>
  <c r="H524" i="4" s="1"/>
  <c r="L528" i="2"/>
  <c r="I527" i="2"/>
  <c r="F527" i="2" s="1"/>
  <c r="H528" i="2"/>
  <c r="K529" i="2"/>
  <c r="D529" i="2"/>
  <c r="E528" i="2"/>
  <c r="J528" i="2"/>
  <c r="G528" i="2" s="1"/>
  <c r="M529" i="2"/>
  <c r="G525" i="4"/>
  <c r="L525" i="4" s="1"/>
  <c r="K525" i="4"/>
  <c r="N525" i="4" s="1"/>
  <c r="I525" i="4"/>
  <c r="M525" i="4" s="1"/>
  <c r="A526" i="4"/>
  <c r="C525" i="3"/>
  <c r="P525" i="3"/>
  <c r="E525" i="3"/>
  <c r="G525" i="3"/>
  <c r="S525" i="3"/>
  <c r="Y525" i="3" s="1"/>
  <c r="Z525" i="3" s="1"/>
  <c r="AA525" i="3" s="1"/>
  <c r="H525" i="3"/>
  <c r="T525" i="3"/>
  <c r="J525" i="3"/>
  <c r="V525" i="3"/>
  <c r="N525" i="3"/>
  <c r="M525" i="3"/>
  <c r="V528" i="2" l="1"/>
  <c r="T527" i="2"/>
  <c r="D526" i="4"/>
  <c r="M530" i="2"/>
  <c r="J529" i="2"/>
  <c r="A527" i="4"/>
  <c r="M526" i="3"/>
  <c r="N526" i="3"/>
  <c r="C526" i="3"/>
  <c r="P526" i="3"/>
  <c r="E526" i="3"/>
  <c r="G526" i="3"/>
  <c r="S526" i="3"/>
  <c r="Y526" i="3" s="1"/>
  <c r="Z526" i="3" s="1"/>
  <c r="AA526" i="3" s="1"/>
  <c r="H526" i="3"/>
  <c r="T526" i="3"/>
  <c r="J526" i="3"/>
  <c r="V526" i="3"/>
  <c r="F525" i="3"/>
  <c r="D526" i="3"/>
  <c r="C526" i="4"/>
  <c r="AB525" i="3"/>
  <c r="E526" i="4" s="1"/>
  <c r="I526" i="4"/>
  <c r="M526" i="4" s="1"/>
  <c r="G526" i="4"/>
  <c r="L526" i="4" s="1"/>
  <c r="K526" i="4"/>
  <c r="N526" i="4" s="1"/>
  <c r="G529" i="2"/>
  <c r="D530" i="2"/>
  <c r="I524" i="3"/>
  <c r="F525" i="4" s="1"/>
  <c r="U524" i="3"/>
  <c r="J525" i="4" s="1"/>
  <c r="O524" i="3"/>
  <c r="H525" i="4" s="1"/>
  <c r="H529" i="2"/>
  <c r="E529" i="2" s="1"/>
  <c r="K530" i="2"/>
  <c r="C532" i="2"/>
  <c r="I528" i="2"/>
  <c r="F528" i="2" s="1"/>
  <c r="L529" i="2"/>
  <c r="V529" i="2" l="1"/>
  <c r="T528" i="2"/>
  <c r="D527" i="4"/>
  <c r="A528" i="4"/>
  <c r="J527" i="3"/>
  <c r="V527" i="3"/>
  <c r="M527" i="3"/>
  <c r="N527" i="3"/>
  <c r="C527" i="3"/>
  <c r="P527" i="3"/>
  <c r="E527" i="3"/>
  <c r="H527" i="3"/>
  <c r="T527" i="3"/>
  <c r="G527" i="3"/>
  <c r="S527" i="3"/>
  <c r="Y527" i="3" s="1"/>
  <c r="Z527" i="3" s="1"/>
  <c r="AA527" i="3" s="1"/>
  <c r="F526" i="3"/>
  <c r="D527" i="3"/>
  <c r="D531" i="2"/>
  <c r="C527" i="4"/>
  <c r="AB526" i="3"/>
  <c r="E527" i="4" s="1"/>
  <c r="K527" i="4"/>
  <c r="N527" i="4" s="1"/>
  <c r="G527" i="4"/>
  <c r="L527" i="4" s="1"/>
  <c r="I527" i="4"/>
  <c r="M527" i="4" s="1"/>
  <c r="O525" i="3"/>
  <c r="H526" i="4" s="1"/>
  <c r="I525" i="3"/>
  <c r="F526" i="4" s="1"/>
  <c r="U525" i="3"/>
  <c r="J526" i="4" s="1"/>
  <c r="M531" i="2"/>
  <c r="J530" i="2"/>
  <c r="G530" i="2" s="1"/>
  <c r="K531" i="2"/>
  <c r="H530" i="2"/>
  <c r="E530" i="2" s="1"/>
  <c r="L530" i="2"/>
  <c r="I529" i="2"/>
  <c r="F529" i="2" s="1"/>
  <c r="C533" i="2"/>
  <c r="V530" i="2" l="1"/>
  <c r="T529" i="2"/>
  <c r="D528" i="4"/>
  <c r="A529" i="4"/>
  <c r="G528" i="3"/>
  <c r="S528" i="3"/>
  <c r="Y528" i="3" s="1"/>
  <c r="Z528" i="3" s="1"/>
  <c r="AA528" i="3" s="1"/>
  <c r="H528" i="3"/>
  <c r="T528" i="3"/>
  <c r="J528" i="3"/>
  <c r="V528" i="3"/>
  <c r="M528" i="3"/>
  <c r="N528" i="3"/>
  <c r="C528" i="3"/>
  <c r="E528" i="3"/>
  <c r="P528" i="3"/>
  <c r="D532" i="2"/>
  <c r="E531" i="2"/>
  <c r="J531" i="2"/>
  <c r="G531" i="2" s="1"/>
  <c r="M532" i="2"/>
  <c r="C528" i="4"/>
  <c r="AB527" i="3"/>
  <c r="E528" i="4" s="1"/>
  <c r="K532" i="2"/>
  <c r="H531" i="2"/>
  <c r="F527" i="3"/>
  <c r="D528" i="3"/>
  <c r="O526" i="3"/>
  <c r="H527" i="4" s="1"/>
  <c r="I526" i="3"/>
  <c r="F527" i="4" s="1"/>
  <c r="U526" i="3"/>
  <c r="J527" i="4" s="1"/>
  <c r="I528" i="4"/>
  <c r="M528" i="4" s="1"/>
  <c r="K528" i="4"/>
  <c r="N528" i="4" s="1"/>
  <c r="G528" i="4"/>
  <c r="L528" i="4" s="1"/>
  <c r="C534" i="2"/>
  <c r="L531" i="2"/>
  <c r="I530" i="2"/>
  <c r="F530" i="2" s="1"/>
  <c r="V531" i="2" l="1"/>
  <c r="T530" i="2"/>
  <c r="D529" i="4"/>
  <c r="C529" i="4"/>
  <c r="AB528" i="3"/>
  <c r="E529" i="4" s="1"/>
  <c r="M533" i="2"/>
  <c r="J532" i="2"/>
  <c r="G532" i="2" s="1"/>
  <c r="D533" i="2"/>
  <c r="C535" i="2"/>
  <c r="I527" i="3"/>
  <c r="F528" i="4" s="1"/>
  <c r="U527" i="3"/>
  <c r="J528" i="4" s="1"/>
  <c r="O527" i="3"/>
  <c r="H528" i="4" s="1"/>
  <c r="G529" i="4"/>
  <c r="L529" i="4" s="1"/>
  <c r="I529" i="4"/>
  <c r="M529" i="4" s="1"/>
  <c r="K529" i="4"/>
  <c r="N529" i="4" s="1"/>
  <c r="A530" i="4"/>
  <c r="C529" i="3"/>
  <c r="P529" i="3"/>
  <c r="E529" i="3"/>
  <c r="G529" i="3"/>
  <c r="S529" i="3"/>
  <c r="Y529" i="3" s="1"/>
  <c r="Z529" i="3" s="1"/>
  <c r="AA529" i="3" s="1"/>
  <c r="H529" i="3"/>
  <c r="T529" i="3"/>
  <c r="J529" i="3"/>
  <c r="V529" i="3"/>
  <c r="N529" i="3"/>
  <c r="M529" i="3"/>
  <c r="I531" i="2"/>
  <c r="F531" i="2" s="1"/>
  <c r="L532" i="2"/>
  <c r="F528" i="3"/>
  <c r="D529" i="3"/>
  <c r="K533" i="2"/>
  <c r="H532" i="2"/>
  <c r="E532" i="2" s="1"/>
  <c r="V532" i="2" l="1"/>
  <c r="T531" i="2"/>
  <c r="D530" i="4"/>
  <c r="G530" i="4"/>
  <c r="L530" i="4" s="1"/>
  <c r="I530" i="4"/>
  <c r="M530" i="4" s="1"/>
  <c r="K530" i="4"/>
  <c r="N530" i="4" s="1"/>
  <c r="C536" i="2"/>
  <c r="D534" i="2"/>
  <c r="C530" i="4"/>
  <c r="AB529" i="3"/>
  <c r="E530" i="4" s="1"/>
  <c r="M534" i="2"/>
  <c r="J533" i="2"/>
  <c r="G533" i="2" s="1"/>
  <c r="K534" i="2"/>
  <c r="H533" i="2"/>
  <c r="E533" i="2" s="1"/>
  <c r="A531" i="4"/>
  <c r="M530" i="3"/>
  <c r="N530" i="3"/>
  <c r="C530" i="3"/>
  <c r="P530" i="3"/>
  <c r="E530" i="3"/>
  <c r="G530" i="3"/>
  <c r="S530" i="3"/>
  <c r="Y530" i="3" s="1"/>
  <c r="Z530" i="3" s="1"/>
  <c r="AA530" i="3" s="1"/>
  <c r="H530" i="3"/>
  <c r="T530" i="3"/>
  <c r="V530" i="3"/>
  <c r="J530" i="3"/>
  <c r="I528" i="3"/>
  <c r="F529" i="4" s="1"/>
  <c r="U528" i="3"/>
  <c r="J529" i="4" s="1"/>
  <c r="O528" i="3"/>
  <c r="H529" i="4" s="1"/>
  <c r="F529" i="3"/>
  <c r="D530" i="3"/>
  <c r="L533" i="2"/>
  <c r="I532" i="2"/>
  <c r="F532" i="2" s="1"/>
  <c r="V533" i="2" l="1"/>
  <c r="T532" i="2"/>
  <c r="D531" i="4"/>
  <c r="G531" i="4"/>
  <c r="L531" i="4" s="1"/>
  <c r="I531" i="4"/>
  <c r="M531" i="4" s="1"/>
  <c r="K531" i="4"/>
  <c r="N531" i="4" s="1"/>
  <c r="C537" i="2"/>
  <c r="J534" i="2"/>
  <c r="G534" i="2" s="1"/>
  <c r="M535" i="2"/>
  <c r="A532" i="4"/>
  <c r="J531" i="3"/>
  <c r="V531" i="3"/>
  <c r="M531" i="3"/>
  <c r="N531" i="3"/>
  <c r="C531" i="3"/>
  <c r="P531" i="3"/>
  <c r="E531" i="3"/>
  <c r="H531" i="3"/>
  <c r="T531" i="3"/>
  <c r="G531" i="3"/>
  <c r="S531" i="3"/>
  <c r="Y531" i="3" s="1"/>
  <c r="Z531" i="3" s="1"/>
  <c r="AA531" i="3" s="1"/>
  <c r="C531" i="4"/>
  <c r="AB530" i="3"/>
  <c r="E531" i="4" s="1"/>
  <c r="K535" i="2"/>
  <c r="H534" i="2"/>
  <c r="E534" i="2" s="1"/>
  <c r="L534" i="2"/>
  <c r="I533" i="2"/>
  <c r="F533" i="2" s="1"/>
  <c r="F530" i="3"/>
  <c r="D531" i="3"/>
  <c r="O529" i="3"/>
  <c r="H530" i="4" s="1"/>
  <c r="I529" i="3"/>
  <c r="F530" i="4" s="1"/>
  <c r="U529" i="3"/>
  <c r="J530" i="4" s="1"/>
  <c r="D535" i="2"/>
  <c r="V534" i="2" l="1"/>
  <c r="T533" i="2"/>
  <c r="D532" i="4"/>
  <c r="A533" i="4"/>
  <c r="G532" i="3"/>
  <c r="S532" i="3"/>
  <c r="Y532" i="3" s="1"/>
  <c r="Z532" i="3" s="1"/>
  <c r="AA532" i="3" s="1"/>
  <c r="H532" i="3"/>
  <c r="T532" i="3"/>
  <c r="J532" i="3"/>
  <c r="V532" i="3"/>
  <c r="M532" i="3"/>
  <c r="N532" i="3"/>
  <c r="C532" i="3"/>
  <c r="E532" i="3"/>
  <c r="P532" i="3"/>
  <c r="C538" i="2"/>
  <c r="I534" i="2"/>
  <c r="F534" i="2" s="1"/>
  <c r="L535" i="2"/>
  <c r="C532" i="4"/>
  <c r="AB531" i="3"/>
  <c r="E532" i="4" s="1"/>
  <c r="O530" i="3"/>
  <c r="H531" i="4" s="1"/>
  <c r="I530" i="3"/>
  <c r="F531" i="4" s="1"/>
  <c r="U530" i="3"/>
  <c r="J531" i="4" s="1"/>
  <c r="D536" i="2"/>
  <c r="G532" i="4"/>
  <c r="L532" i="4" s="1"/>
  <c r="K532" i="4"/>
  <c r="N532" i="4" s="1"/>
  <c r="I532" i="4"/>
  <c r="M532" i="4" s="1"/>
  <c r="F531" i="3"/>
  <c r="D532" i="3"/>
  <c r="K536" i="2"/>
  <c r="H535" i="2"/>
  <c r="E535" i="2" s="1"/>
  <c r="M536" i="2"/>
  <c r="J535" i="2"/>
  <c r="G535" i="2" s="1"/>
  <c r="V535" i="2" l="1"/>
  <c r="T534" i="2"/>
  <c r="D533" i="4"/>
  <c r="L536" i="2"/>
  <c r="I535" i="2"/>
  <c r="F535" i="2" s="1"/>
  <c r="C539" i="2"/>
  <c r="M537" i="2"/>
  <c r="J536" i="2"/>
  <c r="G536" i="2" s="1"/>
  <c r="K533" i="4"/>
  <c r="N533" i="4" s="1"/>
  <c r="G533" i="4"/>
  <c r="L533" i="4" s="1"/>
  <c r="I533" i="4"/>
  <c r="M533" i="4" s="1"/>
  <c r="D537" i="2"/>
  <c r="K537" i="2"/>
  <c r="H536" i="2"/>
  <c r="E536" i="2" s="1"/>
  <c r="F532" i="3"/>
  <c r="D533" i="3"/>
  <c r="A534" i="4"/>
  <c r="C533" i="3"/>
  <c r="P533" i="3"/>
  <c r="E533" i="3"/>
  <c r="G533" i="3"/>
  <c r="S533" i="3"/>
  <c r="Y533" i="3" s="1"/>
  <c r="Z533" i="3" s="1"/>
  <c r="AA533" i="3" s="1"/>
  <c r="H533" i="3"/>
  <c r="T533" i="3"/>
  <c r="J533" i="3"/>
  <c r="V533" i="3"/>
  <c r="N533" i="3"/>
  <c r="M533" i="3"/>
  <c r="C533" i="4"/>
  <c r="AB532" i="3"/>
  <c r="E533" i="4" s="1"/>
  <c r="I531" i="3"/>
  <c r="F532" i="4" s="1"/>
  <c r="U531" i="3"/>
  <c r="J532" i="4" s="1"/>
  <c r="O531" i="3"/>
  <c r="H532" i="4" s="1"/>
  <c r="V536" i="2" l="1"/>
  <c r="T535" i="2"/>
  <c r="D534" i="4"/>
  <c r="K538" i="2"/>
  <c r="H537" i="2"/>
  <c r="J537" i="2"/>
  <c r="G537" i="2" s="1"/>
  <c r="M538" i="2"/>
  <c r="C540" i="2"/>
  <c r="A535" i="4"/>
  <c r="M534" i="3"/>
  <c r="N534" i="3"/>
  <c r="C534" i="3"/>
  <c r="P534" i="3"/>
  <c r="E534" i="3"/>
  <c r="G534" i="3"/>
  <c r="S534" i="3"/>
  <c r="Y534" i="3" s="1"/>
  <c r="Z534" i="3" s="1"/>
  <c r="AA534" i="3" s="1"/>
  <c r="H534" i="3"/>
  <c r="T534" i="3"/>
  <c r="J534" i="3"/>
  <c r="V534" i="3"/>
  <c r="D538" i="2"/>
  <c r="E537" i="2"/>
  <c r="F533" i="3"/>
  <c r="D534" i="3"/>
  <c r="I532" i="3"/>
  <c r="F533" i="4" s="1"/>
  <c r="U532" i="3"/>
  <c r="J533" i="4" s="1"/>
  <c r="O532" i="3"/>
  <c r="H533" i="4" s="1"/>
  <c r="L537" i="2"/>
  <c r="I536" i="2"/>
  <c r="F536" i="2" s="1"/>
  <c r="C534" i="4"/>
  <c r="AB533" i="3"/>
  <c r="E534" i="4" s="1"/>
  <c r="I534" i="4"/>
  <c r="M534" i="4" s="1"/>
  <c r="K534" i="4"/>
  <c r="N534" i="4" s="1"/>
  <c r="G534" i="4"/>
  <c r="L534" i="4" s="1"/>
  <c r="V537" i="2" l="1"/>
  <c r="T536" i="2"/>
  <c r="D535" i="4"/>
  <c r="C535" i="4"/>
  <c r="AB534" i="3"/>
  <c r="E535" i="4" s="1"/>
  <c r="G535" i="4"/>
  <c r="L535" i="4" s="1"/>
  <c r="I535" i="4"/>
  <c r="M535" i="4" s="1"/>
  <c r="K535" i="4"/>
  <c r="N535" i="4" s="1"/>
  <c r="C541" i="2"/>
  <c r="M539" i="2"/>
  <c r="J538" i="2"/>
  <c r="G538" i="2" s="1"/>
  <c r="O533" i="3"/>
  <c r="H534" i="4" s="1"/>
  <c r="I533" i="3"/>
  <c r="F534" i="4" s="1"/>
  <c r="U533" i="3"/>
  <c r="J534" i="4" s="1"/>
  <c r="A536" i="4"/>
  <c r="J535" i="3"/>
  <c r="V535" i="3"/>
  <c r="M535" i="3"/>
  <c r="N535" i="3"/>
  <c r="C535" i="3"/>
  <c r="P535" i="3"/>
  <c r="E535" i="3"/>
  <c r="H535" i="3"/>
  <c r="T535" i="3"/>
  <c r="G535" i="3"/>
  <c r="S535" i="3"/>
  <c r="Y535" i="3" s="1"/>
  <c r="Z535" i="3" s="1"/>
  <c r="AA535" i="3" s="1"/>
  <c r="K539" i="2"/>
  <c r="H538" i="2"/>
  <c r="E538" i="2" s="1"/>
  <c r="D539" i="2"/>
  <c r="F534" i="3"/>
  <c r="D535" i="3"/>
  <c r="I537" i="2"/>
  <c r="F537" i="2" s="1"/>
  <c r="L538" i="2"/>
  <c r="V538" i="2" l="1"/>
  <c r="T537" i="2"/>
  <c r="D536" i="4"/>
  <c r="C542" i="2"/>
  <c r="K540" i="2"/>
  <c r="H539" i="2"/>
  <c r="G536" i="4"/>
  <c r="L536" i="4" s="1"/>
  <c r="I536" i="4"/>
  <c r="M536" i="4" s="1"/>
  <c r="K536" i="4"/>
  <c r="N536" i="4" s="1"/>
  <c r="C536" i="4"/>
  <c r="AB535" i="3"/>
  <c r="E536" i="4" s="1"/>
  <c r="L539" i="2"/>
  <c r="I538" i="2"/>
  <c r="F538" i="2" s="1"/>
  <c r="F535" i="3"/>
  <c r="D536" i="3"/>
  <c r="D540" i="2"/>
  <c r="E539" i="2"/>
  <c r="A537" i="4"/>
  <c r="G536" i="3"/>
  <c r="S536" i="3"/>
  <c r="Y536" i="3" s="1"/>
  <c r="Z536" i="3" s="1"/>
  <c r="AA536" i="3" s="1"/>
  <c r="H536" i="3"/>
  <c r="T536" i="3"/>
  <c r="J536" i="3"/>
  <c r="V536" i="3"/>
  <c r="M536" i="3"/>
  <c r="N536" i="3"/>
  <c r="C536" i="3"/>
  <c r="E536" i="3"/>
  <c r="P536" i="3"/>
  <c r="M540" i="2"/>
  <c r="J539" i="2"/>
  <c r="G539" i="2" s="1"/>
  <c r="O534" i="3"/>
  <c r="H535" i="4" s="1"/>
  <c r="I534" i="3"/>
  <c r="F535" i="4" s="1"/>
  <c r="U534" i="3"/>
  <c r="J535" i="4" s="1"/>
  <c r="V539" i="2" l="1"/>
  <c r="T538" i="2"/>
  <c r="D537" i="4"/>
  <c r="C537" i="4"/>
  <c r="AB536" i="3"/>
  <c r="E537" i="4" s="1"/>
  <c r="F536" i="3"/>
  <c r="D537" i="3"/>
  <c r="A538" i="4"/>
  <c r="C537" i="3"/>
  <c r="P537" i="3"/>
  <c r="E537" i="3"/>
  <c r="G537" i="3"/>
  <c r="S537" i="3"/>
  <c r="Y537" i="3" s="1"/>
  <c r="Z537" i="3" s="1"/>
  <c r="AA537" i="3" s="1"/>
  <c r="H537" i="3"/>
  <c r="T537" i="3"/>
  <c r="J537" i="3"/>
  <c r="V537" i="3"/>
  <c r="N537" i="3"/>
  <c r="M537" i="3"/>
  <c r="I535" i="3"/>
  <c r="F536" i="4" s="1"/>
  <c r="U535" i="3"/>
  <c r="J536" i="4" s="1"/>
  <c r="O535" i="3"/>
  <c r="H536" i="4" s="1"/>
  <c r="K541" i="2"/>
  <c r="H540" i="2"/>
  <c r="E540" i="2" s="1"/>
  <c r="C543" i="2"/>
  <c r="L540" i="2"/>
  <c r="I539" i="2"/>
  <c r="F539" i="2" s="1"/>
  <c r="D541" i="2"/>
  <c r="J540" i="2"/>
  <c r="G540" i="2" s="1"/>
  <c r="M541" i="2"/>
  <c r="G537" i="4"/>
  <c r="L537" i="4" s="1"/>
  <c r="I537" i="4"/>
  <c r="M537" i="4" s="1"/>
  <c r="K537" i="4"/>
  <c r="N537" i="4" s="1"/>
  <c r="V540" i="2" l="1"/>
  <c r="T539" i="2"/>
  <c r="D538" i="4"/>
  <c r="M542" i="2"/>
  <c r="J541" i="2"/>
  <c r="K542" i="2"/>
  <c r="H541" i="2"/>
  <c r="A539" i="4"/>
  <c r="M538" i="3"/>
  <c r="N538" i="3"/>
  <c r="C538" i="3"/>
  <c r="P538" i="3"/>
  <c r="E538" i="3"/>
  <c r="G538" i="3"/>
  <c r="S538" i="3"/>
  <c r="Y538" i="3" s="1"/>
  <c r="Z538" i="3" s="1"/>
  <c r="AA538" i="3" s="1"/>
  <c r="H538" i="3"/>
  <c r="T538" i="3"/>
  <c r="J538" i="3"/>
  <c r="V538" i="3"/>
  <c r="C538" i="4"/>
  <c r="AB537" i="3"/>
  <c r="E538" i="4" s="1"/>
  <c r="G538" i="4"/>
  <c r="L538" i="4" s="1"/>
  <c r="I538" i="4"/>
  <c r="M538" i="4" s="1"/>
  <c r="K538" i="4"/>
  <c r="N538" i="4" s="1"/>
  <c r="G541" i="2"/>
  <c r="D542" i="2"/>
  <c r="E541" i="2"/>
  <c r="F537" i="3"/>
  <c r="D538" i="3"/>
  <c r="I536" i="3"/>
  <c r="F537" i="4" s="1"/>
  <c r="U536" i="3"/>
  <c r="J537" i="4" s="1"/>
  <c r="O536" i="3"/>
  <c r="H537" i="4" s="1"/>
  <c r="I540" i="2"/>
  <c r="F540" i="2" s="1"/>
  <c r="L541" i="2"/>
  <c r="C544" i="2"/>
  <c r="V541" i="2" l="1"/>
  <c r="T540" i="2"/>
  <c r="D539" i="4"/>
  <c r="F538" i="3"/>
  <c r="D539" i="3"/>
  <c r="C539" i="4"/>
  <c r="AB538" i="3"/>
  <c r="E539" i="4" s="1"/>
  <c r="K539" i="4"/>
  <c r="N539" i="4" s="1"/>
  <c r="I539" i="4"/>
  <c r="M539" i="4" s="1"/>
  <c r="G539" i="4"/>
  <c r="L539" i="4" s="1"/>
  <c r="K543" i="2"/>
  <c r="H542" i="2"/>
  <c r="E542" i="2" s="1"/>
  <c r="O537" i="3"/>
  <c r="H538" i="4" s="1"/>
  <c r="I537" i="3"/>
  <c r="F538" i="4" s="1"/>
  <c r="U537" i="3"/>
  <c r="J538" i="4" s="1"/>
  <c r="D543" i="2"/>
  <c r="C545" i="2"/>
  <c r="L542" i="2"/>
  <c r="I541" i="2"/>
  <c r="F541" i="2" s="1"/>
  <c r="M543" i="2"/>
  <c r="J542" i="2"/>
  <c r="G542" i="2" s="1"/>
  <c r="A540" i="4"/>
  <c r="J539" i="3"/>
  <c r="V539" i="3"/>
  <c r="M539" i="3"/>
  <c r="N539" i="3"/>
  <c r="C539" i="3"/>
  <c r="P539" i="3"/>
  <c r="E539" i="3"/>
  <c r="H539" i="3"/>
  <c r="T539" i="3"/>
  <c r="S539" i="3"/>
  <c r="Y539" i="3" s="1"/>
  <c r="Z539" i="3" s="1"/>
  <c r="AA539" i="3" s="1"/>
  <c r="G539" i="3"/>
  <c r="V542" i="2" l="1"/>
  <c r="T541" i="2"/>
  <c r="D540" i="4"/>
  <c r="D544" i="2"/>
  <c r="F539" i="3"/>
  <c r="D540" i="3"/>
  <c r="I540" i="4"/>
  <c r="M540" i="4" s="1"/>
  <c r="K540" i="4"/>
  <c r="N540" i="4" s="1"/>
  <c r="G540" i="4"/>
  <c r="L540" i="4" s="1"/>
  <c r="O538" i="3"/>
  <c r="H539" i="4" s="1"/>
  <c r="I538" i="3"/>
  <c r="F539" i="4" s="1"/>
  <c r="U538" i="3"/>
  <c r="J539" i="4" s="1"/>
  <c r="J543" i="2"/>
  <c r="G543" i="2" s="1"/>
  <c r="M544" i="2"/>
  <c r="A541" i="4"/>
  <c r="G540" i="3"/>
  <c r="S540" i="3"/>
  <c r="Y540" i="3" s="1"/>
  <c r="Z540" i="3" s="1"/>
  <c r="AA540" i="3" s="1"/>
  <c r="H540" i="3"/>
  <c r="T540" i="3"/>
  <c r="J540" i="3"/>
  <c r="V540" i="3"/>
  <c r="M540" i="3"/>
  <c r="N540" i="3"/>
  <c r="C540" i="3"/>
  <c r="E540" i="3"/>
  <c r="P540" i="3"/>
  <c r="L543" i="2"/>
  <c r="I542" i="2"/>
  <c r="F542" i="2" s="1"/>
  <c r="C540" i="4"/>
  <c r="AB539" i="3"/>
  <c r="E540" i="4" s="1"/>
  <c r="C546" i="2"/>
  <c r="K544" i="2"/>
  <c r="H543" i="2"/>
  <c r="E543" i="2" s="1"/>
  <c r="V543" i="2" l="1"/>
  <c r="T542" i="2"/>
  <c r="D541" i="4"/>
  <c r="F540" i="3"/>
  <c r="D541" i="3"/>
  <c r="A542" i="4"/>
  <c r="C541" i="3"/>
  <c r="P541" i="3"/>
  <c r="E541" i="3"/>
  <c r="G541" i="3"/>
  <c r="S541" i="3"/>
  <c r="Y541" i="3" s="1"/>
  <c r="Z541" i="3" s="1"/>
  <c r="AA541" i="3" s="1"/>
  <c r="H541" i="3"/>
  <c r="T541" i="3"/>
  <c r="J541" i="3"/>
  <c r="V541" i="3"/>
  <c r="N541" i="3"/>
  <c r="M541" i="3"/>
  <c r="M545" i="2"/>
  <c r="J544" i="2"/>
  <c r="G544" i="2" s="1"/>
  <c r="I539" i="3"/>
  <c r="F540" i="4" s="1"/>
  <c r="U539" i="3"/>
  <c r="J540" i="4" s="1"/>
  <c r="O539" i="3"/>
  <c r="H540" i="4" s="1"/>
  <c r="I543" i="2"/>
  <c r="F543" i="2" s="1"/>
  <c r="L544" i="2"/>
  <c r="G541" i="4"/>
  <c r="L541" i="4" s="1"/>
  <c r="I541" i="4"/>
  <c r="M541" i="4" s="1"/>
  <c r="K541" i="4"/>
  <c r="N541" i="4" s="1"/>
  <c r="K545" i="2"/>
  <c r="H544" i="2"/>
  <c r="E544" i="2" s="1"/>
  <c r="C541" i="4"/>
  <c r="AB540" i="3"/>
  <c r="E541" i="4" s="1"/>
  <c r="C547" i="2"/>
  <c r="D545" i="2"/>
  <c r="V544" i="2" l="1"/>
  <c r="T543" i="2"/>
  <c r="D542" i="4"/>
  <c r="C548" i="2"/>
  <c r="L545" i="2"/>
  <c r="I544" i="2"/>
  <c r="F544" i="2" s="1"/>
  <c r="A543" i="4"/>
  <c r="M542" i="3"/>
  <c r="N542" i="3"/>
  <c r="C542" i="3"/>
  <c r="P542" i="3"/>
  <c r="E542" i="3"/>
  <c r="G542" i="3"/>
  <c r="S542" i="3"/>
  <c r="Y542" i="3" s="1"/>
  <c r="Z542" i="3" s="1"/>
  <c r="AA542" i="3" s="1"/>
  <c r="H542" i="3"/>
  <c r="T542" i="3"/>
  <c r="J542" i="3"/>
  <c r="V542" i="3"/>
  <c r="M546" i="2"/>
  <c r="J545" i="2"/>
  <c r="G545" i="2" s="1"/>
  <c r="C542" i="4"/>
  <c r="AB541" i="3"/>
  <c r="E542" i="4" s="1"/>
  <c r="G542" i="4"/>
  <c r="L542" i="4" s="1"/>
  <c r="I542" i="4"/>
  <c r="M542" i="4" s="1"/>
  <c r="K542" i="4"/>
  <c r="N542" i="4" s="1"/>
  <c r="D546" i="2"/>
  <c r="F541" i="3"/>
  <c r="D542" i="3"/>
  <c r="I540" i="3"/>
  <c r="F541" i="4" s="1"/>
  <c r="U540" i="3"/>
  <c r="J541" i="4" s="1"/>
  <c r="O540" i="3"/>
  <c r="H541" i="4" s="1"/>
  <c r="K546" i="2"/>
  <c r="H545" i="2"/>
  <c r="E545" i="2" s="1"/>
  <c r="V545" i="2" l="1"/>
  <c r="T544" i="2"/>
  <c r="D543" i="4"/>
  <c r="J546" i="2"/>
  <c r="M547" i="2"/>
  <c r="C543" i="4"/>
  <c r="AB542" i="3"/>
  <c r="E543" i="4" s="1"/>
  <c r="D547" i="2"/>
  <c r="G546" i="2"/>
  <c r="G543" i="4"/>
  <c r="L543" i="4" s="1"/>
  <c r="I543" i="4"/>
  <c r="M543" i="4" s="1"/>
  <c r="K543" i="4"/>
  <c r="N543" i="4" s="1"/>
  <c r="L546" i="2"/>
  <c r="I545" i="2"/>
  <c r="F545" i="2" s="1"/>
  <c r="K547" i="2"/>
  <c r="H546" i="2"/>
  <c r="E546" i="2" s="1"/>
  <c r="C549" i="2"/>
  <c r="O541" i="3"/>
  <c r="H542" i="4" s="1"/>
  <c r="I541" i="3"/>
  <c r="F542" i="4" s="1"/>
  <c r="U541" i="3"/>
  <c r="J542" i="4" s="1"/>
  <c r="A544" i="4"/>
  <c r="J543" i="3"/>
  <c r="V543" i="3"/>
  <c r="M543" i="3"/>
  <c r="N543" i="3"/>
  <c r="C543" i="3"/>
  <c r="P543" i="3"/>
  <c r="E543" i="3"/>
  <c r="H543" i="3"/>
  <c r="T543" i="3"/>
  <c r="G543" i="3"/>
  <c r="S543" i="3"/>
  <c r="Y543" i="3" s="1"/>
  <c r="Z543" i="3" s="1"/>
  <c r="AA543" i="3" s="1"/>
  <c r="F542" i="3"/>
  <c r="D543" i="3"/>
  <c r="V546" i="2" l="1"/>
  <c r="T545" i="2"/>
  <c r="D544" i="4"/>
  <c r="C550" i="2"/>
  <c r="A545" i="4"/>
  <c r="G544" i="3"/>
  <c r="S544" i="3"/>
  <c r="Y544" i="3" s="1"/>
  <c r="Z544" i="3" s="1"/>
  <c r="AA544" i="3" s="1"/>
  <c r="H544" i="3"/>
  <c r="T544" i="3"/>
  <c r="J544" i="3"/>
  <c r="V544" i="3"/>
  <c r="M544" i="3"/>
  <c r="N544" i="3"/>
  <c r="C544" i="3"/>
  <c r="E544" i="3"/>
  <c r="P544" i="3"/>
  <c r="K548" i="2"/>
  <c r="H547" i="2"/>
  <c r="E547" i="2" s="1"/>
  <c r="C544" i="4"/>
  <c r="AB543" i="3"/>
  <c r="E544" i="4" s="1"/>
  <c r="G547" i="2"/>
  <c r="D548" i="2"/>
  <c r="I546" i="2"/>
  <c r="F546" i="2" s="1"/>
  <c r="L547" i="2"/>
  <c r="G544" i="4"/>
  <c r="L544" i="4" s="1"/>
  <c r="I544" i="4"/>
  <c r="M544" i="4" s="1"/>
  <c r="K544" i="4"/>
  <c r="N544" i="4" s="1"/>
  <c r="M548" i="2"/>
  <c r="J547" i="2"/>
  <c r="F543" i="3"/>
  <c r="D544" i="3"/>
  <c r="O542" i="3"/>
  <c r="H543" i="4" s="1"/>
  <c r="I542" i="3"/>
  <c r="F543" i="4" s="1"/>
  <c r="U542" i="3"/>
  <c r="J543" i="4" s="1"/>
  <c r="V547" i="2" l="1"/>
  <c r="T546" i="2"/>
  <c r="D545" i="4"/>
  <c r="K549" i="2"/>
  <c r="H548" i="2"/>
  <c r="K545" i="4"/>
  <c r="N545" i="4" s="1"/>
  <c r="G545" i="4"/>
  <c r="L545" i="4" s="1"/>
  <c r="I545" i="4"/>
  <c r="M545" i="4" s="1"/>
  <c r="A546" i="4"/>
  <c r="C545" i="3"/>
  <c r="P545" i="3"/>
  <c r="E545" i="3"/>
  <c r="G545" i="3"/>
  <c r="S545" i="3"/>
  <c r="Y545" i="3" s="1"/>
  <c r="Z545" i="3" s="1"/>
  <c r="AA545" i="3" s="1"/>
  <c r="H545" i="3"/>
  <c r="T545" i="3"/>
  <c r="J545" i="3"/>
  <c r="V545" i="3"/>
  <c r="N545" i="3"/>
  <c r="M545" i="3"/>
  <c r="C551" i="2"/>
  <c r="L548" i="2"/>
  <c r="I547" i="2"/>
  <c r="F547" i="2" s="1"/>
  <c r="F544" i="3"/>
  <c r="D545" i="3"/>
  <c r="M549" i="2"/>
  <c r="J548" i="2"/>
  <c r="I543" i="3"/>
  <c r="F544" i="4" s="1"/>
  <c r="U543" i="3"/>
  <c r="J544" i="4" s="1"/>
  <c r="O543" i="3"/>
  <c r="H544" i="4" s="1"/>
  <c r="G548" i="2"/>
  <c r="D549" i="2"/>
  <c r="E548" i="2"/>
  <c r="C545" i="4"/>
  <c r="AB544" i="3"/>
  <c r="E545" i="4" s="1"/>
  <c r="V548" i="2" l="1"/>
  <c r="T547" i="2"/>
  <c r="D546" i="4"/>
  <c r="I546" i="4"/>
  <c r="M546" i="4" s="1"/>
  <c r="K546" i="4"/>
  <c r="N546" i="4" s="1"/>
  <c r="G546" i="4"/>
  <c r="L546" i="4" s="1"/>
  <c r="C546" i="4"/>
  <c r="AB545" i="3"/>
  <c r="E546" i="4" s="1"/>
  <c r="F545" i="3"/>
  <c r="D546" i="3"/>
  <c r="I544" i="3"/>
  <c r="F545" i="4" s="1"/>
  <c r="U544" i="3"/>
  <c r="J545" i="4" s="1"/>
  <c r="O544" i="3"/>
  <c r="H545" i="4" s="1"/>
  <c r="L549" i="2"/>
  <c r="I548" i="2"/>
  <c r="F548" i="2" s="1"/>
  <c r="A547" i="4"/>
  <c r="M546" i="3"/>
  <c r="N546" i="3"/>
  <c r="C546" i="3"/>
  <c r="P546" i="3"/>
  <c r="E546" i="3"/>
  <c r="G546" i="3"/>
  <c r="S546" i="3"/>
  <c r="Y546" i="3" s="1"/>
  <c r="Z546" i="3" s="1"/>
  <c r="AA546" i="3" s="1"/>
  <c r="H546" i="3"/>
  <c r="T546" i="3"/>
  <c r="V546" i="3"/>
  <c r="J546" i="3"/>
  <c r="K550" i="2"/>
  <c r="H549" i="2"/>
  <c r="E549" i="2" s="1"/>
  <c r="J549" i="2"/>
  <c r="G549" i="2" s="1"/>
  <c r="M550" i="2"/>
  <c r="C552" i="2"/>
  <c r="D550" i="2"/>
  <c r="V549" i="2" l="1"/>
  <c r="T548" i="2"/>
  <c r="D547" i="4"/>
  <c r="O545" i="3"/>
  <c r="H546" i="4" s="1"/>
  <c r="I545" i="3"/>
  <c r="F546" i="4" s="1"/>
  <c r="U545" i="3"/>
  <c r="J546" i="4" s="1"/>
  <c r="K551" i="2"/>
  <c r="H550" i="2"/>
  <c r="C553" i="2"/>
  <c r="A548" i="4"/>
  <c r="J547" i="3"/>
  <c r="V547" i="3"/>
  <c r="M547" i="3"/>
  <c r="N547" i="3"/>
  <c r="C547" i="3"/>
  <c r="P547" i="3"/>
  <c r="E547" i="3"/>
  <c r="H547" i="3"/>
  <c r="T547" i="3"/>
  <c r="G547" i="3"/>
  <c r="S547" i="3"/>
  <c r="Y547" i="3" s="1"/>
  <c r="Z547" i="3" s="1"/>
  <c r="AA547" i="3" s="1"/>
  <c r="F546" i="3"/>
  <c r="D547" i="3"/>
  <c r="C547" i="4"/>
  <c r="AB546" i="3"/>
  <c r="E547" i="4" s="1"/>
  <c r="M551" i="2"/>
  <c r="J550" i="2"/>
  <c r="G550" i="2" s="1"/>
  <c r="G547" i="4"/>
  <c r="L547" i="4" s="1"/>
  <c r="I547" i="4"/>
  <c r="M547" i="4" s="1"/>
  <c r="K547" i="4"/>
  <c r="N547" i="4" s="1"/>
  <c r="I549" i="2"/>
  <c r="F549" i="2" s="1"/>
  <c r="L550" i="2"/>
  <c r="D551" i="2"/>
  <c r="E550" i="2"/>
  <c r="V550" i="2" l="1"/>
  <c r="T549" i="2"/>
  <c r="D548" i="4"/>
  <c r="O546" i="3"/>
  <c r="H547" i="4" s="1"/>
  <c r="I546" i="3"/>
  <c r="F547" i="4" s="1"/>
  <c r="U546" i="3"/>
  <c r="J547" i="4" s="1"/>
  <c r="C554" i="2"/>
  <c r="A549" i="4"/>
  <c r="G548" i="3"/>
  <c r="S548" i="3"/>
  <c r="Y548" i="3" s="1"/>
  <c r="Z548" i="3" s="1"/>
  <c r="AA548" i="3" s="1"/>
  <c r="H548" i="3"/>
  <c r="T548" i="3"/>
  <c r="J548" i="3"/>
  <c r="V548" i="3"/>
  <c r="M548" i="3"/>
  <c r="N548" i="3"/>
  <c r="C548" i="3"/>
  <c r="E548" i="3"/>
  <c r="P548" i="3"/>
  <c r="K552" i="2"/>
  <c r="H551" i="2"/>
  <c r="E551" i="2" s="1"/>
  <c r="G548" i="4"/>
  <c r="L548" i="4" s="1"/>
  <c r="I548" i="4"/>
  <c r="M548" i="4" s="1"/>
  <c r="K548" i="4"/>
  <c r="N548" i="4" s="1"/>
  <c r="M552" i="2"/>
  <c r="J551" i="2"/>
  <c r="G551" i="2" s="1"/>
  <c r="C548" i="4"/>
  <c r="AB547" i="3"/>
  <c r="E548" i="4" s="1"/>
  <c r="D552" i="2"/>
  <c r="L551" i="2"/>
  <c r="I550" i="2"/>
  <c r="F550" i="2" s="1"/>
  <c r="F547" i="3"/>
  <c r="D548" i="3"/>
  <c r="V551" i="2" l="1"/>
  <c r="T550" i="2"/>
  <c r="D549" i="4"/>
  <c r="K553" i="2"/>
  <c r="H552" i="2"/>
  <c r="D553" i="2"/>
  <c r="E552" i="2"/>
  <c r="G549" i="4"/>
  <c r="L549" i="4" s="1"/>
  <c r="I549" i="4"/>
  <c r="M549" i="4" s="1"/>
  <c r="K549" i="4"/>
  <c r="N549" i="4" s="1"/>
  <c r="A550" i="4"/>
  <c r="C549" i="3"/>
  <c r="P549" i="3"/>
  <c r="E549" i="3"/>
  <c r="G549" i="3"/>
  <c r="S549" i="3"/>
  <c r="Y549" i="3" s="1"/>
  <c r="Z549" i="3" s="1"/>
  <c r="AA549" i="3" s="1"/>
  <c r="H549" i="3"/>
  <c r="T549" i="3"/>
  <c r="J549" i="3"/>
  <c r="V549" i="3"/>
  <c r="N549" i="3"/>
  <c r="M549" i="3"/>
  <c r="C555" i="2"/>
  <c r="F548" i="3"/>
  <c r="D549" i="3"/>
  <c r="I547" i="3"/>
  <c r="F548" i="4" s="1"/>
  <c r="U547" i="3"/>
  <c r="J548" i="4" s="1"/>
  <c r="O547" i="3"/>
  <c r="H548" i="4" s="1"/>
  <c r="C549" i="4"/>
  <c r="AB548" i="3"/>
  <c r="E549" i="4" s="1"/>
  <c r="J552" i="2"/>
  <c r="G552" i="2" s="1"/>
  <c r="M553" i="2"/>
  <c r="L552" i="2"/>
  <c r="I551" i="2"/>
  <c r="F551" i="2" s="1"/>
  <c r="V552" i="2" l="1"/>
  <c r="T551" i="2"/>
  <c r="D550" i="4"/>
  <c r="A551" i="4"/>
  <c r="M550" i="3"/>
  <c r="N550" i="3"/>
  <c r="C550" i="3"/>
  <c r="P550" i="3"/>
  <c r="E550" i="3"/>
  <c r="G550" i="3"/>
  <c r="S550" i="3"/>
  <c r="Y550" i="3" s="1"/>
  <c r="Z550" i="3" s="1"/>
  <c r="AA550" i="3" s="1"/>
  <c r="H550" i="3"/>
  <c r="T550" i="3"/>
  <c r="J550" i="3"/>
  <c r="V550" i="3"/>
  <c r="D554" i="2"/>
  <c r="E553" i="2"/>
  <c r="F549" i="3"/>
  <c r="D550" i="3"/>
  <c r="I552" i="2"/>
  <c r="F552" i="2" s="1"/>
  <c r="L553" i="2"/>
  <c r="M554" i="2"/>
  <c r="J553" i="2"/>
  <c r="G553" i="2" s="1"/>
  <c r="C550" i="4"/>
  <c r="AB549" i="3"/>
  <c r="E550" i="4" s="1"/>
  <c r="G550" i="4"/>
  <c r="L550" i="4" s="1"/>
  <c r="I550" i="4"/>
  <c r="M550" i="4" s="1"/>
  <c r="K550" i="4"/>
  <c r="N550" i="4" s="1"/>
  <c r="I548" i="3"/>
  <c r="F549" i="4" s="1"/>
  <c r="U548" i="3"/>
  <c r="J549" i="4" s="1"/>
  <c r="O548" i="3"/>
  <c r="H549" i="4" s="1"/>
  <c r="C556" i="2"/>
  <c r="K554" i="2"/>
  <c r="H553" i="2"/>
  <c r="V553" i="2" l="1"/>
  <c r="T552" i="2"/>
  <c r="D551" i="4"/>
  <c r="L554" i="2"/>
  <c r="I553" i="2"/>
  <c r="F553" i="2" s="1"/>
  <c r="O549" i="3"/>
  <c r="H550" i="4" s="1"/>
  <c r="I549" i="3"/>
  <c r="F550" i="4" s="1"/>
  <c r="U549" i="3"/>
  <c r="J550" i="4" s="1"/>
  <c r="A552" i="4"/>
  <c r="J551" i="3"/>
  <c r="V551" i="3"/>
  <c r="M551" i="3"/>
  <c r="N551" i="3"/>
  <c r="C551" i="3"/>
  <c r="P551" i="3"/>
  <c r="E551" i="3"/>
  <c r="H551" i="3"/>
  <c r="T551" i="3"/>
  <c r="G551" i="3"/>
  <c r="S551" i="3"/>
  <c r="Y551" i="3" s="1"/>
  <c r="Z551" i="3" s="1"/>
  <c r="AA551" i="3" s="1"/>
  <c r="D555" i="2"/>
  <c r="K555" i="2"/>
  <c r="H554" i="2"/>
  <c r="E554" i="2" s="1"/>
  <c r="C551" i="4"/>
  <c r="AB550" i="3"/>
  <c r="E551" i="4" s="1"/>
  <c r="F550" i="3"/>
  <c r="D551" i="3"/>
  <c r="K551" i="4"/>
  <c r="N551" i="4" s="1"/>
  <c r="G551" i="4"/>
  <c r="L551" i="4" s="1"/>
  <c r="I551" i="4"/>
  <c r="M551" i="4" s="1"/>
  <c r="C557" i="2"/>
  <c r="M555" i="2"/>
  <c r="J554" i="2"/>
  <c r="G554" i="2" s="1"/>
  <c r="V554" i="2" l="1"/>
  <c r="T553" i="2"/>
  <c r="D552" i="4"/>
  <c r="C552" i="4"/>
  <c r="AB551" i="3"/>
  <c r="E552" i="4" s="1"/>
  <c r="D556" i="2"/>
  <c r="I552" i="4"/>
  <c r="M552" i="4" s="1"/>
  <c r="K552" i="4"/>
  <c r="N552" i="4" s="1"/>
  <c r="G552" i="4"/>
  <c r="L552" i="4" s="1"/>
  <c r="J555" i="2"/>
  <c r="G555" i="2" s="1"/>
  <c r="M556" i="2"/>
  <c r="A553" i="4"/>
  <c r="G552" i="3"/>
  <c r="S552" i="3"/>
  <c r="Y552" i="3" s="1"/>
  <c r="Z552" i="3" s="1"/>
  <c r="AA552" i="3" s="1"/>
  <c r="H552" i="3"/>
  <c r="T552" i="3"/>
  <c r="J552" i="3"/>
  <c r="V552" i="3"/>
  <c r="M552" i="3"/>
  <c r="N552" i="3"/>
  <c r="C552" i="3"/>
  <c r="E552" i="3"/>
  <c r="P552" i="3"/>
  <c r="F551" i="3"/>
  <c r="D552" i="3"/>
  <c r="C558" i="2"/>
  <c r="L555" i="2"/>
  <c r="I554" i="2"/>
  <c r="F554" i="2" s="1"/>
  <c r="O550" i="3"/>
  <c r="H551" i="4" s="1"/>
  <c r="I550" i="3"/>
  <c r="F551" i="4" s="1"/>
  <c r="U550" i="3"/>
  <c r="J551" i="4" s="1"/>
  <c r="K556" i="2"/>
  <c r="H555" i="2"/>
  <c r="E555" i="2" s="1"/>
  <c r="V555" i="2" l="1"/>
  <c r="T554" i="2"/>
  <c r="D553" i="4"/>
  <c r="I555" i="2"/>
  <c r="F555" i="2" s="1"/>
  <c r="L556" i="2"/>
  <c r="C559" i="2"/>
  <c r="F552" i="3"/>
  <c r="D553" i="3"/>
  <c r="I551" i="3"/>
  <c r="F552" i="4" s="1"/>
  <c r="U551" i="3"/>
  <c r="J552" i="4" s="1"/>
  <c r="O551" i="3"/>
  <c r="H552" i="4" s="1"/>
  <c r="G553" i="4"/>
  <c r="L553" i="4" s="1"/>
  <c r="I553" i="4"/>
  <c r="M553" i="4" s="1"/>
  <c r="K553" i="4"/>
  <c r="N553" i="4" s="1"/>
  <c r="A554" i="4"/>
  <c r="C553" i="3"/>
  <c r="P553" i="3"/>
  <c r="E553" i="3"/>
  <c r="G553" i="3"/>
  <c r="S553" i="3"/>
  <c r="Y553" i="3" s="1"/>
  <c r="Z553" i="3" s="1"/>
  <c r="AA553" i="3" s="1"/>
  <c r="H553" i="3"/>
  <c r="T553" i="3"/>
  <c r="J553" i="3"/>
  <c r="V553" i="3"/>
  <c r="N553" i="3"/>
  <c r="M553" i="3"/>
  <c r="M557" i="2"/>
  <c r="J556" i="2"/>
  <c r="G556" i="2"/>
  <c r="D557" i="2"/>
  <c r="K557" i="2"/>
  <c r="H556" i="2"/>
  <c r="E556" i="2" s="1"/>
  <c r="C553" i="4"/>
  <c r="AB552" i="3"/>
  <c r="E553" i="4" s="1"/>
  <c r="V556" i="2" l="1"/>
  <c r="T555" i="2"/>
  <c r="D554" i="4"/>
  <c r="A555" i="4"/>
  <c r="M554" i="3"/>
  <c r="N554" i="3"/>
  <c r="C554" i="3"/>
  <c r="P554" i="3"/>
  <c r="E554" i="3"/>
  <c r="G554" i="3"/>
  <c r="S554" i="3"/>
  <c r="Y554" i="3" s="1"/>
  <c r="Z554" i="3" s="1"/>
  <c r="AA554" i="3" s="1"/>
  <c r="H554" i="3"/>
  <c r="T554" i="3"/>
  <c r="J554" i="3"/>
  <c r="V554" i="3"/>
  <c r="F553" i="3"/>
  <c r="D554" i="3"/>
  <c r="M558" i="2"/>
  <c r="J557" i="2"/>
  <c r="G557" i="2" s="1"/>
  <c r="I552" i="3"/>
  <c r="F553" i="4" s="1"/>
  <c r="U552" i="3"/>
  <c r="J553" i="4" s="1"/>
  <c r="O552" i="3"/>
  <c r="H553" i="4" s="1"/>
  <c r="C554" i="4"/>
  <c r="AB553" i="3"/>
  <c r="E554" i="4" s="1"/>
  <c r="G554" i="4"/>
  <c r="L554" i="4" s="1"/>
  <c r="I554" i="4"/>
  <c r="M554" i="4" s="1"/>
  <c r="K554" i="4"/>
  <c r="N554" i="4" s="1"/>
  <c r="C560" i="2"/>
  <c r="L557" i="2"/>
  <c r="I556" i="2"/>
  <c r="F556" i="2" s="1"/>
  <c r="K558" i="2"/>
  <c r="H557" i="2"/>
  <c r="E557" i="2" s="1"/>
  <c r="D558" i="2"/>
  <c r="V557" i="2" l="1"/>
  <c r="T556" i="2"/>
  <c r="D555" i="4"/>
  <c r="L558" i="2"/>
  <c r="I557" i="2"/>
  <c r="F557" i="2" s="1"/>
  <c r="J558" i="2"/>
  <c r="M559" i="2"/>
  <c r="K559" i="2"/>
  <c r="H558" i="2"/>
  <c r="E558" i="2" s="1"/>
  <c r="F554" i="3"/>
  <c r="D555" i="3"/>
  <c r="A556" i="4"/>
  <c r="J555" i="3"/>
  <c r="V555" i="3"/>
  <c r="M555" i="3"/>
  <c r="N555" i="3"/>
  <c r="C555" i="3"/>
  <c r="P555" i="3"/>
  <c r="E555" i="3"/>
  <c r="H555" i="3"/>
  <c r="T555" i="3"/>
  <c r="S555" i="3"/>
  <c r="Y555" i="3" s="1"/>
  <c r="Z555" i="3" s="1"/>
  <c r="AA555" i="3" s="1"/>
  <c r="G555" i="3"/>
  <c r="O553" i="3"/>
  <c r="H554" i="4" s="1"/>
  <c r="I553" i="3"/>
  <c r="F554" i="4" s="1"/>
  <c r="U553" i="3"/>
  <c r="J554" i="4" s="1"/>
  <c r="C555" i="4"/>
  <c r="AB554" i="3"/>
  <c r="E555" i="4" s="1"/>
  <c r="G555" i="4"/>
  <c r="L555" i="4" s="1"/>
  <c r="I555" i="4"/>
  <c r="M555" i="4" s="1"/>
  <c r="K555" i="4"/>
  <c r="N555" i="4" s="1"/>
  <c r="D559" i="2"/>
  <c r="G558" i="2"/>
  <c r="C561" i="2"/>
  <c r="V558" i="2" l="1"/>
  <c r="T557" i="2"/>
  <c r="D556" i="4"/>
  <c r="G556" i="4"/>
  <c r="L556" i="4" s="1"/>
  <c r="K556" i="4"/>
  <c r="N556" i="4" s="1"/>
  <c r="I556" i="4"/>
  <c r="M556" i="4" s="1"/>
  <c r="F555" i="3"/>
  <c r="D556" i="3"/>
  <c r="G559" i="2"/>
  <c r="D560" i="2"/>
  <c r="A557" i="4"/>
  <c r="G556" i="3"/>
  <c r="S556" i="3"/>
  <c r="Y556" i="3" s="1"/>
  <c r="Z556" i="3" s="1"/>
  <c r="AA556" i="3" s="1"/>
  <c r="H556" i="3"/>
  <c r="T556" i="3"/>
  <c r="J556" i="3"/>
  <c r="V556" i="3"/>
  <c r="M556" i="3"/>
  <c r="N556" i="3"/>
  <c r="C556" i="3"/>
  <c r="E556" i="3"/>
  <c r="P556" i="3"/>
  <c r="K560" i="2"/>
  <c r="H559" i="2"/>
  <c r="E559" i="2" s="1"/>
  <c r="M560" i="2"/>
  <c r="J559" i="2"/>
  <c r="O554" i="3"/>
  <c r="H555" i="4" s="1"/>
  <c r="I554" i="3"/>
  <c r="F555" i="4" s="1"/>
  <c r="U554" i="3"/>
  <c r="J555" i="4" s="1"/>
  <c r="C562" i="2"/>
  <c r="I558" i="2"/>
  <c r="F558" i="2" s="1"/>
  <c r="L559" i="2"/>
  <c r="C556" i="4"/>
  <c r="AB555" i="3"/>
  <c r="E556" i="4" s="1"/>
  <c r="V559" i="2" l="1"/>
  <c r="T558" i="2"/>
  <c r="D557" i="4"/>
  <c r="F556" i="3"/>
  <c r="D557" i="3"/>
  <c r="I555" i="3"/>
  <c r="F556" i="4" s="1"/>
  <c r="U555" i="3"/>
  <c r="J556" i="4" s="1"/>
  <c r="O555" i="3"/>
  <c r="H556" i="4" s="1"/>
  <c r="C557" i="4"/>
  <c r="AB556" i="3"/>
  <c r="E557" i="4" s="1"/>
  <c r="K561" i="2"/>
  <c r="H560" i="2"/>
  <c r="E560" i="2" s="1"/>
  <c r="L560" i="2"/>
  <c r="I559" i="2"/>
  <c r="F559" i="2" s="1"/>
  <c r="K557" i="4"/>
  <c r="N557" i="4" s="1"/>
  <c r="G557" i="4"/>
  <c r="L557" i="4" s="1"/>
  <c r="I557" i="4"/>
  <c r="M557" i="4" s="1"/>
  <c r="C563" i="2"/>
  <c r="M561" i="2"/>
  <c r="J560" i="2"/>
  <c r="G560" i="2" s="1"/>
  <c r="A558" i="4"/>
  <c r="C557" i="3"/>
  <c r="P557" i="3"/>
  <c r="E557" i="3"/>
  <c r="G557" i="3"/>
  <c r="S557" i="3"/>
  <c r="Y557" i="3" s="1"/>
  <c r="Z557" i="3" s="1"/>
  <c r="AA557" i="3" s="1"/>
  <c r="H557" i="3"/>
  <c r="T557" i="3"/>
  <c r="J557" i="3"/>
  <c r="V557" i="3"/>
  <c r="N557" i="3"/>
  <c r="M557" i="3"/>
  <c r="D561" i="2"/>
  <c r="V560" i="2" l="1"/>
  <c r="T559" i="2"/>
  <c r="D558" i="4"/>
  <c r="L561" i="2"/>
  <c r="I560" i="2"/>
  <c r="F560" i="2" s="1"/>
  <c r="C564" i="2"/>
  <c r="K562" i="2"/>
  <c r="H561" i="2"/>
  <c r="J561" i="2"/>
  <c r="G561" i="2" s="1"/>
  <c r="M562" i="2"/>
  <c r="F557" i="3"/>
  <c r="D558" i="3"/>
  <c r="A559" i="4"/>
  <c r="M558" i="3"/>
  <c r="N558" i="3"/>
  <c r="C558" i="3"/>
  <c r="P558" i="3"/>
  <c r="E558" i="3"/>
  <c r="G558" i="3"/>
  <c r="S558" i="3"/>
  <c r="Y558" i="3" s="1"/>
  <c r="Z558" i="3" s="1"/>
  <c r="AA558" i="3" s="1"/>
  <c r="H558" i="3"/>
  <c r="T558" i="3"/>
  <c r="J558" i="3"/>
  <c r="V558" i="3"/>
  <c r="I556" i="3"/>
  <c r="F557" i="4" s="1"/>
  <c r="U556" i="3"/>
  <c r="J557" i="4" s="1"/>
  <c r="O556" i="3"/>
  <c r="H557" i="4" s="1"/>
  <c r="D562" i="2"/>
  <c r="E561" i="2"/>
  <c r="C558" i="4"/>
  <c r="AB557" i="3"/>
  <c r="E558" i="4" s="1"/>
  <c r="I558" i="4"/>
  <c r="M558" i="4" s="1"/>
  <c r="K558" i="4"/>
  <c r="N558" i="4" s="1"/>
  <c r="G558" i="4"/>
  <c r="L558" i="4" s="1"/>
  <c r="V561" i="2" l="1"/>
  <c r="T560" i="2"/>
  <c r="D559" i="4"/>
  <c r="M563" i="2"/>
  <c r="J562" i="2"/>
  <c r="A560" i="4"/>
  <c r="J559" i="3"/>
  <c r="V559" i="3"/>
  <c r="M559" i="3"/>
  <c r="N559" i="3"/>
  <c r="C559" i="3"/>
  <c r="P559" i="3"/>
  <c r="E559" i="3"/>
  <c r="H559" i="3"/>
  <c r="T559" i="3"/>
  <c r="G559" i="3"/>
  <c r="S559" i="3"/>
  <c r="Y559" i="3" s="1"/>
  <c r="Z559" i="3" s="1"/>
  <c r="AA559" i="3" s="1"/>
  <c r="K563" i="2"/>
  <c r="H562" i="2"/>
  <c r="E562" i="2" s="1"/>
  <c r="C565" i="2"/>
  <c r="G562" i="2"/>
  <c r="D563" i="2"/>
  <c r="O557" i="3"/>
  <c r="H558" i="4" s="1"/>
  <c r="I557" i="3"/>
  <c r="F558" i="4" s="1"/>
  <c r="U557" i="3"/>
  <c r="J558" i="4" s="1"/>
  <c r="C559" i="4"/>
  <c r="AB558" i="3"/>
  <c r="E559" i="4" s="1"/>
  <c r="I561" i="2"/>
  <c r="F561" i="2" s="1"/>
  <c r="L562" i="2"/>
  <c r="G559" i="4"/>
  <c r="L559" i="4" s="1"/>
  <c r="I559" i="4"/>
  <c r="M559" i="4" s="1"/>
  <c r="K559" i="4"/>
  <c r="N559" i="4" s="1"/>
  <c r="F558" i="3"/>
  <c r="D559" i="3"/>
  <c r="V562" i="2" l="1"/>
  <c r="T561" i="2"/>
  <c r="D560" i="4"/>
  <c r="L563" i="2"/>
  <c r="I562" i="2"/>
  <c r="F562" i="2" s="1"/>
  <c r="C560" i="4"/>
  <c r="AB559" i="3"/>
  <c r="E560" i="4" s="1"/>
  <c r="K564" i="2"/>
  <c r="H563" i="2"/>
  <c r="E563" i="2" s="1"/>
  <c r="F559" i="3"/>
  <c r="D560" i="3"/>
  <c r="O558" i="3"/>
  <c r="H559" i="4" s="1"/>
  <c r="I558" i="3"/>
  <c r="F559" i="4" s="1"/>
  <c r="U558" i="3"/>
  <c r="J559" i="4" s="1"/>
  <c r="G560" i="4"/>
  <c r="L560" i="4" s="1"/>
  <c r="I560" i="4"/>
  <c r="M560" i="4" s="1"/>
  <c r="K560" i="4"/>
  <c r="N560" i="4" s="1"/>
  <c r="M564" i="2"/>
  <c r="J563" i="2"/>
  <c r="G563" i="2" s="1"/>
  <c r="C566" i="2"/>
  <c r="D564" i="2"/>
  <c r="A561" i="4"/>
  <c r="G560" i="3"/>
  <c r="S560" i="3"/>
  <c r="Y560" i="3" s="1"/>
  <c r="Z560" i="3" s="1"/>
  <c r="AA560" i="3" s="1"/>
  <c r="H560" i="3"/>
  <c r="T560" i="3"/>
  <c r="J560" i="3"/>
  <c r="V560" i="3"/>
  <c r="M560" i="3"/>
  <c r="N560" i="3"/>
  <c r="C560" i="3"/>
  <c r="E560" i="3"/>
  <c r="P560" i="3"/>
  <c r="V563" i="2" l="1"/>
  <c r="T562" i="2"/>
  <c r="D561" i="4"/>
  <c r="F560" i="3"/>
  <c r="D561" i="3"/>
  <c r="I559" i="3"/>
  <c r="F560" i="4" s="1"/>
  <c r="U559" i="3"/>
  <c r="J560" i="4" s="1"/>
  <c r="O559" i="3"/>
  <c r="H560" i="4" s="1"/>
  <c r="K565" i="2"/>
  <c r="H564" i="2"/>
  <c r="E564" i="2" s="1"/>
  <c r="C567" i="2"/>
  <c r="G561" i="4"/>
  <c r="L561" i="4" s="1"/>
  <c r="I561" i="4"/>
  <c r="M561" i="4" s="1"/>
  <c r="K561" i="4"/>
  <c r="N561" i="4" s="1"/>
  <c r="A562" i="4"/>
  <c r="C561" i="3"/>
  <c r="P561" i="3"/>
  <c r="E561" i="3"/>
  <c r="G561" i="3"/>
  <c r="S561" i="3"/>
  <c r="Y561" i="3" s="1"/>
  <c r="Z561" i="3" s="1"/>
  <c r="AA561" i="3" s="1"/>
  <c r="H561" i="3"/>
  <c r="T561" i="3"/>
  <c r="J561" i="3"/>
  <c r="V561" i="3"/>
  <c r="N561" i="3"/>
  <c r="M561" i="3"/>
  <c r="J564" i="2"/>
  <c r="M565" i="2"/>
  <c r="D565" i="2"/>
  <c r="G564" i="2"/>
  <c r="L564" i="2"/>
  <c r="I563" i="2"/>
  <c r="F563" i="2" s="1"/>
  <c r="C561" i="4"/>
  <c r="AB560" i="3"/>
  <c r="E561" i="4" s="1"/>
  <c r="V564" i="2" l="1"/>
  <c r="T563" i="2"/>
  <c r="D562" i="4"/>
  <c r="A563" i="4"/>
  <c r="M562" i="3"/>
  <c r="N562" i="3"/>
  <c r="C562" i="3"/>
  <c r="P562" i="3"/>
  <c r="E562" i="3"/>
  <c r="G562" i="3"/>
  <c r="S562" i="3"/>
  <c r="Y562" i="3" s="1"/>
  <c r="Z562" i="3" s="1"/>
  <c r="AA562" i="3" s="1"/>
  <c r="H562" i="3"/>
  <c r="T562" i="3"/>
  <c r="V562" i="3"/>
  <c r="J562" i="3"/>
  <c r="C568" i="2"/>
  <c r="D566" i="2"/>
  <c r="E565" i="2"/>
  <c r="K566" i="2"/>
  <c r="H565" i="2"/>
  <c r="C562" i="4"/>
  <c r="AB561" i="3"/>
  <c r="E562" i="4" s="1"/>
  <c r="G562" i="4"/>
  <c r="L562" i="4" s="1"/>
  <c r="I562" i="4"/>
  <c r="M562" i="4" s="1"/>
  <c r="K562" i="4"/>
  <c r="N562" i="4" s="1"/>
  <c r="M566" i="2"/>
  <c r="J565" i="2"/>
  <c r="G565" i="2" s="1"/>
  <c r="F561" i="3"/>
  <c r="D562" i="3"/>
  <c r="I564" i="2"/>
  <c r="F564" i="2" s="1"/>
  <c r="L565" i="2"/>
  <c r="I560" i="3"/>
  <c r="F561" i="4" s="1"/>
  <c r="U560" i="3"/>
  <c r="J561" i="4" s="1"/>
  <c r="O560" i="3"/>
  <c r="H561" i="4" s="1"/>
  <c r="V565" i="2" l="1"/>
  <c r="T564" i="2"/>
  <c r="D563" i="4"/>
  <c r="K567" i="2"/>
  <c r="H566" i="2"/>
  <c r="D567" i="2"/>
  <c r="E566" i="2"/>
  <c r="A564" i="4"/>
  <c r="J563" i="3"/>
  <c r="V563" i="3"/>
  <c r="M563" i="3"/>
  <c r="N563" i="3"/>
  <c r="C563" i="3"/>
  <c r="P563" i="3"/>
  <c r="E563" i="3"/>
  <c r="H563" i="3"/>
  <c r="T563" i="3"/>
  <c r="G563" i="3"/>
  <c r="S563" i="3"/>
  <c r="Y563" i="3" s="1"/>
  <c r="Z563" i="3" s="1"/>
  <c r="AA563" i="3" s="1"/>
  <c r="O561" i="3"/>
  <c r="H562" i="4" s="1"/>
  <c r="I561" i="3"/>
  <c r="F562" i="4" s="1"/>
  <c r="U561" i="3"/>
  <c r="J562" i="4" s="1"/>
  <c r="M567" i="2"/>
  <c r="J566" i="2"/>
  <c r="G566" i="2" s="1"/>
  <c r="C569" i="2"/>
  <c r="C563" i="4"/>
  <c r="AB562" i="3"/>
  <c r="E563" i="4" s="1"/>
  <c r="L566" i="2"/>
  <c r="I565" i="2"/>
  <c r="F565" i="2" s="1"/>
  <c r="K563" i="4"/>
  <c r="N563" i="4" s="1"/>
  <c r="I563" i="4"/>
  <c r="M563" i="4" s="1"/>
  <c r="G563" i="4"/>
  <c r="L563" i="4" s="1"/>
  <c r="F562" i="3"/>
  <c r="D563" i="3"/>
  <c r="V566" i="2" l="1"/>
  <c r="T565" i="2"/>
  <c r="D564" i="4"/>
  <c r="F563" i="3"/>
  <c r="D564" i="3"/>
  <c r="C570" i="2"/>
  <c r="A565" i="4"/>
  <c r="G564" i="3"/>
  <c r="S564" i="3"/>
  <c r="Y564" i="3" s="1"/>
  <c r="Z564" i="3" s="1"/>
  <c r="AA564" i="3" s="1"/>
  <c r="H564" i="3"/>
  <c r="T564" i="3"/>
  <c r="J564" i="3"/>
  <c r="V564" i="3"/>
  <c r="M564" i="3"/>
  <c r="N564" i="3"/>
  <c r="C564" i="3"/>
  <c r="E564" i="3"/>
  <c r="P564" i="3"/>
  <c r="D568" i="2"/>
  <c r="G567" i="2"/>
  <c r="E567" i="2"/>
  <c r="I564" i="4"/>
  <c r="M564" i="4" s="1"/>
  <c r="K564" i="4"/>
  <c r="N564" i="4" s="1"/>
  <c r="G564" i="4"/>
  <c r="L564" i="4" s="1"/>
  <c r="O562" i="3"/>
  <c r="H563" i="4" s="1"/>
  <c r="I562" i="3"/>
  <c r="F563" i="4" s="1"/>
  <c r="U562" i="3"/>
  <c r="J563" i="4" s="1"/>
  <c r="K568" i="2"/>
  <c r="H567" i="2"/>
  <c r="J567" i="2"/>
  <c r="M568" i="2"/>
  <c r="L567" i="2"/>
  <c r="I566" i="2"/>
  <c r="F566" i="2" s="1"/>
  <c r="C564" i="4"/>
  <c r="AB563" i="3"/>
  <c r="E564" i="4" s="1"/>
  <c r="V567" i="2" l="1"/>
  <c r="T566" i="2"/>
  <c r="D565" i="4"/>
  <c r="K569" i="2"/>
  <c r="H568" i="2"/>
  <c r="E568" i="2" s="1"/>
  <c r="G565" i="4"/>
  <c r="L565" i="4" s="1"/>
  <c r="I565" i="4"/>
  <c r="M565" i="4" s="1"/>
  <c r="K565" i="4"/>
  <c r="N565" i="4" s="1"/>
  <c r="A566" i="4"/>
  <c r="C565" i="3"/>
  <c r="P565" i="3"/>
  <c r="E565" i="3"/>
  <c r="G565" i="3"/>
  <c r="S565" i="3"/>
  <c r="Y565" i="3" s="1"/>
  <c r="Z565" i="3" s="1"/>
  <c r="AA565" i="3" s="1"/>
  <c r="H565" i="3"/>
  <c r="T565" i="3"/>
  <c r="J565" i="3"/>
  <c r="V565" i="3"/>
  <c r="N565" i="3"/>
  <c r="M565" i="3"/>
  <c r="C571" i="2"/>
  <c r="F564" i="3"/>
  <c r="D565" i="3"/>
  <c r="C565" i="4"/>
  <c r="AB564" i="3"/>
  <c r="E565" i="4" s="1"/>
  <c r="I563" i="3"/>
  <c r="F564" i="4" s="1"/>
  <c r="U563" i="3"/>
  <c r="J564" i="4" s="1"/>
  <c r="O563" i="3"/>
  <c r="H564" i="4" s="1"/>
  <c r="I567" i="2"/>
  <c r="F567" i="2" s="1"/>
  <c r="L568" i="2"/>
  <c r="M569" i="2"/>
  <c r="J568" i="2"/>
  <c r="G568" i="2" s="1"/>
  <c r="D569" i="2"/>
  <c r="V568" i="2" l="1"/>
  <c r="T567" i="2"/>
  <c r="D566" i="4"/>
  <c r="C566" i="4"/>
  <c r="AB565" i="3"/>
  <c r="E566" i="4" s="1"/>
  <c r="G566" i="4"/>
  <c r="L566" i="4" s="1"/>
  <c r="I566" i="4"/>
  <c r="M566" i="4" s="1"/>
  <c r="K566" i="4"/>
  <c r="N566" i="4" s="1"/>
  <c r="M570" i="2"/>
  <c r="J569" i="2"/>
  <c r="G569" i="2" s="1"/>
  <c r="C572" i="2"/>
  <c r="D570" i="2"/>
  <c r="F565" i="3"/>
  <c r="D566" i="3"/>
  <c r="I564" i="3"/>
  <c r="F565" i="4" s="1"/>
  <c r="U564" i="3"/>
  <c r="J565" i="4" s="1"/>
  <c r="O564" i="3"/>
  <c r="H565" i="4" s="1"/>
  <c r="A567" i="4"/>
  <c r="M566" i="3"/>
  <c r="N566" i="3"/>
  <c r="C566" i="3"/>
  <c r="P566" i="3"/>
  <c r="E566" i="3"/>
  <c r="G566" i="3"/>
  <c r="S566" i="3"/>
  <c r="Y566" i="3" s="1"/>
  <c r="Z566" i="3" s="1"/>
  <c r="AA566" i="3" s="1"/>
  <c r="H566" i="3"/>
  <c r="T566" i="3"/>
  <c r="J566" i="3"/>
  <c r="V566" i="3"/>
  <c r="K570" i="2"/>
  <c r="H569" i="2"/>
  <c r="E569" i="2" s="1"/>
  <c r="L569" i="2"/>
  <c r="I568" i="2"/>
  <c r="F568" i="2" s="1"/>
  <c r="V569" i="2" l="1"/>
  <c r="T568" i="2"/>
  <c r="D567" i="4"/>
  <c r="F566" i="3"/>
  <c r="D567" i="3"/>
  <c r="O565" i="3"/>
  <c r="H566" i="4" s="1"/>
  <c r="I565" i="3"/>
  <c r="F566" i="4" s="1"/>
  <c r="U565" i="3"/>
  <c r="J566" i="4" s="1"/>
  <c r="D571" i="2"/>
  <c r="G570" i="2"/>
  <c r="E570" i="2"/>
  <c r="J570" i="2"/>
  <c r="M571" i="2"/>
  <c r="A568" i="4"/>
  <c r="J567" i="3"/>
  <c r="V567" i="3"/>
  <c r="M567" i="3"/>
  <c r="N567" i="3"/>
  <c r="C567" i="3"/>
  <c r="P567" i="3"/>
  <c r="E567" i="3"/>
  <c r="H567" i="3"/>
  <c r="T567" i="3"/>
  <c r="G567" i="3"/>
  <c r="S567" i="3"/>
  <c r="Y567" i="3" s="1"/>
  <c r="Z567" i="3" s="1"/>
  <c r="AA567" i="3" s="1"/>
  <c r="C567" i="4"/>
  <c r="AB566" i="3"/>
  <c r="E567" i="4" s="1"/>
  <c r="C573" i="2"/>
  <c r="G567" i="4"/>
  <c r="L567" i="4" s="1"/>
  <c r="I567" i="4"/>
  <c r="M567" i="4" s="1"/>
  <c r="K567" i="4"/>
  <c r="N567" i="4" s="1"/>
  <c r="L570" i="2"/>
  <c r="I569" i="2"/>
  <c r="F569" i="2" s="1"/>
  <c r="K571" i="2"/>
  <c r="H570" i="2"/>
  <c r="V570" i="2" l="1"/>
  <c r="T569" i="2"/>
  <c r="D568" i="4"/>
  <c r="D572" i="2"/>
  <c r="E571" i="2"/>
  <c r="C574" i="2"/>
  <c r="C568" i="4"/>
  <c r="AB567" i="3"/>
  <c r="E568" i="4" s="1"/>
  <c r="F567" i="3"/>
  <c r="D568" i="3"/>
  <c r="K572" i="2"/>
  <c r="H571" i="2"/>
  <c r="G568" i="4"/>
  <c r="L568" i="4" s="1"/>
  <c r="I568" i="4"/>
  <c r="M568" i="4" s="1"/>
  <c r="K568" i="4"/>
  <c r="N568" i="4" s="1"/>
  <c r="O566" i="3"/>
  <c r="H567" i="4" s="1"/>
  <c r="I566" i="3"/>
  <c r="F567" i="4" s="1"/>
  <c r="U566" i="3"/>
  <c r="J567" i="4" s="1"/>
  <c r="A569" i="4"/>
  <c r="G568" i="3"/>
  <c r="S568" i="3"/>
  <c r="Y568" i="3" s="1"/>
  <c r="Z568" i="3" s="1"/>
  <c r="AA568" i="3" s="1"/>
  <c r="H568" i="3"/>
  <c r="T568" i="3"/>
  <c r="J568" i="3"/>
  <c r="V568" i="3"/>
  <c r="M568" i="3"/>
  <c r="N568" i="3"/>
  <c r="C568" i="3"/>
  <c r="E568" i="3"/>
  <c r="P568" i="3"/>
  <c r="M572" i="2"/>
  <c r="J571" i="2"/>
  <c r="G571" i="2" s="1"/>
  <c r="I570" i="2"/>
  <c r="F570" i="2" s="1"/>
  <c r="L571" i="2"/>
  <c r="V571" i="2" l="1"/>
  <c r="T570" i="2"/>
  <c r="D569" i="4"/>
  <c r="C575" i="2"/>
  <c r="L572" i="2"/>
  <c r="I571" i="2"/>
  <c r="F571" i="2" s="1"/>
  <c r="D573" i="2"/>
  <c r="E572" i="2"/>
  <c r="C569" i="4"/>
  <c r="AB568" i="3"/>
  <c r="E569" i="4" s="1"/>
  <c r="K573" i="2"/>
  <c r="H572" i="2"/>
  <c r="K569" i="4"/>
  <c r="N569" i="4" s="1"/>
  <c r="G569" i="4"/>
  <c r="L569" i="4" s="1"/>
  <c r="I569" i="4"/>
  <c r="M569" i="4" s="1"/>
  <c r="F568" i="3"/>
  <c r="D569" i="3"/>
  <c r="M573" i="2"/>
  <c r="J572" i="2"/>
  <c r="G572" i="2" s="1"/>
  <c r="A570" i="4"/>
  <c r="C569" i="3"/>
  <c r="P569" i="3"/>
  <c r="E569" i="3"/>
  <c r="G569" i="3"/>
  <c r="S569" i="3"/>
  <c r="Y569" i="3" s="1"/>
  <c r="Z569" i="3" s="1"/>
  <c r="AA569" i="3" s="1"/>
  <c r="H569" i="3"/>
  <c r="T569" i="3"/>
  <c r="J569" i="3"/>
  <c r="V569" i="3"/>
  <c r="N569" i="3"/>
  <c r="M569" i="3"/>
  <c r="I567" i="3"/>
  <c r="F568" i="4" s="1"/>
  <c r="U567" i="3"/>
  <c r="J568" i="4" s="1"/>
  <c r="O567" i="3"/>
  <c r="H568" i="4" s="1"/>
  <c r="V572" i="2" l="1"/>
  <c r="T571" i="2"/>
  <c r="D570" i="4"/>
  <c r="F569" i="3"/>
  <c r="D570" i="3"/>
  <c r="I568" i="3"/>
  <c r="F569" i="4" s="1"/>
  <c r="U568" i="3"/>
  <c r="J569" i="4" s="1"/>
  <c r="O568" i="3"/>
  <c r="H569" i="4" s="1"/>
  <c r="L573" i="2"/>
  <c r="I572" i="2"/>
  <c r="F572" i="2" s="1"/>
  <c r="A571" i="4"/>
  <c r="M570" i="3"/>
  <c r="N570" i="3"/>
  <c r="C570" i="3"/>
  <c r="P570" i="3"/>
  <c r="E570" i="3"/>
  <c r="G570" i="3"/>
  <c r="S570" i="3"/>
  <c r="Y570" i="3" s="1"/>
  <c r="Z570" i="3" s="1"/>
  <c r="AA570" i="3" s="1"/>
  <c r="H570" i="3"/>
  <c r="T570" i="3"/>
  <c r="J570" i="3"/>
  <c r="V570" i="3"/>
  <c r="C576" i="2"/>
  <c r="C570" i="4"/>
  <c r="AB569" i="3"/>
  <c r="E570" i="4" s="1"/>
  <c r="I570" i="4"/>
  <c r="M570" i="4" s="1"/>
  <c r="K570" i="4"/>
  <c r="N570" i="4" s="1"/>
  <c r="G570" i="4"/>
  <c r="L570" i="4" s="1"/>
  <c r="K574" i="2"/>
  <c r="H573" i="2"/>
  <c r="E573" i="2" s="1"/>
  <c r="D574" i="2"/>
  <c r="J573" i="2"/>
  <c r="G573" i="2" s="1"/>
  <c r="M574" i="2"/>
  <c r="V573" i="2" l="1"/>
  <c r="T572" i="2"/>
  <c r="D571" i="4"/>
  <c r="C571" i="4"/>
  <c r="AB570" i="3"/>
  <c r="E571" i="4" s="1"/>
  <c r="G571" i="4"/>
  <c r="L571" i="4" s="1"/>
  <c r="I571" i="4"/>
  <c r="M571" i="4" s="1"/>
  <c r="K571" i="4"/>
  <c r="N571" i="4" s="1"/>
  <c r="K575" i="2"/>
  <c r="H574" i="2"/>
  <c r="E574" i="2" s="1"/>
  <c r="I573" i="2"/>
  <c r="F573" i="2" s="1"/>
  <c r="L574" i="2"/>
  <c r="M575" i="2"/>
  <c r="J574" i="2"/>
  <c r="A572" i="4"/>
  <c r="J571" i="3"/>
  <c r="V571" i="3"/>
  <c r="M571" i="3"/>
  <c r="N571" i="3"/>
  <c r="C571" i="3"/>
  <c r="P571" i="3"/>
  <c r="E571" i="3"/>
  <c r="H571" i="3"/>
  <c r="T571" i="3"/>
  <c r="S571" i="3"/>
  <c r="Y571" i="3" s="1"/>
  <c r="Z571" i="3" s="1"/>
  <c r="AA571" i="3" s="1"/>
  <c r="G571" i="3"/>
  <c r="F570" i="3"/>
  <c r="D571" i="3"/>
  <c r="G574" i="2"/>
  <c r="D575" i="2"/>
  <c r="O569" i="3"/>
  <c r="H570" i="4" s="1"/>
  <c r="I569" i="3"/>
  <c r="F570" i="4" s="1"/>
  <c r="U569" i="3"/>
  <c r="J570" i="4" s="1"/>
  <c r="C577" i="2"/>
  <c r="V574" i="2" l="1"/>
  <c r="T573" i="2"/>
  <c r="D572" i="4"/>
  <c r="K576" i="2"/>
  <c r="H575" i="2"/>
  <c r="C572" i="4"/>
  <c r="AB571" i="3"/>
  <c r="E572" i="4" s="1"/>
  <c r="F571" i="3"/>
  <c r="D572" i="3"/>
  <c r="G572" i="4"/>
  <c r="L572" i="4" s="1"/>
  <c r="I572" i="4"/>
  <c r="M572" i="4" s="1"/>
  <c r="K572" i="4"/>
  <c r="N572" i="4" s="1"/>
  <c r="O570" i="3"/>
  <c r="H571" i="4" s="1"/>
  <c r="I570" i="3"/>
  <c r="F571" i="4" s="1"/>
  <c r="U570" i="3"/>
  <c r="J571" i="4" s="1"/>
  <c r="C578" i="2"/>
  <c r="M576" i="2"/>
  <c r="J575" i="2"/>
  <c r="G575" i="2"/>
  <c r="D576" i="2"/>
  <c r="E575" i="2"/>
  <c r="L575" i="2"/>
  <c r="I574" i="2"/>
  <c r="F574" i="2" s="1"/>
  <c r="A573" i="4"/>
  <c r="G572" i="3"/>
  <c r="S572" i="3"/>
  <c r="Y572" i="3" s="1"/>
  <c r="Z572" i="3" s="1"/>
  <c r="AA572" i="3" s="1"/>
  <c r="H572" i="3"/>
  <c r="T572" i="3"/>
  <c r="J572" i="3"/>
  <c r="V572" i="3"/>
  <c r="M572" i="3"/>
  <c r="N572" i="3"/>
  <c r="C572" i="3"/>
  <c r="E572" i="3"/>
  <c r="P572" i="3"/>
  <c r="V575" i="2" l="1"/>
  <c r="T574" i="2"/>
  <c r="D573" i="4"/>
  <c r="C579" i="2"/>
  <c r="F572" i="3"/>
  <c r="D573" i="3"/>
  <c r="I571" i="3"/>
  <c r="F572" i="4" s="1"/>
  <c r="U571" i="3"/>
  <c r="J572" i="4" s="1"/>
  <c r="O571" i="3"/>
  <c r="H572" i="4" s="1"/>
  <c r="G573" i="4"/>
  <c r="L573" i="4" s="1"/>
  <c r="I573" i="4"/>
  <c r="M573" i="4" s="1"/>
  <c r="K573" i="4"/>
  <c r="N573" i="4" s="1"/>
  <c r="K577" i="2"/>
  <c r="H576" i="2"/>
  <c r="D577" i="2"/>
  <c r="E576" i="2"/>
  <c r="J576" i="2"/>
  <c r="G576" i="2" s="1"/>
  <c r="M577" i="2"/>
  <c r="A574" i="4"/>
  <c r="C573" i="3"/>
  <c r="P573" i="3"/>
  <c r="E573" i="3"/>
  <c r="G573" i="3"/>
  <c r="S573" i="3"/>
  <c r="Y573" i="3" s="1"/>
  <c r="Z573" i="3" s="1"/>
  <c r="AA573" i="3" s="1"/>
  <c r="H573" i="3"/>
  <c r="T573" i="3"/>
  <c r="J573" i="3"/>
  <c r="V573" i="3"/>
  <c r="N573" i="3"/>
  <c r="M573" i="3"/>
  <c r="L576" i="2"/>
  <c r="I575" i="2"/>
  <c r="F575" i="2" s="1"/>
  <c r="C573" i="4"/>
  <c r="AB572" i="3"/>
  <c r="E573" i="4" s="1"/>
  <c r="V576" i="2" l="1"/>
  <c r="T575" i="2"/>
  <c r="D574" i="4"/>
  <c r="D578" i="2"/>
  <c r="F573" i="3"/>
  <c r="D574" i="3"/>
  <c r="A575" i="4"/>
  <c r="M574" i="3"/>
  <c r="N574" i="3"/>
  <c r="C574" i="3"/>
  <c r="P574" i="3"/>
  <c r="E574" i="3"/>
  <c r="G574" i="3"/>
  <c r="S574" i="3"/>
  <c r="Y574" i="3" s="1"/>
  <c r="Z574" i="3" s="1"/>
  <c r="AA574" i="3" s="1"/>
  <c r="H574" i="3"/>
  <c r="T574" i="3"/>
  <c r="J574" i="3"/>
  <c r="V574" i="3"/>
  <c r="I572" i="3"/>
  <c r="F573" i="4" s="1"/>
  <c r="U572" i="3"/>
  <c r="J573" i="4" s="1"/>
  <c r="O572" i="3"/>
  <c r="H573" i="4" s="1"/>
  <c r="K578" i="2"/>
  <c r="H577" i="2"/>
  <c r="E577" i="2" s="1"/>
  <c r="C580" i="2"/>
  <c r="C574" i="4"/>
  <c r="AB573" i="3"/>
  <c r="E574" i="4" s="1"/>
  <c r="G574" i="4"/>
  <c r="L574" i="4" s="1"/>
  <c r="I574" i="4"/>
  <c r="M574" i="4" s="1"/>
  <c r="K574" i="4"/>
  <c r="N574" i="4" s="1"/>
  <c r="I576" i="2"/>
  <c r="F576" i="2" s="1"/>
  <c r="L577" i="2"/>
  <c r="M578" i="2"/>
  <c r="J577" i="2"/>
  <c r="G577" i="2" s="1"/>
  <c r="V577" i="2" l="1"/>
  <c r="T576" i="2"/>
  <c r="D575" i="4"/>
  <c r="C575" i="4"/>
  <c r="AB574" i="3"/>
  <c r="E575" i="4" s="1"/>
  <c r="K575" i="4"/>
  <c r="N575" i="4" s="1"/>
  <c r="G575" i="4"/>
  <c r="L575" i="4" s="1"/>
  <c r="I575" i="4"/>
  <c r="M575" i="4" s="1"/>
  <c r="F574" i="3"/>
  <c r="D575" i="3"/>
  <c r="O573" i="3"/>
  <c r="H574" i="4" s="1"/>
  <c r="I573" i="3"/>
  <c r="F574" i="4" s="1"/>
  <c r="U573" i="3"/>
  <c r="J574" i="4" s="1"/>
  <c r="M579" i="2"/>
  <c r="J578" i="2"/>
  <c r="G578" i="2" s="1"/>
  <c r="D579" i="2"/>
  <c r="L578" i="2"/>
  <c r="I577" i="2"/>
  <c r="F577" i="2" s="1"/>
  <c r="C581" i="2"/>
  <c r="A576" i="4"/>
  <c r="J575" i="3"/>
  <c r="V575" i="3"/>
  <c r="M575" i="3"/>
  <c r="N575" i="3"/>
  <c r="C575" i="3"/>
  <c r="P575" i="3"/>
  <c r="E575" i="3"/>
  <c r="H575" i="3"/>
  <c r="T575" i="3"/>
  <c r="G575" i="3"/>
  <c r="S575" i="3"/>
  <c r="Y575" i="3" s="1"/>
  <c r="Z575" i="3" s="1"/>
  <c r="AA575" i="3" s="1"/>
  <c r="K579" i="2"/>
  <c r="H578" i="2"/>
  <c r="E578" i="2" s="1"/>
  <c r="V578" i="2" l="1"/>
  <c r="T577" i="2"/>
  <c r="D576" i="4"/>
  <c r="F575" i="3"/>
  <c r="D576" i="3"/>
  <c r="L579" i="2"/>
  <c r="I578" i="2"/>
  <c r="F578" i="2" s="1"/>
  <c r="O574" i="3"/>
  <c r="H575" i="4" s="1"/>
  <c r="I574" i="3"/>
  <c r="F575" i="4" s="1"/>
  <c r="U574" i="3"/>
  <c r="J575" i="4" s="1"/>
  <c r="A577" i="4"/>
  <c r="G576" i="3"/>
  <c r="S576" i="3"/>
  <c r="Y576" i="3" s="1"/>
  <c r="Z576" i="3" s="1"/>
  <c r="AA576" i="3" s="1"/>
  <c r="H576" i="3"/>
  <c r="T576" i="3"/>
  <c r="J576" i="3"/>
  <c r="V576" i="3"/>
  <c r="M576" i="3"/>
  <c r="N576" i="3"/>
  <c r="C576" i="3"/>
  <c r="E576" i="3"/>
  <c r="P576" i="3"/>
  <c r="D580" i="2"/>
  <c r="C576" i="4"/>
  <c r="AB575" i="3"/>
  <c r="E576" i="4" s="1"/>
  <c r="K580" i="2"/>
  <c r="H579" i="2"/>
  <c r="E579" i="2" s="1"/>
  <c r="I576" i="4"/>
  <c r="M576" i="4" s="1"/>
  <c r="K576" i="4"/>
  <c r="N576" i="4" s="1"/>
  <c r="G576" i="4"/>
  <c r="L576" i="4" s="1"/>
  <c r="J579" i="2"/>
  <c r="G579" i="2" s="1"/>
  <c r="M580" i="2"/>
  <c r="C582" i="2"/>
  <c r="V579" i="2" l="1"/>
  <c r="T578" i="2"/>
  <c r="D577" i="4"/>
  <c r="D581" i="2"/>
  <c r="G577" i="4"/>
  <c r="L577" i="4" s="1"/>
  <c r="I577" i="4"/>
  <c r="M577" i="4" s="1"/>
  <c r="K577" i="4"/>
  <c r="N577" i="4" s="1"/>
  <c r="C577" i="4"/>
  <c r="AB576" i="3"/>
  <c r="E577" i="4" s="1"/>
  <c r="I579" i="2"/>
  <c r="F579" i="2" s="1"/>
  <c r="L580" i="2"/>
  <c r="F576" i="3"/>
  <c r="D577" i="3"/>
  <c r="M581" i="2"/>
  <c r="J580" i="2"/>
  <c r="G580" i="2" s="1"/>
  <c r="I575" i="3"/>
  <c r="F576" i="4" s="1"/>
  <c r="U575" i="3"/>
  <c r="J576" i="4" s="1"/>
  <c r="O575" i="3"/>
  <c r="H576" i="4" s="1"/>
  <c r="A578" i="4"/>
  <c r="C577" i="3"/>
  <c r="P577" i="3"/>
  <c r="E577" i="3"/>
  <c r="G577" i="3"/>
  <c r="S577" i="3"/>
  <c r="Y577" i="3" s="1"/>
  <c r="Z577" i="3" s="1"/>
  <c r="AA577" i="3" s="1"/>
  <c r="H577" i="3"/>
  <c r="T577" i="3"/>
  <c r="J577" i="3"/>
  <c r="V577" i="3"/>
  <c r="N577" i="3"/>
  <c r="M577" i="3"/>
  <c r="K581" i="2"/>
  <c r="H580" i="2"/>
  <c r="E580" i="2" s="1"/>
  <c r="C583" i="2"/>
  <c r="V580" i="2" l="1"/>
  <c r="T579" i="2"/>
  <c r="D578" i="4"/>
  <c r="C578" i="4"/>
  <c r="AB577" i="3"/>
  <c r="E578" i="4" s="1"/>
  <c r="G578" i="4"/>
  <c r="L578" i="4" s="1"/>
  <c r="I578" i="4"/>
  <c r="M578" i="4" s="1"/>
  <c r="K578" i="4"/>
  <c r="N578" i="4" s="1"/>
  <c r="F577" i="3"/>
  <c r="D578" i="3"/>
  <c r="I576" i="3"/>
  <c r="F577" i="4" s="1"/>
  <c r="U576" i="3"/>
  <c r="J577" i="4" s="1"/>
  <c r="O576" i="3"/>
  <c r="H577" i="4" s="1"/>
  <c r="A579" i="4"/>
  <c r="M578" i="3"/>
  <c r="N578" i="3"/>
  <c r="C578" i="3"/>
  <c r="P578" i="3"/>
  <c r="E578" i="3"/>
  <c r="G578" i="3"/>
  <c r="S578" i="3"/>
  <c r="Y578" i="3" s="1"/>
  <c r="Z578" i="3" s="1"/>
  <c r="AA578" i="3" s="1"/>
  <c r="H578" i="3"/>
  <c r="T578" i="3"/>
  <c r="V578" i="3"/>
  <c r="J578" i="3"/>
  <c r="L581" i="2"/>
  <c r="I580" i="2"/>
  <c r="F580" i="2" s="1"/>
  <c r="D582" i="2"/>
  <c r="M582" i="2"/>
  <c r="J581" i="2"/>
  <c r="G581" i="2" s="1"/>
  <c r="C584" i="2"/>
  <c r="K582" i="2"/>
  <c r="H581" i="2"/>
  <c r="E581" i="2" s="1"/>
  <c r="V581" i="2" l="1"/>
  <c r="T580" i="2"/>
  <c r="D579" i="4"/>
  <c r="K583" i="2"/>
  <c r="H582" i="2"/>
  <c r="L582" i="2"/>
  <c r="I581" i="2"/>
  <c r="F581" i="2" s="1"/>
  <c r="O577" i="3"/>
  <c r="H578" i="4" s="1"/>
  <c r="I577" i="3"/>
  <c r="F578" i="4" s="1"/>
  <c r="U577" i="3"/>
  <c r="J578" i="4" s="1"/>
  <c r="A580" i="4"/>
  <c r="J579" i="3"/>
  <c r="V579" i="3"/>
  <c r="M579" i="3"/>
  <c r="N579" i="3"/>
  <c r="C579" i="3"/>
  <c r="P579" i="3"/>
  <c r="E579" i="3"/>
  <c r="H579" i="3"/>
  <c r="T579" i="3"/>
  <c r="G579" i="3"/>
  <c r="S579" i="3"/>
  <c r="Y579" i="3" s="1"/>
  <c r="Z579" i="3" s="1"/>
  <c r="AA579" i="3" s="1"/>
  <c r="C579" i="4"/>
  <c r="AB578" i="3"/>
  <c r="E579" i="4" s="1"/>
  <c r="C585" i="2"/>
  <c r="J582" i="2"/>
  <c r="M583" i="2"/>
  <c r="F578" i="3"/>
  <c r="D579" i="3"/>
  <c r="D583" i="2"/>
  <c r="G582" i="2"/>
  <c r="E582" i="2"/>
  <c r="G579" i="4"/>
  <c r="L579" i="4" s="1"/>
  <c r="I579" i="4"/>
  <c r="M579" i="4" s="1"/>
  <c r="K579" i="4"/>
  <c r="N579" i="4" s="1"/>
  <c r="V582" i="2" l="1"/>
  <c r="T581" i="2"/>
  <c r="D580" i="4"/>
  <c r="G580" i="4"/>
  <c r="L580" i="4" s="1"/>
  <c r="K580" i="4"/>
  <c r="N580" i="4" s="1"/>
  <c r="I580" i="4"/>
  <c r="M580" i="4" s="1"/>
  <c r="D584" i="2"/>
  <c r="O578" i="3"/>
  <c r="H579" i="4" s="1"/>
  <c r="I578" i="3"/>
  <c r="F579" i="4" s="1"/>
  <c r="U578" i="3"/>
  <c r="J579" i="4" s="1"/>
  <c r="A581" i="4"/>
  <c r="G580" i="3"/>
  <c r="S580" i="3"/>
  <c r="Y580" i="3" s="1"/>
  <c r="Z580" i="3" s="1"/>
  <c r="AA580" i="3" s="1"/>
  <c r="H580" i="3"/>
  <c r="T580" i="3"/>
  <c r="J580" i="3"/>
  <c r="V580" i="3"/>
  <c r="M580" i="3"/>
  <c r="N580" i="3"/>
  <c r="C580" i="3"/>
  <c r="E580" i="3"/>
  <c r="P580" i="3"/>
  <c r="M584" i="2"/>
  <c r="J583" i="2"/>
  <c r="G583" i="2" s="1"/>
  <c r="I582" i="2"/>
  <c r="F582" i="2" s="1"/>
  <c r="L583" i="2"/>
  <c r="F579" i="3"/>
  <c r="D580" i="3"/>
  <c r="K584" i="2"/>
  <c r="H583" i="2"/>
  <c r="E583" i="2" s="1"/>
  <c r="C586" i="2"/>
  <c r="C580" i="4"/>
  <c r="AB579" i="3"/>
  <c r="E580" i="4" s="1"/>
  <c r="V583" i="2" l="1"/>
  <c r="T582" i="2"/>
  <c r="D581" i="4"/>
  <c r="K581" i="4"/>
  <c r="N581" i="4" s="1"/>
  <c r="G581" i="4"/>
  <c r="L581" i="4" s="1"/>
  <c r="I581" i="4"/>
  <c r="M581" i="4" s="1"/>
  <c r="F580" i="3"/>
  <c r="D581" i="3"/>
  <c r="D585" i="2"/>
  <c r="K585" i="2"/>
  <c r="H584" i="2"/>
  <c r="E584" i="2" s="1"/>
  <c r="L584" i="2"/>
  <c r="I583" i="2"/>
  <c r="F583" i="2" s="1"/>
  <c r="A582" i="4"/>
  <c r="C581" i="3"/>
  <c r="P581" i="3"/>
  <c r="E581" i="3"/>
  <c r="G581" i="3"/>
  <c r="S581" i="3"/>
  <c r="Y581" i="3" s="1"/>
  <c r="Z581" i="3" s="1"/>
  <c r="AA581" i="3" s="1"/>
  <c r="H581" i="3"/>
  <c r="T581" i="3"/>
  <c r="J581" i="3"/>
  <c r="V581" i="3"/>
  <c r="N581" i="3"/>
  <c r="M581" i="3"/>
  <c r="C587" i="2"/>
  <c r="C581" i="4"/>
  <c r="AB580" i="3"/>
  <c r="E581" i="4" s="1"/>
  <c r="I579" i="3"/>
  <c r="F580" i="4" s="1"/>
  <c r="U579" i="3"/>
  <c r="J580" i="4" s="1"/>
  <c r="O579" i="3"/>
  <c r="H580" i="4" s="1"/>
  <c r="M585" i="2"/>
  <c r="J584" i="2"/>
  <c r="G584" i="2" s="1"/>
  <c r="V584" i="2" l="1"/>
  <c r="T583" i="2"/>
  <c r="D582" i="4"/>
  <c r="C588" i="2"/>
  <c r="D586" i="2"/>
  <c r="F581" i="3"/>
  <c r="D582" i="3"/>
  <c r="I580" i="3"/>
  <c r="F581" i="4" s="1"/>
  <c r="U580" i="3"/>
  <c r="J581" i="4" s="1"/>
  <c r="O580" i="3"/>
  <c r="H581" i="4" s="1"/>
  <c r="C582" i="4"/>
  <c r="AB581" i="3"/>
  <c r="E582" i="4" s="1"/>
  <c r="I582" i="4"/>
  <c r="M582" i="4" s="1"/>
  <c r="K582" i="4"/>
  <c r="N582" i="4" s="1"/>
  <c r="G582" i="4"/>
  <c r="L582" i="4" s="1"/>
  <c r="J585" i="2"/>
  <c r="G585" i="2" s="1"/>
  <c r="M586" i="2"/>
  <c r="A583" i="4"/>
  <c r="M582" i="3"/>
  <c r="N582" i="3"/>
  <c r="C582" i="3"/>
  <c r="P582" i="3"/>
  <c r="E582" i="3"/>
  <c r="G582" i="3"/>
  <c r="S582" i="3"/>
  <c r="Y582" i="3" s="1"/>
  <c r="Z582" i="3" s="1"/>
  <c r="AA582" i="3" s="1"/>
  <c r="H582" i="3"/>
  <c r="T582" i="3"/>
  <c r="J582" i="3"/>
  <c r="V582" i="3"/>
  <c r="L585" i="2"/>
  <c r="I584" i="2"/>
  <c r="F584" i="2" s="1"/>
  <c r="K586" i="2"/>
  <c r="H585" i="2"/>
  <c r="E585" i="2" s="1"/>
  <c r="V585" i="2" l="1"/>
  <c r="T584" i="2"/>
  <c r="D583" i="4"/>
  <c r="O581" i="3"/>
  <c r="H582" i="4" s="1"/>
  <c r="I581" i="3"/>
  <c r="F582" i="4" s="1"/>
  <c r="U581" i="3"/>
  <c r="J582" i="4" s="1"/>
  <c r="F582" i="3"/>
  <c r="D583" i="3"/>
  <c r="G586" i="2"/>
  <c r="D587" i="2"/>
  <c r="A584" i="4"/>
  <c r="J583" i="3"/>
  <c r="V583" i="3"/>
  <c r="M583" i="3"/>
  <c r="N583" i="3"/>
  <c r="C583" i="3"/>
  <c r="P583" i="3"/>
  <c r="E583" i="3"/>
  <c r="H583" i="3"/>
  <c r="T583" i="3"/>
  <c r="G583" i="3"/>
  <c r="S583" i="3"/>
  <c r="Y583" i="3" s="1"/>
  <c r="Z583" i="3" s="1"/>
  <c r="AA583" i="3" s="1"/>
  <c r="C589" i="2"/>
  <c r="C583" i="4"/>
  <c r="AB582" i="3"/>
  <c r="E583" i="4" s="1"/>
  <c r="K587" i="2"/>
  <c r="H586" i="2"/>
  <c r="E586" i="2" s="1"/>
  <c r="G583" i="4"/>
  <c r="L583" i="4" s="1"/>
  <c r="I583" i="4"/>
  <c r="M583" i="4" s="1"/>
  <c r="K583" i="4"/>
  <c r="N583" i="4" s="1"/>
  <c r="I585" i="2"/>
  <c r="F585" i="2" s="1"/>
  <c r="L586" i="2"/>
  <c r="M587" i="2"/>
  <c r="J586" i="2"/>
  <c r="V586" i="2" l="1"/>
  <c r="T585" i="2"/>
  <c r="D584" i="4"/>
  <c r="D588" i="2"/>
  <c r="F583" i="3"/>
  <c r="D584" i="3"/>
  <c r="A585" i="4"/>
  <c r="G584" i="3"/>
  <c r="S584" i="3"/>
  <c r="Y584" i="3" s="1"/>
  <c r="Z584" i="3" s="1"/>
  <c r="AA584" i="3" s="1"/>
  <c r="H584" i="3"/>
  <c r="T584" i="3"/>
  <c r="J584" i="3"/>
  <c r="V584" i="3"/>
  <c r="M584" i="3"/>
  <c r="N584" i="3"/>
  <c r="C584" i="3"/>
  <c r="E584" i="3"/>
  <c r="P584" i="3"/>
  <c r="K588" i="2"/>
  <c r="H587" i="2"/>
  <c r="E587" i="2" s="1"/>
  <c r="O582" i="3"/>
  <c r="H583" i="4" s="1"/>
  <c r="I582" i="3"/>
  <c r="F583" i="4" s="1"/>
  <c r="U582" i="3"/>
  <c r="J583" i="4" s="1"/>
  <c r="L587" i="2"/>
  <c r="I586" i="2"/>
  <c r="F586" i="2" s="1"/>
  <c r="C584" i="4"/>
  <c r="AB583" i="3"/>
  <c r="E584" i="4" s="1"/>
  <c r="M588" i="2"/>
  <c r="J587" i="2"/>
  <c r="G587" i="2" s="1"/>
  <c r="C590" i="2"/>
  <c r="G584" i="4"/>
  <c r="L584" i="4" s="1"/>
  <c r="I584" i="4"/>
  <c r="M584" i="4" s="1"/>
  <c r="K584" i="4"/>
  <c r="N584" i="4" s="1"/>
  <c r="V587" i="2" l="1"/>
  <c r="T586" i="2"/>
  <c r="D585" i="4"/>
  <c r="C591" i="2"/>
  <c r="G585" i="4"/>
  <c r="L585" i="4" s="1"/>
  <c r="I585" i="4"/>
  <c r="M585" i="4" s="1"/>
  <c r="K585" i="4"/>
  <c r="N585" i="4" s="1"/>
  <c r="A586" i="4"/>
  <c r="C585" i="3"/>
  <c r="P585" i="3"/>
  <c r="E585" i="3"/>
  <c r="G585" i="3"/>
  <c r="S585" i="3"/>
  <c r="Y585" i="3" s="1"/>
  <c r="Z585" i="3" s="1"/>
  <c r="AA585" i="3" s="1"/>
  <c r="H585" i="3"/>
  <c r="T585" i="3"/>
  <c r="J585" i="3"/>
  <c r="V585" i="3"/>
  <c r="N585" i="3"/>
  <c r="M585" i="3"/>
  <c r="F584" i="3"/>
  <c r="D585" i="3"/>
  <c r="I583" i="3"/>
  <c r="F584" i="4" s="1"/>
  <c r="U583" i="3"/>
  <c r="J584" i="4" s="1"/>
  <c r="O583" i="3"/>
  <c r="H584" i="4" s="1"/>
  <c r="K589" i="2"/>
  <c r="H588" i="2"/>
  <c r="E588" i="2" s="1"/>
  <c r="C585" i="4"/>
  <c r="AB584" i="3"/>
  <c r="E585" i="4" s="1"/>
  <c r="D589" i="2"/>
  <c r="J588" i="2"/>
  <c r="G588" i="2" s="1"/>
  <c r="M589" i="2"/>
  <c r="L588" i="2"/>
  <c r="I587" i="2"/>
  <c r="F587" i="2" s="1"/>
  <c r="V588" i="2" l="1"/>
  <c r="T587" i="2"/>
  <c r="D586" i="4"/>
  <c r="C586" i="4"/>
  <c r="AB585" i="3"/>
  <c r="E586" i="4" s="1"/>
  <c r="D590" i="2"/>
  <c r="E589" i="2"/>
  <c r="M590" i="2"/>
  <c r="J589" i="2"/>
  <c r="G589" i="2" s="1"/>
  <c r="A587" i="4"/>
  <c r="M586" i="3"/>
  <c r="N586" i="3"/>
  <c r="C586" i="3"/>
  <c r="P586" i="3"/>
  <c r="E586" i="3"/>
  <c r="G586" i="3"/>
  <c r="S586" i="3"/>
  <c r="Y586" i="3" s="1"/>
  <c r="Z586" i="3" s="1"/>
  <c r="AA586" i="3" s="1"/>
  <c r="H586" i="3"/>
  <c r="T586" i="3"/>
  <c r="J586" i="3"/>
  <c r="V586" i="3"/>
  <c r="C592" i="2"/>
  <c r="G586" i="4"/>
  <c r="L586" i="4" s="1"/>
  <c r="I586" i="4"/>
  <c r="M586" i="4" s="1"/>
  <c r="K586" i="4"/>
  <c r="N586" i="4" s="1"/>
  <c r="K590" i="2"/>
  <c r="H589" i="2"/>
  <c r="I588" i="2"/>
  <c r="F588" i="2" s="1"/>
  <c r="L589" i="2"/>
  <c r="F585" i="3"/>
  <c r="D586" i="3"/>
  <c r="I584" i="3"/>
  <c r="F585" i="4" s="1"/>
  <c r="U584" i="3"/>
  <c r="J585" i="4" s="1"/>
  <c r="O584" i="3"/>
  <c r="H585" i="4" s="1"/>
  <c r="V589" i="2" l="1"/>
  <c r="T588" i="2"/>
  <c r="D587" i="4"/>
  <c r="M591" i="2"/>
  <c r="J590" i="2"/>
  <c r="K587" i="4"/>
  <c r="N587" i="4" s="1"/>
  <c r="I587" i="4"/>
  <c r="M587" i="4" s="1"/>
  <c r="G587" i="4"/>
  <c r="L587" i="4" s="1"/>
  <c r="G590" i="2"/>
  <c r="D591" i="2"/>
  <c r="A588" i="4"/>
  <c r="J587" i="3"/>
  <c r="V587" i="3"/>
  <c r="M587" i="3"/>
  <c r="N587" i="3"/>
  <c r="C587" i="3"/>
  <c r="P587" i="3"/>
  <c r="E587" i="3"/>
  <c r="H587" i="3"/>
  <c r="T587" i="3"/>
  <c r="S587" i="3"/>
  <c r="Y587" i="3" s="1"/>
  <c r="Z587" i="3" s="1"/>
  <c r="AA587" i="3" s="1"/>
  <c r="G587" i="3"/>
  <c r="F586" i="3"/>
  <c r="D587" i="3"/>
  <c r="O585" i="3"/>
  <c r="H586" i="4" s="1"/>
  <c r="I585" i="3"/>
  <c r="F586" i="4" s="1"/>
  <c r="U585" i="3"/>
  <c r="J586" i="4" s="1"/>
  <c r="K591" i="2"/>
  <c r="H590" i="2"/>
  <c r="E590" i="2" s="1"/>
  <c r="L590" i="2"/>
  <c r="I589" i="2"/>
  <c r="F589" i="2" s="1"/>
  <c r="C593" i="2"/>
  <c r="C587" i="4"/>
  <c r="AB586" i="3"/>
  <c r="E587" i="4" s="1"/>
  <c r="V590" i="2" l="1"/>
  <c r="T589" i="2"/>
  <c r="D588" i="4"/>
  <c r="L591" i="2"/>
  <c r="I590" i="2"/>
  <c r="F590" i="2" s="1"/>
  <c r="A589" i="4"/>
  <c r="G588" i="3"/>
  <c r="S588" i="3"/>
  <c r="Y588" i="3" s="1"/>
  <c r="Z588" i="3" s="1"/>
  <c r="AA588" i="3" s="1"/>
  <c r="H588" i="3"/>
  <c r="T588" i="3"/>
  <c r="J588" i="3"/>
  <c r="V588" i="3"/>
  <c r="M588" i="3"/>
  <c r="N588" i="3"/>
  <c r="C588" i="3"/>
  <c r="E588" i="3"/>
  <c r="P588" i="3"/>
  <c r="C588" i="4"/>
  <c r="AB587" i="3"/>
  <c r="E588" i="4" s="1"/>
  <c r="I588" i="4"/>
  <c r="M588" i="4" s="1"/>
  <c r="K588" i="4"/>
  <c r="N588" i="4" s="1"/>
  <c r="G588" i="4"/>
  <c r="L588" i="4" s="1"/>
  <c r="K592" i="2"/>
  <c r="H591" i="2"/>
  <c r="E591" i="2" s="1"/>
  <c r="J591" i="2"/>
  <c r="M592" i="2"/>
  <c r="D592" i="2"/>
  <c r="G591" i="2"/>
  <c r="F587" i="3"/>
  <c r="D588" i="3"/>
  <c r="O586" i="3"/>
  <c r="H587" i="4" s="1"/>
  <c r="I586" i="3"/>
  <c r="F587" i="4" s="1"/>
  <c r="U586" i="3"/>
  <c r="J587" i="4" s="1"/>
  <c r="C594" i="2"/>
  <c r="V591" i="2" l="1"/>
  <c r="T590" i="2"/>
  <c r="D589" i="4"/>
  <c r="F588" i="3"/>
  <c r="D589" i="3"/>
  <c r="D593" i="2"/>
  <c r="C589" i="4"/>
  <c r="AB588" i="3"/>
  <c r="E589" i="4" s="1"/>
  <c r="M593" i="2"/>
  <c r="J592" i="2"/>
  <c r="G592" i="2" s="1"/>
  <c r="G589" i="4"/>
  <c r="L589" i="4" s="1"/>
  <c r="I589" i="4"/>
  <c r="M589" i="4" s="1"/>
  <c r="K589" i="4"/>
  <c r="N589" i="4" s="1"/>
  <c r="A590" i="4"/>
  <c r="C589" i="3"/>
  <c r="P589" i="3"/>
  <c r="E589" i="3"/>
  <c r="G589" i="3"/>
  <c r="S589" i="3"/>
  <c r="Y589" i="3" s="1"/>
  <c r="Z589" i="3" s="1"/>
  <c r="AA589" i="3" s="1"/>
  <c r="H589" i="3"/>
  <c r="T589" i="3"/>
  <c r="J589" i="3"/>
  <c r="N589" i="3"/>
  <c r="V589" i="3"/>
  <c r="M589" i="3"/>
  <c r="I591" i="2"/>
  <c r="F591" i="2" s="1"/>
  <c r="L592" i="2"/>
  <c r="I587" i="3"/>
  <c r="F588" i="4" s="1"/>
  <c r="U587" i="3"/>
  <c r="J588" i="4" s="1"/>
  <c r="O587" i="3"/>
  <c r="H588" i="4" s="1"/>
  <c r="K593" i="2"/>
  <c r="H592" i="2"/>
  <c r="E592" i="2" s="1"/>
  <c r="C595" i="2"/>
  <c r="V592" i="2" l="1"/>
  <c r="T591" i="2"/>
  <c r="D590" i="4"/>
  <c r="G590" i="4"/>
  <c r="L590" i="4" s="1"/>
  <c r="I590" i="4"/>
  <c r="M590" i="4" s="1"/>
  <c r="K590" i="4"/>
  <c r="N590" i="4" s="1"/>
  <c r="A591" i="4"/>
  <c r="M590" i="3"/>
  <c r="N590" i="3"/>
  <c r="C590" i="3"/>
  <c r="P590" i="3"/>
  <c r="E590" i="3"/>
  <c r="H590" i="3"/>
  <c r="T590" i="3"/>
  <c r="G590" i="3"/>
  <c r="J590" i="3"/>
  <c r="S590" i="3"/>
  <c r="Y590" i="3" s="1"/>
  <c r="Z590" i="3" s="1"/>
  <c r="AA590" i="3" s="1"/>
  <c r="V590" i="3"/>
  <c r="D594" i="2"/>
  <c r="F589" i="3"/>
  <c r="D590" i="3"/>
  <c r="I588" i="3"/>
  <c r="F589" i="4" s="1"/>
  <c r="U588" i="3"/>
  <c r="J589" i="4" s="1"/>
  <c r="O588" i="3"/>
  <c r="H589" i="4" s="1"/>
  <c r="M594" i="2"/>
  <c r="J593" i="2"/>
  <c r="G593" i="2" s="1"/>
  <c r="L593" i="2"/>
  <c r="I592" i="2"/>
  <c r="F592" i="2" s="1"/>
  <c r="C590" i="4"/>
  <c r="AB589" i="3"/>
  <c r="E590" i="4" s="1"/>
  <c r="C596" i="2"/>
  <c r="K594" i="2"/>
  <c r="H593" i="2"/>
  <c r="E593" i="2" s="1"/>
  <c r="V593" i="2" l="1"/>
  <c r="T592" i="2"/>
  <c r="D591" i="4"/>
  <c r="D595" i="2"/>
  <c r="C591" i="4"/>
  <c r="AB590" i="3"/>
  <c r="E591" i="4" s="1"/>
  <c r="G591" i="4"/>
  <c r="L591" i="4" s="1"/>
  <c r="I591" i="4"/>
  <c r="M591" i="4" s="1"/>
  <c r="K591" i="4"/>
  <c r="N591" i="4" s="1"/>
  <c r="J594" i="2"/>
  <c r="G594" i="2" s="1"/>
  <c r="M595" i="2"/>
  <c r="L594" i="2"/>
  <c r="I593" i="2"/>
  <c r="F593" i="2" s="1"/>
  <c r="A592" i="4"/>
  <c r="J591" i="3"/>
  <c r="V591" i="3"/>
  <c r="M591" i="3"/>
  <c r="N591" i="3"/>
  <c r="C591" i="3"/>
  <c r="E591" i="3"/>
  <c r="H591" i="3"/>
  <c r="T591" i="3"/>
  <c r="P591" i="3"/>
  <c r="S591" i="3"/>
  <c r="Y591" i="3" s="1"/>
  <c r="Z591" i="3" s="1"/>
  <c r="AA591" i="3" s="1"/>
  <c r="G591" i="3"/>
  <c r="K595" i="2"/>
  <c r="H594" i="2"/>
  <c r="E594" i="2" s="1"/>
  <c r="F590" i="3"/>
  <c r="D591" i="3"/>
  <c r="O589" i="3"/>
  <c r="H590" i="4" s="1"/>
  <c r="I589" i="3"/>
  <c r="F590" i="4" s="1"/>
  <c r="U589" i="3"/>
  <c r="J590" i="4" s="1"/>
  <c r="C597" i="2"/>
  <c r="V594" i="2" l="1"/>
  <c r="T593" i="2"/>
  <c r="D592" i="4"/>
  <c r="F591" i="3"/>
  <c r="D592" i="3"/>
  <c r="G592" i="4"/>
  <c r="L592" i="4" s="1"/>
  <c r="I592" i="4"/>
  <c r="M592" i="4" s="1"/>
  <c r="K592" i="4"/>
  <c r="N592" i="4" s="1"/>
  <c r="I594" i="2"/>
  <c r="F594" i="2" s="1"/>
  <c r="L595" i="2"/>
  <c r="O590" i="3"/>
  <c r="H591" i="4" s="1"/>
  <c r="I590" i="3"/>
  <c r="F591" i="4" s="1"/>
  <c r="U590" i="3"/>
  <c r="J591" i="4" s="1"/>
  <c r="K596" i="2"/>
  <c r="H595" i="2"/>
  <c r="C592" i="4"/>
  <c r="AB591" i="3"/>
  <c r="E592" i="4" s="1"/>
  <c r="M596" i="2"/>
  <c r="J595" i="2"/>
  <c r="G595" i="2" s="1"/>
  <c r="C598" i="2"/>
  <c r="A593" i="4"/>
  <c r="G592" i="3"/>
  <c r="S592" i="3"/>
  <c r="Y592" i="3" s="1"/>
  <c r="Z592" i="3" s="1"/>
  <c r="AA592" i="3" s="1"/>
  <c r="H592" i="3"/>
  <c r="T592" i="3"/>
  <c r="J592" i="3"/>
  <c r="V592" i="3"/>
  <c r="N592" i="3"/>
  <c r="C592" i="3"/>
  <c r="E592" i="3"/>
  <c r="M592" i="3"/>
  <c r="P592" i="3"/>
  <c r="D596" i="2"/>
  <c r="E595" i="2"/>
  <c r="V595" i="2" l="1"/>
  <c r="T594" i="2"/>
  <c r="D593" i="4"/>
  <c r="L596" i="2"/>
  <c r="I595" i="2"/>
  <c r="F595" i="2" s="1"/>
  <c r="A594" i="4"/>
  <c r="C593" i="3"/>
  <c r="P593" i="3"/>
  <c r="E593" i="3"/>
  <c r="G593" i="3"/>
  <c r="S593" i="3"/>
  <c r="Y593" i="3" s="1"/>
  <c r="Z593" i="3" s="1"/>
  <c r="AA593" i="3" s="1"/>
  <c r="H593" i="3"/>
  <c r="T593" i="3"/>
  <c r="N593" i="3"/>
  <c r="J593" i="3"/>
  <c r="M593" i="3"/>
  <c r="V593" i="3"/>
  <c r="C599" i="2"/>
  <c r="C593" i="4"/>
  <c r="AB592" i="3"/>
  <c r="E593" i="4" s="1"/>
  <c r="G596" i="2"/>
  <c r="D597" i="2"/>
  <c r="K597" i="2"/>
  <c r="H596" i="2"/>
  <c r="E596" i="2" s="1"/>
  <c r="F592" i="3"/>
  <c r="D593" i="3"/>
  <c r="M597" i="2"/>
  <c r="J596" i="2"/>
  <c r="I591" i="3"/>
  <c r="F592" i="4" s="1"/>
  <c r="U591" i="3"/>
  <c r="J592" i="4" s="1"/>
  <c r="O591" i="3"/>
  <c r="H592" i="4" s="1"/>
  <c r="K593" i="4"/>
  <c r="N593" i="4" s="1"/>
  <c r="G593" i="4"/>
  <c r="L593" i="4" s="1"/>
  <c r="I593" i="4"/>
  <c r="M593" i="4" s="1"/>
  <c r="V596" i="2" l="1"/>
  <c r="T595" i="2"/>
  <c r="D594" i="4"/>
  <c r="A595" i="4"/>
  <c r="M594" i="3"/>
  <c r="N594" i="3"/>
  <c r="C594" i="3"/>
  <c r="P594" i="3"/>
  <c r="E594" i="3"/>
  <c r="H594" i="3"/>
  <c r="T594" i="3"/>
  <c r="S594" i="3"/>
  <c r="Y594" i="3" s="1"/>
  <c r="Z594" i="3" s="1"/>
  <c r="AA594" i="3" s="1"/>
  <c r="V594" i="3"/>
  <c r="G594" i="3"/>
  <c r="J594" i="3"/>
  <c r="J597" i="2"/>
  <c r="M598" i="2"/>
  <c r="C600" i="2"/>
  <c r="I592" i="3"/>
  <c r="F593" i="4" s="1"/>
  <c r="U592" i="3"/>
  <c r="J593" i="4" s="1"/>
  <c r="O592" i="3"/>
  <c r="H593" i="4" s="1"/>
  <c r="I594" i="4"/>
  <c r="M594" i="4" s="1"/>
  <c r="K594" i="4"/>
  <c r="N594" i="4" s="1"/>
  <c r="G594" i="4"/>
  <c r="L594" i="4" s="1"/>
  <c r="D598" i="2"/>
  <c r="G597" i="2"/>
  <c r="E597" i="2"/>
  <c r="C594" i="4"/>
  <c r="AB593" i="3"/>
  <c r="E594" i="4" s="1"/>
  <c r="F593" i="3"/>
  <c r="D594" i="3"/>
  <c r="L597" i="2"/>
  <c r="I596" i="2"/>
  <c r="F596" i="2" s="1"/>
  <c r="K598" i="2"/>
  <c r="H597" i="2"/>
  <c r="V597" i="2" l="1"/>
  <c r="T596" i="2"/>
  <c r="D595" i="4"/>
  <c r="A596" i="4"/>
  <c r="J595" i="3"/>
  <c r="V595" i="3"/>
  <c r="M595" i="3"/>
  <c r="N595" i="3"/>
  <c r="C595" i="3"/>
  <c r="E595" i="3"/>
  <c r="G595" i="3"/>
  <c r="H595" i="3"/>
  <c r="P595" i="3"/>
  <c r="S595" i="3"/>
  <c r="Y595" i="3" s="1"/>
  <c r="Z595" i="3" s="1"/>
  <c r="AA595" i="3" s="1"/>
  <c r="T595" i="3"/>
  <c r="C601" i="2"/>
  <c r="M599" i="2"/>
  <c r="J598" i="2"/>
  <c r="C595" i="4"/>
  <c r="AB594" i="3"/>
  <c r="E595" i="4" s="1"/>
  <c r="G598" i="2"/>
  <c r="D599" i="2"/>
  <c r="I597" i="2"/>
  <c r="F597" i="2" s="1"/>
  <c r="L598" i="2"/>
  <c r="G595" i="4"/>
  <c r="L595" i="4" s="1"/>
  <c r="I595" i="4"/>
  <c r="M595" i="4" s="1"/>
  <c r="K595" i="4"/>
  <c r="N595" i="4" s="1"/>
  <c r="K599" i="2"/>
  <c r="H598" i="2"/>
  <c r="E598" i="2" s="1"/>
  <c r="F594" i="3"/>
  <c r="D595" i="3"/>
  <c r="O593" i="3"/>
  <c r="H594" i="4" s="1"/>
  <c r="I593" i="3"/>
  <c r="F594" i="4" s="1"/>
  <c r="U593" i="3"/>
  <c r="J594" i="4" s="1"/>
  <c r="V598" i="2" l="1"/>
  <c r="T597" i="2"/>
  <c r="D596" i="4"/>
  <c r="A597" i="4"/>
  <c r="G596" i="3"/>
  <c r="S596" i="3"/>
  <c r="Y596" i="3" s="1"/>
  <c r="Z596" i="3" s="1"/>
  <c r="AA596" i="3" s="1"/>
  <c r="H596" i="3"/>
  <c r="T596" i="3"/>
  <c r="J596" i="3"/>
  <c r="V596" i="3"/>
  <c r="N596" i="3"/>
  <c r="C596" i="3"/>
  <c r="E596" i="3"/>
  <c r="M596" i="3"/>
  <c r="P596" i="3"/>
  <c r="M600" i="2"/>
  <c r="J599" i="2"/>
  <c r="G599" i="2" s="1"/>
  <c r="C596" i="4"/>
  <c r="AB595" i="3"/>
  <c r="E596" i="4" s="1"/>
  <c r="K600" i="2"/>
  <c r="H599" i="2"/>
  <c r="E599" i="2" s="1"/>
  <c r="C602" i="2"/>
  <c r="G596" i="4"/>
  <c r="L596" i="4" s="1"/>
  <c r="I596" i="4"/>
  <c r="M596" i="4" s="1"/>
  <c r="K596" i="4"/>
  <c r="N596" i="4" s="1"/>
  <c r="F595" i="3"/>
  <c r="D596" i="3"/>
  <c r="O594" i="3"/>
  <c r="H595" i="4" s="1"/>
  <c r="I594" i="3"/>
  <c r="F595" i="4" s="1"/>
  <c r="U594" i="3"/>
  <c r="J595" i="4" s="1"/>
  <c r="L599" i="2"/>
  <c r="I598" i="2"/>
  <c r="F598" i="2" s="1"/>
  <c r="D600" i="2"/>
  <c r="V599" i="2" l="1"/>
  <c r="T598" i="2"/>
  <c r="D597" i="4"/>
  <c r="L600" i="2"/>
  <c r="I599" i="2"/>
  <c r="F599" i="2" s="1"/>
  <c r="C603" i="2"/>
  <c r="A598" i="4"/>
  <c r="C597" i="3"/>
  <c r="P597" i="3"/>
  <c r="E597" i="3"/>
  <c r="G597" i="3"/>
  <c r="S597" i="3"/>
  <c r="Y597" i="3" s="1"/>
  <c r="Z597" i="3" s="1"/>
  <c r="AA597" i="3" s="1"/>
  <c r="H597" i="3"/>
  <c r="T597" i="3"/>
  <c r="J597" i="3"/>
  <c r="M597" i="3"/>
  <c r="N597" i="3"/>
  <c r="V597" i="3"/>
  <c r="J600" i="2"/>
  <c r="G600" i="2" s="1"/>
  <c r="M601" i="2"/>
  <c r="I595" i="3"/>
  <c r="F596" i="4" s="1"/>
  <c r="U595" i="3"/>
  <c r="J596" i="4" s="1"/>
  <c r="O595" i="3"/>
  <c r="H596" i="4" s="1"/>
  <c r="G597" i="4"/>
  <c r="L597" i="4" s="1"/>
  <c r="I597" i="4"/>
  <c r="M597" i="4" s="1"/>
  <c r="K597" i="4"/>
  <c r="N597" i="4" s="1"/>
  <c r="C597" i="4"/>
  <c r="AB596" i="3"/>
  <c r="E597" i="4" s="1"/>
  <c r="F596" i="3"/>
  <c r="D597" i="3"/>
  <c r="K601" i="2"/>
  <c r="H600" i="2"/>
  <c r="D601" i="2"/>
  <c r="E600" i="2"/>
  <c r="V600" i="2" l="1"/>
  <c r="T599" i="2"/>
  <c r="D598" i="4"/>
  <c r="I596" i="3"/>
  <c r="F597" i="4" s="1"/>
  <c r="U596" i="3"/>
  <c r="J597" i="4" s="1"/>
  <c r="O596" i="3"/>
  <c r="H597" i="4" s="1"/>
  <c r="G598" i="4"/>
  <c r="L598" i="4" s="1"/>
  <c r="I598" i="4"/>
  <c r="M598" i="4" s="1"/>
  <c r="K598" i="4"/>
  <c r="N598" i="4" s="1"/>
  <c r="C598" i="4"/>
  <c r="AB597" i="3"/>
  <c r="E598" i="4" s="1"/>
  <c r="C604" i="2"/>
  <c r="K602" i="2"/>
  <c r="H601" i="2"/>
  <c r="E601" i="2" s="1"/>
  <c r="F597" i="3"/>
  <c r="D598" i="3"/>
  <c r="M602" i="2"/>
  <c r="J601" i="2"/>
  <c r="G601" i="2" s="1"/>
  <c r="I600" i="2"/>
  <c r="F600" i="2" s="1"/>
  <c r="L601" i="2"/>
  <c r="D602" i="2"/>
  <c r="A599" i="4"/>
  <c r="M598" i="3"/>
  <c r="N598" i="3"/>
  <c r="C598" i="3"/>
  <c r="P598" i="3"/>
  <c r="E598" i="3"/>
  <c r="H598" i="3"/>
  <c r="T598" i="3"/>
  <c r="G598" i="3"/>
  <c r="J598" i="3"/>
  <c r="S598" i="3"/>
  <c r="Y598" i="3" s="1"/>
  <c r="Z598" i="3" s="1"/>
  <c r="AA598" i="3" s="1"/>
  <c r="V598" i="3"/>
  <c r="V601" i="2" l="1"/>
  <c r="T600" i="2"/>
  <c r="D599" i="4"/>
  <c r="D599" i="3"/>
  <c r="F598" i="3"/>
  <c r="L602" i="2"/>
  <c r="I601" i="2"/>
  <c r="F601" i="2" s="1"/>
  <c r="O597" i="3"/>
  <c r="H598" i="4" s="1"/>
  <c r="I597" i="3"/>
  <c r="F598" i="4" s="1"/>
  <c r="U597" i="3"/>
  <c r="J598" i="4" s="1"/>
  <c r="A600" i="4"/>
  <c r="J599" i="3"/>
  <c r="V599" i="3"/>
  <c r="M599" i="3"/>
  <c r="N599" i="3"/>
  <c r="E599" i="3"/>
  <c r="G599" i="3"/>
  <c r="H599" i="3"/>
  <c r="P599" i="3"/>
  <c r="S599" i="3"/>
  <c r="Y599" i="3" s="1"/>
  <c r="Z599" i="3" s="1"/>
  <c r="AA599" i="3" s="1"/>
  <c r="T599" i="3"/>
  <c r="C599" i="3"/>
  <c r="K599" i="4"/>
  <c r="N599" i="4" s="1"/>
  <c r="G599" i="4"/>
  <c r="L599" i="4" s="1"/>
  <c r="I599" i="4"/>
  <c r="M599" i="4" s="1"/>
  <c r="M603" i="2"/>
  <c r="J602" i="2"/>
  <c r="K603" i="2"/>
  <c r="H602" i="2"/>
  <c r="E602" i="2" s="1"/>
  <c r="C605" i="2"/>
  <c r="C599" i="4"/>
  <c r="AB598" i="3"/>
  <c r="E599" i="4" s="1"/>
  <c r="G602" i="2"/>
  <c r="D603" i="2"/>
  <c r="V602" i="2" l="1"/>
  <c r="T601" i="2"/>
  <c r="D600" i="4"/>
  <c r="I600" i="4"/>
  <c r="M600" i="4" s="1"/>
  <c r="K600" i="4"/>
  <c r="N600" i="4" s="1"/>
  <c r="G600" i="4"/>
  <c r="L600" i="4" s="1"/>
  <c r="K604" i="2"/>
  <c r="H603" i="2"/>
  <c r="E603" i="2" s="1"/>
  <c r="L603" i="2"/>
  <c r="I602" i="2"/>
  <c r="F602" i="2" s="1"/>
  <c r="J603" i="2"/>
  <c r="M604" i="2"/>
  <c r="A601" i="4"/>
  <c r="G600" i="3"/>
  <c r="S600" i="3"/>
  <c r="Y600" i="3" s="1"/>
  <c r="Z600" i="3" s="1"/>
  <c r="AA600" i="3" s="1"/>
  <c r="J600" i="3"/>
  <c r="N600" i="3"/>
  <c r="C600" i="3"/>
  <c r="E600" i="3"/>
  <c r="H600" i="3"/>
  <c r="M600" i="3"/>
  <c r="P600" i="3"/>
  <c r="T600" i="3"/>
  <c r="V600" i="3"/>
  <c r="O598" i="3"/>
  <c r="H599" i="4" s="1"/>
  <c r="I598" i="3"/>
  <c r="F599" i="4" s="1"/>
  <c r="U598" i="3"/>
  <c r="J599" i="4" s="1"/>
  <c r="D604" i="2"/>
  <c r="G603" i="2"/>
  <c r="F599" i="3"/>
  <c r="D600" i="3"/>
  <c r="C606" i="2"/>
  <c r="C600" i="4"/>
  <c r="AB599" i="3"/>
  <c r="E600" i="4" s="1"/>
  <c r="V603" i="2" l="1"/>
  <c r="T602" i="2"/>
  <c r="D601" i="4"/>
  <c r="I599" i="3"/>
  <c r="F600" i="4" s="1"/>
  <c r="U599" i="3"/>
  <c r="J600" i="4" s="1"/>
  <c r="O599" i="3"/>
  <c r="H600" i="4" s="1"/>
  <c r="A602" i="4"/>
  <c r="C601" i="3"/>
  <c r="P601" i="3"/>
  <c r="H601" i="3"/>
  <c r="T601" i="3"/>
  <c r="S601" i="3"/>
  <c r="Y601" i="3" s="1"/>
  <c r="Z601" i="3" s="1"/>
  <c r="AA601" i="3" s="1"/>
  <c r="V601" i="3"/>
  <c r="E601" i="3"/>
  <c r="G601" i="3"/>
  <c r="J601" i="3"/>
  <c r="M601" i="3"/>
  <c r="N601" i="3"/>
  <c r="I603" i="2"/>
  <c r="F603" i="2" s="1"/>
  <c r="L604" i="2"/>
  <c r="K605" i="2"/>
  <c r="H604" i="2"/>
  <c r="E604" i="2" s="1"/>
  <c r="C601" i="4"/>
  <c r="AB600" i="3"/>
  <c r="E601" i="4" s="1"/>
  <c r="D605" i="2"/>
  <c r="M605" i="2"/>
  <c r="J604" i="2"/>
  <c r="G604" i="2" s="1"/>
  <c r="C607" i="2"/>
  <c r="G601" i="4"/>
  <c r="L601" i="4" s="1"/>
  <c r="I601" i="4"/>
  <c r="M601" i="4" s="1"/>
  <c r="K601" i="4"/>
  <c r="N601" i="4" s="1"/>
  <c r="F600" i="3"/>
  <c r="D601" i="3"/>
  <c r="V604" i="2" l="1"/>
  <c r="T603" i="2"/>
  <c r="D602" i="4"/>
  <c r="K606" i="2"/>
  <c r="H605" i="2"/>
  <c r="C608" i="2"/>
  <c r="L605" i="2"/>
  <c r="I604" i="2"/>
  <c r="F604" i="2" s="1"/>
  <c r="F601" i="3"/>
  <c r="D602" i="3"/>
  <c r="M606" i="2"/>
  <c r="J605" i="2"/>
  <c r="G602" i="4"/>
  <c r="L602" i="4" s="1"/>
  <c r="I602" i="4"/>
  <c r="M602" i="4" s="1"/>
  <c r="K602" i="4"/>
  <c r="N602" i="4" s="1"/>
  <c r="C602" i="4"/>
  <c r="AB601" i="3"/>
  <c r="E602" i="4" s="1"/>
  <c r="I600" i="3"/>
  <c r="F601" i="4" s="1"/>
  <c r="U600" i="3"/>
  <c r="J601" i="4" s="1"/>
  <c r="O600" i="3"/>
  <c r="H601" i="4" s="1"/>
  <c r="G605" i="2"/>
  <c r="D606" i="2"/>
  <c r="E605" i="2"/>
  <c r="A603" i="4"/>
  <c r="M602" i="3"/>
  <c r="C602" i="3"/>
  <c r="E602" i="3"/>
  <c r="N602" i="3"/>
  <c r="P602" i="3"/>
  <c r="S602" i="3"/>
  <c r="Y602" i="3" s="1"/>
  <c r="Z602" i="3" s="1"/>
  <c r="AA602" i="3" s="1"/>
  <c r="T602" i="3"/>
  <c r="V602" i="3"/>
  <c r="G602" i="3"/>
  <c r="H602" i="3"/>
  <c r="J602" i="3"/>
  <c r="V605" i="2" l="1"/>
  <c r="T604" i="2"/>
  <c r="D603" i="4"/>
  <c r="D603" i="3"/>
  <c r="F602" i="3"/>
  <c r="O601" i="3"/>
  <c r="H602" i="4" s="1"/>
  <c r="U601" i="3"/>
  <c r="J602" i="4" s="1"/>
  <c r="I601" i="3"/>
  <c r="F602" i="4" s="1"/>
  <c r="L606" i="2"/>
  <c r="I605" i="2"/>
  <c r="F605" i="2" s="1"/>
  <c r="C609" i="2"/>
  <c r="G603" i="4"/>
  <c r="L603" i="4" s="1"/>
  <c r="I603" i="4"/>
  <c r="M603" i="4" s="1"/>
  <c r="K603" i="4"/>
  <c r="N603" i="4" s="1"/>
  <c r="J606" i="2"/>
  <c r="G606" i="2" s="1"/>
  <c r="M607" i="2"/>
  <c r="A604" i="4"/>
  <c r="J603" i="3"/>
  <c r="V603" i="3"/>
  <c r="C603" i="3"/>
  <c r="T603" i="3"/>
  <c r="E603" i="3"/>
  <c r="G603" i="3"/>
  <c r="H603" i="3"/>
  <c r="M603" i="3"/>
  <c r="N603" i="3"/>
  <c r="P603" i="3"/>
  <c r="S603" i="3"/>
  <c r="Y603" i="3" s="1"/>
  <c r="Z603" i="3" s="1"/>
  <c r="AA603" i="3" s="1"/>
  <c r="K607" i="2"/>
  <c r="H606" i="2"/>
  <c r="E606" i="2" s="1"/>
  <c r="C603" i="4"/>
  <c r="AB602" i="3"/>
  <c r="E603" i="4" s="1"/>
  <c r="D607" i="2"/>
  <c r="V606" i="2" l="1"/>
  <c r="T605" i="2"/>
  <c r="D604" i="4"/>
  <c r="C610" i="2"/>
  <c r="M608" i="2"/>
  <c r="J607" i="2"/>
  <c r="G607" i="2" s="1"/>
  <c r="I606" i="2"/>
  <c r="F606" i="2" s="1"/>
  <c r="L607" i="2"/>
  <c r="K608" i="2"/>
  <c r="H607" i="2"/>
  <c r="E607" i="2" s="1"/>
  <c r="G604" i="4"/>
  <c r="L604" i="4" s="1"/>
  <c r="K604" i="4"/>
  <c r="N604" i="4" s="1"/>
  <c r="I604" i="4"/>
  <c r="M604" i="4" s="1"/>
  <c r="O602" i="3"/>
  <c r="H603" i="4" s="1"/>
  <c r="I602" i="3"/>
  <c r="F603" i="4" s="1"/>
  <c r="U602" i="3"/>
  <c r="J603" i="4" s="1"/>
  <c r="F603" i="3"/>
  <c r="D604" i="3"/>
  <c r="C604" i="4"/>
  <c r="AB603" i="3"/>
  <c r="E604" i="4" s="1"/>
  <c r="D608" i="2"/>
  <c r="A605" i="4"/>
  <c r="G604" i="3"/>
  <c r="S604" i="3"/>
  <c r="Y604" i="3" s="1"/>
  <c r="Z604" i="3" s="1"/>
  <c r="AA604" i="3" s="1"/>
  <c r="C604" i="3"/>
  <c r="M604" i="3"/>
  <c r="N604" i="3"/>
  <c r="P604" i="3"/>
  <c r="T604" i="3"/>
  <c r="V604" i="3"/>
  <c r="E604" i="3"/>
  <c r="H604" i="3"/>
  <c r="J604" i="3"/>
  <c r="V607" i="2" l="1"/>
  <c r="T606" i="2"/>
  <c r="D605" i="4"/>
  <c r="K609" i="2"/>
  <c r="H608" i="2"/>
  <c r="C605" i="4"/>
  <c r="AB604" i="3"/>
  <c r="E605" i="4" s="1"/>
  <c r="A606" i="4"/>
  <c r="C605" i="3"/>
  <c r="S605" i="3"/>
  <c r="Y605" i="3" s="1"/>
  <c r="Z605" i="3" s="1"/>
  <c r="AA605" i="3" s="1"/>
  <c r="T605" i="3"/>
  <c r="E605" i="3"/>
  <c r="G605" i="3"/>
  <c r="V605" i="3"/>
  <c r="H605" i="3"/>
  <c r="J605" i="3"/>
  <c r="M605" i="3"/>
  <c r="N605" i="3"/>
  <c r="P605" i="3"/>
  <c r="F604" i="3"/>
  <c r="D605" i="3"/>
  <c r="I603" i="3"/>
  <c r="F604" i="4" s="1"/>
  <c r="U603" i="3"/>
  <c r="J604" i="4" s="1"/>
  <c r="O603" i="3"/>
  <c r="H604" i="4" s="1"/>
  <c r="L608" i="2"/>
  <c r="I607" i="2"/>
  <c r="F607" i="2" s="1"/>
  <c r="M609" i="2"/>
  <c r="J608" i="2"/>
  <c r="G608" i="2"/>
  <c r="D609" i="2"/>
  <c r="E608" i="2"/>
  <c r="C611" i="2"/>
  <c r="K605" i="4"/>
  <c r="N605" i="4" s="1"/>
  <c r="G605" i="4"/>
  <c r="L605" i="4" s="1"/>
  <c r="I605" i="4"/>
  <c r="M605" i="4" s="1"/>
  <c r="V608" i="2" l="1"/>
  <c r="T607" i="2"/>
  <c r="D606" i="4"/>
  <c r="F605" i="3"/>
  <c r="D606" i="3"/>
  <c r="I604" i="3"/>
  <c r="F605" i="4" s="1"/>
  <c r="U604" i="3"/>
  <c r="J605" i="4" s="1"/>
  <c r="O604" i="3"/>
  <c r="H605" i="4" s="1"/>
  <c r="I606" i="4"/>
  <c r="M606" i="4" s="1"/>
  <c r="K606" i="4"/>
  <c r="N606" i="4" s="1"/>
  <c r="G606" i="4"/>
  <c r="L606" i="4" s="1"/>
  <c r="D610" i="2"/>
  <c r="A607" i="4"/>
  <c r="C606" i="3"/>
  <c r="G606" i="3"/>
  <c r="H606" i="3"/>
  <c r="J606" i="3"/>
  <c r="M606" i="3"/>
  <c r="N606" i="3"/>
  <c r="P606" i="3"/>
  <c r="S606" i="3"/>
  <c r="Y606" i="3" s="1"/>
  <c r="Z606" i="3" s="1"/>
  <c r="AA606" i="3" s="1"/>
  <c r="E606" i="3"/>
  <c r="T606" i="3"/>
  <c r="V606" i="3"/>
  <c r="C606" i="4"/>
  <c r="AB605" i="3"/>
  <c r="E606" i="4" s="1"/>
  <c r="J609" i="2"/>
  <c r="G609" i="2" s="1"/>
  <c r="M610" i="2"/>
  <c r="K610" i="2"/>
  <c r="H609" i="2"/>
  <c r="E609" i="2" s="1"/>
  <c r="C612" i="2"/>
  <c r="L609" i="2"/>
  <c r="I608" i="2"/>
  <c r="F608" i="2" s="1"/>
  <c r="V609" i="2" l="1"/>
  <c r="T608" i="2"/>
  <c r="D607" i="4"/>
  <c r="M611" i="2"/>
  <c r="J610" i="2"/>
  <c r="C607" i="4"/>
  <c r="AB606" i="3"/>
  <c r="E607" i="4" s="1"/>
  <c r="G607" i="4"/>
  <c r="L607" i="4" s="1"/>
  <c r="I607" i="4"/>
  <c r="M607" i="4" s="1"/>
  <c r="K607" i="4"/>
  <c r="N607" i="4" s="1"/>
  <c r="D607" i="3"/>
  <c r="F606" i="3"/>
  <c r="C613" i="2"/>
  <c r="O605" i="3"/>
  <c r="H606" i="4" s="1"/>
  <c r="U605" i="3"/>
  <c r="J606" i="4" s="1"/>
  <c r="I605" i="3"/>
  <c r="F606" i="4" s="1"/>
  <c r="I609" i="2"/>
  <c r="F609" i="2" s="1"/>
  <c r="L610" i="2"/>
  <c r="G610" i="2"/>
  <c r="D611" i="2"/>
  <c r="K611" i="2"/>
  <c r="H610" i="2"/>
  <c r="E610" i="2" s="1"/>
  <c r="A608" i="4"/>
  <c r="M607" i="3"/>
  <c r="N607" i="3"/>
  <c r="P607" i="3"/>
  <c r="C607" i="3"/>
  <c r="S607" i="3"/>
  <c r="Y607" i="3" s="1"/>
  <c r="Z607" i="3" s="1"/>
  <c r="AA607" i="3" s="1"/>
  <c r="E607" i="3"/>
  <c r="T607" i="3"/>
  <c r="G607" i="3"/>
  <c r="H607" i="3"/>
  <c r="V607" i="3"/>
  <c r="J607" i="3"/>
  <c r="V610" i="2" l="1"/>
  <c r="T609" i="2"/>
  <c r="D608" i="4"/>
  <c r="L611" i="2"/>
  <c r="I610" i="2"/>
  <c r="F610" i="2" s="1"/>
  <c r="A609" i="4"/>
  <c r="J608" i="3"/>
  <c r="V608" i="3"/>
  <c r="M608" i="3"/>
  <c r="N608" i="3"/>
  <c r="C608" i="3"/>
  <c r="P608" i="3"/>
  <c r="E608" i="3"/>
  <c r="G608" i="3"/>
  <c r="S608" i="3"/>
  <c r="Y608" i="3" s="1"/>
  <c r="Z608" i="3" s="1"/>
  <c r="AA608" i="3" s="1"/>
  <c r="H608" i="3"/>
  <c r="T608" i="3"/>
  <c r="C608" i="4"/>
  <c r="AB607" i="3"/>
  <c r="E608" i="4" s="1"/>
  <c r="K612" i="2"/>
  <c r="H611" i="2"/>
  <c r="E611" i="2" s="1"/>
  <c r="G608" i="4"/>
  <c r="L608" i="4" s="1"/>
  <c r="I608" i="4"/>
  <c r="M608" i="4" s="1"/>
  <c r="K608" i="4"/>
  <c r="N608" i="4" s="1"/>
  <c r="C614" i="2"/>
  <c r="M612" i="2"/>
  <c r="J611" i="2"/>
  <c r="O606" i="3"/>
  <c r="H607" i="4" s="1"/>
  <c r="I606" i="3"/>
  <c r="F607" i="4" s="1"/>
  <c r="U606" i="3"/>
  <c r="J607" i="4" s="1"/>
  <c r="G611" i="2"/>
  <c r="D612" i="2"/>
  <c r="F607" i="3"/>
  <c r="D608" i="3"/>
  <c r="V611" i="2" l="1"/>
  <c r="T610" i="2"/>
  <c r="D609" i="4"/>
  <c r="C609" i="4"/>
  <c r="AB608" i="3"/>
  <c r="E609" i="4" s="1"/>
  <c r="K613" i="2"/>
  <c r="H612" i="2"/>
  <c r="G609" i="4"/>
  <c r="L609" i="4" s="1"/>
  <c r="I609" i="4"/>
  <c r="M609" i="4" s="1"/>
  <c r="K609" i="4"/>
  <c r="N609" i="4" s="1"/>
  <c r="J612" i="2"/>
  <c r="M613" i="2"/>
  <c r="F608" i="3"/>
  <c r="D609" i="3"/>
  <c r="C615" i="2"/>
  <c r="L612" i="2"/>
  <c r="I611" i="2"/>
  <c r="F611" i="2" s="1"/>
  <c r="O607" i="3"/>
  <c r="H608" i="4" s="1"/>
  <c r="U607" i="3"/>
  <c r="J608" i="4" s="1"/>
  <c r="I607" i="3"/>
  <c r="F608" i="4" s="1"/>
  <c r="D613" i="2"/>
  <c r="G612" i="2"/>
  <c r="E612" i="2"/>
  <c r="A610" i="4"/>
  <c r="G609" i="3"/>
  <c r="S609" i="3"/>
  <c r="Y609" i="3" s="1"/>
  <c r="Z609" i="3" s="1"/>
  <c r="AA609" i="3" s="1"/>
  <c r="H609" i="3"/>
  <c r="T609" i="3"/>
  <c r="J609" i="3"/>
  <c r="V609" i="3"/>
  <c r="M609" i="3"/>
  <c r="N609" i="3"/>
  <c r="C609" i="3"/>
  <c r="P609" i="3"/>
  <c r="E609" i="3"/>
  <c r="V612" i="2" l="1"/>
  <c r="T611" i="2"/>
  <c r="D610" i="4"/>
  <c r="A611" i="4"/>
  <c r="P610" i="3"/>
  <c r="E610" i="3"/>
  <c r="G610" i="3"/>
  <c r="S610" i="3"/>
  <c r="Y610" i="3" s="1"/>
  <c r="Z610" i="3" s="1"/>
  <c r="AA610" i="3" s="1"/>
  <c r="H610" i="3"/>
  <c r="T610" i="3"/>
  <c r="J610" i="3"/>
  <c r="V610" i="3"/>
  <c r="M610" i="3"/>
  <c r="N610" i="3"/>
  <c r="C610" i="3"/>
  <c r="G610" i="4"/>
  <c r="L610" i="4" s="1"/>
  <c r="I610" i="4"/>
  <c r="M610" i="4" s="1"/>
  <c r="K610" i="4"/>
  <c r="N610" i="4" s="1"/>
  <c r="C616" i="2"/>
  <c r="K614" i="2"/>
  <c r="H613" i="2"/>
  <c r="O608" i="3"/>
  <c r="H609" i="4" s="1"/>
  <c r="I608" i="3"/>
  <c r="F609" i="4" s="1"/>
  <c r="U608" i="3"/>
  <c r="J609" i="4" s="1"/>
  <c r="I612" i="2"/>
  <c r="F612" i="2" s="1"/>
  <c r="L613" i="2"/>
  <c r="M614" i="2"/>
  <c r="J613" i="2"/>
  <c r="G613" i="2" s="1"/>
  <c r="D610" i="3"/>
  <c r="F609" i="3"/>
  <c r="C610" i="4"/>
  <c r="AB609" i="3"/>
  <c r="E610" i="4" s="1"/>
  <c r="D614" i="2"/>
  <c r="E613" i="2"/>
  <c r="V613" i="2" l="1"/>
  <c r="T612" i="2"/>
  <c r="D611" i="4"/>
  <c r="I609" i="3"/>
  <c r="F610" i="4" s="1"/>
  <c r="U609" i="3"/>
  <c r="J610" i="4" s="1"/>
  <c r="O609" i="3"/>
  <c r="H610" i="4" s="1"/>
  <c r="F610" i="3"/>
  <c r="D611" i="3"/>
  <c r="C617" i="2"/>
  <c r="M615" i="2"/>
  <c r="J614" i="2"/>
  <c r="L614" i="2"/>
  <c r="I613" i="2"/>
  <c r="F613" i="2" s="1"/>
  <c r="A612" i="4"/>
  <c r="M611" i="3"/>
  <c r="N611" i="3"/>
  <c r="C611" i="3"/>
  <c r="P611" i="3"/>
  <c r="E611" i="3"/>
  <c r="G611" i="3"/>
  <c r="S611" i="3"/>
  <c r="Y611" i="3" s="1"/>
  <c r="Z611" i="3" s="1"/>
  <c r="AA611" i="3" s="1"/>
  <c r="H611" i="3"/>
  <c r="T611" i="3"/>
  <c r="J611" i="3"/>
  <c r="V611" i="3"/>
  <c r="K611" i="4"/>
  <c r="N611" i="4" s="1"/>
  <c r="I611" i="4"/>
  <c r="M611" i="4" s="1"/>
  <c r="G611" i="4"/>
  <c r="L611" i="4" s="1"/>
  <c r="G614" i="2"/>
  <c r="D615" i="2"/>
  <c r="K615" i="2"/>
  <c r="H614" i="2"/>
  <c r="E614" i="2" s="1"/>
  <c r="C611" i="4"/>
  <c r="AB610" i="3"/>
  <c r="E611" i="4" s="1"/>
  <c r="V614" i="2" l="1"/>
  <c r="T613" i="2"/>
  <c r="D612" i="4"/>
  <c r="D616" i="2"/>
  <c r="J615" i="2"/>
  <c r="G615" i="2" s="1"/>
  <c r="M616" i="2"/>
  <c r="C618" i="2"/>
  <c r="A613" i="4"/>
  <c r="J612" i="3"/>
  <c r="V612" i="3"/>
  <c r="M612" i="3"/>
  <c r="N612" i="3"/>
  <c r="C612" i="3"/>
  <c r="P612" i="3"/>
  <c r="E612" i="3"/>
  <c r="G612" i="3"/>
  <c r="S612" i="3"/>
  <c r="Y612" i="3" s="1"/>
  <c r="Z612" i="3" s="1"/>
  <c r="AA612" i="3" s="1"/>
  <c r="H612" i="3"/>
  <c r="T612" i="3"/>
  <c r="F611" i="3"/>
  <c r="D612" i="3"/>
  <c r="I610" i="3"/>
  <c r="F611" i="4" s="1"/>
  <c r="U610" i="3"/>
  <c r="J611" i="4" s="1"/>
  <c r="O610" i="3"/>
  <c r="H611" i="4" s="1"/>
  <c r="C612" i="4"/>
  <c r="AB611" i="3"/>
  <c r="E612" i="4" s="1"/>
  <c r="K616" i="2"/>
  <c r="H615" i="2"/>
  <c r="E615" i="2" s="1"/>
  <c r="I612" i="4"/>
  <c r="M612" i="4" s="1"/>
  <c r="K612" i="4"/>
  <c r="N612" i="4" s="1"/>
  <c r="G612" i="4"/>
  <c r="L612" i="4" s="1"/>
  <c r="L615" i="2"/>
  <c r="I614" i="2"/>
  <c r="F614" i="2" s="1"/>
  <c r="V615" i="2" l="1"/>
  <c r="T614" i="2"/>
  <c r="D613" i="4"/>
  <c r="C619" i="2"/>
  <c r="A614" i="4"/>
  <c r="G613" i="3"/>
  <c r="S613" i="3"/>
  <c r="Y613" i="3" s="1"/>
  <c r="Z613" i="3" s="1"/>
  <c r="AA613" i="3" s="1"/>
  <c r="H613" i="3"/>
  <c r="T613" i="3"/>
  <c r="J613" i="3"/>
  <c r="V613" i="3"/>
  <c r="M613" i="3"/>
  <c r="N613" i="3"/>
  <c r="C613" i="3"/>
  <c r="P613" i="3"/>
  <c r="E613" i="3"/>
  <c r="M617" i="2"/>
  <c r="J616" i="2"/>
  <c r="G616" i="2" s="1"/>
  <c r="C613" i="4"/>
  <c r="AB612" i="3"/>
  <c r="E613" i="4" s="1"/>
  <c r="K617" i="2"/>
  <c r="H616" i="2"/>
  <c r="E616" i="2" s="1"/>
  <c r="F612" i="3"/>
  <c r="D613" i="3"/>
  <c r="D617" i="2"/>
  <c r="O611" i="3"/>
  <c r="H612" i="4" s="1"/>
  <c r="I611" i="3"/>
  <c r="F612" i="4" s="1"/>
  <c r="U611" i="3"/>
  <c r="J612" i="4" s="1"/>
  <c r="I615" i="2"/>
  <c r="F615" i="2" s="1"/>
  <c r="L616" i="2"/>
  <c r="G613" i="4"/>
  <c r="L613" i="4" s="1"/>
  <c r="I613" i="4"/>
  <c r="M613" i="4" s="1"/>
  <c r="K613" i="4"/>
  <c r="N613" i="4" s="1"/>
  <c r="V616" i="2" l="1"/>
  <c r="T615" i="2"/>
  <c r="D614" i="4"/>
  <c r="L617" i="2"/>
  <c r="I616" i="2"/>
  <c r="F616" i="2" s="1"/>
  <c r="A615" i="4"/>
  <c r="P614" i="3"/>
  <c r="E614" i="3"/>
  <c r="G614" i="3"/>
  <c r="S614" i="3"/>
  <c r="Y614" i="3" s="1"/>
  <c r="Z614" i="3" s="1"/>
  <c r="AA614" i="3" s="1"/>
  <c r="H614" i="3"/>
  <c r="T614" i="3"/>
  <c r="J614" i="3"/>
  <c r="V614" i="3"/>
  <c r="M614" i="3"/>
  <c r="N614" i="3"/>
  <c r="C614" i="3"/>
  <c r="G614" i="4"/>
  <c r="L614" i="4" s="1"/>
  <c r="I614" i="4"/>
  <c r="M614" i="4" s="1"/>
  <c r="K614" i="4"/>
  <c r="N614" i="4" s="1"/>
  <c r="G617" i="2"/>
  <c r="D618" i="2"/>
  <c r="M618" i="2"/>
  <c r="J617" i="2"/>
  <c r="C620" i="2"/>
  <c r="D614" i="3"/>
  <c r="F613" i="3"/>
  <c r="K618" i="2"/>
  <c r="H617" i="2"/>
  <c r="E617" i="2" s="1"/>
  <c r="O612" i="3"/>
  <c r="H613" i="4" s="1"/>
  <c r="I612" i="3"/>
  <c r="F613" i="4" s="1"/>
  <c r="U612" i="3"/>
  <c r="J613" i="4" s="1"/>
  <c r="C614" i="4"/>
  <c r="AB613" i="3"/>
  <c r="E614" i="4" s="1"/>
  <c r="V617" i="2" l="1"/>
  <c r="T616" i="2"/>
  <c r="D615" i="4"/>
  <c r="A616" i="4"/>
  <c r="M615" i="3"/>
  <c r="N615" i="3"/>
  <c r="C615" i="3"/>
  <c r="P615" i="3"/>
  <c r="E615" i="3"/>
  <c r="G615" i="3"/>
  <c r="S615" i="3"/>
  <c r="Y615" i="3" s="1"/>
  <c r="Z615" i="3" s="1"/>
  <c r="AA615" i="3" s="1"/>
  <c r="H615" i="3"/>
  <c r="T615" i="3"/>
  <c r="J615" i="3"/>
  <c r="V615" i="3"/>
  <c r="K619" i="2"/>
  <c r="H618" i="2"/>
  <c r="E618" i="2" s="1"/>
  <c r="G615" i="4"/>
  <c r="L615" i="4" s="1"/>
  <c r="I615" i="4"/>
  <c r="M615" i="4" s="1"/>
  <c r="K615" i="4"/>
  <c r="N615" i="4" s="1"/>
  <c r="J618" i="2"/>
  <c r="G618" i="2" s="1"/>
  <c r="M619" i="2"/>
  <c r="C615" i="4"/>
  <c r="AB614" i="3"/>
  <c r="E615" i="4" s="1"/>
  <c r="L618" i="2"/>
  <c r="I617" i="2"/>
  <c r="F617" i="2" s="1"/>
  <c r="I613" i="3"/>
  <c r="F614" i="4" s="1"/>
  <c r="U613" i="3"/>
  <c r="J614" i="4" s="1"/>
  <c r="O613" i="3"/>
  <c r="H614" i="4" s="1"/>
  <c r="F614" i="3"/>
  <c r="D615" i="3"/>
  <c r="C621" i="2"/>
  <c r="D619" i="2"/>
  <c r="V618" i="2" l="1"/>
  <c r="T617" i="2"/>
  <c r="D616" i="4"/>
  <c r="A617" i="4"/>
  <c r="J616" i="3"/>
  <c r="V616" i="3"/>
  <c r="M616" i="3"/>
  <c r="N616" i="3"/>
  <c r="C616" i="3"/>
  <c r="P616" i="3"/>
  <c r="E616" i="3"/>
  <c r="G616" i="3"/>
  <c r="S616" i="3"/>
  <c r="Y616" i="3" s="1"/>
  <c r="Z616" i="3" s="1"/>
  <c r="AA616" i="3" s="1"/>
  <c r="H616" i="3"/>
  <c r="T616" i="3"/>
  <c r="C622" i="2"/>
  <c r="F615" i="3"/>
  <c r="D616" i="3"/>
  <c r="I614" i="3"/>
  <c r="F615" i="4" s="1"/>
  <c r="U614" i="3"/>
  <c r="J615" i="4" s="1"/>
  <c r="O614" i="3"/>
  <c r="H615" i="4" s="1"/>
  <c r="I618" i="2"/>
  <c r="F618" i="2" s="1"/>
  <c r="L619" i="2"/>
  <c r="K620" i="2"/>
  <c r="H619" i="2"/>
  <c r="E619" i="2" s="1"/>
  <c r="C616" i="4"/>
  <c r="AB615" i="3"/>
  <c r="E616" i="4" s="1"/>
  <c r="G616" i="4"/>
  <c r="L616" i="4" s="1"/>
  <c r="I616" i="4"/>
  <c r="M616" i="4" s="1"/>
  <c r="K616" i="4"/>
  <c r="N616" i="4" s="1"/>
  <c r="D620" i="2"/>
  <c r="M620" i="2"/>
  <c r="J619" i="2"/>
  <c r="G619" i="2" s="1"/>
  <c r="V619" i="2" l="1"/>
  <c r="T618" i="2"/>
  <c r="D617" i="4"/>
  <c r="A618" i="4"/>
  <c r="G617" i="3"/>
  <c r="S617" i="3"/>
  <c r="Y617" i="3" s="1"/>
  <c r="Z617" i="3" s="1"/>
  <c r="AA617" i="3" s="1"/>
  <c r="H617" i="3"/>
  <c r="T617" i="3"/>
  <c r="J617" i="3"/>
  <c r="V617" i="3"/>
  <c r="M617" i="3"/>
  <c r="N617" i="3"/>
  <c r="C617" i="3"/>
  <c r="P617" i="3"/>
  <c r="E617" i="3"/>
  <c r="F616" i="3"/>
  <c r="D617" i="3"/>
  <c r="O615" i="3"/>
  <c r="H616" i="4" s="1"/>
  <c r="I615" i="3"/>
  <c r="F616" i="4" s="1"/>
  <c r="U615" i="3"/>
  <c r="J616" i="4" s="1"/>
  <c r="C617" i="4"/>
  <c r="AB616" i="3"/>
  <c r="E617" i="4" s="1"/>
  <c r="M621" i="2"/>
  <c r="J620" i="2"/>
  <c r="C623" i="2"/>
  <c r="K617" i="4"/>
  <c r="N617" i="4" s="1"/>
  <c r="G617" i="4"/>
  <c r="L617" i="4" s="1"/>
  <c r="I617" i="4"/>
  <c r="M617" i="4" s="1"/>
  <c r="K621" i="2"/>
  <c r="H620" i="2"/>
  <c r="E620" i="2" s="1"/>
  <c r="G620" i="2"/>
  <c r="D621" i="2"/>
  <c r="L620" i="2"/>
  <c r="I619" i="2"/>
  <c r="F619" i="2" s="1"/>
  <c r="V620" i="2" l="1"/>
  <c r="T619" i="2"/>
  <c r="D618" i="4"/>
  <c r="C618" i="4"/>
  <c r="AB617" i="3"/>
  <c r="E618" i="4" s="1"/>
  <c r="J621" i="2"/>
  <c r="M622" i="2"/>
  <c r="K622" i="2"/>
  <c r="H621" i="2"/>
  <c r="E621" i="2" s="1"/>
  <c r="O616" i="3"/>
  <c r="H617" i="4" s="1"/>
  <c r="U616" i="3"/>
  <c r="J617" i="4" s="1"/>
  <c r="I616" i="3"/>
  <c r="F617" i="4" s="1"/>
  <c r="C624" i="2"/>
  <c r="A619" i="4"/>
  <c r="P618" i="3"/>
  <c r="E618" i="3"/>
  <c r="G618" i="3"/>
  <c r="S618" i="3"/>
  <c r="Y618" i="3" s="1"/>
  <c r="Z618" i="3" s="1"/>
  <c r="AA618" i="3" s="1"/>
  <c r="H618" i="3"/>
  <c r="T618" i="3"/>
  <c r="J618" i="3"/>
  <c r="V618" i="3"/>
  <c r="M618" i="3"/>
  <c r="N618" i="3"/>
  <c r="C618" i="3"/>
  <c r="I618" i="4"/>
  <c r="M618" i="4" s="1"/>
  <c r="K618" i="4"/>
  <c r="N618" i="4" s="1"/>
  <c r="G618" i="4"/>
  <c r="L618" i="4" s="1"/>
  <c r="L621" i="2"/>
  <c r="I620" i="2"/>
  <c r="F620" i="2" s="1"/>
  <c r="D618" i="3"/>
  <c r="F617" i="3"/>
  <c r="D622" i="2"/>
  <c r="G621" i="2"/>
  <c r="V621" i="2" l="1"/>
  <c r="T620" i="2"/>
  <c r="D619" i="4"/>
  <c r="I621" i="2"/>
  <c r="F621" i="2" s="1"/>
  <c r="L622" i="2"/>
  <c r="K623" i="2"/>
  <c r="H622" i="2"/>
  <c r="E622" i="2" s="1"/>
  <c r="F618" i="3"/>
  <c r="D619" i="3"/>
  <c r="A620" i="4"/>
  <c r="M619" i="3"/>
  <c r="N619" i="3"/>
  <c r="C619" i="3"/>
  <c r="P619" i="3"/>
  <c r="E619" i="3"/>
  <c r="G619" i="3"/>
  <c r="S619" i="3"/>
  <c r="Y619" i="3" s="1"/>
  <c r="Z619" i="3" s="1"/>
  <c r="AA619" i="3" s="1"/>
  <c r="H619" i="3"/>
  <c r="T619" i="3"/>
  <c r="J619" i="3"/>
  <c r="V619" i="3"/>
  <c r="M623" i="2"/>
  <c r="J622" i="2"/>
  <c r="G622" i="2" s="1"/>
  <c r="G619" i="4"/>
  <c r="L619" i="4" s="1"/>
  <c r="I619" i="4"/>
  <c r="M619" i="4" s="1"/>
  <c r="K619" i="4"/>
  <c r="N619" i="4" s="1"/>
  <c r="D623" i="2"/>
  <c r="I617" i="3"/>
  <c r="F618" i="4" s="1"/>
  <c r="U617" i="3"/>
  <c r="J618" i="4" s="1"/>
  <c r="O617" i="3"/>
  <c r="H618" i="4" s="1"/>
  <c r="C619" i="4"/>
  <c r="AB618" i="3"/>
  <c r="E619" i="4" s="1"/>
  <c r="C625" i="2"/>
  <c r="V622" i="2" l="1"/>
  <c r="T621" i="2"/>
  <c r="D620" i="4"/>
  <c r="C620" i="4"/>
  <c r="AB619" i="3"/>
  <c r="E620" i="4" s="1"/>
  <c r="M624" i="2"/>
  <c r="J623" i="2"/>
  <c r="G623" i="2" s="1"/>
  <c r="G620" i="4"/>
  <c r="L620" i="4" s="1"/>
  <c r="I620" i="4"/>
  <c r="M620" i="4" s="1"/>
  <c r="K620" i="4"/>
  <c r="N620" i="4" s="1"/>
  <c r="D624" i="2"/>
  <c r="F619" i="3"/>
  <c r="D620" i="3"/>
  <c r="I618" i="3"/>
  <c r="F619" i="4" s="1"/>
  <c r="U618" i="3"/>
  <c r="J619" i="4" s="1"/>
  <c r="O618" i="3"/>
  <c r="H619" i="4" s="1"/>
  <c r="K624" i="2"/>
  <c r="H623" i="2"/>
  <c r="E623" i="2" s="1"/>
  <c r="L623" i="2"/>
  <c r="I622" i="2"/>
  <c r="F622" i="2" s="1"/>
  <c r="A621" i="4"/>
  <c r="J620" i="3"/>
  <c r="V620" i="3"/>
  <c r="M620" i="3"/>
  <c r="N620" i="3"/>
  <c r="C620" i="3"/>
  <c r="P620" i="3"/>
  <c r="E620" i="3"/>
  <c r="G620" i="3"/>
  <c r="S620" i="3"/>
  <c r="Y620" i="3" s="1"/>
  <c r="Z620" i="3" s="1"/>
  <c r="AA620" i="3" s="1"/>
  <c r="H620" i="3"/>
  <c r="T620" i="3"/>
  <c r="C626" i="2"/>
  <c r="V623" i="2" l="1"/>
  <c r="T622" i="2"/>
  <c r="D621" i="4"/>
  <c r="F620" i="3"/>
  <c r="D621" i="3"/>
  <c r="C621" i="4"/>
  <c r="AB620" i="3"/>
  <c r="E621" i="4" s="1"/>
  <c r="O619" i="3"/>
  <c r="H620" i="4" s="1"/>
  <c r="I619" i="3"/>
  <c r="F620" i="4" s="1"/>
  <c r="U619" i="3"/>
  <c r="J620" i="4" s="1"/>
  <c r="K625" i="2"/>
  <c r="H624" i="2"/>
  <c r="J624" i="2"/>
  <c r="G624" i="2" s="1"/>
  <c r="M625" i="2"/>
  <c r="A622" i="4"/>
  <c r="G621" i="3"/>
  <c r="S621" i="3"/>
  <c r="Y621" i="3" s="1"/>
  <c r="Z621" i="3" s="1"/>
  <c r="AA621" i="3" s="1"/>
  <c r="H621" i="3"/>
  <c r="T621" i="3"/>
  <c r="J621" i="3"/>
  <c r="V621" i="3"/>
  <c r="M621" i="3"/>
  <c r="N621" i="3"/>
  <c r="C621" i="3"/>
  <c r="P621" i="3"/>
  <c r="E621" i="3"/>
  <c r="G621" i="4"/>
  <c r="L621" i="4" s="1"/>
  <c r="I621" i="4"/>
  <c r="M621" i="4" s="1"/>
  <c r="K621" i="4"/>
  <c r="N621" i="4" s="1"/>
  <c r="D625" i="2"/>
  <c r="E624" i="2"/>
  <c r="C627" i="2"/>
  <c r="L624" i="2"/>
  <c r="I623" i="2"/>
  <c r="F623" i="2" s="1"/>
  <c r="V624" i="2" l="1"/>
  <c r="T623" i="2"/>
  <c r="D622" i="4"/>
  <c r="K626" i="2"/>
  <c r="H625" i="2"/>
  <c r="C622" i="4"/>
  <c r="AB621" i="3"/>
  <c r="E622" i="4" s="1"/>
  <c r="D622" i="3"/>
  <c r="F621" i="3"/>
  <c r="O620" i="3"/>
  <c r="H621" i="4" s="1"/>
  <c r="I620" i="3"/>
  <c r="F621" i="4" s="1"/>
  <c r="U620" i="3"/>
  <c r="J621" i="4" s="1"/>
  <c r="I624" i="2"/>
  <c r="F624" i="2" s="1"/>
  <c r="L625" i="2"/>
  <c r="C628" i="2"/>
  <c r="A623" i="4"/>
  <c r="P622" i="3"/>
  <c r="E622" i="3"/>
  <c r="G622" i="3"/>
  <c r="S622" i="3"/>
  <c r="Y622" i="3" s="1"/>
  <c r="Z622" i="3" s="1"/>
  <c r="AA622" i="3" s="1"/>
  <c r="H622" i="3"/>
  <c r="T622" i="3"/>
  <c r="J622" i="3"/>
  <c r="V622" i="3"/>
  <c r="M622" i="3"/>
  <c r="N622" i="3"/>
  <c r="C622" i="3"/>
  <c r="G622" i="4"/>
  <c r="L622" i="4" s="1"/>
  <c r="I622" i="4"/>
  <c r="M622" i="4" s="1"/>
  <c r="K622" i="4"/>
  <c r="N622" i="4" s="1"/>
  <c r="G625" i="2"/>
  <c r="D626" i="2"/>
  <c r="E625" i="2"/>
  <c r="M626" i="2"/>
  <c r="J625" i="2"/>
  <c r="V625" i="2" l="1"/>
  <c r="T624" i="2"/>
  <c r="D623" i="4"/>
  <c r="I621" i="3"/>
  <c r="F622" i="4" s="1"/>
  <c r="U621" i="3"/>
  <c r="J622" i="4" s="1"/>
  <c r="O621" i="3"/>
  <c r="H622" i="4" s="1"/>
  <c r="F622" i="3"/>
  <c r="D623" i="3"/>
  <c r="A624" i="4"/>
  <c r="M623" i="3"/>
  <c r="N623" i="3"/>
  <c r="C623" i="3"/>
  <c r="P623" i="3"/>
  <c r="E623" i="3"/>
  <c r="G623" i="3"/>
  <c r="S623" i="3"/>
  <c r="Y623" i="3" s="1"/>
  <c r="Z623" i="3" s="1"/>
  <c r="AA623" i="3" s="1"/>
  <c r="H623" i="3"/>
  <c r="T623" i="3"/>
  <c r="J623" i="3"/>
  <c r="V623" i="3"/>
  <c r="M627" i="2"/>
  <c r="J626" i="2"/>
  <c r="G626" i="2" s="1"/>
  <c r="K623" i="4"/>
  <c r="N623" i="4" s="1"/>
  <c r="G623" i="4"/>
  <c r="L623" i="4" s="1"/>
  <c r="I623" i="4"/>
  <c r="M623" i="4" s="1"/>
  <c r="C623" i="4"/>
  <c r="AB622" i="3"/>
  <c r="E623" i="4" s="1"/>
  <c r="K627" i="2"/>
  <c r="H626" i="2"/>
  <c r="E626" i="2" s="1"/>
  <c r="D627" i="2"/>
  <c r="C629" i="2"/>
  <c r="L626" i="2"/>
  <c r="I625" i="2"/>
  <c r="F625" i="2" s="1"/>
  <c r="V626" i="2" l="1"/>
  <c r="T625" i="2"/>
  <c r="D624" i="4"/>
  <c r="D628" i="2"/>
  <c r="J627" i="2"/>
  <c r="G627" i="2" s="1"/>
  <c r="M628" i="2"/>
  <c r="C624" i="4"/>
  <c r="AB623" i="3"/>
  <c r="E624" i="4" s="1"/>
  <c r="I624" i="4"/>
  <c r="M624" i="4" s="1"/>
  <c r="K624" i="4"/>
  <c r="N624" i="4" s="1"/>
  <c r="G624" i="4"/>
  <c r="L624" i="4" s="1"/>
  <c r="K628" i="2"/>
  <c r="H627" i="2"/>
  <c r="E627" i="2" s="1"/>
  <c r="F623" i="3"/>
  <c r="D624" i="3"/>
  <c r="I622" i="3"/>
  <c r="F623" i="4" s="1"/>
  <c r="U622" i="3"/>
  <c r="J623" i="4" s="1"/>
  <c r="O622" i="3"/>
  <c r="H623" i="4" s="1"/>
  <c r="L627" i="2"/>
  <c r="I626" i="2"/>
  <c r="F626" i="2" s="1"/>
  <c r="C630" i="2"/>
  <c r="A625" i="4"/>
  <c r="J624" i="3"/>
  <c r="V624" i="3"/>
  <c r="M624" i="3"/>
  <c r="N624" i="3"/>
  <c r="C624" i="3"/>
  <c r="P624" i="3"/>
  <c r="E624" i="3"/>
  <c r="G624" i="3"/>
  <c r="S624" i="3"/>
  <c r="Y624" i="3" s="1"/>
  <c r="Z624" i="3" s="1"/>
  <c r="AA624" i="3" s="1"/>
  <c r="H624" i="3"/>
  <c r="T624" i="3"/>
  <c r="V627" i="2" l="1"/>
  <c r="T626" i="2"/>
  <c r="D625" i="4"/>
  <c r="F624" i="3"/>
  <c r="D625" i="3"/>
  <c r="M629" i="2"/>
  <c r="J628" i="2"/>
  <c r="O623" i="3"/>
  <c r="H624" i="4" s="1"/>
  <c r="I623" i="3"/>
  <c r="F624" i="4" s="1"/>
  <c r="U623" i="3"/>
  <c r="J624" i="4" s="1"/>
  <c r="G625" i="4"/>
  <c r="L625" i="4" s="1"/>
  <c r="I625" i="4"/>
  <c r="M625" i="4" s="1"/>
  <c r="K625" i="4"/>
  <c r="N625" i="4" s="1"/>
  <c r="K629" i="2"/>
  <c r="H628" i="2"/>
  <c r="C625" i="4"/>
  <c r="AB624" i="3"/>
  <c r="E625" i="4" s="1"/>
  <c r="C631" i="2"/>
  <c r="G628" i="2"/>
  <c r="D629" i="2"/>
  <c r="E628" i="2"/>
  <c r="A626" i="4"/>
  <c r="G625" i="3"/>
  <c r="S625" i="3"/>
  <c r="Y625" i="3" s="1"/>
  <c r="Z625" i="3" s="1"/>
  <c r="AA625" i="3" s="1"/>
  <c r="H625" i="3"/>
  <c r="T625" i="3"/>
  <c r="J625" i="3"/>
  <c r="V625" i="3"/>
  <c r="M625" i="3"/>
  <c r="N625" i="3"/>
  <c r="C625" i="3"/>
  <c r="P625" i="3"/>
  <c r="E625" i="3"/>
  <c r="I627" i="2"/>
  <c r="F627" i="2" s="1"/>
  <c r="L628" i="2"/>
  <c r="V628" i="2" l="1"/>
  <c r="T627" i="2"/>
  <c r="D626" i="4"/>
  <c r="L629" i="2"/>
  <c r="I628" i="2"/>
  <c r="F628" i="2" s="1"/>
  <c r="M630" i="2"/>
  <c r="J629" i="2"/>
  <c r="G629" i="2" s="1"/>
  <c r="A627" i="4"/>
  <c r="P626" i="3"/>
  <c r="E626" i="3"/>
  <c r="G626" i="3"/>
  <c r="S626" i="3"/>
  <c r="Y626" i="3" s="1"/>
  <c r="Z626" i="3" s="1"/>
  <c r="AA626" i="3" s="1"/>
  <c r="H626" i="3"/>
  <c r="T626" i="3"/>
  <c r="J626" i="3"/>
  <c r="V626" i="3"/>
  <c r="M626" i="3"/>
  <c r="N626" i="3"/>
  <c r="C626" i="3"/>
  <c r="G626" i="4"/>
  <c r="L626" i="4" s="1"/>
  <c r="I626" i="4"/>
  <c r="M626" i="4" s="1"/>
  <c r="K626" i="4"/>
  <c r="N626" i="4" s="1"/>
  <c r="K630" i="2"/>
  <c r="H629" i="2"/>
  <c r="D626" i="3"/>
  <c r="F625" i="3"/>
  <c r="C632" i="2"/>
  <c r="O624" i="3"/>
  <c r="H625" i="4" s="1"/>
  <c r="I624" i="3"/>
  <c r="F625" i="4" s="1"/>
  <c r="U624" i="3"/>
  <c r="J625" i="4" s="1"/>
  <c r="C626" i="4"/>
  <c r="AB625" i="3"/>
  <c r="E626" i="4" s="1"/>
  <c r="D630" i="2"/>
  <c r="E629" i="2"/>
  <c r="V629" i="2" l="1"/>
  <c r="T628" i="2"/>
  <c r="D627" i="4"/>
  <c r="A628" i="4"/>
  <c r="M627" i="3"/>
  <c r="N627" i="3"/>
  <c r="C627" i="3"/>
  <c r="P627" i="3"/>
  <c r="E627" i="3"/>
  <c r="G627" i="3"/>
  <c r="S627" i="3"/>
  <c r="Y627" i="3" s="1"/>
  <c r="Z627" i="3" s="1"/>
  <c r="AA627" i="3" s="1"/>
  <c r="H627" i="3"/>
  <c r="T627" i="3"/>
  <c r="J627" i="3"/>
  <c r="V627" i="3"/>
  <c r="G627" i="4"/>
  <c r="L627" i="4" s="1"/>
  <c r="K627" i="4"/>
  <c r="N627" i="4" s="1"/>
  <c r="I627" i="4"/>
  <c r="M627" i="4" s="1"/>
  <c r="C627" i="4"/>
  <c r="AB626" i="3"/>
  <c r="E627" i="4" s="1"/>
  <c r="J630" i="2"/>
  <c r="G630" i="2" s="1"/>
  <c r="M631" i="2"/>
  <c r="C633" i="2"/>
  <c r="L630" i="2"/>
  <c r="I629" i="2"/>
  <c r="F629" i="2" s="1"/>
  <c r="I625" i="3"/>
  <c r="F626" i="4" s="1"/>
  <c r="U625" i="3"/>
  <c r="J626" i="4" s="1"/>
  <c r="O625" i="3"/>
  <c r="H626" i="4" s="1"/>
  <c r="F626" i="3"/>
  <c r="D627" i="3"/>
  <c r="D631" i="2"/>
  <c r="K631" i="2"/>
  <c r="H630" i="2"/>
  <c r="E630" i="2" s="1"/>
  <c r="V630" i="2" l="1"/>
  <c r="T629" i="2"/>
  <c r="D628" i="4"/>
  <c r="A629" i="4"/>
  <c r="J628" i="3"/>
  <c r="V628" i="3"/>
  <c r="M628" i="3"/>
  <c r="N628" i="3"/>
  <c r="C628" i="3"/>
  <c r="P628" i="3"/>
  <c r="E628" i="3"/>
  <c r="G628" i="3"/>
  <c r="S628" i="3"/>
  <c r="Y628" i="3" s="1"/>
  <c r="Z628" i="3" s="1"/>
  <c r="AA628" i="3" s="1"/>
  <c r="H628" i="3"/>
  <c r="T628" i="3"/>
  <c r="C628" i="4"/>
  <c r="AB627" i="3"/>
  <c r="E628" i="4" s="1"/>
  <c r="D632" i="2"/>
  <c r="F627" i="3"/>
  <c r="D628" i="3"/>
  <c r="I626" i="3"/>
  <c r="F627" i="4" s="1"/>
  <c r="U626" i="3"/>
  <c r="J627" i="4" s="1"/>
  <c r="O626" i="3"/>
  <c r="H627" i="4" s="1"/>
  <c r="I630" i="2"/>
  <c r="F630" i="2" s="1"/>
  <c r="L631" i="2"/>
  <c r="C634" i="2"/>
  <c r="G628" i="4"/>
  <c r="L628" i="4" s="1"/>
  <c r="I628" i="4"/>
  <c r="M628" i="4" s="1"/>
  <c r="K628" i="4"/>
  <c r="N628" i="4" s="1"/>
  <c r="K632" i="2"/>
  <c r="H631" i="2"/>
  <c r="E631" i="2" s="1"/>
  <c r="M632" i="2"/>
  <c r="J631" i="2"/>
  <c r="G631" i="2" s="1"/>
  <c r="V631" i="2" l="1"/>
  <c r="T630" i="2"/>
  <c r="D629" i="4"/>
  <c r="D633" i="2"/>
  <c r="F628" i="3"/>
  <c r="D629" i="3"/>
  <c r="C635" i="2"/>
  <c r="C629" i="4"/>
  <c r="AB628" i="3"/>
  <c r="E629" i="4" s="1"/>
  <c r="A630" i="4"/>
  <c r="G629" i="3"/>
  <c r="S629" i="3"/>
  <c r="Y629" i="3" s="1"/>
  <c r="Z629" i="3" s="1"/>
  <c r="AA629" i="3" s="1"/>
  <c r="H629" i="3"/>
  <c r="T629" i="3"/>
  <c r="J629" i="3"/>
  <c r="V629" i="3"/>
  <c r="M629" i="3"/>
  <c r="N629" i="3"/>
  <c r="C629" i="3"/>
  <c r="P629" i="3"/>
  <c r="E629" i="3"/>
  <c r="K629" i="4"/>
  <c r="N629" i="4" s="1"/>
  <c r="I629" i="4"/>
  <c r="M629" i="4" s="1"/>
  <c r="G629" i="4"/>
  <c r="L629" i="4" s="1"/>
  <c r="M633" i="2"/>
  <c r="J632" i="2"/>
  <c r="G632" i="2" s="1"/>
  <c r="I631" i="2"/>
  <c r="F631" i="2" s="1"/>
  <c r="L632" i="2"/>
  <c r="K633" i="2"/>
  <c r="H632" i="2"/>
  <c r="E632" i="2" s="1"/>
  <c r="O627" i="3"/>
  <c r="H628" i="4" s="1"/>
  <c r="I627" i="3"/>
  <c r="F628" i="4" s="1"/>
  <c r="U627" i="3"/>
  <c r="J628" i="4" s="1"/>
  <c r="V632" i="2" l="1"/>
  <c r="T631" i="2"/>
  <c r="D630" i="4"/>
  <c r="C636" i="2"/>
  <c r="D630" i="3"/>
  <c r="F629" i="3"/>
  <c r="O628" i="3"/>
  <c r="H629" i="4" s="1"/>
  <c r="I628" i="3"/>
  <c r="F629" i="4" s="1"/>
  <c r="U628" i="3"/>
  <c r="J629" i="4" s="1"/>
  <c r="J633" i="2"/>
  <c r="G633" i="2" s="1"/>
  <c r="M634" i="2"/>
  <c r="C630" i="4"/>
  <c r="AB629" i="3"/>
  <c r="E630" i="4" s="1"/>
  <c r="D634" i="2"/>
  <c r="A631" i="4"/>
  <c r="P630" i="3"/>
  <c r="E630" i="3"/>
  <c r="G630" i="3"/>
  <c r="S630" i="3"/>
  <c r="Y630" i="3" s="1"/>
  <c r="Z630" i="3" s="1"/>
  <c r="AA630" i="3" s="1"/>
  <c r="H630" i="3"/>
  <c r="T630" i="3"/>
  <c r="J630" i="3"/>
  <c r="V630" i="3"/>
  <c r="M630" i="3"/>
  <c r="N630" i="3"/>
  <c r="C630" i="3"/>
  <c r="I630" i="4"/>
  <c r="M630" i="4" s="1"/>
  <c r="K630" i="4"/>
  <c r="N630" i="4" s="1"/>
  <c r="G630" i="4"/>
  <c r="L630" i="4" s="1"/>
  <c r="K634" i="2"/>
  <c r="H633" i="2"/>
  <c r="E633" i="2" s="1"/>
  <c r="L633" i="2"/>
  <c r="I632" i="2"/>
  <c r="F632" i="2" s="1"/>
  <c r="V633" i="2" l="1"/>
  <c r="T632" i="2"/>
  <c r="D631" i="4"/>
  <c r="M635" i="2"/>
  <c r="J634" i="2"/>
  <c r="G634" i="2" s="1"/>
  <c r="I629" i="3"/>
  <c r="F630" i="4" s="1"/>
  <c r="U629" i="3"/>
  <c r="J630" i="4" s="1"/>
  <c r="O629" i="3"/>
  <c r="H630" i="4" s="1"/>
  <c r="G631" i="4"/>
  <c r="L631" i="4" s="1"/>
  <c r="I631" i="4"/>
  <c r="M631" i="4" s="1"/>
  <c r="K631" i="4"/>
  <c r="N631" i="4" s="1"/>
  <c r="F630" i="3"/>
  <c r="D631" i="3"/>
  <c r="C637" i="2"/>
  <c r="C631" i="4"/>
  <c r="AB630" i="3"/>
  <c r="E631" i="4" s="1"/>
  <c r="I633" i="2"/>
  <c r="F633" i="2" s="1"/>
  <c r="L634" i="2"/>
  <c r="K635" i="2"/>
  <c r="H634" i="2"/>
  <c r="E634" i="2" s="1"/>
  <c r="D635" i="2"/>
  <c r="A632" i="4"/>
  <c r="M631" i="3"/>
  <c r="N631" i="3"/>
  <c r="C631" i="3"/>
  <c r="P631" i="3"/>
  <c r="E631" i="3"/>
  <c r="G631" i="3"/>
  <c r="S631" i="3"/>
  <c r="Y631" i="3" s="1"/>
  <c r="Z631" i="3" s="1"/>
  <c r="AA631" i="3" s="1"/>
  <c r="H631" i="3"/>
  <c r="T631" i="3"/>
  <c r="J631" i="3"/>
  <c r="V631" i="3"/>
  <c r="V634" i="2" l="1"/>
  <c r="T633" i="2"/>
  <c r="D632" i="4"/>
  <c r="C632" i="4"/>
  <c r="AB631" i="3"/>
  <c r="E632" i="4" s="1"/>
  <c r="A633" i="4"/>
  <c r="J632" i="3"/>
  <c r="V632" i="3"/>
  <c r="M632" i="3"/>
  <c r="N632" i="3"/>
  <c r="C632" i="3"/>
  <c r="P632" i="3"/>
  <c r="E632" i="3"/>
  <c r="G632" i="3"/>
  <c r="S632" i="3"/>
  <c r="Y632" i="3" s="1"/>
  <c r="Z632" i="3" s="1"/>
  <c r="AA632" i="3" s="1"/>
  <c r="H632" i="3"/>
  <c r="T632" i="3"/>
  <c r="C638" i="2"/>
  <c r="I634" i="2"/>
  <c r="F634" i="2" s="1"/>
  <c r="L635" i="2"/>
  <c r="G635" i="2"/>
  <c r="D636" i="2"/>
  <c r="F631" i="3"/>
  <c r="D632" i="3"/>
  <c r="M636" i="2"/>
  <c r="J635" i="2"/>
  <c r="K636" i="2"/>
  <c r="H635" i="2"/>
  <c r="E635" i="2" s="1"/>
  <c r="I630" i="3"/>
  <c r="F631" i="4" s="1"/>
  <c r="U630" i="3"/>
  <c r="J631" i="4" s="1"/>
  <c r="O630" i="3"/>
  <c r="H631" i="4" s="1"/>
  <c r="G632" i="4"/>
  <c r="L632" i="4" s="1"/>
  <c r="I632" i="4"/>
  <c r="M632" i="4" s="1"/>
  <c r="K632" i="4"/>
  <c r="N632" i="4" s="1"/>
  <c r="V635" i="2" l="1"/>
  <c r="T634" i="2"/>
  <c r="D633" i="4"/>
  <c r="L636" i="2"/>
  <c r="I635" i="2"/>
  <c r="F635" i="2" s="1"/>
  <c r="C633" i="4"/>
  <c r="AB632" i="3"/>
  <c r="E633" i="4" s="1"/>
  <c r="K637" i="2"/>
  <c r="H636" i="2"/>
  <c r="E636" i="2" s="1"/>
  <c r="C639" i="2"/>
  <c r="F632" i="3"/>
  <c r="D633" i="3"/>
  <c r="G633" i="4"/>
  <c r="L633" i="4" s="1"/>
  <c r="K633" i="4"/>
  <c r="N633" i="4" s="1"/>
  <c r="I633" i="4"/>
  <c r="M633" i="4" s="1"/>
  <c r="J636" i="2"/>
  <c r="G636" i="2" s="1"/>
  <c r="M637" i="2"/>
  <c r="O631" i="3"/>
  <c r="H632" i="4" s="1"/>
  <c r="I631" i="3"/>
  <c r="F632" i="4" s="1"/>
  <c r="U631" i="3"/>
  <c r="J632" i="4" s="1"/>
  <c r="D637" i="2"/>
  <c r="A634" i="4"/>
  <c r="G633" i="3"/>
  <c r="S633" i="3"/>
  <c r="Y633" i="3" s="1"/>
  <c r="Z633" i="3" s="1"/>
  <c r="AA633" i="3" s="1"/>
  <c r="H633" i="3"/>
  <c r="T633" i="3"/>
  <c r="J633" i="3"/>
  <c r="V633" i="3"/>
  <c r="M633" i="3"/>
  <c r="N633" i="3"/>
  <c r="C633" i="3"/>
  <c r="P633" i="3"/>
  <c r="E633" i="3"/>
  <c r="V636" i="2" l="1"/>
  <c r="T635" i="2"/>
  <c r="D634" i="4"/>
  <c r="O632" i="3"/>
  <c r="H633" i="4" s="1"/>
  <c r="U632" i="3"/>
  <c r="J633" i="4" s="1"/>
  <c r="I632" i="3"/>
  <c r="F633" i="4" s="1"/>
  <c r="C640" i="2"/>
  <c r="M638" i="2"/>
  <c r="J637" i="2"/>
  <c r="K638" i="2"/>
  <c r="H637" i="2"/>
  <c r="E637" i="2" s="1"/>
  <c r="I636" i="2"/>
  <c r="F636" i="2" s="1"/>
  <c r="L637" i="2"/>
  <c r="A635" i="4"/>
  <c r="P634" i="3"/>
  <c r="E634" i="3"/>
  <c r="G634" i="3"/>
  <c r="S634" i="3"/>
  <c r="Y634" i="3" s="1"/>
  <c r="Z634" i="3" s="1"/>
  <c r="AA634" i="3" s="1"/>
  <c r="H634" i="3"/>
  <c r="T634" i="3"/>
  <c r="J634" i="3"/>
  <c r="V634" i="3"/>
  <c r="M634" i="3"/>
  <c r="N634" i="3"/>
  <c r="C634" i="3"/>
  <c r="K634" i="4"/>
  <c r="N634" i="4" s="1"/>
  <c r="G634" i="4"/>
  <c r="L634" i="4" s="1"/>
  <c r="I634" i="4"/>
  <c r="M634" i="4" s="1"/>
  <c r="C634" i="4"/>
  <c r="AB633" i="3"/>
  <c r="E634" i="4" s="1"/>
  <c r="G637" i="2"/>
  <c r="D638" i="2"/>
  <c r="D634" i="3"/>
  <c r="F633" i="3"/>
  <c r="V637" i="2" l="1"/>
  <c r="T636" i="2"/>
  <c r="D635" i="4"/>
  <c r="K639" i="2"/>
  <c r="H638" i="2"/>
  <c r="M639" i="2"/>
  <c r="J638" i="2"/>
  <c r="I633" i="3"/>
  <c r="F634" i="4" s="1"/>
  <c r="U633" i="3"/>
  <c r="J634" i="4" s="1"/>
  <c r="O633" i="3"/>
  <c r="H634" i="4" s="1"/>
  <c r="A636" i="4"/>
  <c r="M635" i="3"/>
  <c r="N635" i="3"/>
  <c r="C635" i="3"/>
  <c r="P635" i="3"/>
  <c r="E635" i="3"/>
  <c r="G635" i="3"/>
  <c r="S635" i="3"/>
  <c r="Y635" i="3" s="1"/>
  <c r="Z635" i="3" s="1"/>
  <c r="AA635" i="3" s="1"/>
  <c r="H635" i="3"/>
  <c r="T635" i="3"/>
  <c r="J635" i="3"/>
  <c r="V635" i="3"/>
  <c r="C641" i="2"/>
  <c r="I635" i="4"/>
  <c r="M635" i="4" s="1"/>
  <c r="K635" i="4"/>
  <c r="N635" i="4" s="1"/>
  <c r="G635" i="4"/>
  <c r="L635" i="4" s="1"/>
  <c r="I637" i="2"/>
  <c r="F637" i="2" s="1"/>
  <c r="L638" i="2"/>
  <c r="F634" i="3"/>
  <c r="D635" i="3"/>
  <c r="G638" i="2"/>
  <c r="D639" i="2"/>
  <c r="E638" i="2"/>
  <c r="C635" i="4"/>
  <c r="AB634" i="3"/>
  <c r="E635" i="4" s="1"/>
  <c r="V638" i="2" l="1"/>
  <c r="T637" i="2"/>
  <c r="D636" i="4"/>
  <c r="F635" i="3"/>
  <c r="D636" i="3"/>
  <c r="C636" i="4"/>
  <c r="AB635" i="3"/>
  <c r="E636" i="4" s="1"/>
  <c r="G636" i="4"/>
  <c r="L636" i="4" s="1"/>
  <c r="I636" i="4"/>
  <c r="M636" i="4" s="1"/>
  <c r="K636" i="4"/>
  <c r="N636" i="4" s="1"/>
  <c r="I634" i="3"/>
  <c r="F635" i="4" s="1"/>
  <c r="U634" i="3"/>
  <c r="J635" i="4" s="1"/>
  <c r="O634" i="3"/>
  <c r="H635" i="4" s="1"/>
  <c r="L639" i="2"/>
  <c r="I638" i="2"/>
  <c r="F638" i="2" s="1"/>
  <c r="J639" i="2"/>
  <c r="G639" i="2" s="1"/>
  <c r="M640" i="2"/>
  <c r="A637" i="4"/>
  <c r="J636" i="3"/>
  <c r="V636" i="3"/>
  <c r="M636" i="3"/>
  <c r="N636" i="3"/>
  <c r="C636" i="3"/>
  <c r="P636" i="3"/>
  <c r="E636" i="3"/>
  <c r="G636" i="3"/>
  <c r="S636" i="3"/>
  <c r="Y636" i="3" s="1"/>
  <c r="Z636" i="3" s="1"/>
  <c r="AA636" i="3" s="1"/>
  <c r="H636" i="3"/>
  <c r="T636" i="3"/>
  <c r="K640" i="2"/>
  <c r="H639" i="2"/>
  <c r="E639" i="2" s="1"/>
  <c r="D640" i="2"/>
  <c r="C642" i="2"/>
  <c r="V639" i="2" l="1"/>
  <c r="T638" i="2"/>
  <c r="D637" i="4"/>
  <c r="D641" i="2"/>
  <c r="G637" i="4"/>
  <c r="L637" i="4" s="1"/>
  <c r="I637" i="4"/>
  <c r="M637" i="4" s="1"/>
  <c r="K637" i="4"/>
  <c r="N637" i="4" s="1"/>
  <c r="C643" i="2"/>
  <c r="A638" i="4"/>
  <c r="G637" i="3"/>
  <c r="S637" i="3"/>
  <c r="Y637" i="3" s="1"/>
  <c r="Z637" i="3" s="1"/>
  <c r="AA637" i="3" s="1"/>
  <c r="H637" i="3"/>
  <c r="T637" i="3"/>
  <c r="J637" i="3"/>
  <c r="V637" i="3"/>
  <c r="M637" i="3"/>
  <c r="N637" i="3"/>
  <c r="C637" i="3"/>
  <c r="P637" i="3"/>
  <c r="E637" i="3"/>
  <c r="I639" i="2"/>
  <c r="F639" i="2" s="1"/>
  <c r="L640" i="2"/>
  <c r="F636" i="3"/>
  <c r="D637" i="3"/>
  <c r="K641" i="2"/>
  <c r="H640" i="2"/>
  <c r="E640" i="2" s="1"/>
  <c r="O635" i="3"/>
  <c r="H636" i="4" s="1"/>
  <c r="I635" i="3"/>
  <c r="F636" i="4" s="1"/>
  <c r="U635" i="3"/>
  <c r="J636" i="4" s="1"/>
  <c r="C637" i="4"/>
  <c r="AB636" i="3"/>
  <c r="E637" i="4" s="1"/>
  <c r="M641" i="2"/>
  <c r="J640" i="2"/>
  <c r="G640" i="2" s="1"/>
  <c r="V640" i="2" l="1"/>
  <c r="T639" i="2"/>
  <c r="D638" i="4"/>
  <c r="K642" i="2"/>
  <c r="H641" i="2"/>
  <c r="E641" i="2" s="1"/>
  <c r="D638" i="3"/>
  <c r="F637" i="3"/>
  <c r="I640" i="2"/>
  <c r="F640" i="2" s="1"/>
  <c r="L641" i="2"/>
  <c r="A639" i="4"/>
  <c r="P638" i="3"/>
  <c r="E638" i="3"/>
  <c r="G638" i="3"/>
  <c r="S638" i="3"/>
  <c r="Y638" i="3" s="1"/>
  <c r="Z638" i="3" s="1"/>
  <c r="AA638" i="3" s="1"/>
  <c r="H638" i="3"/>
  <c r="T638" i="3"/>
  <c r="J638" i="3"/>
  <c r="V638" i="3"/>
  <c r="M638" i="3"/>
  <c r="N638" i="3"/>
  <c r="C638" i="3"/>
  <c r="G638" i="4"/>
  <c r="L638" i="4" s="1"/>
  <c r="I638" i="4"/>
  <c r="M638" i="4" s="1"/>
  <c r="K638" i="4"/>
  <c r="N638" i="4" s="1"/>
  <c r="D642" i="2"/>
  <c r="M642" i="2"/>
  <c r="J641" i="2"/>
  <c r="G641" i="2" s="1"/>
  <c r="C638" i="4"/>
  <c r="AB637" i="3"/>
  <c r="E638" i="4" s="1"/>
  <c r="O636" i="3"/>
  <c r="H637" i="4" s="1"/>
  <c r="I636" i="3"/>
  <c r="F637" i="4" s="1"/>
  <c r="U636" i="3"/>
  <c r="J637" i="4" s="1"/>
  <c r="C644" i="2"/>
  <c r="V641" i="2" l="1"/>
  <c r="T640" i="2"/>
  <c r="D639" i="4"/>
  <c r="G639" i="4"/>
  <c r="L639" i="4" s="1"/>
  <c r="I639" i="4"/>
  <c r="M639" i="4" s="1"/>
  <c r="K639" i="4"/>
  <c r="N639" i="4" s="1"/>
  <c r="L642" i="2"/>
  <c r="I641" i="2"/>
  <c r="F641" i="2" s="1"/>
  <c r="C639" i="4"/>
  <c r="AB638" i="3"/>
  <c r="E639" i="4" s="1"/>
  <c r="I637" i="3"/>
  <c r="F638" i="4" s="1"/>
  <c r="U637" i="3"/>
  <c r="J638" i="4" s="1"/>
  <c r="O637" i="3"/>
  <c r="H638" i="4" s="1"/>
  <c r="F638" i="3"/>
  <c r="D639" i="3"/>
  <c r="C645" i="2"/>
  <c r="A640" i="4"/>
  <c r="M639" i="3"/>
  <c r="N639" i="3"/>
  <c r="C639" i="3"/>
  <c r="P639" i="3"/>
  <c r="E639" i="3"/>
  <c r="G639" i="3"/>
  <c r="S639" i="3"/>
  <c r="Y639" i="3" s="1"/>
  <c r="Z639" i="3" s="1"/>
  <c r="AA639" i="3" s="1"/>
  <c r="H639" i="3"/>
  <c r="T639" i="3"/>
  <c r="J639" i="3"/>
  <c r="V639" i="3"/>
  <c r="D643" i="2"/>
  <c r="K643" i="2"/>
  <c r="H642" i="2"/>
  <c r="E642" i="2" s="1"/>
  <c r="J642" i="2"/>
  <c r="G642" i="2" s="1"/>
  <c r="M643" i="2"/>
  <c r="V642" i="2" l="1"/>
  <c r="T641" i="2"/>
  <c r="D640" i="4"/>
  <c r="D644" i="2"/>
  <c r="C640" i="4"/>
  <c r="AB639" i="3"/>
  <c r="E640" i="4" s="1"/>
  <c r="K640" i="4"/>
  <c r="N640" i="4" s="1"/>
  <c r="G640" i="4"/>
  <c r="L640" i="4" s="1"/>
  <c r="I640" i="4"/>
  <c r="M640" i="4" s="1"/>
  <c r="I642" i="2"/>
  <c r="F642" i="2" s="1"/>
  <c r="L643" i="2"/>
  <c r="C646" i="2"/>
  <c r="F639" i="3"/>
  <c r="D640" i="3"/>
  <c r="I638" i="3"/>
  <c r="F639" i="4" s="1"/>
  <c r="U638" i="3"/>
  <c r="J639" i="4" s="1"/>
  <c r="O638" i="3"/>
  <c r="H639" i="4" s="1"/>
  <c r="M644" i="2"/>
  <c r="J643" i="2"/>
  <c r="G643" i="2" s="1"/>
  <c r="K644" i="2"/>
  <c r="H643" i="2"/>
  <c r="E643" i="2" s="1"/>
  <c r="A641" i="4"/>
  <c r="J640" i="3"/>
  <c r="V640" i="3"/>
  <c r="M640" i="3"/>
  <c r="N640" i="3"/>
  <c r="C640" i="3"/>
  <c r="P640" i="3"/>
  <c r="E640" i="3"/>
  <c r="G640" i="3"/>
  <c r="S640" i="3"/>
  <c r="Y640" i="3" s="1"/>
  <c r="Z640" i="3" s="1"/>
  <c r="AA640" i="3" s="1"/>
  <c r="H640" i="3"/>
  <c r="T640" i="3"/>
  <c r="V643" i="2" l="1"/>
  <c r="T642" i="2"/>
  <c r="D641" i="4"/>
  <c r="C641" i="4"/>
  <c r="AB640" i="3"/>
  <c r="E641" i="4" s="1"/>
  <c r="I641" i="4"/>
  <c r="M641" i="4" s="1"/>
  <c r="K641" i="4"/>
  <c r="N641" i="4" s="1"/>
  <c r="G641" i="4"/>
  <c r="L641" i="4" s="1"/>
  <c r="C647" i="2"/>
  <c r="F640" i="3"/>
  <c r="D641" i="3"/>
  <c r="O639" i="3"/>
  <c r="H640" i="4" s="1"/>
  <c r="I639" i="3"/>
  <c r="F640" i="4" s="1"/>
  <c r="U639" i="3"/>
  <c r="J640" i="4" s="1"/>
  <c r="I643" i="2"/>
  <c r="F643" i="2" s="1"/>
  <c r="L644" i="2"/>
  <c r="D645" i="2"/>
  <c r="K645" i="2"/>
  <c r="H644" i="2"/>
  <c r="E644" i="2" s="1"/>
  <c r="M645" i="2"/>
  <c r="J644" i="2"/>
  <c r="G644" i="2" s="1"/>
  <c r="A642" i="4"/>
  <c r="G641" i="3"/>
  <c r="S641" i="3"/>
  <c r="Y641" i="3" s="1"/>
  <c r="Z641" i="3" s="1"/>
  <c r="AA641" i="3" s="1"/>
  <c r="H641" i="3"/>
  <c r="T641" i="3"/>
  <c r="J641" i="3"/>
  <c r="V641" i="3"/>
  <c r="M641" i="3"/>
  <c r="N641" i="3"/>
  <c r="C641" i="3"/>
  <c r="P641" i="3"/>
  <c r="E641" i="3"/>
  <c r="V644" i="2" l="1"/>
  <c r="T643" i="2"/>
  <c r="D642" i="4"/>
  <c r="D646" i="2"/>
  <c r="L645" i="2"/>
  <c r="I644" i="2"/>
  <c r="F644" i="2" s="1"/>
  <c r="A643" i="4"/>
  <c r="P642" i="3"/>
  <c r="E642" i="3"/>
  <c r="G642" i="3"/>
  <c r="S642" i="3"/>
  <c r="Y642" i="3" s="1"/>
  <c r="Z642" i="3" s="1"/>
  <c r="AA642" i="3" s="1"/>
  <c r="H642" i="3"/>
  <c r="T642" i="3"/>
  <c r="J642" i="3"/>
  <c r="V642" i="3"/>
  <c r="M642" i="3"/>
  <c r="N642" i="3"/>
  <c r="C642" i="3"/>
  <c r="G642" i="4"/>
  <c r="L642" i="4" s="1"/>
  <c r="I642" i="4"/>
  <c r="M642" i="4" s="1"/>
  <c r="K642" i="4"/>
  <c r="N642" i="4" s="1"/>
  <c r="D642" i="3"/>
  <c r="F641" i="3"/>
  <c r="J645" i="2"/>
  <c r="G645" i="2" s="1"/>
  <c r="M646" i="2"/>
  <c r="K646" i="2"/>
  <c r="H645" i="2"/>
  <c r="E645" i="2" s="1"/>
  <c r="O640" i="3"/>
  <c r="H641" i="4" s="1"/>
  <c r="I640" i="3"/>
  <c r="F641" i="4" s="1"/>
  <c r="U640" i="3"/>
  <c r="J641" i="4" s="1"/>
  <c r="C642" i="4"/>
  <c r="AB641" i="3"/>
  <c r="E642" i="4" s="1"/>
  <c r="C648" i="2"/>
  <c r="V645" i="2" l="1"/>
  <c r="T644" i="2"/>
  <c r="D643" i="4"/>
  <c r="G643" i="4"/>
  <c r="L643" i="4" s="1"/>
  <c r="I643" i="4"/>
  <c r="M643" i="4" s="1"/>
  <c r="K643" i="4"/>
  <c r="N643" i="4" s="1"/>
  <c r="C643" i="4"/>
  <c r="AB642" i="3"/>
  <c r="E643" i="4" s="1"/>
  <c r="I645" i="2"/>
  <c r="F645" i="2" s="1"/>
  <c r="L646" i="2"/>
  <c r="M647" i="2"/>
  <c r="J646" i="2"/>
  <c r="I641" i="3"/>
  <c r="F642" i="4" s="1"/>
  <c r="U641" i="3"/>
  <c r="J642" i="4" s="1"/>
  <c r="O641" i="3"/>
  <c r="H642" i="4" s="1"/>
  <c r="K647" i="2"/>
  <c r="H646" i="2"/>
  <c r="E646" i="2" s="1"/>
  <c r="C649" i="2"/>
  <c r="F642" i="3"/>
  <c r="D643" i="3"/>
  <c r="G646" i="2"/>
  <c r="D647" i="2"/>
  <c r="A644" i="4"/>
  <c r="M643" i="3"/>
  <c r="N643" i="3"/>
  <c r="C643" i="3"/>
  <c r="P643" i="3"/>
  <c r="E643" i="3"/>
  <c r="G643" i="3"/>
  <c r="S643" i="3"/>
  <c r="Y643" i="3" s="1"/>
  <c r="Z643" i="3" s="1"/>
  <c r="AA643" i="3" s="1"/>
  <c r="H643" i="3"/>
  <c r="T643" i="3"/>
  <c r="J643" i="3"/>
  <c r="V643" i="3"/>
  <c r="V646" i="2" l="1"/>
  <c r="T645" i="2"/>
  <c r="D644" i="4"/>
  <c r="A645" i="4"/>
  <c r="J644" i="3"/>
  <c r="V644" i="3"/>
  <c r="M644" i="3"/>
  <c r="N644" i="3"/>
  <c r="C644" i="3"/>
  <c r="P644" i="3"/>
  <c r="E644" i="3"/>
  <c r="G644" i="3"/>
  <c r="S644" i="3"/>
  <c r="Y644" i="3" s="1"/>
  <c r="Z644" i="3" s="1"/>
  <c r="AA644" i="3" s="1"/>
  <c r="H644" i="3"/>
  <c r="T644" i="3"/>
  <c r="I642" i="3"/>
  <c r="F643" i="4" s="1"/>
  <c r="U642" i="3"/>
  <c r="J643" i="4" s="1"/>
  <c r="O642" i="3"/>
  <c r="H643" i="4" s="1"/>
  <c r="I646" i="2"/>
  <c r="F646" i="2" s="1"/>
  <c r="L647" i="2"/>
  <c r="C650" i="2"/>
  <c r="C644" i="4"/>
  <c r="AB643" i="3"/>
  <c r="E644" i="4" s="1"/>
  <c r="G644" i="4"/>
  <c r="L644" i="4" s="1"/>
  <c r="I644" i="4"/>
  <c r="M644" i="4" s="1"/>
  <c r="K644" i="4"/>
  <c r="N644" i="4" s="1"/>
  <c r="K648" i="2"/>
  <c r="H647" i="2"/>
  <c r="E647" i="2" s="1"/>
  <c r="F643" i="3"/>
  <c r="D644" i="3"/>
  <c r="D648" i="2"/>
  <c r="M648" i="2"/>
  <c r="J647" i="2"/>
  <c r="G647" i="2" s="1"/>
  <c r="V647" i="2" l="1"/>
  <c r="T646" i="2"/>
  <c r="D645" i="4"/>
  <c r="F644" i="3"/>
  <c r="D645" i="3"/>
  <c r="C651" i="2"/>
  <c r="A646" i="4"/>
  <c r="G645" i="3"/>
  <c r="S645" i="3"/>
  <c r="Y645" i="3" s="1"/>
  <c r="Z645" i="3" s="1"/>
  <c r="AA645" i="3" s="1"/>
  <c r="H645" i="3"/>
  <c r="T645" i="3"/>
  <c r="J645" i="3"/>
  <c r="V645" i="3"/>
  <c r="M645" i="3"/>
  <c r="N645" i="3"/>
  <c r="C645" i="3"/>
  <c r="P645" i="3"/>
  <c r="E645" i="3"/>
  <c r="L648" i="2"/>
  <c r="I647" i="2"/>
  <c r="F647" i="2" s="1"/>
  <c r="O643" i="3"/>
  <c r="H644" i="4" s="1"/>
  <c r="I643" i="3"/>
  <c r="F644" i="4" s="1"/>
  <c r="U643" i="3"/>
  <c r="J644" i="4" s="1"/>
  <c r="C645" i="4"/>
  <c r="AB644" i="3"/>
  <c r="E645" i="4" s="1"/>
  <c r="G645" i="4"/>
  <c r="L645" i="4" s="1"/>
  <c r="I645" i="4"/>
  <c r="M645" i="4" s="1"/>
  <c r="K645" i="4"/>
  <c r="N645" i="4" s="1"/>
  <c r="K649" i="2"/>
  <c r="H648" i="2"/>
  <c r="E648" i="2" s="1"/>
  <c r="D649" i="2"/>
  <c r="J648" i="2"/>
  <c r="G648" i="2" s="1"/>
  <c r="M649" i="2"/>
  <c r="V648" i="2" l="1"/>
  <c r="T647" i="2"/>
  <c r="D646" i="4"/>
  <c r="I648" i="2"/>
  <c r="F648" i="2" s="1"/>
  <c r="L649" i="2"/>
  <c r="A647" i="4"/>
  <c r="P646" i="3"/>
  <c r="E646" i="3"/>
  <c r="G646" i="3"/>
  <c r="S646" i="3"/>
  <c r="Y646" i="3" s="1"/>
  <c r="Z646" i="3" s="1"/>
  <c r="AA646" i="3" s="1"/>
  <c r="H646" i="3"/>
  <c r="T646" i="3"/>
  <c r="J646" i="3"/>
  <c r="V646" i="3"/>
  <c r="M646" i="3"/>
  <c r="N646" i="3"/>
  <c r="C646" i="3"/>
  <c r="K646" i="4"/>
  <c r="N646" i="4" s="1"/>
  <c r="G646" i="4"/>
  <c r="L646" i="4" s="1"/>
  <c r="I646" i="4"/>
  <c r="M646" i="4" s="1"/>
  <c r="C652" i="2"/>
  <c r="M650" i="2"/>
  <c r="J649" i="2"/>
  <c r="G649" i="2" s="1"/>
  <c r="K650" i="2"/>
  <c r="H649" i="2"/>
  <c r="D646" i="3"/>
  <c r="F645" i="3"/>
  <c r="C646" i="4"/>
  <c r="AB645" i="3"/>
  <c r="E646" i="4" s="1"/>
  <c r="O644" i="3"/>
  <c r="H645" i="4" s="1"/>
  <c r="I644" i="3"/>
  <c r="F645" i="4" s="1"/>
  <c r="U644" i="3"/>
  <c r="J645" i="4" s="1"/>
  <c r="D650" i="2"/>
  <c r="E649" i="2"/>
  <c r="V649" i="2" l="1"/>
  <c r="T648" i="2"/>
  <c r="D647" i="4"/>
  <c r="C653" i="2"/>
  <c r="A648" i="4"/>
  <c r="M647" i="3"/>
  <c r="N647" i="3"/>
  <c r="C647" i="3"/>
  <c r="P647" i="3"/>
  <c r="E647" i="3"/>
  <c r="G647" i="3"/>
  <c r="S647" i="3"/>
  <c r="Y647" i="3" s="1"/>
  <c r="Z647" i="3" s="1"/>
  <c r="AA647" i="3" s="1"/>
  <c r="H647" i="3"/>
  <c r="T647" i="3"/>
  <c r="J647" i="3"/>
  <c r="V647" i="3"/>
  <c r="I645" i="3"/>
  <c r="F646" i="4" s="1"/>
  <c r="U645" i="3"/>
  <c r="J646" i="4" s="1"/>
  <c r="O645" i="3"/>
  <c r="H646" i="4" s="1"/>
  <c r="I647" i="4"/>
  <c r="M647" i="4" s="1"/>
  <c r="K647" i="4"/>
  <c r="N647" i="4" s="1"/>
  <c r="G647" i="4"/>
  <c r="L647" i="4" s="1"/>
  <c r="I649" i="2"/>
  <c r="F649" i="2" s="1"/>
  <c r="L650" i="2"/>
  <c r="C647" i="4"/>
  <c r="AB646" i="3"/>
  <c r="E647" i="4" s="1"/>
  <c r="K651" i="2"/>
  <c r="H650" i="2"/>
  <c r="D651" i="2"/>
  <c r="E650" i="2"/>
  <c r="M651" i="2"/>
  <c r="J650" i="2"/>
  <c r="G650" i="2" s="1"/>
  <c r="F646" i="3"/>
  <c r="D647" i="3"/>
  <c r="V650" i="2" l="1"/>
  <c r="T649" i="2"/>
  <c r="D648" i="4"/>
  <c r="A649" i="4"/>
  <c r="J648" i="3"/>
  <c r="V648" i="3"/>
  <c r="M648" i="3"/>
  <c r="N648" i="3"/>
  <c r="C648" i="3"/>
  <c r="P648" i="3"/>
  <c r="E648" i="3"/>
  <c r="G648" i="3"/>
  <c r="S648" i="3"/>
  <c r="Y648" i="3" s="1"/>
  <c r="Z648" i="3" s="1"/>
  <c r="AA648" i="3" s="1"/>
  <c r="H648" i="3"/>
  <c r="T648" i="3"/>
  <c r="K652" i="2"/>
  <c r="H651" i="2"/>
  <c r="E651" i="2" s="1"/>
  <c r="C648" i="4"/>
  <c r="AB647" i="3"/>
  <c r="E648" i="4" s="1"/>
  <c r="F647" i="3"/>
  <c r="D648" i="3"/>
  <c r="G648" i="4"/>
  <c r="L648" i="4" s="1"/>
  <c r="I648" i="4"/>
  <c r="M648" i="4" s="1"/>
  <c r="K648" i="4"/>
  <c r="N648" i="4" s="1"/>
  <c r="C654" i="2"/>
  <c r="D652" i="2"/>
  <c r="I646" i="3"/>
  <c r="F647" i="4" s="1"/>
  <c r="U646" i="3"/>
  <c r="J647" i="4" s="1"/>
  <c r="O646" i="3"/>
  <c r="H647" i="4" s="1"/>
  <c r="L651" i="2"/>
  <c r="I650" i="2"/>
  <c r="F650" i="2" s="1"/>
  <c r="J651" i="2"/>
  <c r="G651" i="2" s="1"/>
  <c r="M652" i="2"/>
  <c r="V651" i="2" l="1"/>
  <c r="T650" i="2"/>
  <c r="D649" i="4"/>
  <c r="A650" i="4"/>
  <c r="G649" i="3"/>
  <c r="S649" i="3"/>
  <c r="Y649" i="3" s="1"/>
  <c r="Z649" i="3" s="1"/>
  <c r="AA649" i="3" s="1"/>
  <c r="H649" i="3"/>
  <c r="T649" i="3"/>
  <c r="J649" i="3"/>
  <c r="V649" i="3"/>
  <c r="M649" i="3"/>
  <c r="N649" i="3"/>
  <c r="C649" i="3"/>
  <c r="P649" i="3"/>
  <c r="E649" i="3"/>
  <c r="O647" i="3"/>
  <c r="H648" i="4" s="1"/>
  <c r="I647" i="3"/>
  <c r="F648" i="4" s="1"/>
  <c r="U647" i="3"/>
  <c r="J648" i="4" s="1"/>
  <c r="C649" i="4"/>
  <c r="AB648" i="3"/>
  <c r="E649" i="4" s="1"/>
  <c r="J652" i="2"/>
  <c r="G652" i="2" s="1"/>
  <c r="M653" i="2"/>
  <c r="C655" i="2"/>
  <c r="K653" i="2"/>
  <c r="H652" i="2"/>
  <c r="F648" i="3"/>
  <c r="D649" i="3"/>
  <c r="I651" i="2"/>
  <c r="F651" i="2" s="1"/>
  <c r="L652" i="2"/>
  <c r="G649" i="4"/>
  <c r="L649" i="4" s="1"/>
  <c r="I649" i="4"/>
  <c r="M649" i="4" s="1"/>
  <c r="K649" i="4"/>
  <c r="N649" i="4" s="1"/>
  <c r="D653" i="2"/>
  <c r="E652" i="2"/>
  <c r="V652" i="2" l="1"/>
  <c r="T651" i="2"/>
  <c r="D650" i="4"/>
  <c r="C650" i="4"/>
  <c r="AB649" i="3"/>
  <c r="E650" i="4" s="1"/>
  <c r="M654" i="2"/>
  <c r="J653" i="2"/>
  <c r="C656" i="2"/>
  <c r="I652" i="2"/>
  <c r="F652" i="2" s="1"/>
  <c r="L653" i="2"/>
  <c r="D650" i="3"/>
  <c r="F649" i="3"/>
  <c r="O648" i="3"/>
  <c r="H649" i="4" s="1"/>
  <c r="U648" i="3"/>
  <c r="J649" i="4" s="1"/>
  <c r="I648" i="3"/>
  <c r="F649" i="4" s="1"/>
  <c r="A651" i="4"/>
  <c r="P650" i="3"/>
  <c r="E650" i="3"/>
  <c r="G650" i="3"/>
  <c r="S650" i="3"/>
  <c r="Y650" i="3" s="1"/>
  <c r="Z650" i="3" s="1"/>
  <c r="AA650" i="3" s="1"/>
  <c r="H650" i="3"/>
  <c r="T650" i="3"/>
  <c r="J650" i="3"/>
  <c r="V650" i="3"/>
  <c r="M650" i="3"/>
  <c r="N650" i="3"/>
  <c r="C650" i="3"/>
  <c r="G650" i="4"/>
  <c r="L650" i="4" s="1"/>
  <c r="I650" i="4"/>
  <c r="M650" i="4" s="1"/>
  <c r="K650" i="4"/>
  <c r="N650" i="4" s="1"/>
  <c r="G653" i="2"/>
  <c r="D654" i="2"/>
  <c r="E653" i="2"/>
  <c r="K654" i="2"/>
  <c r="H653" i="2"/>
  <c r="V653" i="2" l="1"/>
  <c r="T652" i="2"/>
  <c r="D651" i="4"/>
  <c r="F650" i="3"/>
  <c r="D651" i="3"/>
  <c r="C657" i="2"/>
  <c r="A652" i="4"/>
  <c r="M651" i="3"/>
  <c r="N651" i="3"/>
  <c r="C651" i="3"/>
  <c r="P651" i="3"/>
  <c r="E651" i="3"/>
  <c r="G651" i="3"/>
  <c r="S651" i="3"/>
  <c r="Y651" i="3" s="1"/>
  <c r="Z651" i="3" s="1"/>
  <c r="AA651" i="3" s="1"/>
  <c r="H651" i="3"/>
  <c r="T651" i="3"/>
  <c r="J651" i="3"/>
  <c r="V651" i="3"/>
  <c r="G651" i="4"/>
  <c r="L651" i="4" s="1"/>
  <c r="I651" i="4"/>
  <c r="M651" i="4" s="1"/>
  <c r="K651" i="4"/>
  <c r="N651" i="4" s="1"/>
  <c r="J654" i="2"/>
  <c r="G654" i="2" s="1"/>
  <c r="M655" i="2"/>
  <c r="K655" i="2"/>
  <c r="H654" i="2"/>
  <c r="L654" i="2"/>
  <c r="I653" i="2"/>
  <c r="F653" i="2" s="1"/>
  <c r="D655" i="2"/>
  <c r="E654" i="2"/>
  <c r="C651" i="4"/>
  <c r="AB650" i="3"/>
  <c r="E651" i="4" s="1"/>
  <c r="I649" i="3"/>
  <c r="F650" i="4" s="1"/>
  <c r="U649" i="3"/>
  <c r="J650" i="4" s="1"/>
  <c r="O649" i="3"/>
  <c r="H650" i="4" s="1"/>
  <c r="V654" i="2" l="1"/>
  <c r="T653" i="2"/>
  <c r="D652" i="4"/>
  <c r="C652" i="4"/>
  <c r="AB651" i="3"/>
  <c r="E652" i="4" s="1"/>
  <c r="K652" i="4"/>
  <c r="N652" i="4" s="1"/>
  <c r="G652" i="4"/>
  <c r="L652" i="4" s="1"/>
  <c r="I652" i="4"/>
  <c r="M652" i="4" s="1"/>
  <c r="D656" i="2"/>
  <c r="C658" i="2"/>
  <c r="I654" i="2"/>
  <c r="F654" i="2" s="1"/>
  <c r="L655" i="2"/>
  <c r="K656" i="2"/>
  <c r="H655" i="2"/>
  <c r="E655" i="2" s="1"/>
  <c r="F651" i="3"/>
  <c r="D652" i="3"/>
  <c r="I650" i="3"/>
  <c r="F651" i="4" s="1"/>
  <c r="U650" i="3"/>
  <c r="J651" i="4" s="1"/>
  <c r="O650" i="3"/>
  <c r="H651" i="4" s="1"/>
  <c r="J655" i="2"/>
  <c r="G655" i="2" s="1"/>
  <c r="M656" i="2"/>
  <c r="A653" i="4"/>
  <c r="J652" i="3"/>
  <c r="V652" i="3"/>
  <c r="M652" i="3"/>
  <c r="N652" i="3"/>
  <c r="C652" i="3"/>
  <c r="P652" i="3"/>
  <c r="E652" i="3"/>
  <c r="G652" i="3"/>
  <c r="S652" i="3"/>
  <c r="Y652" i="3" s="1"/>
  <c r="Z652" i="3" s="1"/>
  <c r="AA652" i="3" s="1"/>
  <c r="H652" i="3"/>
  <c r="T652" i="3"/>
  <c r="V655" i="2" l="1"/>
  <c r="T654" i="2"/>
  <c r="D653" i="4"/>
  <c r="F652" i="3"/>
  <c r="D653" i="3"/>
  <c r="C653" i="4"/>
  <c r="AB652" i="3"/>
  <c r="E653" i="4" s="1"/>
  <c r="K657" i="2"/>
  <c r="H656" i="2"/>
  <c r="I655" i="2"/>
  <c r="F655" i="2" s="1"/>
  <c r="L656" i="2"/>
  <c r="M657" i="2"/>
  <c r="J656" i="2"/>
  <c r="G656" i="2" s="1"/>
  <c r="C659" i="2"/>
  <c r="A654" i="4"/>
  <c r="G653" i="3"/>
  <c r="S653" i="3"/>
  <c r="Y653" i="3" s="1"/>
  <c r="Z653" i="3" s="1"/>
  <c r="AA653" i="3" s="1"/>
  <c r="H653" i="3"/>
  <c r="T653" i="3"/>
  <c r="J653" i="3"/>
  <c r="V653" i="3"/>
  <c r="M653" i="3"/>
  <c r="N653" i="3"/>
  <c r="C653" i="3"/>
  <c r="P653" i="3"/>
  <c r="E653" i="3"/>
  <c r="O651" i="3"/>
  <c r="H652" i="4" s="1"/>
  <c r="I651" i="3"/>
  <c r="F652" i="4" s="1"/>
  <c r="U651" i="3"/>
  <c r="J652" i="4" s="1"/>
  <c r="I653" i="4"/>
  <c r="M653" i="4" s="1"/>
  <c r="K653" i="4"/>
  <c r="N653" i="4" s="1"/>
  <c r="G653" i="4"/>
  <c r="L653" i="4" s="1"/>
  <c r="D657" i="2"/>
  <c r="E656" i="2"/>
  <c r="V656" i="2" l="1"/>
  <c r="T655" i="2"/>
  <c r="D654" i="4"/>
  <c r="C654" i="4"/>
  <c r="AB653" i="3"/>
  <c r="E654" i="4" s="1"/>
  <c r="J657" i="2"/>
  <c r="G657" i="2" s="1"/>
  <c r="M658" i="2"/>
  <c r="L657" i="2"/>
  <c r="I656" i="2"/>
  <c r="F656" i="2" s="1"/>
  <c r="K658" i="2"/>
  <c r="H657" i="2"/>
  <c r="E657" i="2" s="1"/>
  <c r="D658" i="2"/>
  <c r="A655" i="4"/>
  <c r="P654" i="3"/>
  <c r="E654" i="3"/>
  <c r="G654" i="3"/>
  <c r="S654" i="3"/>
  <c r="Y654" i="3" s="1"/>
  <c r="Z654" i="3" s="1"/>
  <c r="AA654" i="3" s="1"/>
  <c r="H654" i="3"/>
  <c r="T654" i="3"/>
  <c r="J654" i="3"/>
  <c r="V654" i="3"/>
  <c r="M654" i="3"/>
  <c r="N654" i="3"/>
  <c r="C654" i="3"/>
  <c r="G654" i="4"/>
  <c r="L654" i="4" s="1"/>
  <c r="I654" i="4"/>
  <c r="M654" i="4" s="1"/>
  <c r="K654" i="4"/>
  <c r="N654" i="4" s="1"/>
  <c r="D654" i="3"/>
  <c r="F653" i="3"/>
  <c r="C660" i="2"/>
  <c r="O652" i="3"/>
  <c r="H653" i="4" s="1"/>
  <c r="I652" i="3"/>
  <c r="F653" i="4" s="1"/>
  <c r="U652" i="3"/>
  <c r="J653" i="4" s="1"/>
  <c r="V657" i="2" l="1"/>
  <c r="T656" i="2"/>
  <c r="D655" i="4"/>
  <c r="F654" i="3"/>
  <c r="D655" i="3"/>
  <c r="G658" i="2"/>
  <c r="D659" i="2"/>
  <c r="K659" i="2"/>
  <c r="H658" i="2"/>
  <c r="E658" i="2" s="1"/>
  <c r="A656" i="4"/>
  <c r="M655" i="3"/>
  <c r="N655" i="3"/>
  <c r="C655" i="3"/>
  <c r="P655" i="3"/>
  <c r="E655" i="3"/>
  <c r="G655" i="3"/>
  <c r="S655" i="3"/>
  <c r="Y655" i="3" s="1"/>
  <c r="Z655" i="3" s="1"/>
  <c r="AA655" i="3" s="1"/>
  <c r="H655" i="3"/>
  <c r="T655" i="3"/>
  <c r="J655" i="3"/>
  <c r="V655" i="3"/>
  <c r="I657" i="2"/>
  <c r="F657" i="2" s="1"/>
  <c r="L658" i="2"/>
  <c r="J658" i="2"/>
  <c r="M659" i="2"/>
  <c r="G655" i="4"/>
  <c r="L655" i="4" s="1"/>
  <c r="I655" i="4"/>
  <c r="M655" i="4" s="1"/>
  <c r="K655" i="4"/>
  <c r="N655" i="4" s="1"/>
  <c r="C661" i="2"/>
  <c r="C655" i="4"/>
  <c r="AB654" i="3"/>
  <c r="E655" i="4" s="1"/>
  <c r="I653" i="3"/>
  <c r="F654" i="4" s="1"/>
  <c r="U653" i="3"/>
  <c r="J654" i="4" s="1"/>
  <c r="O653" i="3"/>
  <c r="H654" i="4" s="1"/>
  <c r="V658" i="2" l="1"/>
  <c r="T657" i="2"/>
  <c r="D656" i="4"/>
  <c r="G656" i="4"/>
  <c r="L656" i="4" s="1"/>
  <c r="I656" i="4"/>
  <c r="M656" i="4" s="1"/>
  <c r="K656" i="4"/>
  <c r="N656" i="4" s="1"/>
  <c r="K660" i="2"/>
  <c r="H659" i="2"/>
  <c r="E659" i="2" s="1"/>
  <c r="G659" i="2"/>
  <c r="D660" i="2"/>
  <c r="C662" i="2"/>
  <c r="F655" i="3"/>
  <c r="D656" i="3"/>
  <c r="M660" i="2"/>
  <c r="J659" i="2"/>
  <c r="I654" i="3"/>
  <c r="F655" i="4" s="1"/>
  <c r="U654" i="3"/>
  <c r="J655" i="4" s="1"/>
  <c r="O654" i="3"/>
  <c r="H655" i="4" s="1"/>
  <c r="A657" i="4"/>
  <c r="J656" i="3"/>
  <c r="V656" i="3"/>
  <c r="M656" i="3"/>
  <c r="N656" i="3"/>
  <c r="C656" i="3"/>
  <c r="P656" i="3"/>
  <c r="E656" i="3"/>
  <c r="G656" i="3"/>
  <c r="S656" i="3"/>
  <c r="Y656" i="3" s="1"/>
  <c r="Z656" i="3" s="1"/>
  <c r="AA656" i="3" s="1"/>
  <c r="H656" i="3"/>
  <c r="T656" i="3"/>
  <c r="I658" i="2"/>
  <c r="F658" i="2" s="1"/>
  <c r="L659" i="2"/>
  <c r="C656" i="4"/>
  <c r="AB655" i="3"/>
  <c r="E656" i="4" s="1"/>
  <c r="V659" i="2" l="1"/>
  <c r="T658" i="2"/>
  <c r="D657" i="4"/>
  <c r="J660" i="2"/>
  <c r="M661" i="2"/>
  <c r="K661" i="2"/>
  <c r="H660" i="2"/>
  <c r="E660" i="2" s="1"/>
  <c r="F656" i="3"/>
  <c r="D657" i="3"/>
  <c r="O655" i="3"/>
  <c r="H656" i="4" s="1"/>
  <c r="I655" i="3"/>
  <c r="F656" i="4" s="1"/>
  <c r="U655" i="3"/>
  <c r="J656" i="4" s="1"/>
  <c r="A658" i="4"/>
  <c r="G657" i="3"/>
  <c r="S657" i="3"/>
  <c r="Y657" i="3" s="1"/>
  <c r="Z657" i="3" s="1"/>
  <c r="AA657" i="3" s="1"/>
  <c r="H657" i="3"/>
  <c r="T657" i="3"/>
  <c r="J657" i="3"/>
  <c r="V657" i="3"/>
  <c r="M657" i="3"/>
  <c r="N657" i="3"/>
  <c r="C657" i="3"/>
  <c r="P657" i="3"/>
  <c r="E657" i="3"/>
  <c r="C663" i="2"/>
  <c r="C657" i="4"/>
  <c r="AB656" i="3"/>
  <c r="E657" i="4" s="1"/>
  <c r="L660" i="2"/>
  <c r="I659" i="2"/>
  <c r="F659" i="2" s="1"/>
  <c r="G657" i="4"/>
  <c r="L657" i="4" s="1"/>
  <c r="I657" i="4"/>
  <c r="M657" i="4" s="1"/>
  <c r="K657" i="4"/>
  <c r="N657" i="4" s="1"/>
  <c r="D661" i="2"/>
  <c r="G660" i="2"/>
  <c r="V660" i="2" l="1"/>
  <c r="T659" i="2"/>
  <c r="D658" i="4"/>
  <c r="D658" i="3"/>
  <c r="F657" i="3"/>
  <c r="C658" i="4"/>
  <c r="AB657" i="3"/>
  <c r="E658" i="4" s="1"/>
  <c r="O656" i="3"/>
  <c r="H657" i="4" s="1"/>
  <c r="I656" i="3"/>
  <c r="F657" i="4" s="1"/>
  <c r="U656" i="3"/>
  <c r="J657" i="4" s="1"/>
  <c r="K662" i="2"/>
  <c r="H661" i="2"/>
  <c r="E661" i="2" s="1"/>
  <c r="A659" i="4"/>
  <c r="P658" i="3"/>
  <c r="E658" i="3"/>
  <c r="G658" i="3"/>
  <c r="S658" i="3"/>
  <c r="Y658" i="3" s="1"/>
  <c r="Z658" i="3" s="1"/>
  <c r="AA658" i="3" s="1"/>
  <c r="H658" i="3"/>
  <c r="T658" i="3"/>
  <c r="J658" i="3"/>
  <c r="V658" i="3"/>
  <c r="M658" i="3"/>
  <c r="N658" i="3"/>
  <c r="C658" i="3"/>
  <c r="J661" i="2"/>
  <c r="M662" i="2"/>
  <c r="K658" i="4"/>
  <c r="N658" i="4" s="1"/>
  <c r="G658" i="4"/>
  <c r="L658" i="4" s="1"/>
  <c r="I658" i="4"/>
  <c r="M658" i="4" s="1"/>
  <c r="I660" i="2"/>
  <c r="F660" i="2" s="1"/>
  <c r="L661" i="2"/>
  <c r="G661" i="2"/>
  <c r="D662" i="2"/>
  <c r="C664" i="2"/>
  <c r="V661" i="2" l="1"/>
  <c r="T660" i="2"/>
  <c r="D659" i="4"/>
  <c r="L662" i="2"/>
  <c r="I661" i="2"/>
  <c r="F661" i="2" s="1"/>
  <c r="K663" i="2"/>
  <c r="H662" i="2"/>
  <c r="I659" i="4"/>
  <c r="M659" i="4" s="1"/>
  <c r="K659" i="4"/>
  <c r="N659" i="4" s="1"/>
  <c r="G659" i="4"/>
  <c r="L659" i="4" s="1"/>
  <c r="I657" i="3"/>
  <c r="F658" i="4" s="1"/>
  <c r="U657" i="3"/>
  <c r="J658" i="4" s="1"/>
  <c r="O657" i="3"/>
  <c r="H658" i="4" s="1"/>
  <c r="C659" i="4"/>
  <c r="AB658" i="3"/>
  <c r="E659" i="4" s="1"/>
  <c r="A660" i="4"/>
  <c r="M659" i="3"/>
  <c r="N659" i="3"/>
  <c r="C659" i="3"/>
  <c r="P659" i="3"/>
  <c r="E659" i="3"/>
  <c r="G659" i="3"/>
  <c r="S659" i="3"/>
  <c r="Y659" i="3" s="1"/>
  <c r="Z659" i="3" s="1"/>
  <c r="AA659" i="3" s="1"/>
  <c r="H659" i="3"/>
  <c r="T659" i="3"/>
  <c r="J659" i="3"/>
  <c r="V659" i="3"/>
  <c r="F658" i="3"/>
  <c r="D659" i="3"/>
  <c r="C665" i="2"/>
  <c r="M663" i="2"/>
  <c r="J662" i="2"/>
  <c r="G662" i="2"/>
  <c r="D663" i="2"/>
  <c r="E662" i="2"/>
  <c r="V662" i="2" l="1"/>
  <c r="T661" i="2"/>
  <c r="D660" i="4"/>
  <c r="A661" i="4"/>
  <c r="J660" i="3"/>
  <c r="V660" i="3"/>
  <c r="M660" i="3"/>
  <c r="N660" i="3"/>
  <c r="C660" i="3"/>
  <c r="P660" i="3"/>
  <c r="E660" i="3"/>
  <c r="G660" i="3"/>
  <c r="S660" i="3"/>
  <c r="Y660" i="3" s="1"/>
  <c r="Z660" i="3" s="1"/>
  <c r="AA660" i="3" s="1"/>
  <c r="H660" i="3"/>
  <c r="T660" i="3"/>
  <c r="C660" i="4"/>
  <c r="AB659" i="3"/>
  <c r="E660" i="4" s="1"/>
  <c r="G660" i="4"/>
  <c r="L660" i="4" s="1"/>
  <c r="I660" i="4"/>
  <c r="M660" i="4" s="1"/>
  <c r="K660" i="4"/>
  <c r="N660" i="4" s="1"/>
  <c r="K664" i="2"/>
  <c r="H663" i="2"/>
  <c r="E663" i="2" s="1"/>
  <c r="J663" i="2"/>
  <c r="G663" i="2" s="1"/>
  <c r="M664" i="2"/>
  <c r="D664" i="2"/>
  <c r="L663" i="2"/>
  <c r="I662" i="2"/>
  <c r="F662" i="2" s="1"/>
  <c r="C666" i="2"/>
  <c r="F659" i="3"/>
  <c r="D660" i="3"/>
  <c r="I658" i="3"/>
  <c r="F659" i="4" s="1"/>
  <c r="U658" i="3"/>
  <c r="J659" i="4" s="1"/>
  <c r="O658" i="3"/>
  <c r="H659" i="4" s="1"/>
  <c r="V663" i="2" l="1"/>
  <c r="T662" i="2"/>
  <c r="D661" i="4"/>
  <c r="A662" i="4"/>
  <c r="G661" i="3"/>
  <c r="S661" i="3"/>
  <c r="Y661" i="3" s="1"/>
  <c r="Z661" i="3" s="1"/>
  <c r="AA661" i="3" s="1"/>
  <c r="H661" i="3"/>
  <c r="T661" i="3"/>
  <c r="J661" i="3"/>
  <c r="V661" i="3"/>
  <c r="M661" i="3"/>
  <c r="N661" i="3"/>
  <c r="C661" i="3"/>
  <c r="P661" i="3"/>
  <c r="E661" i="3"/>
  <c r="C667" i="2"/>
  <c r="C661" i="4"/>
  <c r="AB660" i="3"/>
  <c r="E661" i="4" s="1"/>
  <c r="K665" i="2"/>
  <c r="H664" i="2"/>
  <c r="E664" i="2" s="1"/>
  <c r="F660" i="3"/>
  <c r="D661" i="3"/>
  <c r="G661" i="4"/>
  <c r="L661" i="4" s="1"/>
  <c r="I661" i="4"/>
  <c r="M661" i="4" s="1"/>
  <c r="K661" i="4"/>
  <c r="N661" i="4" s="1"/>
  <c r="D665" i="2"/>
  <c r="O659" i="3"/>
  <c r="H660" i="4" s="1"/>
  <c r="I659" i="3"/>
  <c r="F660" i="4" s="1"/>
  <c r="U659" i="3"/>
  <c r="J660" i="4" s="1"/>
  <c r="I663" i="2"/>
  <c r="F663" i="2" s="1"/>
  <c r="L664" i="2"/>
  <c r="J664" i="2"/>
  <c r="G664" i="2" s="1"/>
  <c r="M665" i="2"/>
  <c r="V664" i="2" l="1"/>
  <c r="T663" i="2"/>
  <c r="D662" i="4"/>
  <c r="O660" i="3"/>
  <c r="H661" i="4" s="1"/>
  <c r="I660" i="3"/>
  <c r="F661" i="4" s="1"/>
  <c r="U660" i="3"/>
  <c r="J661" i="4" s="1"/>
  <c r="C662" i="4"/>
  <c r="AB661" i="3"/>
  <c r="E662" i="4" s="1"/>
  <c r="K666" i="2"/>
  <c r="H665" i="2"/>
  <c r="E665" i="2" s="1"/>
  <c r="C668" i="2"/>
  <c r="M666" i="2"/>
  <c r="J665" i="2"/>
  <c r="A663" i="4"/>
  <c r="P662" i="3"/>
  <c r="E662" i="3"/>
  <c r="G662" i="3"/>
  <c r="S662" i="3"/>
  <c r="Y662" i="3" s="1"/>
  <c r="Z662" i="3" s="1"/>
  <c r="AA662" i="3" s="1"/>
  <c r="H662" i="3"/>
  <c r="T662" i="3"/>
  <c r="J662" i="3"/>
  <c r="V662" i="3"/>
  <c r="M662" i="3"/>
  <c r="N662" i="3"/>
  <c r="C662" i="3"/>
  <c r="G662" i="4"/>
  <c r="L662" i="4" s="1"/>
  <c r="I662" i="4"/>
  <c r="M662" i="4" s="1"/>
  <c r="K662" i="4"/>
  <c r="N662" i="4" s="1"/>
  <c r="D662" i="3"/>
  <c r="F661" i="3"/>
  <c r="G665" i="2"/>
  <c r="D666" i="2"/>
  <c r="L665" i="2"/>
  <c r="I664" i="2"/>
  <c r="F664" i="2" s="1"/>
  <c r="V665" i="2" l="1"/>
  <c r="T664" i="2"/>
  <c r="D663" i="4"/>
  <c r="I661" i="3"/>
  <c r="F662" i="4" s="1"/>
  <c r="U661" i="3"/>
  <c r="J662" i="4" s="1"/>
  <c r="O661" i="3"/>
  <c r="H662" i="4" s="1"/>
  <c r="K667" i="2"/>
  <c r="H666" i="2"/>
  <c r="E666" i="2" s="1"/>
  <c r="A664" i="4"/>
  <c r="M663" i="3"/>
  <c r="N663" i="3"/>
  <c r="C663" i="3"/>
  <c r="P663" i="3"/>
  <c r="E663" i="3"/>
  <c r="G663" i="3"/>
  <c r="S663" i="3"/>
  <c r="Y663" i="3" s="1"/>
  <c r="Z663" i="3" s="1"/>
  <c r="AA663" i="3" s="1"/>
  <c r="H663" i="3"/>
  <c r="T663" i="3"/>
  <c r="J663" i="3"/>
  <c r="V663" i="3"/>
  <c r="F662" i="3"/>
  <c r="D663" i="3"/>
  <c r="L666" i="2"/>
  <c r="I665" i="2"/>
  <c r="F665" i="2" s="1"/>
  <c r="C669" i="2"/>
  <c r="G663" i="4"/>
  <c r="L663" i="4" s="1"/>
  <c r="I663" i="4"/>
  <c r="M663" i="4" s="1"/>
  <c r="K663" i="4"/>
  <c r="N663" i="4" s="1"/>
  <c r="D667" i="2"/>
  <c r="C663" i="4"/>
  <c r="AB662" i="3"/>
  <c r="E663" i="4" s="1"/>
  <c r="J666" i="2"/>
  <c r="G666" i="2" s="1"/>
  <c r="M667" i="2"/>
  <c r="V666" i="2" l="1"/>
  <c r="T665" i="2"/>
  <c r="D664" i="4"/>
  <c r="I666" i="2"/>
  <c r="F666" i="2" s="1"/>
  <c r="L667" i="2"/>
  <c r="D668" i="2"/>
  <c r="F663" i="3"/>
  <c r="D664" i="3"/>
  <c r="C664" i="4"/>
  <c r="AB663" i="3"/>
  <c r="E664" i="4" s="1"/>
  <c r="K664" i="4"/>
  <c r="N664" i="4" s="1"/>
  <c r="G664" i="4"/>
  <c r="L664" i="4" s="1"/>
  <c r="I664" i="4"/>
  <c r="M664" i="4" s="1"/>
  <c r="K668" i="2"/>
  <c r="H667" i="2"/>
  <c r="E667" i="2" s="1"/>
  <c r="I662" i="3"/>
  <c r="F663" i="4" s="1"/>
  <c r="U662" i="3"/>
  <c r="J663" i="4" s="1"/>
  <c r="O662" i="3"/>
  <c r="H663" i="4" s="1"/>
  <c r="J667" i="2"/>
  <c r="G667" i="2" s="1"/>
  <c r="M668" i="2"/>
  <c r="C670" i="2"/>
  <c r="A665" i="4"/>
  <c r="J664" i="3"/>
  <c r="V664" i="3"/>
  <c r="M664" i="3"/>
  <c r="N664" i="3"/>
  <c r="C664" i="3"/>
  <c r="P664" i="3"/>
  <c r="E664" i="3"/>
  <c r="G664" i="3"/>
  <c r="S664" i="3"/>
  <c r="Y664" i="3" s="1"/>
  <c r="Z664" i="3" s="1"/>
  <c r="AA664" i="3" s="1"/>
  <c r="H664" i="3"/>
  <c r="T664" i="3"/>
  <c r="V667" i="2" l="1"/>
  <c r="T666" i="2"/>
  <c r="D665" i="4"/>
  <c r="F664" i="3"/>
  <c r="D665" i="3"/>
  <c r="O663" i="3"/>
  <c r="H664" i="4" s="1"/>
  <c r="I663" i="3"/>
  <c r="F664" i="4" s="1"/>
  <c r="U663" i="3"/>
  <c r="J664" i="4" s="1"/>
  <c r="C665" i="4"/>
  <c r="AB664" i="3"/>
  <c r="E665" i="4" s="1"/>
  <c r="K669" i="2"/>
  <c r="H668" i="2"/>
  <c r="E668" i="2" s="1"/>
  <c r="D669" i="2"/>
  <c r="I665" i="4"/>
  <c r="M665" i="4" s="1"/>
  <c r="K665" i="4"/>
  <c r="N665" i="4" s="1"/>
  <c r="G665" i="4"/>
  <c r="L665" i="4" s="1"/>
  <c r="I667" i="2"/>
  <c r="F667" i="2" s="1"/>
  <c r="L668" i="2"/>
  <c r="C671" i="2"/>
  <c r="A666" i="4"/>
  <c r="G665" i="3"/>
  <c r="S665" i="3"/>
  <c r="Y665" i="3" s="1"/>
  <c r="Z665" i="3" s="1"/>
  <c r="AA665" i="3" s="1"/>
  <c r="H665" i="3"/>
  <c r="T665" i="3"/>
  <c r="J665" i="3"/>
  <c r="V665" i="3"/>
  <c r="M665" i="3"/>
  <c r="N665" i="3"/>
  <c r="C665" i="3"/>
  <c r="P665" i="3"/>
  <c r="E665" i="3"/>
  <c r="M669" i="2"/>
  <c r="J668" i="2"/>
  <c r="G668" i="2" s="1"/>
  <c r="V668" i="2" l="1"/>
  <c r="T667" i="2"/>
  <c r="D666" i="4"/>
  <c r="L669" i="2"/>
  <c r="I668" i="2"/>
  <c r="F668" i="2" s="1"/>
  <c r="K670" i="2"/>
  <c r="H669" i="2"/>
  <c r="E669" i="2" s="1"/>
  <c r="C666" i="4"/>
  <c r="AB665" i="3"/>
  <c r="E666" i="4" s="1"/>
  <c r="G666" i="4"/>
  <c r="L666" i="4" s="1"/>
  <c r="I666" i="4"/>
  <c r="M666" i="4" s="1"/>
  <c r="K666" i="4"/>
  <c r="N666" i="4" s="1"/>
  <c r="D666" i="3"/>
  <c r="F665" i="3"/>
  <c r="J669" i="2"/>
  <c r="M670" i="2"/>
  <c r="C672" i="2"/>
  <c r="O664" i="3"/>
  <c r="H665" i="4" s="1"/>
  <c r="U664" i="3"/>
  <c r="J665" i="4" s="1"/>
  <c r="I664" i="3"/>
  <c r="F665" i="4" s="1"/>
  <c r="D670" i="2"/>
  <c r="G669" i="2"/>
  <c r="A667" i="4"/>
  <c r="P666" i="3"/>
  <c r="E666" i="3"/>
  <c r="G666" i="3"/>
  <c r="S666" i="3"/>
  <c r="Y666" i="3" s="1"/>
  <c r="Z666" i="3" s="1"/>
  <c r="AA666" i="3" s="1"/>
  <c r="H666" i="3"/>
  <c r="T666" i="3"/>
  <c r="J666" i="3"/>
  <c r="V666" i="3"/>
  <c r="M666" i="3"/>
  <c r="N666" i="3"/>
  <c r="C666" i="3"/>
  <c r="V669" i="2" l="1"/>
  <c r="T668" i="2"/>
  <c r="D667" i="4"/>
  <c r="G667" i="4"/>
  <c r="L667" i="4" s="1"/>
  <c r="I667" i="4"/>
  <c r="M667" i="4" s="1"/>
  <c r="K667" i="4"/>
  <c r="N667" i="4" s="1"/>
  <c r="J670" i="2"/>
  <c r="G670" i="2" s="1"/>
  <c r="M671" i="2"/>
  <c r="K671" i="2"/>
  <c r="H670" i="2"/>
  <c r="E670" i="2" s="1"/>
  <c r="A668" i="4"/>
  <c r="M667" i="3"/>
  <c r="N667" i="3"/>
  <c r="C667" i="3"/>
  <c r="P667" i="3"/>
  <c r="E667" i="3"/>
  <c r="G667" i="3"/>
  <c r="S667" i="3"/>
  <c r="Y667" i="3" s="1"/>
  <c r="Z667" i="3" s="1"/>
  <c r="AA667" i="3" s="1"/>
  <c r="H667" i="3"/>
  <c r="T667" i="3"/>
  <c r="J667" i="3"/>
  <c r="V667" i="3"/>
  <c r="C673" i="2"/>
  <c r="C667" i="4"/>
  <c r="AB666" i="3"/>
  <c r="E667" i="4" s="1"/>
  <c r="I665" i="3"/>
  <c r="F666" i="4" s="1"/>
  <c r="U665" i="3"/>
  <c r="J666" i="4" s="1"/>
  <c r="O665" i="3"/>
  <c r="H666" i="4" s="1"/>
  <c r="F666" i="3"/>
  <c r="D667" i="3"/>
  <c r="I669" i="2"/>
  <c r="F669" i="2" s="1"/>
  <c r="L670" i="2"/>
  <c r="D671" i="2"/>
  <c r="V670" i="2" l="1"/>
  <c r="T669" i="2"/>
  <c r="D668" i="4"/>
  <c r="F667" i="3"/>
  <c r="D668" i="3"/>
  <c r="I666" i="3"/>
  <c r="F667" i="4" s="1"/>
  <c r="U666" i="3"/>
  <c r="J667" i="4" s="1"/>
  <c r="O666" i="3"/>
  <c r="H667" i="4" s="1"/>
  <c r="M672" i="2"/>
  <c r="J671" i="2"/>
  <c r="G671" i="2" s="1"/>
  <c r="K672" i="2"/>
  <c r="H671" i="2"/>
  <c r="E671" i="2" s="1"/>
  <c r="C668" i="4"/>
  <c r="AB667" i="3"/>
  <c r="E668" i="4" s="1"/>
  <c r="A669" i="4"/>
  <c r="J668" i="3"/>
  <c r="V668" i="3"/>
  <c r="M668" i="3"/>
  <c r="N668" i="3"/>
  <c r="C668" i="3"/>
  <c r="P668" i="3"/>
  <c r="E668" i="3"/>
  <c r="G668" i="3"/>
  <c r="S668" i="3"/>
  <c r="Y668" i="3" s="1"/>
  <c r="Z668" i="3" s="1"/>
  <c r="AA668" i="3" s="1"/>
  <c r="H668" i="3"/>
  <c r="T668" i="3"/>
  <c r="D672" i="2"/>
  <c r="C674" i="2"/>
  <c r="I670" i="2"/>
  <c r="F670" i="2" s="1"/>
  <c r="L671" i="2"/>
  <c r="G668" i="4"/>
  <c r="L668" i="4" s="1"/>
  <c r="I668" i="4"/>
  <c r="M668" i="4" s="1"/>
  <c r="K668" i="4"/>
  <c r="N668" i="4" s="1"/>
  <c r="V671" i="2" l="1"/>
  <c r="T670" i="2"/>
  <c r="D669" i="4"/>
  <c r="J672" i="2"/>
  <c r="M673" i="2"/>
  <c r="C675" i="2"/>
  <c r="D673" i="2"/>
  <c r="G672" i="2"/>
  <c r="E672" i="2"/>
  <c r="L672" i="2"/>
  <c r="I671" i="2"/>
  <c r="F671" i="2" s="1"/>
  <c r="A670" i="4"/>
  <c r="G669" i="3"/>
  <c r="S669" i="3"/>
  <c r="Y669" i="3" s="1"/>
  <c r="Z669" i="3" s="1"/>
  <c r="AA669" i="3" s="1"/>
  <c r="H669" i="3"/>
  <c r="T669" i="3"/>
  <c r="J669" i="3"/>
  <c r="V669" i="3"/>
  <c r="M669" i="3"/>
  <c r="N669" i="3"/>
  <c r="C669" i="3"/>
  <c r="P669" i="3"/>
  <c r="E669" i="3"/>
  <c r="F668" i="3"/>
  <c r="D669" i="3"/>
  <c r="C669" i="4"/>
  <c r="AB668" i="3"/>
  <c r="E669" i="4" s="1"/>
  <c r="O667" i="3"/>
  <c r="H668" i="4" s="1"/>
  <c r="I667" i="3"/>
  <c r="F668" i="4" s="1"/>
  <c r="U667" i="3"/>
  <c r="J668" i="4" s="1"/>
  <c r="G669" i="4"/>
  <c r="L669" i="4" s="1"/>
  <c r="I669" i="4"/>
  <c r="M669" i="4" s="1"/>
  <c r="K669" i="4"/>
  <c r="N669" i="4" s="1"/>
  <c r="K673" i="2"/>
  <c r="H672" i="2"/>
  <c r="V672" i="2" l="1"/>
  <c r="T671" i="2"/>
  <c r="D670" i="4"/>
  <c r="D674" i="2"/>
  <c r="C676" i="2"/>
  <c r="C670" i="4"/>
  <c r="AB669" i="3"/>
  <c r="E670" i="4" s="1"/>
  <c r="O668" i="3"/>
  <c r="H669" i="4" s="1"/>
  <c r="I668" i="3"/>
  <c r="F669" i="4" s="1"/>
  <c r="U668" i="3"/>
  <c r="J669" i="4" s="1"/>
  <c r="J673" i="2"/>
  <c r="G673" i="2" s="1"/>
  <c r="M674" i="2"/>
  <c r="K674" i="2"/>
  <c r="H673" i="2"/>
  <c r="E673" i="2" s="1"/>
  <c r="D670" i="3"/>
  <c r="F669" i="3"/>
  <c r="A671" i="4"/>
  <c r="P670" i="3"/>
  <c r="E670" i="3"/>
  <c r="G670" i="3"/>
  <c r="S670" i="3"/>
  <c r="Y670" i="3" s="1"/>
  <c r="Z670" i="3" s="1"/>
  <c r="AA670" i="3" s="1"/>
  <c r="H670" i="3"/>
  <c r="T670" i="3"/>
  <c r="J670" i="3"/>
  <c r="V670" i="3"/>
  <c r="M670" i="3"/>
  <c r="N670" i="3"/>
  <c r="C670" i="3"/>
  <c r="K670" i="4"/>
  <c r="N670" i="4" s="1"/>
  <c r="G670" i="4"/>
  <c r="L670" i="4" s="1"/>
  <c r="I670" i="4"/>
  <c r="M670" i="4" s="1"/>
  <c r="I672" i="2"/>
  <c r="F672" i="2" s="1"/>
  <c r="L673" i="2"/>
  <c r="V673" i="2" l="1"/>
  <c r="T672" i="2"/>
  <c r="D671" i="4"/>
  <c r="I671" i="4"/>
  <c r="M671" i="4" s="1"/>
  <c r="K671" i="4"/>
  <c r="N671" i="4" s="1"/>
  <c r="G671" i="4"/>
  <c r="L671" i="4" s="1"/>
  <c r="C671" i="4"/>
  <c r="AB670" i="3"/>
  <c r="E671" i="4" s="1"/>
  <c r="F670" i="3"/>
  <c r="D671" i="3"/>
  <c r="C677" i="2"/>
  <c r="K675" i="2"/>
  <c r="H674" i="2"/>
  <c r="M675" i="2"/>
  <c r="J674" i="2"/>
  <c r="G674" i="2" s="1"/>
  <c r="D675" i="2"/>
  <c r="E674" i="2"/>
  <c r="I669" i="3"/>
  <c r="F670" i="4" s="1"/>
  <c r="U669" i="3"/>
  <c r="J670" i="4" s="1"/>
  <c r="O669" i="3"/>
  <c r="H670" i="4" s="1"/>
  <c r="I673" i="2"/>
  <c r="F673" i="2" s="1"/>
  <c r="L674" i="2"/>
  <c r="A672" i="4"/>
  <c r="M671" i="3"/>
  <c r="N671" i="3"/>
  <c r="C671" i="3"/>
  <c r="P671" i="3"/>
  <c r="E671" i="3"/>
  <c r="G671" i="3"/>
  <c r="S671" i="3"/>
  <c r="Y671" i="3" s="1"/>
  <c r="Z671" i="3" s="1"/>
  <c r="AA671" i="3" s="1"/>
  <c r="H671" i="3"/>
  <c r="T671" i="3"/>
  <c r="J671" i="3"/>
  <c r="V671" i="3"/>
  <c r="V674" i="2" l="1"/>
  <c r="T673" i="2"/>
  <c r="D672" i="4"/>
  <c r="I670" i="3"/>
  <c r="F671" i="4" s="1"/>
  <c r="U670" i="3"/>
  <c r="J671" i="4" s="1"/>
  <c r="O670" i="3"/>
  <c r="H671" i="4" s="1"/>
  <c r="A673" i="4"/>
  <c r="J672" i="3"/>
  <c r="V672" i="3"/>
  <c r="M672" i="3"/>
  <c r="N672" i="3"/>
  <c r="C672" i="3"/>
  <c r="P672" i="3"/>
  <c r="E672" i="3"/>
  <c r="G672" i="3"/>
  <c r="S672" i="3"/>
  <c r="Y672" i="3" s="1"/>
  <c r="Z672" i="3" s="1"/>
  <c r="AA672" i="3" s="1"/>
  <c r="H672" i="3"/>
  <c r="T672" i="3"/>
  <c r="C672" i="4"/>
  <c r="AB671" i="3"/>
  <c r="E672" i="4" s="1"/>
  <c r="J675" i="2"/>
  <c r="G675" i="2" s="1"/>
  <c r="M676" i="2"/>
  <c r="F671" i="3"/>
  <c r="D672" i="3"/>
  <c r="G672" i="4"/>
  <c r="L672" i="4" s="1"/>
  <c r="I672" i="4"/>
  <c r="M672" i="4" s="1"/>
  <c r="K672" i="4"/>
  <c r="N672" i="4" s="1"/>
  <c r="K676" i="2"/>
  <c r="H675" i="2"/>
  <c r="E675" i="2" s="1"/>
  <c r="C678" i="2"/>
  <c r="D676" i="2"/>
  <c r="L675" i="2"/>
  <c r="I674" i="2"/>
  <c r="F674" i="2" s="1"/>
  <c r="V675" i="2" l="1"/>
  <c r="T674" i="2"/>
  <c r="D673" i="4"/>
  <c r="O671" i="3"/>
  <c r="H672" i="4" s="1"/>
  <c r="I671" i="3"/>
  <c r="F672" i="4" s="1"/>
  <c r="U671" i="3"/>
  <c r="J672" i="4" s="1"/>
  <c r="C679" i="2"/>
  <c r="J676" i="2"/>
  <c r="G676" i="2" s="1"/>
  <c r="M677" i="2"/>
  <c r="C673" i="4"/>
  <c r="AB672" i="3"/>
  <c r="E673" i="4" s="1"/>
  <c r="K677" i="2"/>
  <c r="H676" i="2"/>
  <c r="E676" i="2" s="1"/>
  <c r="A674" i="4"/>
  <c r="G673" i="3"/>
  <c r="S673" i="3"/>
  <c r="Y673" i="3" s="1"/>
  <c r="Z673" i="3" s="1"/>
  <c r="AA673" i="3" s="1"/>
  <c r="H673" i="3"/>
  <c r="T673" i="3"/>
  <c r="J673" i="3"/>
  <c r="V673" i="3"/>
  <c r="M673" i="3"/>
  <c r="C673" i="3"/>
  <c r="P673" i="3"/>
  <c r="E673" i="3"/>
  <c r="N673" i="3"/>
  <c r="G673" i="4"/>
  <c r="L673" i="4" s="1"/>
  <c r="I673" i="4"/>
  <c r="M673" i="4" s="1"/>
  <c r="K673" i="4"/>
  <c r="N673" i="4" s="1"/>
  <c r="F672" i="3"/>
  <c r="D673" i="3"/>
  <c r="D677" i="2"/>
  <c r="I675" i="2"/>
  <c r="F675" i="2" s="1"/>
  <c r="L676" i="2"/>
  <c r="V676" i="2" l="1"/>
  <c r="T675" i="2"/>
  <c r="D674" i="4"/>
  <c r="M678" i="2"/>
  <c r="J677" i="2"/>
  <c r="O672" i="3"/>
  <c r="H673" i="4" s="1"/>
  <c r="I672" i="3"/>
  <c r="F673" i="4" s="1"/>
  <c r="U672" i="3"/>
  <c r="J673" i="4" s="1"/>
  <c r="C674" i="4"/>
  <c r="AB673" i="3"/>
  <c r="E674" i="4" s="1"/>
  <c r="L677" i="2"/>
  <c r="I676" i="2"/>
  <c r="F676" i="2" s="1"/>
  <c r="C680" i="2"/>
  <c r="D674" i="3"/>
  <c r="F673" i="3"/>
  <c r="G674" i="4"/>
  <c r="L674" i="4" s="1"/>
  <c r="I674" i="4"/>
  <c r="M674" i="4" s="1"/>
  <c r="K674" i="4"/>
  <c r="N674" i="4" s="1"/>
  <c r="G677" i="2"/>
  <c r="D678" i="2"/>
  <c r="A675" i="4"/>
  <c r="P674" i="3"/>
  <c r="E674" i="3"/>
  <c r="G674" i="3"/>
  <c r="S674" i="3"/>
  <c r="Y674" i="3" s="1"/>
  <c r="Z674" i="3" s="1"/>
  <c r="AA674" i="3" s="1"/>
  <c r="H674" i="3"/>
  <c r="T674" i="3"/>
  <c r="J674" i="3"/>
  <c r="V674" i="3"/>
  <c r="M674" i="3"/>
  <c r="N674" i="3"/>
  <c r="C674" i="3"/>
  <c r="K678" i="2"/>
  <c r="H677" i="2"/>
  <c r="E677" i="2" s="1"/>
  <c r="V677" i="2" l="1"/>
  <c r="T676" i="2"/>
  <c r="D675" i="4"/>
  <c r="L678" i="2"/>
  <c r="I677" i="2"/>
  <c r="F677" i="2" s="1"/>
  <c r="A676" i="4"/>
  <c r="M675" i="3"/>
  <c r="N675" i="3"/>
  <c r="C675" i="3"/>
  <c r="P675" i="3"/>
  <c r="E675" i="3"/>
  <c r="G675" i="3"/>
  <c r="S675" i="3"/>
  <c r="Y675" i="3" s="1"/>
  <c r="Z675" i="3" s="1"/>
  <c r="AA675" i="3" s="1"/>
  <c r="J675" i="3"/>
  <c r="V675" i="3"/>
  <c r="H675" i="3"/>
  <c r="T675" i="3"/>
  <c r="G675" i="4"/>
  <c r="L675" i="4" s="1"/>
  <c r="I675" i="4"/>
  <c r="M675" i="4" s="1"/>
  <c r="K675" i="4"/>
  <c r="N675" i="4" s="1"/>
  <c r="I673" i="3"/>
  <c r="F674" i="4" s="1"/>
  <c r="U673" i="3"/>
  <c r="J674" i="4" s="1"/>
  <c r="O673" i="3"/>
  <c r="H674" i="4" s="1"/>
  <c r="F674" i="3"/>
  <c r="D675" i="3"/>
  <c r="J678" i="2"/>
  <c r="G678" i="2" s="1"/>
  <c r="M679" i="2"/>
  <c r="C675" i="4"/>
  <c r="AB674" i="3"/>
  <c r="E675" i="4" s="1"/>
  <c r="C681" i="2"/>
  <c r="K679" i="2"/>
  <c r="H678" i="2"/>
  <c r="E678" i="2" s="1"/>
  <c r="D679" i="2"/>
  <c r="V678" i="2" l="1"/>
  <c r="T677" i="2"/>
  <c r="D676" i="4"/>
  <c r="A677" i="4"/>
  <c r="J676" i="3"/>
  <c r="V676" i="3"/>
  <c r="M676" i="3"/>
  <c r="N676" i="3"/>
  <c r="C676" i="3"/>
  <c r="P676" i="3"/>
  <c r="G676" i="3"/>
  <c r="S676" i="3"/>
  <c r="Y676" i="3" s="1"/>
  <c r="Z676" i="3" s="1"/>
  <c r="AA676" i="3" s="1"/>
  <c r="H676" i="3"/>
  <c r="T676" i="3"/>
  <c r="E676" i="3"/>
  <c r="J679" i="2"/>
  <c r="G679" i="2" s="1"/>
  <c r="M680" i="2"/>
  <c r="C676" i="4"/>
  <c r="AB675" i="3"/>
  <c r="E676" i="4" s="1"/>
  <c r="K680" i="2"/>
  <c r="H679" i="2"/>
  <c r="E679" i="2" s="1"/>
  <c r="K676" i="4"/>
  <c r="N676" i="4" s="1"/>
  <c r="G676" i="4"/>
  <c r="L676" i="4" s="1"/>
  <c r="I676" i="4"/>
  <c r="M676" i="4" s="1"/>
  <c r="C682" i="2"/>
  <c r="F675" i="3"/>
  <c r="D676" i="3"/>
  <c r="I674" i="3"/>
  <c r="F675" i="4" s="1"/>
  <c r="U674" i="3"/>
  <c r="J675" i="4" s="1"/>
  <c r="O674" i="3"/>
  <c r="H675" i="4" s="1"/>
  <c r="I678" i="2"/>
  <c r="F678" i="2" s="1"/>
  <c r="L679" i="2"/>
  <c r="D680" i="2"/>
  <c r="V679" i="2" l="1"/>
  <c r="T678" i="2"/>
  <c r="D677" i="4"/>
  <c r="F676" i="3"/>
  <c r="D677" i="3"/>
  <c r="K681" i="2"/>
  <c r="H680" i="2"/>
  <c r="O675" i="3"/>
  <c r="H676" i="4" s="1"/>
  <c r="I675" i="3"/>
  <c r="F676" i="4" s="1"/>
  <c r="U675" i="3"/>
  <c r="J676" i="4" s="1"/>
  <c r="C677" i="4"/>
  <c r="AB676" i="3"/>
  <c r="E677" i="4" s="1"/>
  <c r="I677" i="4"/>
  <c r="M677" i="4" s="1"/>
  <c r="K677" i="4"/>
  <c r="N677" i="4" s="1"/>
  <c r="G677" i="4"/>
  <c r="L677" i="4" s="1"/>
  <c r="M681" i="2"/>
  <c r="J680" i="2"/>
  <c r="G680" i="2" s="1"/>
  <c r="D681" i="2"/>
  <c r="E680" i="2"/>
  <c r="C683" i="2"/>
  <c r="A678" i="4"/>
  <c r="G677" i="3"/>
  <c r="S677" i="3"/>
  <c r="Y677" i="3" s="1"/>
  <c r="Z677" i="3" s="1"/>
  <c r="AA677" i="3" s="1"/>
  <c r="H677" i="3"/>
  <c r="T677" i="3"/>
  <c r="J677" i="3"/>
  <c r="V677" i="3"/>
  <c r="M677" i="3"/>
  <c r="C677" i="3"/>
  <c r="P677" i="3"/>
  <c r="E677" i="3"/>
  <c r="N677" i="3"/>
  <c r="I679" i="2"/>
  <c r="F679" i="2" s="1"/>
  <c r="L680" i="2"/>
  <c r="V680" i="2" l="1"/>
  <c r="T679" i="2"/>
  <c r="D678" i="4"/>
  <c r="L681" i="2"/>
  <c r="I680" i="2"/>
  <c r="F680" i="2" s="1"/>
  <c r="J681" i="2"/>
  <c r="G681" i="2" s="1"/>
  <c r="M682" i="2"/>
  <c r="C678" i="4"/>
  <c r="AB677" i="3"/>
  <c r="E678" i="4" s="1"/>
  <c r="K682" i="2"/>
  <c r="H681" i="2"/>
  <c r="E681" i="2" s="1"/>
  <c r="D682" i="2"/>
  <c r="D678" i="3"/>
  <c r="F677" i="3"/>
  <c r="C684" i="2"/>
  <c r="O676" i="3"/>
  <c r="H677" i="4" s="1"/>
  <c r="I676" i="3"/>
  <c r="F677" i="4" s="1"/>
  <c r="U676" i="3"/>
  <c r="J677" i="4" s="1"/>
  <c r="G678" i="4"/>
  <c r="L678" i="4" s="1"/>
  <c r="I678" i="4"/>
  <c r="M678" i="4" s="1"/>
  <c r="K678" i="4"/>
  <c r="N678" i="4" s="1"/>
  <c r="A679" i="4"/>
  <c r="P678" i="3"/>
  <c r="E678" i="3"/>
  <c r="G678" i="3"/>
  <c r="S678" i="3"/>
  <c r="Y678" i="3" s="1"/>
  <c r="Z678" i="3" s="1"/>
  <c r="AA678" i="3" s="1"/>
  <c r="H678" i="3"/>
  <c r="T678" i="3"/>
  <c r="J678" i="3"/>
  <c r="V678" i="3"/>
  <c r="M678" i="3"/>
  <c r="N678" i="3"/>
  <c r="C678" i="3"/>
  <c r="V681" i="2" l="1"/>
  <c r="T680" i="2"/>
  <c r="D679" i="4"/>
  <c r="D683" i="2"/>
  <c r="A680" i="4"/>
  <c r="M679" i="3"/>
  <c r="N679" i="3"/>
  <c r="C679" i="3"/>
  <c r="P679" i="3"/>
  <c r="E679" i="3"/>
  <c r="G679" i="3"/>
  <c r="S679" i="3"/>
  <c r="Y679" i="3" s="1"/>
  <c r="Z679" i="3" s="1"/>
  <c r="AA679" i="3" s="1"/>
  <c r="J679" i="3"/>
  <c r="V679" i="3"/>
  <c r="H679" i="3"/>
  <c r="T679" i="3"/>
  <c r="K683" i="2"/>
  <c r="H682" i="2"/>
  <c r="E682" i="2" s="1"/>
  <c r="C685" i="2"/>
  <c r="G679" i="4"/>
  <c r="L679" i="4" s="1"/>
  <c r="I679" i="4"/>
  <c r="M679" i="4" s="1"/>
  <c r="K679" i="4"/>
  <c r="N679" i="4" s="1"/>
  <c r="J682" i="2"/>
  <c r="G682" i="2" s="1"/>
  <c r="M683" i="2"/>
  <c r="I677" i="3"/>
  <c r="F678" i="4" s="1"/>
  <c r="U677" i="3"/>
  <c r="J678" i="4" s="1"/>
  <c r="O677" i="3"/>
  <c r="H678" i="4" s="1"/>
  <c r="C679" i="4"/>
  <c r="AB678" i="3"/>
  <c r="E679" i="4" s="1"/>
  <c r="F678" i="3"/>
  <c r="D679" i="3"/>
  <c r="I681" i="2"/>
  <c r="F681" i="2" s="1"/>
  <c r="L682" i="2"/>
  <c r="V682" i="2" l="1"/>
  <c r="T681" i="2"/>
  <c r="D680" i="4"/>
  <c r="C686" i="2"/>
  <c r="C680" i="4"/>
  <c r="AB679" i="3"/>
  <c r="E680" i="4" s="1"/>
  <c r="G680" i="4"/>
  <c r="L680" i="4" s="1"/>
  <c r="I680" i="4"/>
  <c r="M680" i="4" s="1"/>
  <c r="K680" i="4"/>
  <c r="N680" i="4" s="1"/>
  <c r="I682" i="2"/>
  <c r="F682" i="2" s="1"/>
  <c r="L683" i="2"/>
  <c r="D684" i="2"/>
  <c r="F679" i="3"/>
  <c r="D680" i="3"/>
  <c r="K684" i="2"/>
  <c r="H683" i="2"/>
  <c r="E683" i="2" s="1"/>
  <c r="I678" i="3"/>
  <c r="F679" i="4" s="1"/>
  <c r="U678" i="3"/>
  <c r="J679" i="4" s="1"/>
  <c r="O678" i="3"/>
  <c r="H679" i="4" s="1"/>
  <c r="M684" i="2"/>
  <c r="J683" i="2"/>
  <c r="G683" i="2" s="1"/>
  <c r="A681" i="4"/>
  <c r="J680" i="3"/>
  <c r="V680" i="3"/>
  <c r="M680" i="3"/>
  <c r="N680" i="3"/>
  <c r="C680" i="3"/>
  <c r="P680" i="3"/>
  <c r="G680" i="3"/>
  <c r="S680" i="3"/>
  <c r="Y680" i="3" s="1"/>
  <c r="Z680" i="3" s="1"/>
  <c r="AA680" i="3" s="1"/>
  <c r="H680" i="3"/>
  <c r="T680" i="3"/>
  <c r="E680" i="3"/>
  <c r="V683" i="2" l="1"/>
  <c r="T682" i="2"/>
  <c r="D681" i="4"/>
  <c r="K685" i="2"/>
  <c r="H684" i="2"/>
  <c r="E684" i="2" s="1"/>
  <c r="C681" i="4"/>
  <c r="AB680" i="3"/>
  <c r="E681" i="4" s="1"/>
  <c r="G681" i="4"/>
  <c r="L681" i="4" s="1"/>
  <c r="I681" i="4"/>
  <c r="M681" i="4" s="1"/>
  <c r="K681" i="4"/>
  <c r="N681" i="4" s="1"/>
  <c r="D685" i="2"/>
  <c r="A682" i="4"/>
  <c r="G681" i="3"/>
  <c r="S681" i="3"/>
  <c r="Y681" i="3" s="1"/>
  <c r="Z681" i="3" s="1"/>
  <c r="AA681" i="3" s="1"/>
  <c r="H681" i="3"/>
  <c r="T681" i="3"/>
  <c r="J681" i="3"/>
  <c r="V681" i="3"/>
  <c r="M681" i="3"/>
  <c r="C681" i="3"/>
  <c r="P681" i="3"/>
  <c r="E681" i="3"/>
  <c r="N681" i="3"/>
  <c r="C687" i="2"/>
  <c r="F680" i="3"/>
  <c r="D681" i="3"/>
  <c r="O679" i="3"/>
  <c r="H680" i="4" s="1"/>
  <c r="I679" i="3"/>
  <c r="F680" i="4" s="1"/>
  <c r="U679" i="3"/>
  <c r="J680" i="4" s="1"/>
  <c r="J684" i="2"/>
  <c r="G684" i="2" s="1"/>
  <c r="M685" i="2"/>
  <c r="L684" i="2"/>
  <c r="I683" i="2"/>
  <c r="F683" i="2" s="1"/>
  <c r="V684" i="2" l="1"/>
  <c r="T683" i="2"/>
  <c r="D682" i="4"/>
  <c r="D682" i="3"/>
  <c r="F681" i="3"/>
  <c r="O680" i="3"/>
  <c r="H681" i="4" s="1"/>
  <c r="U680" i="3"/>
  <c r="J681" i="4" s="1"/>
  <c r="I680" i="3"/>
  <c r="F681" i="4" s="1"/>
  <c r="K682" i="4"/>
  <c r="N682" i="4" s="1"/>
  <c r="G682" i="4"/>
  <c r="L682" i="4" s="1"/>
  <c r="I682" i="4"/>
  <c r="M682" i="4" s="1"/>
  <c r="I684" i="2"/>
  <c r="F684" i="2" s="1"/>
  <c r="L685" i="2"/>
  <c r="A683" i="4"/>
  <c r="P682" i="3"/>
  <c r="E682" i="3"/>
  <c r="G682" i="3"/>
  <c r="S682" i="3"/>
  <c r="Y682" i="3" s="1"/>
  <c r="Z682" i="3" s="1"/>
  <c r="AA682" i="3" s="1"/>
  <c r="H682" i="3"/>
  <c r="T682" i="3"/>
  <c r="J682" i="3"/>
  <c r="V682" i="3"/>
  <c r="M682" i="3"/>
  <c r="N682" i="3"/>
  <c r="C682" i="3"/>
  <c r="J685" i="2"/>
  <c r="G685" i="2" s="1"/>
  <c r="M686" i="2"/>
  <c r="K686" i="2"/>
  <c r="H685" i="2"/>
  <c r="E685" i="2" s="1"/>
  <c r="C688" i="2"/>
  <c r="C682" i="4"/>
  <c r="AB681" i="3"/>
  <c r="E682" i="4" s="1"/>
  <c r="D686" i="2"/>
  <c r="V685" i="2" l="1"/>
  <c r="T684" i="2"/>
  <c r="D683" i="4"/>
  <c r="C689" i="2"/>
  <c r="K687" i="2"/>
  <c r="H686" i="2"/>
  <c r="D687" i="2"/>
  <c r="E686" i="2"/>
  <c r="I683" i="4"/>
  <c r="M683" i="4" s="1"/>
  <c r="K683" i="4"/>
  <c r="N683" i="4" s="1"/>
  <c r="G683" i="4"/>
  <c r="L683" i="4" s="1"/>
  <c r="I681" i="3"/>
  <c r="F682" i="4" s="1"/>
  <c r="U681" i="3"/>
  <c r="J682" i="4" s="1"/>
  <c r="O681" i="3"/>
  <c r="H682" i="4" s="1"/>
  <c r="M687" i="2"/>
  <c r="J686" i="2"/>
  <c r="G686" i="2" s="1"/>
  <c r="I685" i="2"/>
  <c r="F685" i="2" s="1"/>
  <c r="L686" i="2"/>
  <c r="F682" i="3"/>
  <c r="D683" i="3"/>
  <c r="C683" i="4"/>
  <c r="AB682" i="3"/>
  <c r="E683" i="4" s="1"/>
  <c r="A684" i="4"/>
  <c r="M683" i="3"/>
  <c r="N683" i="3"/>
  <c r="C683" i="3"/>
  <c r="P683" i="3"/>
  <c r="E683" i="3"/>
  <c r="G683" i="3"/>
  <c r="S683" i="3"/>
  <c r="Y683" i="3" s="1"/>
  <c r="Z683" i="3" s="1"/>
  <c r="AA683" i="3" s="1"/>
  <c r="J683" i="3"/>
  <c r="V683" i="3"/>
  <c r="H683" i="3"/>
  <c r="T683" i="3"/>
  <c r="V686" i="2" l="1"/>
  <c r="T685" i="2"/>
  <c r="D684" i="4"/>
  <c r="D688" i="2"/>
  <c r="G684" i="4"/>
  <c r="L684" i="4" s="1"/>
  <c r="I684" i="4"/>
  <c r="M684" i="4" s="1"/>
  <c r="K684" i="4"/>
  <c r="N684" i="4" s="1"/>
  <c r="K688" i="2"/>
  <c r="H687" i="2"/>
  <c r="E687" i="2" s="1"/>
  <c r="J687" i="2"/>
  <c r="G687" i="2" s="1"/>
  <c r="M688" i="2"/>
  <c r="C690" i="2"/>
  <c r="C684" i="4"/>
  <c r="AB683" i="3"/>
  <c r="E684" i="4" s="1"/>
  <c r="F683" i="3"/>
  <c r="D684" i="3"/>
  <c r="A685" i="4"/>
  <c r="J684" i="3"/>
  <c r="V684" i="3"/>
  <c r="M684" i="3"/>
  <c r="N684" i="3"/>
  <c r="C684" i="3"/>
  <c r="P684" i="3"/>
  <c r="G684" i="3"/>
  <c r="H684" i="3"/>
  <c r="T684" i="3"/>
  <c r="E684" i="3"/>
  <c r="S684" i="3"/>
  <c r="Y684" i="3" s="1"/>
  <c r="Z684" i="3" s="1"/>
  <c r="AA684" i="3" s="1"/>
  <c r="I682" i="3"/>
  <c r="F683" i="4" s="1"/>
  <c r="U682" i="3"/>
  <c r="J683" i="4" s="1"/>
  <c r="O682" i="3"/>
  <c r="H683" i="4" s="1"/>
  <c r="L687" i="2"/>
  <c r="I686" i="2"/>
  <c r="F686" i="2" s="1"/>
  <c r="V687" i="2" l="1"/>
  <c r="T686" i="2"/>
  <c r="D685" i="4"/>
  <c r="O683" i="3"/>
  <c r="H684" i="4" s="1"/>
  <c r="I683" i="3"/>
  <c r="F684" i="4" s="1"/>
  <c r="U683" i="3"/>
  <c r="J684" i="4" s="1"/>
  <c r="J688" i="2"/>
  <c r="G688" i="2" s="1"/>
  <c r="M689" i="2"/>
  <c r="C691" i="2"/>
  <c r="C685" i="4"/>
  <c r="AB684" i="3"/>
  <c r="E685" i="4" s="1"/>
  <c r="D689" i="2"/>
  <c r="F684" i="3"/>
  <c r="D685" i="3"/>
  <c r="K689" i="2"/>
  <c r="H688" i="2"/>
  <c r="E688" i="2" s="1"/>
  <c r="I687" i="2"/>
  <c r="F687" i="2" s="1"/>
  <c r="L688" i="2"/>
  <c r="A686" i="4"/>
  <c r="G685" i="3"/>
  <c r="S685" i="3"/>
  <c r="Y685" i="3" s="1"/>
  <c r="Z685" i="3" s="1"/>
  <c r="AA685" i="3" s="1"/>
  <c r="C685" i="3"/>
  <c r="E685" i="3"/>
  <c r="H685" i="3"/>
  <c r="J685" i="3"/>
  <c r="M685" i="3"/>
  <c r="N685" i="3"/>
  <c r="P685" i="3"/>
  <c r="V685" i="3"/>
  <c r="T685" i="3"/>
  <c r="G685" i="4"/>
  <c r="L685" i="4" s="1"/>
  <c r="I685" i="4"/>
  <c r="M685" i="4" s="1"/>
  <c r="K685" i="4"/>
  <c r="N685" i="4" s="1"/>
  <c r="V688" i="2" l="1"/>
  <c r="T687" i="2"/>
  <c r="D686" i="4"/>
  <c r="C692" i="2"/>
  <c r="C686" i="4"/>
  <c r="AB685" i="3"/>
  <c r="E686" i="4" s="1"/>
  <c r="H689" i="2"/>
  <c r="E689" i="2" s="1"/>
  <c r="K690" i="2"/>
  <c r="A687" i="4"/>
  <c r="P686" i="3"/>
  <c r="N686" i="3"/>
  <c r="S686" i="3"/>
  <c r="Y686" i="3" s="1"/>
  <c r="Z686" i="3" s="1"/>
  <c r="AA686" i="3" s="1"/>
  <c r="T686" i="3"/>
  <c r="C686" i="3"/>
  <c r="V686" i="3"/>
  <c r="E686" i="3"/>
  <c r="G686" i="3"/>
  <c r="H686" i="3"/>
  <c r="J686" i="3"/>
  <c r="M686" i="3"/>
  <c r="D686" i="3"/>
  <c r="F685" i="3"/>
  <c r="M690" i="2"/>
  <c r="J689" i="2"/>
  <c r="O684" i="3"/>
  <c r="H685" i="4" s="1"/>
  <c r="I684" i="3"/>
  <c r="F685" i="4" s="1"/>
  <c r="U684" i="3"/>
  <c r="J685" i="4" s="1"/>
  <c r="G686" i="4"/>
  <c r="L686" i="4" s="1"/>
  <c r="I686" i="4"/>
  <c r="M686" i="4" s="1"/>
  <c r="K686" i="4"/>
  <c r="N686" i="4" s="1"/>
  <c r="G689" i="2"/>
  <c r="D690" i="2"/>
  <c r="L689" i="2"/>
  <c r="I688" i="2"/>
  <c r="F688" i="2" s="1"/>
  <c r="V689" i="2" l="1"/>
  <c r="T688" i="2"/>
  <c r="D687" i="4"/>
  <c r="A688" i="4"/>
  <c r="M687" i="3"/>
  <c r="C687" i="3"/>
  <c r="E687" i="3"/>
  <c r="G687" i="3"/>
  <c r="H687" i="3"/>
  <c r="J687" i="3"/>
  <c r="N687" i="3"/>
  <c r="P687" i="3"/>
  <c r="S687" i="3"/>
  <c r="Y687" i="3" s="1"/>
  <c r="Z687" i="3" s="1"/>
  <c r="AA687" i="3" s="1"/>
  <c r="V687" i="3"/>
  <c r="T687" i="3"/>
  <c r="G687" i="4"/>
  <c r="L687" i="4" s="1"/>
  <c r="I687" i="4"/>
  <c r="M687" i="4" s="1"/>
  <c r="K687" i="4"/>
  <c r="N687" i="4" s="1"/>
  <c r="C687" i="4"/>
  <c r="AB686" i="3"/>
  <c r="E687" i="4" s="1"/>
  <c r="K691" i="2"/>
  <c r="H690" i="2"/>
  <c r="E690" i="2" s="1"/>
  <c r="L690" i="2"/>
  <c r="I689" i="2"/>
  <c r="F689" i="2" s="1"/>
  <c r="C693" i="2"/>
  <c r="F686" i="3"/>
  <c r="D687" i="3"/>
  <c r="D691" i="2"/>
  <c r="I685" i="3"/>
  <c r="F686" i="4" s="1"/>
  <c r="U685" i="3"/>
  <c r="J686" i="4" s="1"/>
  <c r="O685" i="3"/>
  <c r="H686" i="4" s="1"/>
  <c r="J690" i="2"/>
  <c r="G690" i="2" s="1"/>
  <c r="M691" i="2"/>
  <c r="V690" i="2" l="1"/>
  <c r="T689" i="2"/>
  <c r="D688" i="4"/>
  <c r="A689" i="4"/>
  <c r="J688" i="3"/>
  <c r="V688" i="3"/>
  <c r="C688" i="3"/>
  <c r="N688" i="3"/>
  <c r="P688" i="3"/>
  <c r="S688" i="3"/>
  <c r="Y688" i="3" s="1"/>
  <c r="Z688" i="3" s="1"/>
  <c r="AA688" i="3" s="1"/>
  <c r="T688" i="3"/>
  <c r="E688" i="3"/>
  <c r="G688" i="3"/>
  <c r="H688" i="3"/>
  <c r="M688" i="3"/>
  <c r="G691" i="2"/>
  <c r="D692" i="2"/>
  <c r="K692" i="2"/>
  <c r="H691" i="2"/>
  <c r="E691" i="2" s="1"/>
  <c r="F687" i="3"/>
  <c r="D688" i="3"/>
  <c r="I686" i="3"/>
  <c r="F687" i="4" s="1"/>
  <c r="U686" i="3"/>
  <c r="J687" i="4" s="1"/>
  <c r="O686" i="3"/>
  <c r="H687" i="4" s="1"/>
  <c r="J691" i="2"/>
  <c r="M692" i="2"/>
  <c r="C694" i="2"/>
  <c r="C688" i="4"/>
  <c r="AB687" i="3"/>
  <c r="E688" i="4" s="1"/>
  <c r="K688" i="4"/>
  <c r="N688" i="4" s="1"/>
  <c r="G688" i="4"/>
  <c r="L688" i="4" s="1"/>
  <c r="I688" i="4"/>
  <c r="M688" i="4" s="1"/>
  <c r="I690" i="2"/>
  <c r="F690" i="2" s="1"/>
  <c r="L691" i="2"/>
  <c r="V691" i="2" l="1"/>
  <c r="T690" i="2"/>
  <c r="D689" i="4"/>
  <c r="C695" i="2"/>
  <c r="H692" i="2"/>
  <c r="E692" i="2" s="1"/>
  <c r="K693" i="2"/>
  <c r="L692" i="2"/>
  <c r="I691" i="2"/>
  <c r="F691" i="2" s="1"/>
  <c r="D693" i="2"/>
  <c r="J692" i="2"/>
  <c r="G692" i="2" s="1"/>
  <c r="M693" i="2"/>
  <c r="F688" i="3"/>
  <c r="D689" i="3"/>
  <c r="O687" i="3"/>
  <c r="H688" i="4" s="1"/>
  <c r="I687" i="3"/>
  <c r="F688" i="4" s="1"/>
  <c r="U687" i="3"/>
  <c r="J688" i="4" s="1"/>
  <c r="A690" i="4"/>
  <c r="G689" i="3"/>
  <c r="S689" i="3"/>
  <c r="Y689" i="3" s="1"/>
  <c r="Z689" i="3" s="1"/>
  <c r="AA689" i="3" s="1"/>
  <c r="C689" i="3"/>
  <c r="E689" i="3"/>
  <c r="H689" i="3"/>
  <c r="J689" i="3"/>
  <c r="M689" i="3"/>
  <c r="N689" i="3"/>
  <c r="P689" i="3"/>
  <c r="V689" i="3"/>
  <c r="T689" i="3"/>
  <c r="I689" i="4"/>
  <c r="M689" i="4" s="1"/>
  <c r="K689" i="4"/>
  <c r="N689" i="4" s="1"/>
  <c r="G689" i="4"/>
  <c r="L689" i="4" s="1"/>
  <c r="C689" i="4"/>
  <c r="AB688" i="3"/>
  <c r="E689" i="4" s="1"/>
  <c r="V692" i="2" l="1"/>
  <c r="T691" i="2"/>
  <c r="D690" i="4"/>
  <c r="L693" i="2"/>
  <c r="I692" i="2"/>
  <c r="F692" i="2" s="1"/>
  <c r="K694" i="2"/>
  <c r="H693" i="2"/>
  <c r="E693" i="2" s="1"/>
  <c r="D690" i="3"/>
  <c r="F689" i="3"/>
  <c r="A691" i="4"/>
  <c r="P690" i="3"/>
  <c r="N690" i="3"/>
  <c r="S690" i="3"/>
  <c r="Y690" i="3" s="1"/>
  <c r="Z690" i="3" s="1"/>
  <c r="AA690" i="3" s="1"/>
  <c r="T690" i="3"/>
  <c r="C690" i="3"/>
  <c r="V690" i="3"/>
  <c r="E690" i="3"/>
  <c r="G690" i="3"/>
  <c r="H690" i="3"/>
  <c r="J690" i="3"/>
  <c r="M690" i="3"/>
  <c r="O688" i="3"/>
  <c r="H689" i="4" s="1"/>
  <c r="U688" i="3"/>
  <c r="J689" i="4" s="1"/>
  <c r="I688" i="3"/>
  <c r="F689" i="4" s="1"/>
  <c r="J693" i="2"/>
  <c r="M694" i="2"/>
  <c r="C696" i="2"/>
  <c r="D694" i="2"/>
  <c r="G693" i="2"/>
  <c r="G690" i="4"/>
  <c r="L690" i="4" s="1"/>
  <c r="I690" i="4"/>
  <c r="M690" i="4" s="1"/>
  <c r="K690" i="4"/>
  <c r="N690" i="4" s="1"/>
  <c r="C690" i="4"/>
  <c r="AB689" i="3"/>
  <c r="E690" i="4" s="1"/>
  <c r="V693" i="2" l="1"/>
  <c r="T692" i="2"/>
  <c r="D691" i="4"/>
  <c r="A692" i="4"/>
  <c r="M691" i="3"/>
  <c r="C691" i="3"/>
  <c r="E691" i="3"/>
  <c r="G691" i="3"/>
  <c r="H691" i="3"/>
  <c r="J691" i="3"/>
  <c r="N691" i="3"/>
  <c r="P691" i="3"/>
  <c r="S691" i="3"/>
  <c r="Y691" i="3" s="1"/>
  <c r="Z691" i="3" s="1"/>
  <c r="AA691" i="3" s="1"/>
  <c r="V691" i="3"/>
  <c r="T691" i="3"/>
  <c r="G691" i="4"/>
  <c r="L691" i="4" s="1"/>
  <c r="I691" i="4"/>
  <c r="M691" i="4" s="1"/>
  <c r="K691" i="4"/>
  <c r="N691" i="4" s="1"/>
  <c r="C691" i="4"/>
  <c r="AB690" i="3"/>
  <c r="E691" i="4" s="1"/>
  <c r="I689" i="3"/>
  <c r="F690" i="4" s="1"/>
  <c r="U689" i="3"/>
  <c r="J690" i="4" s="1"/>
  <c r="O689" i="3"/>
  <c r="H690" i="4" s="1"/>
  <c r="F690" i="3"/>
  <c r="D691" i="3"/>
  <c r="K695" i="2"/>
  <c r="H694" i="2"/>
  <c r="E694" i="2" s="1"/>
  <c r="C697" i="2"/>
  <c r="I693" i="2"/>
  <c r="F693" i="2" s="1"/>
  <c r="L694" i="2"/>
  <c r="D695" i="2"/>
  <c r="J694" i="2"/>
  <c r="G694" i="2" s="1"/>
  <c r="M695" i="2"/>
  <c r="V694" i="2" l="1"/>
  <c r="T693" i="2"/>
  <c r="D692" i="4"/>
  <c r="A693" i="4"/>
  <c r="J692" i="3"/>
  <c r="V692" i="3"/>
  <c r="C692" i="3"/>
  <c r="N692" i="3"/>
  <c r="P692" i="3"/>
  <c r="S692" i="3"/>
  <c r="Y692" i="3" s="1"/>
  <c r="Z692" i="3" s="1"/>
  <c r="AA692" i="3" s="1"/>
  <c r="T692" i="3"/>
  <c r="E692" i="3"/>
  <c r="G692" i="3"/>
  <c r="H692" i="3"/>
  <c r="M692" i="3"/>
  <c r="I694" i="2"/>
  <c r="F694" i="2" s="1"/>
  <c r="L695" i="2"/>
  <c r="C698" i="2"/>
  <c r="H695" i="2"/>
  <c r="E695" i="2" s="1"/>
  <c r="K696" i="2"/>
  <c r="J695" i="2"/>
  <c r="G695" i="2" s="1"/>
  <c r="M696" i="2"/>
  <c r="C692" i="4"/>
  <c r="AB691" i="3"/>
  <c r="E692" i="4" s="1"/>
  <c r="F691" i="3"/>
  <c r="D692" i="3"/>
  <c r="I690" i="3"/>
  <c r="F691" i="4" s="1"/>
  <c r="U690" i="3"/>
  <c r="J691" i="4" s="1"/>
  <c r="O690" i="3"/>
  <c r="H691" i="4" s="1"/>
  <c r="G692" i="4"/>
  <c r="L692" i="4" s="1"/>
  <c r="I692" i="4"/>
  <c r="M692" i="4" s="1"/>
  <c r="K692" i="4"/>
  <c r="N692" i="4" s="1"/>
  <c r="D696" i="2"/>
  <c r="V695" i="2" l="1"/>
  <c r="T694" i="2"/>
  <c r="D693" i="4"/>
  <c r="K697" i="2"/>
  <c r="H696" i="2"/>
  <c r="E696" i="2" s="1"/>
  <c r="J696" i="2"/>
  <c r="G696" i="2" s="1"/>
  <c r="M697" i="2"/>
  <c r="C699" i="2"/>
  <c r="L696" i="2"/>
  <c r="I695" i="2"/>
  <c r="F695" i="2" s="1"/>
  <c r="F692" i="3"/>
  <c r="D693" i="3"/>
  <c r="D697" i="2"/>
  <c r="O691" i="3"/>
  <c r="H692" i="4" s="1"/>
  <c r="I691" i="3"/>
  <c r="F692" i="4" s="1"/>
  <c r="U691" i="3"/>
  <c r="J692" i="4" s="1"/>
  <c r="A694" i="4"/>
  <c r="G693" i="3"/>
  <c r="S693" i="3"/>
  <c r="Y693" i="3" s="1"/>
  <c r="Z693" i="3" s="1"/>
  <c r="AA693" i="3" s="1"/>
  <c r="C693" i="3"/>
  <c r="E693" i="3"/>
  <c r="H693" i="3"/>
  <c r="J693" i="3"/>
  <c r="M693" i="3"/>
  <c r="N693" i="3"/>
  <c r="P693" i="3"/>
  <c r="V693" i="3"/>
  <c r="T693" i="3"/>
  <c r="G693" i="4"/>
  <c r="L693" i="4" s="1"/>
  <c r="I693" i="4"/>
  <c r="M693" i="4" s="1"/>
  <c r="K693" i="4"/>
  <c r="N693" i="4" s="1"/>
  <c r="C693" i="4"/>
  <c r="AB692" i="3"/>
  <c r="E693" i="4" s="1"/>
  <c r="V696" i="2" l="1"/>
  <c r="T695" i="2"/>
  <c r="D694" i="4"/>
  <c r="I696" i="2"/>
  <c r="F696" i="2" s="1"/>
  <c r="L697" i="2"/>
  <c r="C700" i="2"/>
  <c r="O692" i="3"/>
  <c r="H693" i="4" s="1"/>
  <c r="U692" i="3"/>
  <c r="J693" i="4" s="1"/>
  <c r="I692" i="3"/>
  <c r="F693" i="4" s="1"/>
  <c r="C694" i="4"/>
  <c r="AB693" i="3"/>
  <c r="E694" i="4" s="1"/>
  <c r="J697" i="2"/>
  <c r="G697" i="2" s="1"/>
  <c r="M698" i="2"/>
  <c r="A695" i="4"/>
  <c r="P694" i="3"/>
  <c r="N694" i="3"/>
  <c r="S694" i="3"/>
  <c r="Y694" i="3" s="1"/>
  <c r="Z694" i="3" s="1"/>
  <c r="AA694" i="3" s="1"/>
  <c r="T694" i="3"/>
  <c r="C694" i="3"/>
  <c r="V694" i="3"/>
  <c r="E694" i="3"/>
  <c r="G694" i="3"/>
  <c r="H694" i="3"/>
  <c r="J694" i="3"/>
  <c r="M694" i="3"/>
  <c r="K694" i="4"/>
  <c r="N694" i="4" s="1"/>
  <c r="G694" i="4"/>
  <c r="L694" i="4" s="1"/>
  <c r="I694" i="4"/>
  <c r="M694" i="4" s="1"/>
  <c r="K698" i="2"/>
  <c r="H697" i="2"/>
  <c r="E697" i="2" s="1"/>
  <c r="D698" i="2"/>
  <c r="D694" i="3"/>
  <c r="F693" i="3"/>
  <c r="V697" i="2" l="1"/>
  <c r="T696" i="2"/>
  <c r="D695" i="4"/>
  <c r="H698" i="2"/>
  <c r="K699" i="2"/>
  <c r="C701" i="2"/>
  <c r="F694" i="3"/>
  <c r="D695" i="3"/>
  <c r="L698" i="2"/>
  <c r="I697" i="2"/>
  <c r="F697" i="2" s="1"/>
  <c r="A696" i="4"/>
  <c r="M695" i="3"/>
  <c r="C695" i="3"/>
  <c r="E695" i="3"/>
  <c r="G695" i="3"/>
  <c r="H695" i="3"/>
  <c r="J695" i="3"/>
  <c r="N695" i="3"/>
  <c r="P695" i="3"/>
  <c r="S695" i="3"/>
  <c r="Y695" i="3" s="1"/>
  <c r="Z695" i="3" s="1"/>
  <c r="AA695" i="3" s="1"/>
  <c r="V695" i="3"/>
  <c r="T695" i="3"/>
  <c r="I695" i="4"/>
  <c r="M695" i="4" s="1"/>
  <c r="K695" i="4"/>
  <c r="N695" i="4" s="1"/>
  <c r="G695" i="4"/>
  <c r="L695" i="4" s="1"/>
  <c r="I693" i="3"/>
  <c r="F694" i="4" s="1"/>
  <c r="U693" i="3"/>
  <c r="J694" i="4" s="1"/>
  <c r="O693" i="3"/>
  <c r="H694" i="4" s="1"/>
  <c r="D699" i="2"/>
  <c r="G698" i="2"/>
  <c r="E698" i="2"/>
  <c r="C695" i="4"/>
  <c r="AB694" i="3"/>
  <c r="E695" i="4" s="1"/>
  <c r="M699" i="2"/>
  <c r="J698" i="2"/>
  <c r="V698" i="2" l="1"/>
  <c r="T697" i="2"/>
  <c r="D696" i="4"/>
  <c r="G696" i="4"/>
  <c r="L696" i="4" s="1"/>
  <c r="I696" i="4"/>
  <c r="M696" i="4" s="1"/>
  <c r="K696" i="4"/>
  <c r="N696" i="4" s="1"/>
  <c r="L699" i="2"/>
  <c r="I698" i="2"/>
  <c r="F698" i="2" s="1"/>
  <c r="F695" i="3"/>
  <c r="D696" i="3"/>
  <c r="I694" i="3"/>
  <c r="F695" i="4" s="1"/>
  <c r="U694" i="3"/>
  <c r="J695" i="4" s="1"/>
  <c r="O694" i="3"/>
  <c r="H695" i="4" s="1"/>
  <c r="A697" i="4"/>
  <c r="J696" i="3"/>
  <c r="V696" i="3"/>
  <c r="C696" i="3"/>
  <c r="N696" i="3"/>
  <c r="P696" i="3"/>
  <c r="S696" i="3"/>
  <c r="Y696" i="3" s="1"/>
  <c r="Z696" i="3" s="1"/>
  <c r="AA696" i="3" s="1"/>
  <c r="T696" i="3"/>
  <c r="E696" i="3"/>
  <c r="G696" i="3"/>
  <c r="H696" i="3"/>
  <c r="M696" i="3"/>
  <c r="D700" i="2"/>
  <c r="E699" i="2"/>
  <c r="C702" i="2"/>
  <c r="K700" i="2"/>
  <c r="H699" i="2"/>
  <c r="J699" i="2"/>
  <c r="G699" i="2" s="1"/>
  <c r="M700" i="2"/>
  <c r="C696" i="4"/>
  <c r="AB695" i="3"/>
  <c r="E696" i="4" s="1"/>
  <c r="V699" i="2" l="1"/>
  <c r="T698" i="2"/>
  <c r="D697" i="4"/>
  <c r="O695" i="3"/>
  <c r="H696" i="4" s="1"/>
  <c r="I695" i="3"/>
  <c r="F696" i="4" s="1"/>
  <c r="U695" i="3"/>
  <c r="J696" i="4" s="1"/>
  <c r="I699" i="2"/>
  <c r="F699" i="2" s="1"/>
  <c r="L700" i="2"/>
  <c r="G700" i="2"/>
  <c r="D701" i="2"/>
  <c r="F696" i="3"/>
  <c r="D697" i="3"/>
  <c r="J700" i="2"/>
  <c r="M701" i="2"/>
  <c r="A698" i="4"/>
  <c r="G697" i="3"/>
  <c r="S697" i="3"/>
  <c r="Y697" i="3" s="1"/>
  <c r="Z697" i="3" s="1"/>
  <c r="AA697" i="3" s="1"/>
  <c r="C697" i="3"/>
  <c r="E697" i="3"/>
  <c r="H697" i="3"/>
  <c r="J697" i="3"/>
  <c r="M697" i="3"/>
  <c r="N697" i="3"/>
  <c r="P697" i="3"/>
  <c r="V697" i="3"/>
  <c r="T697" i="3"/>
  <c r="G697" i="4"/>
  <c r="L697" i="4" s="1"/>
  <c r="I697" i="4"/>
  <c r="M697" i="4" s="1"/>
  <c r="K697" i="4"/>
  <c r="N697" i="4" s="1"/>
  <c r="C703" i="2"/>
  <c r="C697" i="4"/>
  <c r="AB696" i="3"/>
  <c r="E697" i="4" s="1"/>
  <c r="H700" i="2"/>
  <c r="E700" i="2" s="1"/>
  <c r="K701" i="2"/>
  <c r="V700" i="2" l="1"/>
  <c r="T699" i="2"/>
  <c r="D698" i="4"/>
  <c r="D702" i="2"/>
  <c r="L701" i="2"/>
  <c r="I700" i="2"/>
  <c r="F700" i="2" s="1"/>
  <c r="A699" i="4"/>
  <c r="P698" i="3"/>
  <c r="N698" i="3"/>
  <c r="S698" i="3"/>
  <c r="Y698" i="3" s="1"/>
  <c r="Z698" i="3" s="1"/>
  <c r="AA698" i="3" s="1"/>
  <c r="T698" i="3"/>
  <c r="C698" i="3"/>
  <c r="V698" i="3"/>
  <c r="E698" i="3"/>
  <c r="G698" i="3"/>
  <c r="H698" i="3"/>
  <c r="J698" i="3"/>
  <c r="M698" i="3"/>
  <c r="K702" i="2"/>
  <c r="H701" i="2"/>
  <c r="E701" i="2" s="1"/>
  <c r="G698" i="4"/>
  <c r="L698" i="4" s="1"/>
  <c r="I698" i="4"/>
  <c r="M698" i="4" s="1"/>
  <c r="K698" i="4"/>
  <c r="N698" i="4" s="1"/>
  <c r="J701" i="2"/>
  <c r="G701" i="2" s="1"/>
  <c r="M702" i="2"/>
  <c r="D698" i="3"/>
  <c r="F697" i="3"/>
  <c r="C704" i="2"/>
  <c r="C698" i="4"/>
  <c r="AB697" i="3"/>
  <c r="E698" i="4" s="1"/>
  <c r="O696" i="3"/>
  <c r="H697" i="4" s="1"/>
  <c r="U696" i="3"/>
  <c r="J697" i="4" s="1"/>
  <c r="I696" i="3"/>
  <c r="F697" i="4" s="1"/>
  <c r="V701" i="2" l="1"/>
  <c r="T700" i="2"/>
  <c r="D699" i="4"/>
  <c r="K703" i="2"/>
  <c r="H702" i="2"/>
  <c r="I697" i="3"/>
  <c r="F698" i="4" s="1"/>
  <c r="U697" i="3"/>
  <c r="J698" i="4" s="1"/>
  <c r="O697" i="3"/>
  <c r="H698" i="4" s="1"/>
  <c r="A700" i="4"/>
  <c r="M699" i="3"/>
  <c r="C699" i="3"/>
  <c r="E699" i="3"/>
  <c r="G699" i="3"/>
  <c r="H699" i="3"/>
  <c r="J699" i="3"/>
  <c r="N699" i="3"/>
  <c r="P699" i="3"/>
  <c r="S699" i="3"/>
  <c r="Y699" i="3" s="1"/>
  <c r="Z699" i="3" s="1"/>
  <c r="AA699" i="3" s="1"/>
  <c r="V699" i="3"/>
  <c r="T699" i="3"/>
  <c r="G699" i="4"/>
  <c r="L699" i="4" s="1"/>
  <c r="I699" i="4"/>
  <c r="M699" i="4" s="1"/>
  <c r="K699" i="4"/>
  <c r="N699" i="4" s="1"/>
  <c r="F698" i="3"/>
  <c r="D699" i="3"/>
  <c r="C699" i="4"/>
  <c r="AB698" i="3"/>
  <c r="E699" i="4" s="1"/>
  <c r="C705" i="2"/>
  <c r="J702" i="2"/>
  <c r="G702" i="2" s="1"/>
  <c r="M703" i="2"/>
  <c r="L702" i="2"/>
  <c r="I701" i="2"/>
  <c r="F701" i="2" s="1"/>
  <c r="D703" i="2"/>
  <c r="E702" i="2"/>
  <c r="V702" i="2" l="1"/>
  <c r="T701" i="2"/>
  <c r="D700" i="4"/>
  <c r="M704" i="2"/>
  <c r="J703" i="2"/>
  <c r="G703" i="2" s="1"/>
  <c r="K700" i="4"/>
  <c r="N700" i="4" s="1"/>
  <c r="G700" i="4"/>
  <c r="L700" i="4" s="1"/>
  <c r="I700" i="4"/>
  <c r="M700" i="4" s="1"/>
  <c r="C700" i="4"/>
  <c r="AB699" i="3"/>
  <c r="E700" i="4" s="1"/>
  <c r="C706" i="2"/>
  <c r="D704" i="2"/>
  <c r="F699" i="3"/>
  <c r="D700" i="3"/>
  <c r="I698" i="3"/>
  <c r="F699" i="4" s="1"/>
  <c r="U698" i="3"/>
  <c r="J699" i="4" s="1"/>
  <c r="O698" i="3"/>
  <c r="H699" i="4" s="1"/>
  <c r="A701" i="4"/>
  <c r="J700" i="3"/>
  <c r="V700" i="3"/>
  <c r="C700" i="3"/>
  <c r="N700" i="3"/>
  <c r="P700" i="3"/>
  <c r="S700" i="3"/>
  <c r="Y700" i="3" s="1"/>
  <c r="Z700" i="3" s="1"/>
  <c r="AA700" i="3" s="1"/>
  <c r="T700" i="3"/>
  <c r="E700" i="3"/>
  <c r="G700" i="3"/>
  <c r="H700" i="3"/>
  <c r="M700" i="3"/>
  <c r="H703" i="2"/>
  <c r="E703" i="2" s="1"/>
  <c r="K704" i="2"/>
  <c r="L703" i="2"/>
  <c r="I702" i="2"/>
  <c r="F702" i="2" s="1"/>
  <c r="V703" i="2" l="1"/>
  <c r="T702" i="2"/>
  <c r="D701" i="4"/>
  <c r="O699" i="3"/>
  <c r="H700" i="4" s="1"/>
  <c r="I699" i="3"/>
  <c r="F700" i="4" s="1"/>
  <c r="U699" i="3"/>
  <c r="J700" i="4" s="1"/>
  <c r="L704" i="2"/>
  <c r="I703" i="2"/>
  <c r="F703" i="2" s="1"/>
  <c r="D705" i="2"/>
  <c r="G704" i="2"/>
  <c r="E704" i="2"/>
  <c r="F700" i="3"/>
  <c r="D701" i="3"/>
  <c r="C707" i="2"/>
  <c r="J704" i="2"/>
  <c r="M705" i="2"/>
  <c r="K705" i="2"/>
  <c r="H704" i="2"/>
  <c r="A702" i="4"/>
  <c r="G701" i="3"/>
  <c r="S701" i="3"/>
  <c r="Y701" i="3" s="1"/>
  <c r="Z701" i="3" s="1"/>
  <c r="AA701" i="3" s="1"/>
  <c r="C701" i="3"/>
  <c r="E701" i="3"/>
  <c r="H701" i="3"/>
  <c r="J701" i="3"/>
  <c r="M701" i="3"/>
  <c r="N701" i="3"/>
  <c r="P701" i="3"/>
  <c r="V701" i="3"/>
  <c r="T701" i="3"/>
  <c r="I701" i="4"/>
  <c r="M701" i="4" s="1"/>
  <c r="K701" i="4"/>
  <c r="N701" i="4" s="1"/>
  <c r="G701" i="4"/>
  <c r="L701" i="4" s="1"/>
  <c r="C701" i="4"/>
  <c r="AB700" i="3"/>
  <c r="E701" i="4" s="1"/>
  <c r="V704" i="2" l="1"/>
  <c r="T703" i="2"/>
  <c r="D702" i="4"/>
  <c r="D706" i="2"/>
  <c r="J705" i="2"/>
  <c r="G705" i="2" s="1"/>
  <c r="M706" i="2"/>
  <c r="C702" i="4"/>
  <c r="AB701" i="3"/>
  <c r="E702" i="4" s="1"/>
  <c r="L705" i="2"/>
  <c r="I704" i="2"/>
  <c r="F704" i="2" s="1"/>
  <c r="G702" i="4"/>
  <c r="L702" i="4" s="1"/>
  <c r="I702" i="4"/>
  <c r="M702" i="4" s="1"/>
  <c r="K702" i="4"/>
  <c r="N702" i="4" s="1"/>
  <c r="K706" i="2"/>
  <c r="H705" i="2"/>
  <c r="E705" i="2" s="1"/>
  <c r="A703" i="4"/>
  <c r="P702" i="3"/>
  <c r="N702" i="3"/>
  <c r="S702" i="3"/>
  <c r="Y702" i="3" s="1"/>
  <c r="Z702" i="3" s="1"/>
  <c r="AA702" i="3" s="1"/>
  <c r="T702" i="3"/>
  <c r="C702" i="3"/>
  <c r="V702" i="3"/>
  <c r="E702" i="3"/>
  <c r="G702" i="3"/>
  <c r="H702" i="3"/>
  <c r="J702" i="3"/>
  <c r="M702" i="3"/>
  <c r="C708" i="2"/>
  <c r="D702" i="3"/>
  <c r="F701" i="3"/>
  <c r="O700" i="3"/>
  <c r="H701" i="4" s="1"/>
  <c r="U700" i="3"/>
  <c r="J701" i="4" s="1"/>
  <c r="I700" i="3"/>
  <c r="F701" i="4" s="1"/>
  <c r="V705" i="2" l="1"/>
  <c r="T704" i="2"/>
  <c r="D703" i="4"/>
  <c r="M707" i="2"/>
  <c r="J706" i="2"/>
  <c r="H706" i="2"/>
  <c r="E706" i="2" s="1"/>
  <c r="K707" i="2"/>
  <c r="L706" i="2"/>
  <c r="I705" i="2"/>
  <c r="F705" i="2" s="1"/>
  <c r="A704" i="4"/>
  <c r="M703" i="3"/>
  <c r="C703" i="3"/>
  <c r="E703" i="3"/>
  <c r="G703" i="3"/>
  <c r="H703" i="3"/>
  <c r="J703" i="3"/>
  <c r="N703" i="3"/>
  <c r="P703" i="3"/>
  <c r="S703" i="3"/>
  <c r="Y703" i="3" s="1"/>
  <c r="Z703" i="3" s="1"/>
  <c r="AA703" i="3" s="1"/>
  <c r="V703" i="3"/>
  <c r="T703" i="3"/>
  <c r="G703" i="4"/>
  <c r="L703" i="4" s="1"/>
  <c r="I703" i="4"/>
  <c r="M703" i="4" s="1"/>
  <c r="K703" i="4"/>
  <c r="N703" i="4" s="1"/>
  <c r="C703" i="4"/>
  <c r="AB702" i="3"/>
  <c r="E703" i="4" s="1"/>
  <c r="D707" i="2"/>
  <c r="G706" i="2"/>
  <c r="I701" i="3"/>
  <c r="F702" i="4" s="1"/>
  <c r="U701" i="3"/>
  <c r="J702" i="4" s="1"/>
  <c r="O701" i="3"/>
  <c r="H702" i="4" s="1"/>
  <c r="F702" i="3"/>
  <c r="D703" i="3"/>
  <c r="C709" i="2"/>
  <c r="V706" i="2" l="1"/>
  <c r="T705" i="2"/>
  <c r="D704" i="4"/>
  <c r="C704" i="4"/>
  <c r="AB703" i="3"/>
  <c r="E704" i="4" s="1"/>
  <c r="G704" i="4"/>
  <c r="L704" i="4" s="1"/>
  <c r="I704" i="4"/>
  <c r="M704" i="4" s="1"/>
  <c r="K704" i="4"/>
  <c r="N704" i="4" s="1"/>
  <c r="L707" i="2"/>
  <c r="I706" i="2"/>
  <c r="F706" i="2" s="1"/>
  <c r="K708" i="2"/>
  <c r="H707" i="2"/>
  <c r="E707" i="2" s="1"/>
  <c r="A705" i="4"/>
  <c r="J704" i="3"/>
  <c r="V704" i="3"/>
  <c r="C704" i="3"/>
  <c r="N704" i="3"/>
  <c r="P704" i="3"/>
  <c r="S704" i="3"/>
  <c r="Y704" i="3" s="1"/>
  <c r="Z704" i="3" s="1"/>
  <c r="AA704" i="3" s="1"/>
  <c r="T704" i="3"/>
  <c r="E704" i="3"/>
  <c r="G704" i="3"/>
  <c r="H704" i="3"/>
  <c r="M704" i="3"/>
  <c r="J707" i="2"/>
  <c r="M708" i="2"/>
  <c r="C710" i="2"/>
  <c r="F703" i="3"/>
  <c r="D704" i="3"/>
  <c r="I702" i="3"/>
  <c r="F703" i="4" s="1"/>
  <c r="U702" i="3"/>
  <c r="J703" i="4" s="1"/>
  <c r="O702" i="3"/>
  <c r="H703" i="4" s="1"/>
  <c r="D708" i="2"/>
  <c r="G707" i="2"/>
  <c r="V707" i="2" l="1"/>
  <c r="T706" i="2"/>
  <c r="D705" i="4"/>
  <c r="M709" i="2"/>
  <c r="J708" i="2"/>
  <c r="A706" i="4"/>
  <c r="G705" i="3"/>
  <c r="S705" i="3"/>
  <c r="Y705" i="3" s="1"/>
  <c r="Z705" i="3" s="1"/>
  <c r="AA705" i="3" s="1"/>
  <c r="C705" i="3"/>
  <c r="E705" i="3"/>
  <c r="H705" i="3"/>
  <c r="J705" i="3"/>
  <c r="M705" i="3"/>
  <c r="N705" i="3"/>
  <c r="P705" i="3"/>
  <c r="V705" i="3"/>
  <c r="T705" i="3"/>
  <c r="G705" i="4"/>
  <c r="L705" i="4" s="1"/>
  <c r="I705" i="4"/>
  <c r="M705" i="4" s="1"/>
  <c r="K705" i="4"/>
  <c r="N705" i="4" s="1"/>
  <c r="L708" i="2"/>
  <c r="I707" i="2"/>
  <c r="F707" i="2" s="1"/>
  <c r="F704" i="3"/>
  <c r="D705" i="3"/>
  <c r="O703" i="3"/>
  <c r="H704" i="4" s="1"/>
  <c r="I703" i="3"/>
  <c r="F704" i="4" s="1"/>
  <c r="U703" i="3"/>
  <c r="J704" i="4" s="1"/>
  <c r="C711" i="2"/>
  <c r="G708" i="2"/>
  <c r="D709" i="2"/>
  <c r="C705" i="4"/>
  <c r="AB704" i="3"/>
  <c r="E705" i="4" s="1"/>
  <c r="K709" i="2"/>
  <c r="H708" i="2"/>
  <c r="E708" i="2" s="1"/>
  <c r="V708" i="2" l="1"/>
  <c r="T707" i="2"/>
  <c r="D706" i="4"/>
  <c r="D710" i="2"/>
  <c r="C712" i="2"/>
  <c r="K706" i="4"/>
  <c r="N706" i="4" s="1"/>
  <c r="G706" i="4"/>
  <c r="L706" i="4" s="1"/>
  <c r="I706" i="4"/>
  <c r="M706" i="4" s="1"/>
  <c r="A707" i="4"/>
  <c r="P706" i="3"/>
  <c r="N706" i="3"/>
  <c r="S706" i="3"/>
  <c r="Y706" i="3" s="1"/>
  <c r="Z706" i="3" s="1"/>
  <c r="AA706" i="3" s="1"/>
  <c r="T706" i="3"/>
  <c r="C706" i="3"/>
  <c r="V706" i="3"/>
  <c r="E706" i="3"/>
  <c r="G706" i="3"/>
  <c r="H706" i="3"/>
  <c r="J706" i="3"/>
  <c r="M706" i="3"/>
  <c r="H709" i="2"/>
  <c r="E709" i="2" s="1"/>
  <c r="K710" i="2"/>
  <c r="M710" i="2"/>
  <c r="J709" i="2"/>
  <c r="G709" i="2" s="1"/>
  <c r="L709" i="2"/>
  <c r="I708" i="2"/>
  <c r="F708" i="2" s="1"/>
  <c r="D706" i="3"/>
  <c r="F705" i="3"/>
  <c r="O704" i="3"/>
  <c r="H705" i="4" s="1"/>
  <c r="U704" i="3"/>
  <c r="J705" i="4" s="1"/>
  <c r="I704" i="3"/>
  <c r="F705" i="4" s="1"/>
  <c r="C706" i="4"/>
  <c r="AB705" i="3"/>
  <c r="E706" i="4" s="1"/>
  <c r="V709" i="2" l="1"/>
  <c r="T708" i="2"/>
  <c r="D707" i="4"/>
  <c r="C713" i="2"/>
  <c r="K711" i="2"/>
  <c r="H710" i="2"/>
  <c r="E710" i="2" s="1"/>
  <c r="I707" i="4"/>
  <c r="M707" i="4" s="1"/>
  <c r="K707" i="4"/>
  <c r="N707" i="4" s="1"/>
  <c r="G707" i="4"/>
  <c r="L707" i="4" s="1"/>
  <c r="C707" i="4"/>
  <c r="AB706" i="3"/>
  <c r="E707" i="4" s="1"/>
  <c r="A708" i="4"/>
  <c r="M707" i="3"/>
  <c r="C707" i="3"/>
  <c r="E707" i="3"/>
  <c r="G707" i="3"/>
  <c r="H707" i="3"/>
  <c r="J707" i="3"/>
  <c r="N707" i="3"/>
  <c r="P707" i="3"/>
  <c r="S707" i="3"/>
  <c r="Y707" i="3" s="1"/>
  <c r="Z707" i="3" s="1"/>
  <c r="AA707" i="3" s="1"/>
  <c r="V707" i="3"/>
  <c r="T707" i="3"/>
  <c r="D711" i="2"/>
  <c r="F706" i="3"/>
  <c r="D707" i="3"/>
  <c r="L710" i="2"/>
  <c r="I709" i="2"/>
  <c r="F709" i="2" s="1"/>
  <c r="J710" i="2"/>
  <c r="G710" i="2" s="1"/>
  <c r="M711" i="2"/>
  <c r="I705" i="3"/>
  <c r="F706" i="4" s="1"/>
  <c r="U705" i="3"/>
  <c r="J706" i="4" s="1"/>
  <c r="O705" i="3"/>
  <c r="H706" i="4" s="1"/>
  <c r="V710" i="2" l="1"/>
  <c r="T709" i="2"/>
  <c r="D708" i="4"/>
  <c r="A709" i="4"/>
  <c r="J708" i="3"/>
  <c r="V708" i="3"/>
  <c r="C708" i="3"/>
  <c r="N708" i="3"/>
  <c r="P708" i="3"/>
  <c r="S708" i="3"/>
  <c r="Y708" i="3" s="1"/>
  <c r="Z708" i="3" s="1"/>
  <c r="AA708" i="3" s="1"/>
  <c r="T708" i="3"/>
  <c r="E708" i="3"/>
  <c r="G708" i="3"/>
  <c r="H708" i="3"/>
  <c r="M708" i="3"/>
  <c r="L711" i="2"/>
  <c r="I710" i="2"/>
  <c r="F710" i="2" s="1"/>
  <c r="F707" i="3"/>
  <c r="D708" i="3"/>
  <c r="K712" i="2"/>
  <c r="H711" i="2"/>
  <c r="E711" i="2" s="1"/>
  <c r="C708" i="4"/>
  <c r="AB707" i="3"/>
  <c r="E708" i="4" s="1"/>
  <c r="I706" i="3"/>
  <c r="F707" i="4" s="1"/>
  <c r="U706" i="3"/>
  <c r="J707" i="4" s="1"/>
  <c r="O706" i="3"/>
  <c r="H707" i="4" s="1"/>
  <c r="G708" i="4"/>
  <c r="L708" i="4" s="1"/>
  <c r="I708" i="4"/>
  <c r="M708" i="4" s="1"/>
  <c r="K708" i="4"/>
  <c r="N708" i="4" s="1"/>
  <c r="J711" i="2"/>
  <c r="G711" i="2" s="1"/>
  <c r="M712" i="2"/>
  <c r="C714" i="2"/>
  <c r="D712" i="2"/>
  <c r="V711" i="2" l="1"/>
  <c r="T710" i="2"/>
  <c r="D709" i="4"/>
  <c r="F708" i="3"/>
  <c r="D709" i="3"/>
  <c r="M713" i="2"/>
  <c r="J712" i="2"/>
  <c r="G712" i="2" s="1"/>
  <c r="O707" i="3"/>
  <c r="H708" i="4" s="1"/>
  <c r="I707" i="3"/>
  <c r="F708" i="4" s="1"/>
  <c r="U707" i="3"/>
  <c r="J708" i="4" s="1"/>
  <c r="C715" i="2"/>
  <c r="D713" i="2"/>
  <c r="L712" i="2"/>
  <c r="I711" i="2"/>
  <c r="F711" i="2" s="1"/>
  <c r="A710" i="4"/>
  <c r="G709" i="3"/>
  <c r="S709" i="3"/>
  <c r="Y709" i="3" s="1"/>
  <c r="Z709" i="3" s="1"/>
  <c r="AA709" i="3" s="1"/>
  <c r="C709" i="3"/>
  <c r="E709" i="3"/>
  <c r="H709" i="3"/>
  <c r="J709" i="3"/>
  <c r="M709" i="3"/>
  <c r="N709" i="3"/>
  <c r="P709" i="3"/>
  <c r="V709" i="3"/>
  <c r="T709" i="3"/>
  <c r="G709" i="4"/>
  <c r="L709" i="4" s="1"/>
  <c r="I709" i="4"/>
  <c r="M709" i="4" s="1"/>
  <c r="K709" i="4"/>
  <c r="N709" i="4" s="1"/>
  <c r="H712" i="2"/>
  <c r="E712" i="2" s="1"/>
  <c r="K713" i="2"/>
  <c r="C709" i="4"/>
  <c r="AB708" i="3"/>
  <c r="E709" i="4" s="1"/>
  <c r="V712" i="2" l="1"/>
  <c r="T711" i="2"/>
  <c r="D710" i="4"/>
  <c r="L713" i="2"/>
  <c r="I712" i="2"/>
  <c r="F712" i="2" s="1"/>
  <c r="J713" i="2"/>
  <c r="M714" i="2"/>
  <c r="G710" i="4"/>
  <c r="L710" i="4" s="1"/>
  <c r="I710" i="4"/>
  <c r="M710" i="4" s="1"/>
  <c r="K710" i="4"/>
  <c r="N710" i="4" s="1"/>
  <c r="C710" i="4"/>
  <c r="AB709" i="3"/>
  <c r="E710" i="4" s="1"/>
  <c r="D710" i="3"/>
  <c r="F709" i="3"/>
  <c r="A711" i="4"/>
  <c r="P710" i="3"/>
  <c r="N710" i="3"/>
  <c r="S710" i="3"/>
  <c r="Y710" i="3" s="1"/>
  <c r="Z710" i="3" s="1"/>
  <c r="AA710" i="3" s="1"/>
  <c r="T710" i="3"/>
  <c r="C710" i="3"/>
  <c r="V710" i="3"/>
  <c r="E710" i="3"/>
  <c r="G710" i="3"/>
  <c r="H710" i="3"/>
  <c r="J710" i="3"/>
  <c r="M710" i="3"/>
  <c r="O708" i="3"/>
  <c r="H709" i="4" s="1"/>
  <c r="U708" i="3"/>
  <c r="J709" i="4" s="1"/>
  <c r="I708" i="3"/>
  <c r="F709" i="4" s="1"/>
  <c r="C716" i="2"/>
  <c r="K714" i="2"/>
  <c r="H713" i="2"/>
  <c r="E713" i="2" s="1"/>
  <c r="D714" i="2"/>
  <c r="G713" i="2"/>
  <c r="V713" i="2" l="1"/>
  <c r="T712" i="2"/>
  <c r="D711" i="4"/>
  <c r="K715" i="2"/>
  <c r="H714" i="2"/>
  <c r="J714" i="2"/>
  <c r="M715" i="2"/>
  <c r="G711" i="4"/>
  <c r="L711" i="4" s="1"/>
  <c r="I711" i="4"/>
  <c r="M711" i="4" s="1"/>
  <c r="K711" i="4"/>
  <c r="N711" i="4" s="1"/>
  <c r="I709" i="3"/>
  <c r="F710" i="4" s="1"/>
  <c r="U709" i="3"/>
  <c r="J710" i="4" s="1"/>
  <c r="O709" i="3"/>
  <c r="H710" i="4" s="1"/>
  <c r="F710" i="3"/>
  <c r="D711" i="3"/>
  <c r="L714" i="2"/>
  <c r="I713" i="2"/>
  <c r="F713" i="2" s="1"/>
  <c r="C717" i="2"/>
  <c r="A712" i="4"/>
  <c r="M711" i="3"/>
  <c r="C711" i="3"/>
  <c r="E711" i="3"/>
  <c r="G711" i="3"/>
  <c r="H711" i="3"/>
  <c r="J711" i="3"/>
  <c r="N711" i="3"/>
  <c r="P711" i="3"/>
  <c r="S711" i="3"/>
  <c r="Y711" i="3" s="1"/>
  <c r="Z711" i="3" s="1"/>
  <c r="AA711" i="3" s="1"/>
  <c r="V711" i="3"/>
  <c r="T711" i="3"/>
  <c r="C711" i="4"/>
  <c r="AB710" i="3"/>
  <c r="E711" i="4" s="1"/>
  <c r="G714" i="2"/>
  <c r="D715" i="2"/>
  <c r="E714" i="2"/>
  <c r="V714" i="2" l="1"/>
  <c r="T713" i="2"/>
  <c r="D712" i="4"/>
  <c r="A713" i="4"/>
  <c r="J712" i="3"/>
  <c r="C712" i="3"/>
  <c r="N712" i="3"/>
  <c r="P712" i="3"/>
  <c r="S712" i="3"/>
  <c r="Y712" i="3" s="1"/>
  <c r="Z712" i="3" s="1"/>
  <c r="AA712" i="3" s="1"/>
  <c r="T712" i="3"/>
  <c r="E712" i="3"/>
  <c r="V712" i="3"/>
  <c r="G712" i="3"/>
  <c r="H712" i="3"/>
  <c r="M712" i="3"/>
  <c r="L715" i="2"/>
  <c r="I714" i="2"/>
  <c r="F714" i="2" s="1"/>
  <c r="M716" i="2"/>
  <c r="J715" i="2"/>
  <c r="G715" i="2" s="1"/>
  <c r="F711" i="3"/>
  <c r="D712" i="3"/>
  <c r="I710" i="3"/>
  <c r="F711" i="4" s="1"/>
  <c r="U710" i="3"/>
  <c r="J711" i="4" s="1"/>
  <c r="O710" i="3"/>
  <c r="H711" i="4" s="1"/>
  <c r="H715" i="2"/>
  <c r="K716" i="2"/>
  <c r="C712" i="4"/>
  <c r="AB711" i="3"/>
  <c r="E712" i="4" s="1"/>
  <c r="K712" i="4"/>
  <c r="N712" i="4" s="1"/>
  <c r="G712" i="4"/>
  <c r="L712" i="4" s="1"/>
  <c r="I712" i="4"/>
  <c r="M712" i="4" s="1"/>
  <c r="C718" i="2"/>
  <c r="C719" i="2" s="1"/>
  <c r="D716" i="2"/>
  <c r="E715" i="2"/>
  <c r="C720" i="2" l="1"/>
  <c r="V715" i="2"/>
  <c r="T714" i="2"/>
  <c r="D713" i="4"/>
  <c r="J716" i="2"/>
  <c r="M717" i="2"/>
  <c r="F712" i="3"/>
  <c r="D713" i="3"/>
  <c r="O711" i="3"/>
  <c r="H712" i="4" s="1"/>
  <c r="I711" i="3"/>
  <c r="F712" i="4" s="1"/>
  <c r="U711" i="3"/>
  <c r="J712" i="4" s="1"/>
  <c r="A714" i="4"/>
  <c r="C713" i="3"/>
  <c r="S713" i="3"/>
  <c r="Y713" i="3" s="1"/>
  <c r="Z713" i="3" s="1"/>
  <c r="AA713" i="3" s="1"/>
  <c r="E713" i="3"/>
  <c r="T713" i="3"/>
  <c r="V713" i="3"/>
  <c r="G713" i="3"/>
  <c r="H713" i="3"/>
  <c r="J713" i="3"/>
  <c r="M713" i="3"/>
  <c r="N713" i="3"/>
  <c r="P713" i="3"/>
  <c r="I713" i="4"/>
  <c r="M713" i="4" s="1"/>
  <c r="K713" i="4"/>
  <c r="N713" i="4" s="1"/>
  <c r="G713" i="4"/>
  <c r="L713" i="4" s="1"/>
  <c r="L716" i="2"/>
  <c r="I715" i="2"/>
  <c r="F715" i="2" s="1"/>
  <c r="D717" i="2"/>
  <c r="G716" i="2"/>
  <c r="E716" i="2"/>
  <c r="K717" i="2"/>
  <c r="H716" i="2"/>
  <c r="C713" i="4"/>
  <c r="AB712" i="3"/>
  <c r="E713" i="4" s="1"/>
  <c r="V716" i="2" l="1"/>
  <c r="T715" i="2"/>
  <c r="C721" i="2"/>
  <c r="D714" i="4"/>
  <c r="G714" i="4"/>
  <c r="L714" i="4" s="1"/>
  <c r="I714" i="4"/>
  <c r="M714" i="4" s="1"/>
  <c r="K714" i="4"/>
  <c r="N714" i="4" s="1"/>
  <c r="A715" i="4"/>
  <c r="H714" i="3"/>
  <c r="V714" i="3"/>
  <c r="J714" i="3"/>
  <c r="M714" i="3"/>
  <c r="N714" i="3"/>
  <c r="P714" i="3"/>
  <c r="C714" i="3"/>
  <c r="S714" i="3"/>
  <c r="Y714" i="3" s="1"/>
  <c r="Z714" i="3" s="1"/>
  <c r="AA714" i="3" s="1"/>
  <c r="G714" i="3"/>
  <c r="E714" i="3"/>
  <c r="T714" i="3"/>
  <c r="F713" i="3"/>
  <c r="D714" i="3"/>
  <c r="K718" i="2"/>
  <c r="H717" i="2"/>
  <c r="D718" i="2"/>
  <c r="D719" i="2" s="1"/>
  <c r="E717" i="2"/>
  <c r="O712" i="3"/>
  <c r="H713" i="4" s="1"/>
  <c r="U712" i="3"/>
  <c r="J713" i="4" s="1"/>
  <c r="I712" i="3"/>
  <c r="F713" i="4" s="1"/>
  <c r="C714" i="4"/>
  <c r="AB713" i="3"/>
  <c r="E714" i="4" s="1"/>
  <c r="J717" i="2"/>
  <c r="G717" i="2" s="1"/>
  <c r="M718" i="2"/>
  <c r="L717" i="2"/>
  <c r="I716" i="2"/>
  <c r="F716" i="2" s="1"/>
  <c r="J718" i="2" l="1"/>
  <c r="M719" i="2"/>
  <c r="C722" i="2"/>
  <c r="D720" i="2"/>
  <c r="H718" i="2"/>
  <c r="K719" i="2"/>
  <c r="V717" i="2"/>
  <c r="T716" i="2"/>
  <c r="D715" i="4"/>
  <c r="G715" i="4"/>
  <c r="L715" i="4" s="1"/>
  <c r="I715" i="4"/>
  <c r="M715" i="4" s="1"/>
  <c r="K715" i="4"/>
  <c r="N715" i="4" s="1"/>
  <c r="I713" i="3"/>
  <c r="F714" i="4" s="1"/>
  <c r="U713" i="3"/>
  <c r="J714" i="4" s="1"/>
  <c r="O713" i="3"/>
  <c r="H714" i="4" s="1"/>
  <c r="A716" i="4"/>
  <c r="C715" i="3"/>
  <c r="J715" i="3"/>
  <c r="M715" i="3"/>
  <c r="N715" i="3"/>
  <c r="P715" i="3"/>
  <c r="E715" i="3"/>
  <c r="S715" i="3"/>
  <c r="Y715" i="3" s="1"/>
  <c r="Z715" i="3" s="1"/>
  <c r="AA715" i="3" s="1"/>
  <c r="T715" i="3"/>
  <c r="H715" i="3"/>
  <c r="V715" i="3"/>
  <c r="G715" i="3"/>
  <c r="G718" i="2"/>
  <c r="E718" i="2"/>
  <c r="F714" i="3"/>
  <c r="D715" i="3"/>
  <c r="L718" i="2"/>
  <c r="I717" i="2"/>
  <c r="F717" i="2" s="1"/>
  <c r="C715" i="4"/>
  <c r="AB714" i="3"/>
  <c r="E715" i="4" s="1"/>
  <c r="K720" i="2" l="1"/>
  <c r="H719" i="2"/>
  <c r="E719" i="2" s="1"/>
  <c r="D721" i="2"/>
  <c r="V718" i="2"/>
  <c r="T717" i="2"/>
  <c r="C723" i="2"/>
  <c r="M720" i="2"/>
  <c r="J719" i="2"/>
  <c r="G719" i="2" s="1"/>
  <c r="I718" i="2"/>
  <c r="F718" i="2" s="1"/>
  <c r="L719" i="2"/>
  <c r="D716" i="4"/>
  <c r="G716" i="4"/>
  <c r="L716" i="4" s="1"/>
  <c r="I716" i="4"/>
  <c r="M716" i="4" s="1"/>
  <c r="K716" i="4"/>
  <c r="N716" i="4" s="1"/>
  <c r="D716" i="3"/>
  <c r="F715" i="3"/>
  <c r="A717" i="4"/>
  <c r="M716" i="3"/>
  <c r="N716" i="3"/>
  <c r="P716" i="3"/>
  <c r="C716" i="3"/>
  <c r="S716" i="3"/>
  <c r="Y716" i="3" s="1"/>
  <c r="Z716" i="3" s="1"/>
  <c r="AA716" i="3" s="1"/>
  <c r="E716" i="3"/>
  <c r="T716" i="3"/>
  <c r="G716" i="3"/>
  <c r="H716" i="3"/>
  <c r="V716" i="3"/>
  <c r="J716" i="3"/>
  <c r="C716" i="4"/>
  <c r="AB715" i="3"/>
  <c r="E716" i="4" s="1"/>
  <c r="I714" i="3"/>
  <c r="F715" i="4" s="1"/>
  <c r="O714" i="3"/>
  <c r="H715" i="4" s="1"/>
  <c r="U714" i="3"/>
  <c r="J715" i="4" s="1"/>
  <c r="C724" i="2" l="1"/>
  <c r="M721" i="2"/>
  <c r="J720" i="2"/>
  <c r="G720" i="2" s="1"/>
  <c r="V719" i="2"/>
  <c r="T718" i="2"/>
  <c r="L720" i="2"/>
  <c r="I719" i="2"/>
  <c r="F719" i="2" s="1"/>
  <c r="D722" i="2"/>
  <c r="K721" i="2"/>
  <c r="H720" i="2"/>
  <c r="E720" i="2" s="1"/>
  <c r="D717" i="4"/>
  <c r="G717" i="4"/>
  <c r="L717" i="4" s="1"/>
  <c r="I717" i="4"/>
  <c r="M717" i="4" s="1"/>
  <c r="K717" i="4"/>
  <c r="N717" i="4" s="1"/>
  <c r="F716" i="3"/>
  <c r="D717" i="3"/>
  <c r="O715" i="3"/>
  <c r="H716" i="4" s="1"/>
  <c r="I715" i="3"/>
  <c r="F716" i="4" s="1"/>
  <c r="U715" i="3"/>
  <c r="J716" i="4" s="1"/>
  <c r="C717" i="4"/>
  <c r="AB716" i="3"/>
  <c r="E717" i="4" s="1"/>
  <c r="A718" i="4"/>
  <c r="C717" i="3"/>
  <c r="M717" i="3"/>
  <c r="N717" i="3"/>
  <c r="P717" i="3"/>
  <c r="E717" i="3"/>
  <c r="S717" i="3"/>
  <c r="T717" i="3"/>
  <c r="G717" i="3"/>
  <c r="V717" i="3"/>
  <c r="H717" i="3"/>
  <c r="J717" i="3"/>
  <c r="Y717" i="3" l="1"/>
  <c r="Z717" i="3" s="1"/>
  <c r="AA717" i="3" s="1"/>
  <c r="D718" i="4" s="1"/>
  <c r="Y718" i="3"/>
  <c r="Z718" i="3" s="1"/>
  <c r="D723" i="2"/>
  <c r="I720" i="2"/>
  <c r="F720" i="2" s="1"/>
  <c r="L721" i="2"/>
  <c r="V720" i="2"/>
  <c r="T719" i="2"/>
  <c r="M722" i="2"/>
  <c r="J721" i="2"/>
  <c r="G721" i="2" s="1"/>
  <c r="C725" i="2"/>
  <c r="K722" i="2"/>
  <c r="H721" i="2"/>
  <c r="E721" i="2" s="1"/>
  <c r="O716" i="3"/>
  <c r="H717" i="4" s="1"/>
  <c r="U716" i="3"/>
  <c r="J717" i="4" s="1"/>
  <c r="I716" i="3"/>
  <c r="F717" i="4" s="1"/>
  <c r="K718" i="4"/>
  <c r="N718" i="4" s="1"/>
  <c r="G718" i="4"/>
  <c r="L718" i="4" s="1"/>
  <c r="I718" i="4"/>
  <c r="M718" i="4" s="1"/>
  <c r="F717" i="3"/>
  <c r="C718" i="4"/>
  <c r="AB717" i="3"/>
  <c r="E718" i="4" s="1"/>
  <c r="AA718" i="3" l="1"/>
  <c r="D719" i="4" s="1"/>
  <c r="AA719" i="3"/>
  <c r="M723" i="2"/>
  <c r="J722" i="2"/>
  <c r="G722" i="2" s="1"/>
  <c r="V721" i="2"/>
  <c r="T720" i="2"/>
  <c r="I721" i="2"/>
  <c r="F721" i="2" s="1"/>
  <c r="L722" i="2"/>
  <c r="D724" i="2"/>
  <c r="K723" i="2"/>
  <c r="H722" i="2"/>
  <c r="E722" i="2" s="1"/>
  <c r="C726" i="2"/>
  <c r="I717" i="3"/>
  <c r="F718" i="4" s="1"/>
  <c r="U717" i="3"/>
  <c r="J718" i="4" s="1"/>
  <c r="O717" i="3"/>
  <c r="H718" i="4" s="1"/>
  <c r="AA720" i="3" l="1"/>
  <c r="D720" i="4"/>
  <c r="K724" i="2"/>
  <c r="H723" i="2"/>
  <c r="E723" i="2" s="1"/>
  <c r="V722" i="2"/>
  <c r="T721" i="2"/>
  <c r="D725" i="2"/>
  <c r="L723" i="2"/>
  <c r="I722" i="2"/>
  <c r="F722" i="2" s="1"/>
  <c r="C727" i="2"/>
  <c r="M724" i="2"/>
  <c r="J723" i="2"/>
  <c r="G723" i="2" s="1"/>
  <c r="AA721" i="3" l="1"/>
  <c r="D721" i="4"/>
  <c r="I723" i="2"/>
  <c r="F723" i="2" s="1"/>
  <c r="L724" i="2"/>
  <c r="D726" i="2"/>
  <c r="V723" i="2"/>
  <c r="T722" i="2"/>
  <c r="M725" i="2"/>
  <c r="J724" i="2"/>
  <c r="G724" i="2" s="1"/>
  <c r="C728" i="2"/>
  <c r="H724" i="2"/>
  <c r="E724" i="2" s="1"/>
  <c r="K725" i="2"/>
  <c r="AA722" i="3" l="1"/>
  <c r="D722" i="4"/>
  <c r="J725" i="2"/>
  <c r="G725" i="2" s="1"/>
  <c r="M726" i="2"/>
  <c r="V724" i="2"/>
  <c r="T723" i="2"/>
  <c r="D727" i="2"/>
  <c r="I724" i="2"/>
  <c r="F724" i="2" s="1"/>
  <c r="L725" i="2"/>
  <c r="K726" i="2"/>
  <c r="H725" i="2"/>
  <c r="E725" i="2" s="1"/>
  <c r="C729" i="2"/>
  <c r="AA723" i="3" l="1"/>
  <c r="D723" i="4"/>
  <c r="K727" i="2"/>
  <c r="H726" i="2"/>
  <c r="E726" i="2" s="1"/>
  <c r="D728" i="2"/>
  <c r="V725" i="2"/>
  <c r="T724" i="2"/>
  <c r="M727" i="2"/>
  <c r="J726" i="2"/>
  <c r="G726" i="2" s="1"/>
  <c r="L726" i="2"/>
  <c r="I725" i="2"/>
  <c r="F725" i="2" s="1"/>
  <c r="C730" i="2"/>
  <c r="AA724" i="3" l="1"/>
  <c r="D724" i="4"/>
  <c r="I726" i="2"/>
  <c r="F726" i="2" s="1"/>
  <c r="L727" i="2"/>
  <c r="V726" i="2"/>
  <c r="T725" i="2"/>
  <c r="D729" i="2"/>
  <c r="J727" i="2"/>
  <c r="G727" i="2" s="1"/>
  <c r="M728" i="2"/>
  <c r="C731" i="2"/>
  <c r="H727" i="2"/>
  <c r="E727" i="2" s="1"/>
  <c r="K728" i="2"/>
  <c r="AA725" i="3" l="1"/>
  <c r="D725" i="4"/>
  <c r="V727" i="2"/>
  <c r="T726" i="2"/>
  <c r="C732" i="2"/>
  <c r="D730" i="2"/>
  <c r="K729" i="2"/>
  <c r="H728" i="2"/>
  <c r="E728" i="2" s="1"/>
  <c r="I727" i="2"/>
  <c r="F727" i="2" s="1"/>
  <c r="L728" i="2"/>
  <c r="M729" i="2"/>
  <c r="J728" i="2"/>
  <c r="G728" i="2" s="1"/>
  <c r="AA726" i="3" l="1"/>
  <c r="D726" i="4"/>
  <c r="I728" i="2"/>
  <c r="F728" i="2" s="1"/>
  <c r="L729" i="2"/>
  <c r="D731" i="2"/>
  <c r="C733" i="2"/>
  <c r="H729" i="2"/>
  <c r="E729" i="2" s="1"/>
  <c r="K730" i="2"/>
  <c r="J729" i="2"/>
  <c r="G729" i="2" s="1"/>
  <c r="M730" i="2"/>
  <c r="V728" i="2"/>
  <c r="T727" i="2"/>
  <c r="AA727" i="3" l="1"/>
  <c r="D727" i="4"/>
  <c r="M731" i="2"/>
  <c r="J730" i="2"/>
  <c r="G730" i="2" s="1"/>
  <c r="C734" i="2"/>
  <c r="K731" i="2"/>
  <c r="H730" i="2"/>
  <c r="E730" i="2" s="1"/>
  <c r="D732" i="2"/>
  <c r="L730" i="2"/>
  <c r="I729" i="2"/>
  <c r="F729" i="2" s="1"/>
  <c r="V729" i="2"/>
  <c r="T728" i="2"/>
  <c r="AA728" i="3" l="1"/>
  <c r="D728" i="4"/>
  <c r="D733" i="2"/>
  <c r="I730" i="2"/>
  <c r="F730" i="2" s="1"/>
  <c r="L731" i="2"/>
  <c r="H731" i="2"/>
  <c r="E731" i="2" s="1"/>
  <c r="K732" i="2"/>
  <c r="C735" i="2"/>
  <c r="V730" i="2"/>
  <c r="M729" i="3" s="1"/>
  <c r="T729" i="2"/>
  <c r="M732" i="2"/>
  <c r="J731" i="2"/>
  <c r="G731" i="2" s="1"/>
  <c r="C730" i="4" l="1"/>
  <c r="AB729" i="3"/>
  <c r="E730" i="4" s="1"/>
  <c r="AA729" i="3"/>
  <c r="D729" i="4"/>
  <c r="C736" i="2"/>
  <c r="K733" i="2"/>
  <c r="H732" i="2"/>
  <c r="E732" i="2" s="1"/>
  <c r="I731" i="2"/>
  <c r="F731" i="2" s="1"/>
  <c r="L732" i="2"/>
  <c r="D734" i="2"/>
  <c r="V731" i="2"/>
  <c r="M730" i="3" s="1"/>
  <c r="T730" i="2"/>
  <c r="M733" i="2"/>
  <c r="J732" i="2"/>
  <c r="G732" i="2" s="1"/>
  <c r="C731" i="4" l="1"/>
  <c r="AB730" i="3"/>
  <c r="E731" i="4" s="1"/>
  <c r="AA730" i="3"/>
  <c r="D730" i="4"/>
  <c r="D735" i="2"/>
  <c r="V732" i="2"/>
  <c r="M731" i="3" s="1"/>
  <c r="T731" i="2"/>
  <c r="H733" i="2"/>
  <c r="E733" i="2" s="1"/>
  <c r="K734" i="2"/>
  <c r="M734" i="2"/>
  <c r="J733" i="2"/>
  <c r="G733" i="2" s="1"/>
  <c r="C737" i="2"/>
  <c r="L733" i="2"/>
  <c r="I732" i="2"/>
  <c r="F732" i="2" s="1"/>
  <c r="C732" i="4" l="1"/>
  <c r="AB731" i="3"/>
  <c r="E732" i="4" s="1"/>
  <c r="AA731" i="3"/>
  <c r="D731" i="4"/>
  <c r="C738" i="2"/>
  <c r="J734" i="2"/>
  <c r="G734" i="2" s="1"/>
  <c r="M735" i="2"/>
  <c r="H734" i="2"/>
  <c r="E734" i="2" s="1"/>
  <c r="K735" i="2"/>
  <c r="V733" i="2"/>
  <c r="M732" i="3" s="1"/>
  <c r="T732" i="2"/>
  <c r="I733" i="2"/>
  <c r="F733" i="2" s="1"/>
  <c r="L734" i="2"/>
  <c r="D736" i="2"/>
  <c r="C733" i="4" l="1"/>
  <c r="AB732" i="3"/>
  <c r="E733" i="4" s="1"/>
  <c r="AA732" i="3"/>
  <c r="D732" i="4"/>
  <c r="D737" i="2"/>
  <c r="I734" i="2"/>
  <c r="F734" i="2" s="1"/>
  <c r="L735" i="2"/>
  <c r="H735" i="2"/>
  <c r="E735" i="2" s="1"/>
  <c r="K736" i="2"/>
  <c r="V734" i="2"/>
  <c r="M733" i="3" s="1"/>
  <c r="T733" i="2"/>
  <c r="C739" i="2"/>
  <c r="M736" i="2"/>
  <c r="J735" i="2"/>
  <c r="G735" i="2" s="1"/>
  <c r="C734" i="4" l="1"/>
  <c r="AB733" i="3"/>
  <c r="E734" i="4" s="1"/>
  <c r="AA733" i="3"/>
  <c r="D733" i="4"/>
  <c r="D738" i="2"/>
  <c r="V735" i="2"/>
  <c r="M734" i="3" s="1"/>
  <c r="T734" i="2"/>
  <c r="H736" i="2"/>
  <c r="E736" i="2" s="1"/>
  <c r="K737" i="2"/>
  <c r="I735" i="2"/>
  <c r="F735" i="2" s="1"/>
  <c r="L736" i="2"/>
  <c r="M737" i="2"/>
  <c r="J736" i="2"/>
  <c r="G736" i="2" s="1"/>
  <c r="C740" i="2"/>
  <c r="C735" i="4" l="1"/>
  <c r="AB734" i="3"/>
  <c r="E735" i="4" s="1"/>
  <c r="AA734" i="3"/>
  <c r="D734" i="4"/>
  <c r="K738" i="2"/>
  <c r="H737" i="2"/>
  <c r="E737" i="2" s="1"/>
  <c r="M738" i="2"/>
  <c r="J737" i="2"/>
  <c r="G737" i="2" s="1"/>
  <c r="I736" i="2"/>
  <c r="F736" i="2" s="1"/>
  <c r="L737" i="2"/>
  <c r="V736" i="2"/>
  <c r="M735" i="3" s="1"/>
  <c r="T735" i="2"/>
  <c r="C741" i="2"/>
  <c r="D739" i="2"/>
  <c r="C736" i="4" l="1"/>
  <c r="AB735" i="3"/>
  <c r="E736" i="4" s="1"/>
  <c r="AA735" i="3"/>
  <c r="D735" i="4"/>
  <c r="C742" i="2"/>
  <c r="D740" i="2"/>
  <c r="I737" i="2"/>
  <c r="F737" i="2" s="1"/>
  <c r="L738" i="2"/>
  <c r="V737" i="2"/>
  <c r="M736" i="3" s="1"/>
  <c r="T736" i="2"/>
  <c r="M739" i="2"/>
  <c r="J738" i="2"/>
  <c r="G738" i="2" s="1"/>
  <c r="H738" i="2"/>
  <c r="E738" i="2" s="1"/>
  <c r="K739" i="2"/>
  <c r="AB736" i="3" l="1"/>
  <c r="E737" i="4" s="1"/>
  <c r="C737" i="4"/>
  <c r="D736" i="4"/>
  <c r="AA736" i="3"/>
  <c r="I738" i="2"/>
  <c r="F738" i="2" s="1"/>
  <c r="L739" i="2"/>
  <c r="D741" i="2"/>
  <c r="V738" i="2"/>
  <c r="M737" i="3" s="1"/>
  <c r="T737" i="2"/>
  <c r="K740" i="2"/>
  <c r="H739" i="2"/>
  <c r="E739" i="2" s="1"/>
  <c r="M740" i="2"/>
  <c r="J739" i="2"/>
  <c r="G739" i="2" s="1"/>
  <c r="C743" i="2"/>
  <c r="AB737" i="3" l="1"/>
  <c r="E738" i="4" s="1"/>
  <c r="C738" i="4"/>
  <c r="D737" i="4"/>
  <c r="AA737" i="3"/>
  <c r="J740" i="2"/>
  <c r="G740" i="2" s="1"/>
  <c r="M741" i="2"/>
  <c r="C744" i="2"/>
  <c r="I739" i="2"/>
  <c r="F739" i="2" s="1"/>
  <c r="L740" i="2"/>
  <c r="K741" i="2"/>
  <c r="H740" i="2"/>
  <c r="E740" i="2" s="1"/>
  <c r="V739" i="2"/>
  <c r="M738" i="3" s="1"/>
  <c r="T738" i="2"/>
  <c r="D742" i="2"/>
  <c r="AB738" i="3" l="1"/>
  <c r="E739" i="4" s="1"/>
  <c r="C739" i="4"/>
  <c r="AA738" i="3"/>
  <c r="D738" i="4"/>
  <c r="C745" i="2"/>
  <c r="V740" i="2"/>
  <c r="M739" i="3" s="1"/>
  <c r="T739" i="2"/>
  <c r="J741" i="2"/>
  <c r="G741" i="2" s="1"/>
  <c r="M742" i="2"/>
  <c r="K742" i="2"/>
  <c r="H741" i="2"/>
  <c r="E741" i="2" s="1"/>
  <c r="L741" i="2"/>
  <c r="I740" i="2"/>
  <c r="F740" i="2" s="1"/>
  <c r="D743" i="2"/>
  <c r="AB739" i="3" l="1"/>
  <c r="E740" i="4" s="1"/>
  <c r="C740" i="4"/>
  <c r="AA739" i="3"/>
  <c r="D739" i="4"/>
  <c r="D744" i="2"/>
  <c r="K743" i="2"/>
  <c r="H742" i="2"/>
  <c r="E742" i="2" s="1"/>
  <c r="V741" i="2"/>
  <c r="M740" i="3" s="1"/>
  <c r="T740" i="2"/>
  <c r="M743" i="2"/>
  <c r="J742" i="2"/>
  <c r="G742" i="2" s="1"/>
  <c r="C746" i="2"/>
  <c r="I741" i="2"/>
  <c r="F741" i="2" s="1"/>
  <c r="L742" i="2"/>
  <c r="C741" i="4" l="1"/>
  <c r="AB740" i="3"/>
  <c r="E741" i="4" s="1"/>
  <c r="D740" i="4"/>
  <c r="AA740" i="3"/>
  <c r="C747" i="2"/>
  <c r="D745" i="2"/>
  <c r="V742" i="2"/>
  <c r="M741" i="3" s="1"/>
  <c r="T741" i="2"/>
  <c r="H743" i="2"/>
  <c r="E743" i="2" s="1"/>
  <c r="K744" i="2"/>
  <c r="L743" i="2"/>
  <c r="I742" i="2"/>
  <c r="F742" i="2" s="1"/>
  <c r="M744" i="2"/>
  <c r="J743" i="2"/>
  <c r="G743" i="2" s="1"/>
  <c r="C742" i="4" l="1"/>
  <c r="AB741" i="3"/>
  <c r="E742" i="4" s="1"/>
  <c r="AA741" i="3"/>
  <c r="D741" i="4"/>
  <c r="D746" i="2"/>
  <c r="K745" i="2"/>
  <c r="H744" i="2"/>
  <c r="E744" i="2" s="1"/>
  <c r="V743" i="2"/>
  <c r="M742" i="3" s="1"/>
  <c r="T742" i="2"/>
  <c r="I743" i="2"/>
  <c r="F743" i="2" s="1"/>
  <c r="L744" i="2"/>
  <c r="M745" i="2"/>
  <c r="J744" i="2"/>
  <c r="G744" i="2" s="1"/>
  <c r="C748" i="2"/>
  <c r="C743" i="4" l="1"/>
  <c r="AB742" i="3"/>
  <c r="E743" i="4" s="1"/>
  <c r="AA742" i="3"/>
  <c r="D742" i="4"/>
  <c r="I744" i="2"/>
  <c r="F744" i="2" s="1"/>
  <c r="L745" i="2"/>
  <c r="C749" i="2"/>
  <c r="J745" i="2"/>
  <c r="G745" i="2" s="1"/>
  <c r="M746" i="2"/>
  <c r="V744" i="2"/>
  <c r="M743" i="3" s="1"/>
  <c r="T743" i="2"/>
  <c r="K746" i="2"/>
  <c r="H745" i="2"/>
  <c r="E745" i="2" s="1"/>
  <c r="D747" i="2"/>
  <c r="C744" i="4" l="1"/>
  <c r="AB743" i="3"/>
  <c r="E744" i="4" s="1"/>
  <c r="AA743" i="3"/>
  <c r="D743" i="4"/>
  <c r="V745" i="2"/>
  <c r="M744" i="3" s="1"/>
  <c r="T744" i="2"/>
  <c r="M747" i="2"/>
  <c r="J746" i="2"/>
  <c r="G746" i="2" s="1"/>
  <c r="C750" i="2"/>
  <c r="D748" i="2"/>
  <c r="L746" i="2"/>
  <c r="I745" i="2"/>
  <c r="F745" i="2" s="1"/>
  <c r="K747" i="2"/>
  <c r="H746" i="2"/>
  <c r="E746" i="2" s="1"/>
  <c r="C745" i="4" l="1"/>
  <c r="AB744" i="3"/>
  <c r="E745" i="4" s="1"/>
  <c r="AA744" i="3"/>
  <c r="D744" i="4"/>
  <c r="D749" i="2"/>
  <c r="J747" i="2"/>
  <c r="G747" i="2" s="1"/>
  <c r="M748" i="2"/>
  <c r="K748" i="2"/>
  <c r="H747" i="2"/>
  <c r="E747" i="2" s="1"/>
  <c r="I746" i="2"/>
  <c r="F746" i="2" s="1"/>
  <c r="L747" i="2"/>
  <c r="C751" i="2"/>
  <c r="V746" i="2"/>
  <c r="M745" i="3" s="1"/>
  <c r="T745" i="2"/>
  <c r="C746" i="4" l="1"/>
  <c r="AB745" i="3"/>
  <c r="E746" i="4" s="1"/>
  <c r="AA745" i="3"/>
  <c r="D745" i="4"/>
  <c r="I747" i="2"/>
  <c r="F747" i="2" s="1"/>
  <c r="L748" i="2"/>
  <c r="K749" i="2"/>
  <c r="H748" i="2"/>
  <c r="E748" i="2" s="1"/>
  <c r="V747" i="2"/>
  <c r="M746" i="3" s="1"/>
  <c r="T746" i="2"/>
  <c r="M749" i="2"/>
  <c r="J748" i="2"/>
  <c r="G748" i="2" s="1"/>
  <c r="D750" i="2"/>
  <c r="C752" i="2"/>
  <c r="C747" i="4" l="1"/>
  <c r="AB746" i="3"/>
  <c r="E747" i="4" s="1"/>
  <c r="AA746" i="3"/>
  <c r="D746" i="4"/>
  <c r="D751" i="2"/>
  <c r="M750" i="2"/>
  <c r="J749" i="2"/>
  <c r="G749" i="2" s="1"/>
  <c r="K750" i="2"/>
  <c r="H749" i="2"/>
  <c r="E749" i="2" s="1"/>
  <c r="I748" i="2"/>
  <c r="F748" i="2" s="1"/>
  <c r="L749" i="2"/>
  <c r="V748" i="2"/>
  <c r="M747" i="3" s="1"/>
  <c r="T747" i="2"/>
  <c r="C753" i="2"/>
  <c r="C748" i="4" l="1"/>
  <c r="AB747" i="3"/>
  <c r="E748" i="4" s="1"/>
  <c r="AA747" i="3"/>
  <c r="D747" i="4"/>
  <c r="I749" i="2"/>
  <c r="F749" i="2" s="1"/>
  <c r="L750" i="2"/>
  <c r="K751" i="2"/>
  <c r="H750" i="2"/>
  <c r="E750" i="2" s="1"/>
  <c r="C754" i="2"/>
  <c r="V749" i="2"/>
  <c r="M748" i="3" s="1"/>
  <c r="T748" i="2"/>
  <c r="M751" i="2"/>
  <c r="J750" i="2"/>
  <c r="G750" i="2" s="1"/>
  <c r="D752" i="2"/>
  <c r="C749" i="4" l="1"/>
  <c r="AB748" i="3"/>
  <c r="E749" i="4" s="1"/>
  <c r="AA748" i="3"/>
  <c r="D748" i="4"/>
  <c r="V750" i="2"/>
  <c r="M749" i="3" s="1"/>
  <c r="T749" i="2"/>
  <c r="C755" i="2"/>
  <c r="K752" i="2"/>
  <c r="H751" i="2"/>
  <c r="E751" i="2" s="1"/>
  <c r="D753" i="2"/>
  <c r="L751" i="2"/>
  <c r="I750" i="2"/>
  <c r="F750" i="2" s="1"/>
  <c r="M752" i="2"/>
  <c r="J751" i="2"/>
  <c r="G751" i="2" s="1"/>
  <c r="C750" i="4" l="1"/>
  <c r="AB749" i="3"/>
  <c r="E750" i="4" s="1"/>
  <c r="D749" i="4"/>
  <c r="AA749" i="3"/>
  <c r="I751" i="2"/>
  <c r="F751" i="2" s="1"/>
  <c r="L752" i="2"/>
  <c r="D754" i="2"/>
  <c r="C756" i="2"/>
  <c r="K753" i="2"/>
  <c r="H752" i="2"/>
  <c r="E752" i="2" s="1"/>
  <c r="M753" i="2"/>
  <c r="J752" i="2"/>
  <c r="G752" i="2" s="1"/>
  <c r="V751" i="2"/>
  <c r="M750" i="3" s="1"/>
  <c r="T750" i="2"/>
  <c r="C751" i="4" l="1"/>
  <c r="AB750" i="3"/>
  <c r="E751" i="4" s="1"/>
  <c r="AA750" i="3"/>
  <c r="D750" i="4"/>
  <c r="C757" i="2"/>
  <c r="H753" i="2"/>
  <c r="E753" i="2" s="1"/>
  <c r="K754" i="2"/>
  <c r="D755" i="2"/>
  <c r="L753" i="2"/>
  <c r="I752" i="2"/>
  <c r="F752" i="2" s="1"/>
  <c r="V752" i="2"/>
  <c r="M751" i="3" s="1"/>
  <c r="T751" i="2"/>
  <c r="M754" i="2"/>
  <c r="J753" i="2"/>
  <c r="G753" i="2" s="1"/>
  <c r="C752" i="4" l="1"/>
  <c r="AB751" i="3"/>
  <c r="E752" i="4" s="1"/>
  <c r="AA751" i="3"/>
  <c r="D751" i="4"/>
  <c r="I753" i="2"/>
  <c r="F753" i="2" s="1"/>
  <c r="L754" i="2"/>
  <c r="V753" i="2"/>
  <c r="M752" i="3" s="1"/>
  <c r="T752" i="2"/>
  <c r="D756" i="2"/>
  <c r="M755" i="2"/>
  <c r="J754" i="2"/>
  <c r="G754" i="2" s="1"/>
  <c r="C758" i="2"/>
  <c r="K755" i="2"/>
  <c r="H754" i="2"/>
  <c r="E754" i="2" s="1"/>
  <c r="C753" i="4" l="1"/>
  <c r="AB752" i="3"/>
  <c r="E753" i="4" s="1"/>
  <c r="AA752" i="3"/>
  <c r="D752" i="4"/>
  <c r="M756" i="2"/>
  <c r="J755" i="2"/>
  <c r="G755" i="2" s="1"/>
  <c r="C759" i="2"/>
  <c r="K756" i="2"/>
  <c r="H755" i="2"/>
  <c r="E755" i="2" s="1"/>
  <c r="L755" i="2"/>
  <c r="I754" i="2"/>
  <c r="F754" i="2" s="1"/>
  <c r="D757" i="2"/>
  <c r="V754" i="2"/>
  <c r="M753" i="3" s="1"/>
  <c r="T753" i="2"/>
  <c r="C754" i="4" l="1"/>
  <c r="AB753" i="3"/>
  <c r="E754" i="4" s="1"/>
  <c r="AA753" i="3"/>
  <c r="D753" i="4"/>
  <c r="D758" i="2"/>
  <c r="I755" i="2"/>
  <c r="F755" i="2" s="1"/>
  <c r="L756" i="2"/>
  <c r="H756" i="2"/>
  <c r="E756" i="2" s="1"/>
  <c r="K757" i="2"/>
  <c r="C760" i="2"/>
  <c r="V755" i="2"/>
  <c r="M754" i="3" s="1"/>
  <c r="T754" i="2"/>
  <c r="M757" i="2"/>
  <c r="J756" i="2"/>
  <c r="G756" i="2" s="1"/>
  <c r="C755" i="4" l="1"/>
  <c r="AB754" i="3"/>
  <c r="E755" i="4" s="1"/>
  <c r="AA754" i="3"/>
  <c r="D754" i="4"/>
  <c r="C761" i="2"/>
  <c r="K758" i="2"/>
  <c r="H757" i="2"/>
  <c r="E757" i="2" s="1"/>
  <c r="H756" i="3" s="1"/>
  <c r="I756" i="3" s="1"/>
  <c r="F757" i="4" s="1"/>
  <c r="M758" i="2"/>
  <c r="J757" i="2"/>
  <c r="G757" i="2" s="1"/>
  <c r="I756" i="2"/>
  <c r="F756" i="2" s="1"/>
  <c r="L757" i="2"/>
  <c r="V756" i="2"/>
  <c r="M755" i="3" s="1"/>
  <c r="T755" i="2"/>
  <c r="D759" i="2"/>
  <c r="C756" i="4" l="1"/>
  <c r="AB755" i="3"/>
  <c r="E756" i="4" s="1"/>
  <c r="AA755" i="3"/>
  <c r="D755" i="4"/>
  <c r="I757" i="2"/>
  <c r="F757" i="2" s="1"/>
  <c r="L758" i="2"/>
  <c r="J758" i="2"/>
  <c r="G758" i="2" s="1"/>
  <c r="T757" i="3" s="1"/>
  <c r="U757" i="3" s="1"/>
  <c r="J758" i="4" s="1"/>
  <c r="M759" i="2"/>
  <c r="V757" i="2"/>
  <c r="M756" i="3" s="1"/>
  <c r="T756" i="2"/>
  <c r="H758" i="2"/>
  <c r="E758" i="2" s="1"/>
  <c r="H757" i="3" s="1"/>
  <c r="I757" i="3" s="1"/>
  <c r="F758" i="4" s="1"/>
  <c r="K759" i="2"/>
  <c r="C762" i="2"/>
  <c r="D760" i="2"/>
  <c r="C757" i="4" l="1"/>
  <c r="AB756" i="3"/>
  <c r="E757" i="4" s="1"/>
  <c r="AA756" i="3"/>
  <c r="D756" i="4"/>
  <c r="H759" i="2"/>
  <c r="E759" i="2" s="1"/>
  <c r="H758" i="3" s="1"/>
  <c r="I758" i="3" s="1"/>
  <c r="F759" i="4" s="1"/>
  <c r="K760" i="2"/>
  <c r="D761" i="2"/>
  <c r="C763" i="2"/>
  <c r="I758" i="2"/>
  <c r="F758" i="2" s="1"/>
  <c r="L759" i="2"/>
  <c r="V758" i="2"/>
  <c r="M757" i="3" s="1"/>
  <c r="T757" i="2"/>
  <c r="M760" i="2"/>
  <c r="J759" i="2"/>
  <c r="G759" i="2" s="1"/>
  <c r="T758" i="3" s="1"/>
  <c r="U758" i="3" s="1"/>
  <c r="J759" i="4" s="1"/>
  <c r="C758" i="4" l="1"/>
  <c r="AB757" i="3"/>
  <c r="E758" i="4" s="1"/>
  <c r="AA757" i="3"/>
  <c r="D757" i="4"/>
  <c r="I759" i="2"/>
  <c r="F759" i="2" s="1"/>
  <c r="L760" i="2"/>
  <c r="V759" i="2"/>
  <c r="M758" i="3" s="1"/>
  <c r="T758" i="2"/>
  <c r="J760" i="2"/>
  <c r="G760" i="2" s="1"/>
  <c r="T759" i="3" s="1"/>
  <c r="U759" i="3" s="1"/>
  <c r="J760" i="4" s="1"/>
  <c r="M761" i="2"/>
  <c r="K761" i="2"/>
  <c r="H760" i="2"/>
  <c r="E760" i="2" s="1"/>
  <c r="H759" i="3" s="1"/>
  <c r="I759" i="3" s="1"/>
  <c r="F760" i="4" s="1"/>
  <c r="C764" i="2"/>
  <c r="D762" i="2"/>
  <c r="C759" i="4" l="1"/>
  <c r="P759" i="4" s="1"/>
  <c r="AB758" i="3"/>
  <c r="E759" i="4" s="1"/>
  <c r="AA758" i="3"/>
  <c r="D758" i="4"/>
  <c r="K762" i="2"/>
  <c r="H761" i="2"/>
  <c r="E761" i="2" s="1"/>
  <c r="H760" i="3" s="1"/>
  <c r="I760" i="3" s="1"/>
  <c r="F761" i="4" s="1"/>
  <c r="I760" i="2"/>
  <c r="F760" i="2" s="1"/>
  <c r="L761" i="2"/>
  <c r="C765" i="2"/>
  <c r="M762" i="2"/>
  <c r="J761" i="2"/>
  <c r="G761" i="2" s="1"/>
  <c r="T760" i="3" s="1"/>
  <c r="U760" i="3" s="1"/>
  <c r="J761" i="4" s="1"/>
  <c r="V760" i="2"/>
  <c r="M759" i="3" s="1"/>
  <c r="T759" i="2"/>
  <c r="D763" i="2"/>
  <c r="C760" i="4" l="1"/>
  <c r="AB759" i="3"/>
  <c r="E760" i="4" s="1"/>
  <c r="AA759" i="3"/>
  <c r="D759" i="4"/>
  <c r="V761" i="2"/>
  <c r="M760" i="3" s="1"/>
  <c r="T760" i="2"/>
  <c r="M763" i="2"/>
  <c r="J762" i="2"/>
  <c r="G762" i="2" s="1"/>
  <c r="T761" i="3" s="1"/>
  <c r="U761" i="3" s="1"/>
  <c r="J762" i="4" s="1"/>
  <c r="D764" i="2"/>
  <c r="C766" i="2"/>
  <c r="L762" i="2"/>
  <c r="I761" i="2"/>
  <c r="F761" i="2" s="1"/>
  <c r="K763" i="2"/>
  <c r="H762" i="2"/>
  <c r="E762" i="2" s="1"/>
  <c r="H761" i="3" s="1"/>
  <c r="I761" i="3" s="1"/>
  <c r="F762" i="4" s="1"/>
  <c r="C761" i="4" l="1"/>
  <c r="AB760" i="3"/>
  <c r="E761" i="4" s="1"/>
  <c r="AA760" i="3"/>
  <c r="D760" i="4"/>
  <c r="L763" i="2"/>
  <c r="I762" i="2"/>
  <c r="F762" i="2" s="1"/>
  <c r="C767" i="2"/>
  <c r="M764" i="2"/>
  <c r="J763" i="2"/>
  <c r="G763" i="2" s="1"/>
  <c r="T762" i="3" s="1"/>
  <c r="U762" i="3" s="1"/>
  <c r="J763" i="4" s="1"/>
  <c r="D765" i="2"/>
  <c r="K764" i="2"/>
  <c r="H763" i="2"/>
  <c r="E763" i="2" s="1"/>
  <c r="H762" i="3" s="1"/>
  <c r="I762" i="3" s="1"/>
  <c r="F763" i="4" s="1"/>
  <c r="V762" i="2"/>
  <c r="M761" i="3" s="1"/>
  <c r="T761" i="2"/>
  <c r="C762" i="4" l="1"/>
  <c r="AB761" i="3"/>
  <c r="E762" i="4" s="1"/>
  <c r="AA761" i="3"/>
  <c r="D761" i="4"/>
  <c r="K765" i="2"/>
  <c r="H764" i="2"/>
  <c r="E764" i="2" s="1"/>
  <c r="H763" i="3" s="1"/>
  <c r="I763" i="3" s="1"/>
  <c r="F764" i="4" s="1"/>
  <c r="D766" i="2"/>
  <c r="M765" i="2"/>
  <c r="J764" i="2"/>
  <c r="G764" i="2" s="1"/>
  <c r="T763" i="3" s="1"/>
  <c r="U763" i="3" s="1"/>
  <c r="J764" i="4" s="1"/>
  <c r="C768" i="2"/>
  <c r="V763" i="2"/>
  <c r="M762" i="3" s="1"/>
  <c r="T762" i="2"/>
  <c r="I763" i="2"/>
  <c r="F763" i="2" s="1"/>
  <c r="L764" i="2"/>
  <c r="C763" i="4" l="1"/>
  <c r="AB762" i="3"/>
  <c r="E763" i="4" s="1"/>
  <c r="AA762" i="3"/>
  <c r="D762" i="4"/>
  <c r="V764" i="2"/>
  <c r="M763" i="3" s="1"/>
  <c r="T763" i="2"/>
  <c r="C769" i="2"/>
  <c r="M766" i="2"/>
  <c r="J765" i="2"/>
  <c r="G765" i="2" s="1"/>
  <c r="T764" i="3" s="1"/>
  <c r="U764" i="3" s="1"/>
  <c r="J765" i="4" s="1"/>
  <c r="I764" i="2"/>
  <c r="F764" i="2" s="1"/>
  <c r="L765" i="2"/>
  <c r="D767" i="2"/>
  <c r="H765" i="2"/>
  <c r="E765" i="2" s="1"/>
  <c r="H764" i="3" s="1"/>
  <c r="I764" i="3" s="1"/>
  <c r="F765" i="4" s="1"/>
  <c r="K766" i="2"/>
  <c r="C764" i="4" l="1"/>
  <c r="AB763" i="3"/>
  <c r="E764" i="4" s="1"/>
  <c r="AA763" i="3"/>
  <c r="D763" i="4"/>
  <c r="I765" i="2"/>
  <c r="F765" i="2" s="1"/>
  <c r="L766" i="2"/>
  <c r="M767" i="2"/>
  <c r="J766" i="2"/>
  <c r="G766" i="2" s="1"/>
  <c r="T765" i="3" s="1"/>
  <c r="U765" i="3" s="1"/>
  <c r="J766" i="4" s="1"/>
  <c r="K767" i="2"/>
  <c r="H766" i="2"/>
  <c r="E766" i="2" s="1"/>
  <c r="H765" i="3" s="1"/>
  <c r="I765" i="3" s="1"/>
  <c r="F766" i="4" s="1"/>
  <c r="D768" i="2"/>
  <c r="C770" i="2"/>
  <c r="V765" i="2"/>
  <c r="M764" i="3" s="1"/>
  <c r="T764" i="2"/>
  <c r="C765" i="4" l="1"/>
  <c r="AB764" i="3"/>
  <c r="E765" i="4" s="1"/>
  <c r="AA764" i="3"/>
  <c r="D764" i="4"/>
  <c r="D769" i="2"/>
  <c r="M768" i="2"/>
  <c r="J767" i="2"/>
  <c r="G767" i="2" s="1"/>
  <c r="T766" i="3" s="1"/>
  <c r="U766" i="3" s="1"/>
  <c r="J767" i="4" s="1"/>
  <c r="K768" i="2"/>
  <c r="H767" i="2"/>
  <c r="E767" i="2" s="1"/>
  <c r="H766" i="3" s="1"/>
  <c r="I766" i="3" s="1"/>
  <c r="F767" i="4" s="1"/>
  <c r="V766" i="2"/>
  <c r="M765" i="3" s="1"/>
  <c r="T765" i="2"/>
  <c r="I766" i="2"/>
  <c r="F766" i="2" s="1"/>
  <c r="L767" i="2"/>
  <c r="C771" i="2"/>
  <c r="C766" i="4" l="1"/>
  <c r="AB765" i="3"/>
  <c r="E766" i="4" s="1"/>
  <c r="AA765" i="3"/>
  <c r="D765" i="4"/>
  <c r="I767" i="2"/>
  <c r="F767" i="2" s="1"/>
  <c r="L768" i="2"/>
  <c r="V767" i="2"/>
  <c r="M766" i="3" s="1"/>
  <c r="T766" i="2"/>
  <c r="C772" i="2"/>
  <c r="M769" i="2"/>
  <c r="J768" i="2"/>
  <c r="G768" i="2" s="1"/>
  <c r="T767" i="3" s="1"/>
  <c r="U767" i="3" s="1"/>
  <c r="J768" i="4" s="1"/>
  <c r="H768" i="2"/>
  <c r="E768" i="2" s="1"/>
  <c r="H767" i="3" s="1"/>
  <c r="I767" i="3" s="1"/>
  <c r="F768" i="4" s="1"/>
  <c r="K769" i="2"/>
  <c r="D770" i="2"/>
  <c r="C767" i="4" l="1"/>
  <c r="AB766" i="3"/>
  <c r="E767" i="4" s="1"/>
  <c r="AA766" i="3"/>
  <c r="D766" i="4"/>
  <c r="M770" i="2"/>
  <c r="J769" i="2"/>
  <c r="G769" i="2" s="1"/>
  <c r="T768" i="3" s="1"/>
  <c r="U768" i="3" s="1"/>
  <c r="J769" i="4" s="1"/>
  <c r="K770" i="2"/>
  <c r="H769" i="2"/>
  <c r="E769" i="2" s="1"/>
  <c r="H768" i="3" s="1"/>
  <c r="I768" i="3" s="1"/>
  <c r="F769" i="4" s="1"/>
  <c r="V768" i="2"/>
  <c r="M767" i="3" s="1"/>
  <c r="T767" i="2"/>
  <c r="I768" i="2"/>
  <c r="F768" i="2" s="1"/>
  <c r="L769" i="2"/>
  <c r="C773" i="2"/>
  <c r="D771" i="2"/>
  <c r="C768" i="4" l="1"/>
  <c r="AB767" i="3"/>
  <c r="E768" i="4" s="1"/>
  <c r="AA767" i="3"/>
  <c r="D767" i="4"/>
  <c r="D772" i="2"/>
  <c r="V769" i="2"/>
  <c r="M768" i="3" s="1"/>
  <c r="T768" i="2"/>
  <c r="I769" i="2"/>
  <c r="F769" i="2" s="1"/>
  <c r="L770" i="2"/>
  <c r="K771" i="2"/>
  <c r="H770" i="2"/>
  <c r="E770" i="2" s="1"/>
  <c r="H769" i="3" s="1"/>
  <c r="I769" i="3" s="1"/>
  <c r="F770" i="4" s="1"/>
  <c r="M771" i="2"/>
  <c r="J770" i="2"/>
  <c r="G770" i="2" s="1"/>
  <c r="T769" i="3" s="1"/>
  <c r="U769" i="3" s="1"/>
  <c r="J770" i="4" s="1"/>
  <c r="AB768" i="3" l="1"/>
  <c r="E769" i="4" s="1"/>
  <c r="C769" i="4"/>
  <c r="D768" i="4"/>
  <c r="AA768" i="3"/>
  <c r="L771" i="2"/>
  <c r="I770" i="2"/>
  <c r="F770" i="2" s="1"/>
  <c r="V770" i="2"/>
  <c r="M769" i="3" s="1"/>
  <c r="T769" i="2"/>
  <c r="M772" i="2"/>
  <c r="J771" i="2"/>
  <c r="G771" i="2" s="1"/>
  <c r="T770" i="3" s="1"/>
  <c r="U770" i="3" s="1"/>
  <c r="J771" i="4" s="1"/>
  <c r="H771" i="2"/>
  <c r="E771" i="2" s="1"/>
  <c r="H770" i="3" s="1"/>
  <c r="I770" i="3" s="1"/>
  <c r="F771" i="4" s="1"/>
  <c r="K772" i="2"/>
  <c r="D773" i="2"/>
  <c r="AB769" i="3" l="1"/>
  <c r="E770" i="4" s="1"/>
  <c r="C770" i="4"/>
  <c r="D769" i="4"/>
  <c r="AA769" i="3"/>
  <c r="K773" i="2"/>
  <c r="H772" i="2"/>
  <c r="E772" i="2" s="1"/>
  <c r="H771" i="3" s="1"/>
  <c r="I771" i="3" s="1"/>
  <c r="F772" i="4" s="1"/>
  <c r="M773" i="2"/>
  <c r="J772" i="2"/>
  <c r="G772" i="2" s="1"/>
  <c r="T771" i="3" s="1"/>
  <c r="U771" i="3" s="1"/>
  <c r="J772" i="4" s="1"/>
  <c r="V771" i="2"/>
  <c r="M770" i="3" s="1"/>
  <c r="T770" i="2"/>
  <c r="L772" i="2"/>
  <c r="I771" i="2"/>
  <c r="F771" i="2" s="1"/>
  <c r="C771" i="4" l="1"/>
  <c r="AB770" i="3"/>
  <c r="E771" i="4" s="1"/>
  <c r="AA770" i="3"/>
  <c r="D770" i="4"/>
  <c r="V772" i="2"/>
  <c r="M771" i="3" s="1"/>
  <c r="T771" i="2"/>
  <c r="J773" i="2"/>
  <c r="G773" i="2" s="1"/>
  <c r="T772" i="3" s="1"/>
  <c r="U772" i="3" s="1"/>
  <c r="J773" i="4" s="1"/>
  <c r="L773" i="2"/>
  <c r="I772" i="2"/>
  <c r="F772" i="2" s="1"/>
  <c r="H773" i="2"/>
  <c r="E773" i="2" s="1"/>
  <c r="H772" i="3" s="1"/>
  <c r="I772" i="3" s="1"/>
  <c r="F773" i="4" s="1"/>
  <c r="C772" i="4" l="1"/>
  <c r="AB771" i="3"/>
  <c r="E772" i="4" s="1"/>
  <c r="AA771" i="3"/>
  <c r="D771" i="4"/>
  <c r="V773" i="2"/>
  <c r="T772" i="2"/>
  <c r="I773" i="2"/>
  <c r="F773" i="2" s="1"/>
  <c r="V774" i="2" l="1"/>
  <c r="M772" i="3"/>
  <c r="AA772" i="3"/>
  <c r="D772" i="4"/>
  <c r="T773" i="2"/>
  <c r="C773" i="4" l="1"/>
  <c r="AB772" i="3"/>
  <c r="E773" i="4" s="1"/>
  <c r="T774" i="2"/>
  <c r="M773" i="3"/>
  <c r="AA773" i="3"/>
  <c r="D773" i="4"/>
  <c r="C774" i="4" l="1"/>
  <c r="AB773" i="3"/>
  <c r="E774" i="4" s="1"/>
  <c r="AA774" i="3"/>
  <c r="AA775" i="3" s="1"/>
  <c r="AA776" i="3" s="1"/>
  <c r="AA777" i="3" s="1"/>
  <c r="AA778" i="3" s="1"/>
  <c r="AA779" i="3" s="1"/>
  <c r="AA780" i="3" s="1"/>
  <c r="AA781" i="3" s="1"/>
  <c r="D77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<sst xmlns="http://schemas.openxmlformats.org/spreadsheetml/2006/main" count="147" uniqueCount="82">
  <si>
    <t>GT 1</t>
  </si>
  <si>
    <t>GT 2</t>
  </si>
  <si>
    <t>GT 3</t>
  </si>
  <si>
    <t>GT 4</t>
  </si>
  <si>
    <t>GT 5</t>
  </si>
  <si>
    <t>GT 6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</si>
  <si>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</si>
  <si>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</si>
  <si>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</si>
  <si>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</si>
  <si>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</si>
  <si>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</si>
  <si>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</si>
  <si>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</si>
  <si>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</si>
  <si>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</si>
  <si>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</si>
  <si>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</si>
  <si>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</si>
  <si>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</si>
  <si>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</si>
  <si>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</si>
  <si>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</si>
  <si>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</si>
  <si>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</si>
  <si>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</si>
  <si>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</si>
  <si>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</si>
  <si>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</si>
  <si>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Km114+320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</si>
  <si>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</si>
  <si>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</si>
  <si>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</si>
  <si>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</si>
  <si>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</si>
  <si>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</si>
  <si>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</si>
  <si>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</si>
  <si>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</si>
  <si>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</si>
  <si>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</si>
  <si>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</si>
  <si>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</si>
  <si>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</si>
  <si>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</si>
  <si>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</si>
  <si>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</si>
  <si>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</si>
  <si>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</si>
  <si>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</si>
  <si>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</si>
  <si>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</si>
  <si>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</si>
  <si>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</si>
  <si>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</si>
  <si>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</si>
  <si>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</si>
  <si>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</si>
  <si>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</si>
  <si>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</si>
  <si>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</si>
  <si>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</si>
  <si>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</si>
  <si>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</si>
  <si>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</si>
  <si>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</si>
  <si>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</si>
  <si>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</si>
  <si>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</si>
  <si>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</si>
  <si>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</si>
  <si>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</si>
  <si>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</si>
  <si>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</si>
  <si>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BÀN QUAN TRẮC: KM114+320</t>
  </si>
  <si>
    <t>K.Thúc GT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</si>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</sst>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#,##0.0"/>
    <numFmt numFmtId="166" formatCode="dd\.mm\.yyyy;@"/>
    <numFmt numFmtId="167" formatCode="dd/mm/yyyy;@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name val="굴림체"/>
      <family val="3"/>
      <charset val="129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ED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0"/>
      <name val="宋体"/>
      <charset val="134"/>
    </font>
    <font>
      <sz val="13"/>
      <name val="Times New Roman"/>
      <family val="1"/>
    </font>
    <font>
      <sz val="11"/>
      <color theme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4" fillId="0" borderId="0"/>
    <xf numFmtId="0" fontId="12" fillId="0" borderId="0"/>
    <xf numFmtId="43" fontId="21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>
      <alignment vertical="center"/>
    </xf>
  </cellStyleXfs>
  <cellXfs count="260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/>
    </xf>
    <xf numFmtId="3" fontId="5" fillId="0" borderId="2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3" fontId="3" fillId="0" borderId="2" xfId="1" applyNumberFormat="1" applyFont="1" applyBorder="1" applyAlignment="1">
      <alignment horizontal="center"/>
    </xf>
    <xf numFmtId="3" fontId="5" fillId="0" borderId="2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/>
    </xf>
    <xf numFmtId="3" fontId="6" fillId="0" borderId="2" xfId="1" applyNumberFormat="1" applyFont="1" applyBorder="1" applyAlignment="1">
      <alignment horizontal="center"/>
    </xf>
    <xf numFmtId="4" fontId="7" fillId="0" borderId="2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164" fontId="6" fillId="0" borderId="2" xfId="1" applyNumberFormat="1" applyFont="1" applyBorder="1" applyAlignment="1">
      <alignment horizontal="center"/>
    </xf>
    <xf numFmtId="164" fontId="8" fillId="0" borderId="2" xfId="1" applyNumberFormat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3" fontId="3" fillId="2" borderId="2" xfId="1" applyNumberFormat="1" applyFont="1" applyFill="1" applyBorder="1" applyAlignment="1">
      <alignment horizontal="center"/>
    </xf>
    <xf numFmtId="166" fontId="2" fillId="0" borderId="0" xfId="1" applyNumberFormat="1" applyFont="1" applyAlignment="1">
      <alignment horizontal="center"/>
    </xf>
    <xf numFmtId="3" fontId="8" fillId="0" borderId="2" xfId="1" applyNumberFormat="1" applyFont="1" applyBorder="1" applyAlignment="1">
      <alignment horizontal="center"/>
    </xf>
    <xf numFmtId="3" fontId="9" fillId="0" borderId="1" xfId="1" applyNumberFormat="1" applyFont="1" applyBorder="1" applyAlignment="1">
      <alignment horizontal="center" vertical="center" wrapText="1"/>
    </xf>
    <xf numFmtId="4" fontId="2" fillId="0" borderId="2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7" fontId="7" fillId="0" borderId="0" xfId="1" applyNumberFormat="1" applyFont="1" applyAlignment="1">
      <alignment horizontal="center"/>
    </xf>
    <xf numFmtId="3" fontId="10" fillId="0" borderId="1" xfId="1" applyNumberFormat="1" applyFont="1" applyBorder="1" applyAlignment="1">
      <alignment horizontal="center" vertical="center" wrapText="1"/>
    </xf>
    <xf numFmtId="3" fontId="7" fillId="0" borderId="2" xfId="1" applyNumberFormat="1" applyFont="1" applyBorder="1" applyAlignment="1">
      <alignment horizontal="center"/>
    </xf>
    <xf numFmtId="3" fontId="7" fillId="0" borderId="2" xfId="1" applyNumberFormat="1" applyFont="1" applyBorder="1" applyAlignment="1">
      <alignment horizontal="center" vertical="center" wrapText="1"/>
    </xf>
    <xf numFmtId="3" fontId="7" fillId="0" borderId="2" xfId="1" applyNumberFormat="1" applyFont="1" applyBorder="1" applyAlignment="1">
      <alignment horizontal="center" vertical="center"/>
    </xf>
    <xf numFmtId="14" fontId="7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5" fillId="0" borderId="14" xfId="3" applyFont="1" applyBorder="1"/>
    <xf numFmtId="0" fontId="5" fillId="0" borderId="14" xfId="3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3" fontId="5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5" fillId="0" borderId="17" xfId="3" applyFont="1" applyBorder="1"/>
    <xf numFmtId="0" fontId="5" fillId="0" borderId="17" xfId="3" applyFont="1" applyBorder="1" applyAlignment="1">
      <alignment vertical="center"/>
    </xf>
    <xf numFmtId="0" fontId="5" fillId="0" borderId="18" xfId="3" applyFont="1" applyBorder="1" applyAlignment="1">
      <alignment vertical="center"/>
    </xf>
    <xf numFmtId="0" fontId="17" fillId="3" borderId="0" xfId="3" applyFont="1" applyFill="1" applyAlignment="1">
      <alignment vertical="center"/>
    </xf>
    <xf numFmtId="0" fontId="17" fillId="3" borderId="0" xfId="3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0" fontId="17" fillId="0" borderId="0" xfId="3" applyFont="1" applyAlignment="1">
      <alignment horizontal="center"/>
    </xf>
    <xf numFmtId="0" fontId="17" fillId="0" borderId="0" xfId="3" applyFont="1" applyAlignment="1">
      <alignment horizontal="center" vertical="center"/>
    </xf>
    <xf numFmtId="165" fontId="17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165" fontId="19" fillId="0" borderId="0" xfId="3" applyNumberFormat="1" applyFont="1" applyAlignment="1">
      <alignment horizontal="center" vertical="center"/>
    </xf>
    <xf numFmtId="4" fontId="19" fillId="0" borderId="0" xfId="3" applyNumberFormat="1" applyFont="1" applyAlignment="1">
      <alignment horizontal="center" vertical="center"/>
    </xf>
    <xf numFmtId="4" fontId="19" fillId="3" borderId="0" xfId="3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167" fontId="17" fillId="3" borderId="0" xfId="3" applyNumberFormat="1" applyFont="1" applyFill="1" applyAlignment="1">
      <alignment horizontal="center" vertical="center"/>
    </xf>
    <xf numFmtId="168" fontId="20" fillId="3" borderId="2" xfId="3" applyNumberFormat="1" applyFont="1" applyFill="1" applyBorder="1" applyAlignment="1">
      <alignment horizontal="center" vertical="center"/>
    </xf>
    <xf numFmtId="168" fontId="20" fillId="3" borderId="2" xfId="3" applyNumberFormat="1" applyFont="1" applyFill="1" applyBorder="1" applyAlignment="1">
      <alignment horizontal="center" vertical="center" wrapText="1"/>
    </xf>
    <xf numFmtId="169" fontId="20" fillId="0" borderId="9" xfId="3" applyNumberFormat="1" applyFont="1" applyBorder="1" applyAlignment="1">
      <alignment horizontal="center" vertical="center" wrapText="1"/>
    </xf>
    <xf numFmtId="169" fontId="20" fillId="0" borderId="2" xfId="3" applyNumberFormat="1" applyFont="1" applyBorder="1" applyAlignment="1">
      <alignment horizontal="center" vertical="center" wrapText="1"/>
    </xf>
    <xf numFmtId="3" fontId="20" fillId="0" borderId="3" xfId="3" applyNumberFormat="1" applyFont="1" applyBorder="1" applyAlignment="1">
      <alignment horizontal="center" vertical="center"/>
    </xf>
    <xf numFmtId="169" fontId="18" fillId="2" borderId="2" xfId="3" applyNumberFormat="1" applyFont="1" applyFill="1" applyBorder="1" applyAlignment="1">
      <alignment horizontal="center" vertical="center"/>
    </xf>
    <xf numFmtId="169" fontId="20" fillId="0" borderId="2" xfId="3" applyNumberFormat="1" applyFont="1" applyBorder="1" applyAlignment="1">
      <alignment horizontal="center" vertical="center"/>
    </xf>
    <xf numFmtId="170" fontId="20" fillId="0" borderId="2" xfId="3" applyNumberFormat="1" applyFont="1" applyBorder="1" applyAlignment="1">
      <alignment horizontal="center" vertical="center"/>
    </xf>
    <xf numFmtId="171" fontId="20" fillId="0" borderId="3" xfId="3" applyNumberFormat="1" applyFont="1" applyBorder="1" applyAlignment="1">
      <alignment horizontal="center" vertical="center"/>
    </xf>
    <xf numFmtId="169" fontId="20" fillId="2" borderId="2" xfId="3" applyNumberFormat="1" applyFont="1" applyFill="1" applyBorder="1" applyAlignment="1">
      <alignment horizontal="center" vertical="center"/>
    </xf>
    <xf numFmtId="171" fontId="20" fillId="0" borderId="2" xfId="4" applyNumberFormat="1" applyFont="1" applyFill="1" applyBorder="1" applyAlignment="1">
      <alignment horizontal="center" vertical="center"/>
    </xf>
    <xf numFmtId="170" fontId="20" fillId="0" borderId="3" xfId="3" applyNumberFormat="1" applyFont="1" applyBorder="1" applyAlignment="1">
      <alignment horizontal="center" vertical="center"/>
    </xf>
    <xf numFmtId="170" fontId="18" fillId="0" borderId="2" xfId="3" applyNumberFormat="1" applyFont="1" applyBorder="1" applyAlignment="1">
      <alignment horizontal="center" vertical="center"/>
    </xf>
    <xf numFmtId="1" fontId="18" fillId="0" borderId="2" xfId="3" applyNumberFormat="1" applyFont="1" applyBorder="1" applyAlignment="1">
      <alignment horizontal="center" vertical="center"/>
    </xf>
    <xf numFmtId="167" fontId="18" fillId="0" borderId="2" xfId="3" applyNumberFormat="1" applyFont="1" applyBorder="1" applyAlignment="1">
      <alignment horizontal="center" vertical="center"/>
    </xf>
    <xf numFmtId="169" fontId="18" fillId="0" borderId="2" xfId="3" applyNumberFormat="1" applyFont="1" applyBorder="1" applyAlignment="1">
      <alignment horizontal="center" vertical="center"/>
    </xf>
    <xf numFmtId="0" fontId="18" fillId="3" borderId="0" xfId="3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8" fillId="4" borderId="0" xfId="3" applyFont="1" applyFill="1" applyAlignment="1">
      <alignment vertical="center"/>
    </xf>
    <xf numFmtId="0" fontId="18" fillId="4" borderId="0" xfId="3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8" fillId="3" borderId="0" xfId="3" applyFont="1" applyFill="1" applyAlignment="1">
      <alignment horizontal="center" vertical="center"/>
    </xf>
    <xf numFmtId="3" fontId="18" fillId="3" borderId="0" xfId="3" applyNumberFormat="1" applyFont="1" applyFill="1" applyAlignment="1">
      <alignment horizontal="center"/>
    </xf>
    <xf numFmtId="0" fontId="18" fillId="0" borderId="24" xfId="3" applyFont="1" applyBorder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3" fontId="18" fillId="2" borderId="0" xfId="3" applyNumberFormat="1" applyFont="1" applyFill="1" applyAlignment="1">
      <alignment horizontal="center"/>
    </xf>
    <xf numFmtId="0" fontId="18" fillId="2" borderId="0" xfId="3" applyFont="1" applyFill="1" applyAlignment="1">
      <alignment horizontal="center"/>
    </xf>
    <xf numFmtId="0" fontId="18" fillId="5" borderId="0" xfId="3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0" fontId="18" fillId="0" borderId="0" xfId="3" applyFont="1" applyAlignment="1">
      <alignment horizontal="center" vertical="center"/>
    </xf>
    <xf numFmtId="3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4" borderId="0" xfId="3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/>
    </xf>
    <xf numFmtId="169" fontId="20" fillId="0" borderId="21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 wrapText="1"/>
    </xf>
    <xf numFmtId="171" fontId="20" fillId="0" borderId="3" xfId="4" applyNumberFormat="1" applyFont="1" applyFill="1" applyBorder="1" applyAlignment="1">
      <alignment horizontal="center" vertical="center"/>
    </xf>
    <xf numFmtId="170" fontId="18" fillId="0" borderId="3" xfId="3" applyNumberFormat="1" applyFont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167" fontId="18" fillId="0" borderId="3" xfId="3" applyNumberFormat="1" applyFont="1" applyBorder="1" applyAlignment="1">
      <alignment horizontal="center" vertical="center"/>
    </xf>
    <xf numFmtId="165" fontId="18" fillId="0" borderId="2" xfId="3" applyNumberFormat="1" applyFont="1" applyBorder="1" applyAlignment="1">
      <alignment horizontal="center" vertical="center" wrapText="1"/>
    </xf>
    <xf numFmtId="4" fontId="18" fillId="0" borderId="2" xfId="3" applyNumberFormat="1" applyFont="1" applyBorder="1" applyAlignment="1">
      <alignment horizontal="center" vertical="center" wrapText="1"/>
    </xf>
    <xf numFmtId="4" fontId="20" fillId="0" borderId="2" xfId="3" applyNumberFormat="1" applyFont="1" applyBorder="1" applyAlignment="1">
      <alignment horizontal="center" vertical="center" wrapText="1"/>
    </xf>
    <xf numFmtId="165" fontId="20" fillId="0" borderId="2" xfId="3" applyNumberFormat="1" applyFont="1" applyBorder="1" applyAlignment="1">
      <alignment horizontal="center" vertical="center" wrapText="1"/>
    </xf>
    <xf numFmtId="0" fontId="24" fillId="3" borderId="0" xfId="3" applyFont="1" applyFill="1" applyAlignment="1">
      <alignment vertical="center"/>
    </xf>
    <xf numFmtId="0" fontId="24" fillId="3" borderId="0" xfId="3" applyFont="1" applyFill="1" applyAlignment="1">
      <alignment horizontal="center"/>
    </xf>
    <xf numFmtId="0" fontId="24" fillId="0" borderId="24" xfId="3" applyFont="1" applyBorder="1" applyAlignment="1">
      <alignment vertical="center"/>
    </xf>
    <xf numFmtId="0" fontId="18" fillId="3" borderId="0" xfId="3" applyFont="1" applyFill="1"/>
    <xf numFmtId="0" fontId="18" fillId="3" borderId="25" xfId="3" applyFont="1" applyFill="1" applyBorder="1" applyAlignment="1">
      <alignment horizontal="center"/>
    </xf>
    <xf numFmtId="0" fontId="18" fillId="0" borderId="0" xfId="3" applyFont="1"/>
    <xf numFmtId="0" fontId="20" fillId="0" borderId="0" xfId="3" applyFont="1"/>
    <xf numFmtId="0" fontId="20" fillId="3" borderId="0" xfId="3" applyFont="1" applyFill="1"/>
    <xf numFmtId="0" fontId="24" fillId="3" borderId="0" xfId="5" applyFont="1" applyFill="1"/>
    <xf numFmtId="167" fontId="24" fillId="3" borderId="26" xfId="5" applyNumberFormat="1" applyFont="1" applyFill="1" applyBorder="1" applyAlignment="1">
      <alignment horizontal="left"/>
    </xf>
    <xf numFmtId="0" fontId="18" fillId="3" borderId="24" xfId="3" applyFont="1" applyFill="1" applyBorder="1"/>
    <xf numFmtId="0" fontId="18" fillId="3" borderId="10" xfId="3" applyFont="1" applyFill="1" applyBorder="1" applyAlignment="1">
      <alignment horizontal="center"/>
    </xf>
    <xf numFmtId="0" fontId="18" fillId="3" borderId="11" xfId="3" applyFont="1" applyFill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5" fillId="0" borderId="11" xfId="3" applyFont="1" applyBorder="1"/>
    <xf numFmtId="0" fontId="5" fillId="0" borderId="11" xfId="3" applyFont="1" applyBorder="1" applyAlignment="1">
      <alignment vertical="center"/>
    </xf>
    <xf numFmtId="0" fontId="5" fillId="0" borderId="12" xfId="3" applyFont="1" applyBorder="1" applyAlignment="1">
      <alignment vertical="center"/>
    </xf>
    <xf numFmtId="0" fontId="18" fillId="3" borderId="13" xfId="3" applyFont="1" applyFill="1" applyBorder="1" applyAlignment="1">
      <alignment horizontal="center"/>
    </xf>
    <xf numFmtId="0" fontId="18" fillId="3" borderId="14" xfId="3" applyFont="1" applyFill="1" applyBorder="1" applyAlignment="1">
      <alignment horizontal="center"/>
    </xf>
    <xf numFmtId="0" fontId="18" fillId="3" borderId="16" xfId="3" applyFont="1" applyFill="1" applyBorder="1" applyAlignment="1">
      <alignment horizontal="center"/>
    </xf>
    <xf numFmtId="0" fontId="18" fillId="3" borderId="17" xfId="3" applyFont="1" applyFill="1" applyBorder="1" applyAlignment="1">
      <alignment horizontal="center"/>
    </xf>
    <xf numFmtId="0" fontId="17" fillId="3" borderId="27" xfId="3" applyFont="1" applyFill="1" applyBorder="1" applyAlignment="1">
      <alignment vertical="center"/>
    </xf>
    <xf numFmtId="0" fontId="25" fillId="0" borderId="0" xfId="6"/>
    <xf numFmtId="0" fontId="25" fillId="8" borderId="0" xfId="6" applyFill="1"/>
    <xf numFmtId="0" fontId="25" fillId="3" borderId="0" xfId="6" applyFill="1" applyAlignment="1">
      <alignment vertical="center"/>
    </xf>
    <xf numFmtId="0" fontId="20" fillId="3" borderId="0" xfId="6" applyFont="1" applyFill="1" applyAlignment="1">
      <alignment vertical="center"/>
    </xf>
    <xf numFmtId="168" fontId="20" fillId="3" borderId="0" xfId="6" applyNumberFormat="1" applyFont="1" applyFill="1" applyAlignment="1">
      <alignment vertical="center"/>
    </xf>
    <xf numFmtId="167" fontId="20" fillId="3" borderId="0" xfId="6" applyNumberFormat="1" applyFont="1" applyFill="1" applyAlignment="1">
      <alignment vertical="center"/>
    </xf>
    <xf numFmtId="0" fontId="26" fillId="3" borderId="0" xfId="6" applyFont="1" applyFill="1" applyAlignment="1">
      <alignment vertical="center"/>
    </xf>
    <xf numFmtId="0" fontId="20" fillId="0" borderId="2" xfId="6" applyFont="1" applyBorder="1" applyAlignment="1">
      <alignment horizontal="center" vertical="center" wrapText="1"/>
    </xf>
    <xf numFmtId="1" fontId="20" fillId="0" borderId="2" xfId="6" applyNumberFormat="1" applyFont="1" applyBorder="1" applyAlignment="1">
      <alignment horizontal="center" vertical="center" wrapText="1"/>
    </xf>
    <xf numFmtId="168" fontId="20" fillId="0" borderId="2" xfId="6" applyNumberFormat="1" applyFont="1" applyBorder="1" applyAlignment="1">
      <alignment horizontal="center" vertical="center" wrapText="1"/>
    </xf>
    <xf numFmtId="2" fontId="20" fillId="0" borderId="2" xfId="6" applyNumberFormat="1" applyFont="1" applyBorder="1" applyAlignment="1">
      <alignment horizontal="center" vertical="center" wrapText="1"/>
    </xf>
    <xf numFmtId="0" fontId="20" fillId="2" borderId="2" xfId="6" applyFont="1" applyFill="1" applyBorder="1" applyAlignment="1">
      <alignment horizontal="center" vertical="center" wrapText="1"/>
    </xf>
    <xf numFmtId="172" fontId="25" fillId="0" borderId="0" xfId="6" applyNumberFormat="1"/>
    <xf numFmtId="173" fontId="25" fillId="0" borderId="0" xfId="6" applyNumberFormat="1"/>
    <xf numFmtId="174" fontId="25" fillId="0" borderId="0" xfId="6" applyNumberFormat="1"/>
    <xf numFmtId="168" fontId="25" fillId="0" borderId="0" xfId="6" applyNumberFormat="1"/>
    <xf numFmtId="175" fontId="25" fillId="0" borderId="0" xfId="6" applyNumberFormat="1"/>
    <xf numFmtId="0" fontId="22" fillId="0" borderId="26" xfId="7" applyFont="1" applyBorder="1" applyAlignment="1">
      <alignment horizontal="center" vertical="center" wrapText="1"/>
    </xf>
    <xf numFmtId="0" fontId="20" fillId="0" borderId="2" xfId="7" applyFont="1" applyBorder="1" applyAlignment="1">
      <alignment horizontal="center" vertical="center" textRotation="90" wrapText="1"/>
    </xf>
    <xf numFmtId="3" fontId="11" fillId="0" borderId="0" xfId="1" applyNumberFormat="1" applyFont="1" applyAlignment="1">
      <alignment horizontal="center"/>
    </xf>
    <xf numFmtId="0" fontId="5" fillId="0" borderId="0" xfId="3" applyFont="1"/>
    <xf numFmtId="0" fontId="5" fillId="0" borderId="20" xfId="3" applyFont="1" applyBorder="1"/>
    <xf numFmtId="0" fontId="5" fillId="0" borderId="20" xfId="3" applyFont="1" applyBorder="1" applyAlignment="1">
      <alignment vertical="center"/>
    </xf>
    <xf numFmtId="0" fontId="5" fillId="0" borderId="21" xfId="3" applyFont="1" applyBorder="1" applyAlignment="1">
      <alignment vertical="center"/>
    </xf>
    <xf numFmtId="0" fontId="5" fillId="0" borderId="10" xfId="3" applyFont="1" applyBorder="1"/>
    <xf numFmtId="0" fontId="5" fillId="0" borderId="13" xfId="3" applyFont="1" applyBorder="1"/>
    <xf numFmtId="0" fontId="5" fillId="0" borderId="16" xfId="3" applyFont="1" applyBorder="1"/>
    <xf numFmtId="0" fontId="14" fillId="3" borderId="19" xfId="3" applyFont="1" applyFill="1" applyBorder="1" applyAlignment="1">
      <alignment vertical="center" wrapText="1"/>
    </xf>
    <xf numFmtId="0" fontId="14" fillId="3" borderId="20" xfId="3" applyFont="1" applyFill="1" applyBorder="1" applyAlignment="1">
      <alignment vertical="center" wrapText="1"/>
    </xf>
    <xf numFmtId="0" fontId="14" fillId="3" borderId="25" xfId="3" applyFont="1" applyFill="1" applyBorder="1" applyAlignment="1">
      <alignment vertical="center" wrapText="1"/>
    </xf>
    <xf numFmtId="0" fontId="14" fillId="3" borderId="0" xfId="3" applyFont="1" applyFill="1" applyAlignment="1">
      <alignment vertical="center" wrapText="1"/>
    </xf>
    <xf numFmtId="0" fontId="14" fillId="3" borderId="4" xfId="3" applyFont="1" applyFill="1" applyBorder="1" applyAlignment="1">
      <alignment vertical="center" wrapText="1"/>
    </xf>
    <xf numFmtId="0" fontId="14" fillId="3" borderId="5" xfId="3" applyFont="1" applyFill="1" applyBorder="1" applyAlignment="1">
      <alignment vertical="center" wrapText="1"/>
    </xf>
    <xf numFmtId="3" fontId="6" fillId="2" borderId="2" xfId="1" applyNumberFormat="1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vertical="center" shrinkToFit="1"/>
    </xf>
    <xf numFmtId="3" fontId="6" fillId="2" borderId="2" xfId="1" applyNumberFormat="1" applyFont="1" applyFill="1" applyBorder="1" applyAlignment="1">
      <alignment horizontal="center" vertical="center" wrapText="1"/>
    </xf>
    <xf numFmtId="3" fontId="6" fillId="2" borderId="2" xfId="1" applyNumberFormat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14" fontId="2" fillId="0" borderId="2" xfId="2" applyNumberFormat="1" applyFont="1" applyBorder="1" applyAlignment="1">
      <alignment vertical="center" shrinkToFit="1"/>
    </xf>
    <xf numFmtId="14" fontId="6" fillId="0" borderId="2" xfId="2" applyNumberFormat="1" applyFont="1" applyBorder="1" applyAlignment="1">
      <alignment vertical="center" shrinkToFit="1"/>
    </xf>
    <xf numFmtId="3" fontId="6" fillId="0" borderId="2" xfId="1" applyNumberFormat="1" applyFont="1" applyBorder="1" applyAlignment="1">
      <alignment horizontal="center" vertical="center"/>
    </xf>
    <xf numFmtId="3" fontId="6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3" fontId="0" fillId="0" borderId="0" xfId="0" applyNumberFormat="1"/>
    <xf numFmtId="167" fontId="18" fillId="2" borderId="2" xfId="3" applyNumberFormat="1" applyFont="1" applyFill="1" applyBorder="1" applyAlignment="1">
      <alignment horizontal="center" vertical="center"/>
    </xf>
    <xf numFmtId="168" fontId="20" fillId="2" borderId="2" xfId="6" applyNumberFormat="1" applyFont="1" applyFill="1" applyBorder="1" applyAlignment="1">
      <alignment horizontal="center" vertical="center" wrapText="1"/>
    </xf>
    <xf numFmtId="2" fontId="20" fillId="2" borderId="2" xfId="6" applyNumberFormat="1" applyFont="1" applyFill="1" applyBorder="1" applyAlignment="1">
      <alignment horizontal="center" vertical="center" wrapText="1"/>
    </xf>
    <xf numFmtId="1" fontId="20" fillId="2" borderId="2" xfId="6" applyNumberFormat="1" applyFont="1" applyFill="1" applyBorder="1" applyAlignment="1">
      <alignment horizontal="center" vertical="center" wrapText="1"/>
    </xf>
    <xf numFmtId="3" fontId="3" fillId="0" borderId="28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0" fontId="14" fillId="0" borderId="2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5" fillId="0" borderId="14" xfId="3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20" fillId="0" borderId="2" xfId="3" applyFont="1" applyBorder="1" applyAlignment="1">
      <alignment horizontal="center" vertical="center" wrapText="1"/>
    </xf>
    <xf numFmtId="0" fontId="20" fillId="3" borderId="2" xfId="3" applyFont="1" applyFill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14" fontId="5" fillId="0" borderId="11" xfId="3" applyNumberFormat="1" applyFont="1" applyBorder="1" applyAlignment="1">
      <alignment horizontal="center" vertical="center"/>
    </xf>
    <xf numFmtId="0" fontId="23" fillId="7" borderId="2" xfId="3" applyFont="1" applyFill="1" applyBorder="1" applyAlignment="1">
      <alignment horizontal="center" vertical="center"/>
    </xf>
    <xf numFmtId="0" fontId="23" fillId="6" borderId="2" xfId="3" applyFont="1" applyFill="1" applyBorder="1" applyAlignment="1">
      <alignment horizontal="center" vertical="center"/>
    </xf>
    <xf numFmtId="0" fontId="24" fillId="2" borderId="2" xfId="3" applyFont="1" applyFill="1" applyBorder="1" applyAlignment="1">
      <alignment horizontal="center" vertical="center"/>
    </xf>
    <xf numFmtId="0" fontId="23" fillId="0" borderId="2" xfId="3" applyFont="1" applyBorder="1" applyAlignment="1">
      <alignment horizontal="center" vertical="center"/>
    </xf>
    <xf numFmtId="167" fontId="18" fillId="0" borderId="2" xfId="3" applyNumberFormat="1" applyFont="1" applyBorder="1" applyAlignment="1">
      <alignment horizontal="center" vertical="center" wrapText="1"/>
    </xf>
    <xf numFmtId="0" fontId="18" fillId="0" borderId="2" xfId="3" applyFont="1" applyBorder="1" applyAlignment="1">
      <alignment horizontal="center" vertical="center" wrapText="1"/>
    </xf>
    <xf numFmtId="0" fontId="14" fillId="3" borderId="6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4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 wrapText="1"/>
    </xf>
    <xf numFmtId="0" fontId="14" fillId="3" borderId="25" xfId="3" applyFont="1" applyFill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167" fontId="5" fillId="0" borderId="11" xfId="3" applyNumberFormat="1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49" fontId="20" fillId="0" borderId="2" xfId="2" applyNumberFormat="1" applyFont="1" applyBorder="1" applyAlignment="1">
      <alignment horizontal="center" vertical="center" wrapText="1" shrinkToFit="1"/>
    </xf>
    <xf numFmtId="167" fontId="20" fillId="0" borderId="2" xfId="6" applyNumberFormat="1" applyFont="1" applyBorder="1" applyAlignment="1">
      <alignment horizontal="center" vertical="center" wrapText="1"/>
    </xf>
    <xf numFmtId="0" fontId="20" fillId="0" borderId="2" xfId="6" applyFont="1" applyBorder="1" applyAlignment="1">
      <alignment horizontal="center" vertical="center" wrapText="1"/>
    </xf>
    <xf numFmtId="168" fontId="20" fillId="0" borderId="2" xfId="6" applyNumberFormat="1" applyFont="1" applyBorder="1" applyAlignment="1">
      <alignment horizontal="center" vertical="center" textRotation="90" wrapText="1"/>
    </xf>
    <xf numFmtId="168" fontId="20" fillId="0" borderId="1" xfId="6" applyNumberFormat="1" applyFont="1" applyBorder="1" applyAlignment="1">
      <alignment horizontal="center" vertical="center" textRotation="90" wrapText="1"/>
    </xf>
    <xf numFmtId="168" fontId="20" fillId="0" borderId="3" xfId="6" applyNumberFormat="1" applyFont="1" applyBorder="1" applyAlignment="1">
      <alignment horizontal="center" vertical="center" textRotation="90" wrapText="1"/>
    </xf>
    <xf numFmtId="0" fontId="20" fillId="0" borderId="2" xfId="6" applyFont="1" applyBorder="1" applyAlignment="1">
      <alignment horizontal="center" vertical="center" textRotation="90" wrapText="1"/>
    </xf>
    <xf numFmtId="168" fontId="20" fillId="0" borderId="2" xfId="7" applyNumberFormat="1" applyFont="1" applyBorder="1" applyAlignment="1">
      <alignment horizontal="center" vertical="center" wrapText="1"/>
    </xf>
    <xf numFmtId="167" fontId="27" fillId="0" borderId="2" xfId="2" applyNumberFormat="1" applyFont="1" applyBorder="1" applyAlignment="1">
      <alignment horizontal="center" vertical="center"/>
    </xf>
    <xf numFmtId="0" fontId="14" fillId="3" borderId="2" xfId="3" applyFont="1" applyFill="1" applyBorder="1" applyAlignment="1">
      <alignment horizontal="center" vertical="center" wrapText="1"/>
    </xf>
    <xf numFmtId="0" fontId="14" fillId="3" borderId="9" xfId="3" applyFont="1" applyFill="1" applyBorder="1" applyAlignment="1">
      <alignment horizontal="center" vertical="center" wrapText="1"/>
    </xf>
    <xf numFmtId="0" fontId="14" fillId="3" borderId="8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3" fontId="28" fillId="0" borderId="2" xfId="1" applyNumberFormat="1" applyFont="1" applyBorder="1" applyAlignment="1">
      <alignment horizontal="center" vertical="center"/>
    </xf>
    <xf numFmtId="4" fontId="5" fillId="0" borderId="2" xfId="1" applyNumberFormat="1" applyFont="1" applyBorder="1" applyAlignment="1">
      <alignment horizontal="center"/>
    </xf>
    <xf numFmtId="4" fontId="5" fillId="2" borderId="2" xfId="1" applyNumberFormat="1" applyFont="1" applyFill="1" applyBorder="1" applyAlignment="1">
      <alignment horizontal="center"/>
    </xf>
  </cellXfs>
  <cellStyles count="8">
    <cellStyle name="Bình thường 2" xfId="1" xr:uid="{29C55745-71E9-4AF9-9E21-7D85668C7C16}"/>
    <cellStyle name="Comma 2" xfId="4" xr:uid="{7D069F34-DD71-4FA9-9E70-7744420C77F9}"/>
    <cellStyle name="Normal" xfId="0" builtinId="0"/>
    <cellStyle name="Normal 2" xfId="3" xr:uid="{F8B3C2C0-9F43-4F6D-965C-6929708F18AB}"/>
    <cellStyle name="Normal 3" xfId="6" xr:uid="{F38A73B3-FE91-469A-87A9-73DD690D8DB1}"/>
    <cellStyle name="Normal_Form" xfId="5" xr:uid="{75275DBE-5E3A-4C5C-B7AC-AEFFDE7BB8C6}"/>
    <cellStyle name="표준_계측(양식)" xfId="2" xr:uid="{5B0FB1E8-7319-4F82-BDE5-94827456384F}"/>
    <cellStyle name="常规_路堤稳定和沉降观测 - 沉降板" xfId="7" xr:uid="{5B67DB15-5FF2-4BD4-BC39-A0B610B82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Km114</a:t>
            </a:r>
            <a:r>
              <a:rPr lang="en-US" sz="1500"/>
              <a:t>+</a:t>
            </a:r>
            <a:r>
              <a:rPr lang="en-SG" sz="1500"/>
              <a:t>3</a:t>
            </a:r>
            <a:r>
              <a:rPr lang="vi-VN" sz="1500"/>
              <a:t>2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'SL.114+320'!$L$12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'SL.114+320'!$A$14:$A$799</c:f>
              <c:numCache>
                <c:formatCode>dd/mm/yyyy;@</c:formatCode>
                <c:ptCount val="786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45791</c:v>
                </c:pt>
                <c:pt idx="747">
                  <c:v>45795</c:v>
                </c:pt>
                <c:pt idx="748">
                  <c:v>45798</c:v>
                </c:pt>
                <c:pt idx="749">
                  <c:v>45802</c:v>
                </c:pt>
                <c:pt idx="750">
                  <c:v>45805</c:v>
                </c:pt>
                <c:pt idx="751">
                  <c:v>45809</c:v>
                </c:pt>
                <c:pt idx="752">
                  <c:v>45812</c:v>
                </c:pt>
                <c:pt idx="753">
                  <c:v>45816</c:v>
                </c:pt>
                <c:pt idx="754">
                  <c:v>45823</c:v>
                </c:pt>
                <c:pt idx="755">
                  <c:v>45830</c:v>
                </c:pt>
                <c:pt idx="756">
                  <c:v>45837</c:v>
                </c:pt>
                <c:pt idx="757">
                  <c:v>45844</c:v>
                </c:pt>
                <c:pt idx="758">
                  <c:v>45851</c:v>
                </c:pt>
                <c:pt idx="759">
                  <c:v>45858</c:v>
                </c:pt>
                <c:pt idx="760">
                  <c:v>45865</c:v>
                </c:pt>
              </c:numCache>
            </c:numRef>
          </c:xVal>
          <c:yVal>
            <c:numRef>
              <c:f>'SL.114+320'!$L$14:$L$799</c:f>
              <c:numCache>
                <c:formatCode>General</c:formatCode>
                <c:ptCount val="7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-6.0000000000000053</c:v>
                </c:pt>
                <c:pt idx="26">
                  <c:v>-10.000000000000009</c:v>
                </c:pt>
                <c:pt idx="27">
                  <c:v>-13.000000000000011</c:v>
                </c:pt>
                <c:pt idx="28">
                  <c:v>-15.000000000000014</c:v>
                </c:pt>
                <c:pt idx="29">
                  <c:v>-21.000000000000018</c:v>
                </c:pt>
                <c:pt idx="30">
                  <c:v>-23.999999999999993</c:v>
                </c:pt>
                <c:pt idx="31">
                  <c:v>-25.999999999999996</c:v>
                </c:pt>
                <c:pt idx="32">
                  <c:v>-30</c:v>
                </c:pt>
                <c:pt idx="33">
                  <c:v>-37.000000000000007</c:v>
                </c:pt>
                <c:pt idx="34">
                  <c:v>-42.000000000000007</c:v>
                </c:pt>
                <c:pt idx="35">
                  <c:v>-47.000000000000014</c:v>
                </c:pt>
                <c:pt idx="36">
                  <c:v>-51.000000000000014</c:v>
                </c:pt>
                <c:pt idx="37">
                  <c:v>-54.000000000000021</c:v>
                </c:pt>
                <c:pt idx="38">
                  <c:v>-59</c:v>
                </c:pt>
                <c:pt idx="39">
                  <c:v>-63</c:v>
                </c:pt>
                <c:pt idx="40">
                  <c:v>-66</c:v>
                </c:pt>
                <c:pt idx="41">
                  <c:v>-68</c:v>
                </c:pt>
                <c:pt idx="42">
                  <c:v>-72.000000000000014</c:v>
                </c:pt>
                <c:pt idx="43">
                  <c:v>-75.000000000000014</c:v>
                </c:pt>
                <c:pt idx="44">
                  <c:v>-77.000000000000014</c:v>
                </c:pt>
                <c:pt idx="45">
                  <c:v>-81.000000000000014</c:v>
                </c:pt>
                <c:pt idx="46">
                  <c:v>-88.000000000000028</c:v>
                </c:pt>
                <c:pt idx="47">
                  <c:v>-93.000000000000028</c:v>
                </c:pt>
                <c:pt idx="48">
                  <c:v>-98.000000000000028</c:v>
                </c:pt>
                <c:pt idx="49">
                  <c:v>-101.99999999999999</c:v>
                </c:pt>
                <c:pt idx="50">
                  <c:v>-102.99999999999999</c:v>
                </c:pt>
                <c:pt idx="51">
                  <c:v>-103.99999999999999</c:v>
                </c:pt>
                <c:pt idx="52">
                  <c:v>-103.99999999999999</c:v>
                </c:pt>
                <c:pt idx="53">
                  <c:v>-104.99999999999999</c:v>
                </c:pt>
                <c:pt idx="54">
                  <c:v>-104.99999999999999</c:v>
                </c:pt>
                <c:pt idx="55">
                  <c:v>-105.99999999999999</c:v>
                </c:pt>
                <c:pt idx="56">
                  <c:v>-105.99999999999999</c:v>
                </c:pt>
                <c:pt idx="57">
                  <c:v>-105.99999999999999</c:v>
                </c:pt>
                <c:pt idx="58">
                  <c:v>-105.99999999999999</c:v>
                </c:pt>
                <c:pt idx="59">
                  <c:v>-105.99999999999999</c:v>
                </c:pt>
                <c:pt idx="60">
                  <c:v>-105.99999999999999</c:v>
                </c:pt>
                <c:pt idx="61">
                  <c:v>-105.99999999999999</c:v>
                </c:pt>
                <c:pt idx="62">
                  <c:v>-105.99999999999999</c:v>
                </c:pt>
                <c:pt idx="63">
                  <c:v>-105.99999999999999</c:v>
                </c:pt>
                <c:pt idx="64">
                  <c:v>-105.99999999999999</c:v>
                </c:pt>
                <c:pt idx="65">
                  <c:v>-105.99999999999999</c:v>
                </c:pt>
                <c:pt idx="66">
                  <c:v>-105.99999999999999</c:v>
                </c:pt>
                <c:pt idx="67">
                  <c:v>-105.99999999999999</c:v>
                </c:pt>
                <c:pt idx="68">
                  <c:v>-105.99999999999999</c:v>
                </c:pt>
                <c:pt idx="69">
                  <c:v>-105.99999999999999</c:v>
                </c:pt>
                <c:pt idx="70">
                  <c:v>-105.99999999999999</c:v>
                </c:pt>
                <c:pt idx="71">
                  <c:v>-105.99999999999999</c:v>
                </c:pt>
                <c:pt idx="72">
                  <c:v>-105.99999999999999</c:v>
                </c:pt>
                <c:pt idx="73">
                  <c:v>-105.99999999999999</c:v>
                </c:pt>
                <c:pt idx="74">
                  <c:v>-105.99999999999999</c:v>
                </c:pt>
                <c:pt idx="75">
                  <c:v>-105.99999999999999</c:v>
                </c:pt>
                <c:pt idx="76">
                  <c:v>-105.99999999999999</c:v>
                </c:pt>
                <c:pt idx="77">
                  <c:v>-105.99999999999999</c:v>
                </c:pt>
                <c:pt idx="78">
                  <c:v>-105.99999999999999</c:v>
                </c:pt>
                <c:pt idx="79">
                  <c:v>-105.99999999999999</c:v>
                </c:pt>
                <c:pt idx="80">
                  <c:v>-105.99999999999999</c:v>
                </c:pt>
                <c:pt idx="81">
                  <c:v>-105.99999999999999</c:v>
                </c:pt>
                <c:pt idx="82">
                  <c:v>-105.99999999999999</c:v>
                </c:pt>
                <c:pt idx="83">
                  <c:v>-105.99999999999999</c:v>
                </c:pt>
                <c:pt idx="84">
                  <c:v>-105.99999999999999</c:v>
                </c:pt>
                <c:pt idx="85">
                  <c:v>-105.99999999999999</c:v>
                </c:pt>
                <c:pt idx="86">
                  <c:v>-105.99999999999999</c:v>
                </c:pt>
                <c:pt idx="87">
                  <c:v>-105.99999999999999</c:v>
                </c:pt>
                <c:pt idx="88">
                  <c:v>-105.99999999999999</c:v>
                </c:pt>
                <c:pt idx="89">
                  <c:v>-105.99999999999999</c:v>
                </c:pt>
                <c:pt idx="90">
                  <c:v>-105.99999999999999</c:v>
                </c:pt>
                <c:pt idx="91">
                  <c:v>-105.99999999999999</c:v>
                </c:pt>
                <c:pt idx="92">
                  <c:v>-105.99999999999999</c:v>
                </c:pt>
                <c:pt idx="93">
                  <c:v>-105.99999999999999</c:v>
                </c:pt>
                <c:pt idx="94">
                  <c:v>-105.99999999999999</c:v>
                </c:pt>
                <c:pt idx="95">
                  <c:v>-105.99999999999999</c:v>
                </c:pt>
                <c:pt idx="96">
                  <c:v>-105.99999999999999</c:v>
                </c:pt>
                <c:pt idx="97">
                  <c:v>-105.99999999999999</c:v>
                </c:pt>
                <c:pt idx="98">
                  <c:v>-105.99999999999999</c:v>
                </c:pt>
                <c:pt idx="99">
                  <c:v>-105.99999999999999</c:v>
                </c:pt>
                <c:pt idx="100">
                  <c:v>-105.99999999999999</c:v>
                </c:pt>
                <c:pt idx="101">
                  <c:v>-105.99999999999999</c:v>
                </c:pt>
                <c:pt idx="102">
                  <c:v>-105.99999999999999</c:v>
                </c:pt>
                <c:pt idx="103">
                  <c:v>-105.99999999999999</c:v>
                </c:pt>
                <c:pt idx="104">
                  <c:v>-105.99999999999999</c:v>
                </c:pt>
                <c:pt idx="105">
                  <c:v>-105.99999999999999</c:v>
                </c:pt>
                <c:pt idx="106">
                  <c:v>-105.99999999999999</c:v>
                </c:pt>
                <c:pt idx="107">
                  <c:v>-105.99999999999999</c:v>
                </c:pt>
                <c:pt idx="108">
                  <c:v>-105.99999999999999</c:v>
                </c:pt>
                <c:pt idx="109">
                  <c:v>-105.99999999999999</c:v>
                </c:pt>
                <c:pt idx="110">
                  <c:v>-105.99999999999999</c:v>
                </c:pt>
                <c:pt idx="111">
                  <c:v>-105.99999999999999</c:v>
                </c:pt>
                <c:pt idx="112">
                  <c:v>-105.99999999999999</c:v>
                </c:pt>
                <c:pt idx="113">
                  <c:v>-105.99999999999999</c:v>
                </c:pt>
                <c:pt idx="114">
                  <c:v>-105.99999999999999</c:v>
                </c:pt>
                <c:pt idx="115">
                  <c:v>-105.99999999999999</c:v>
                </c:pt>
                <c:pt idx="116">
                  <c:v>-105.99999999999999</c:v>
                </c:pt>
                <c:pt idx="117">
                  <c:v>-105.99999999999999</c:v>
                </c:pt>
                <c:pt idx="118">
                  <c:v>-105.99999999999999</c:v>
                </c:pt>
                <c:pt idx="119">
                  <c:v>-105.99999999999999</c:v>
                </c:pt>
                <c:pt idx="120">
                  <c:v>-105.99999999999999</c:v>
                </c:pt>
                <c:pt idx="121">
                  <c:v>-105.99999999999999</c:v>
                </c:pt>
                <c:pt idx="122">
                  <c:v>-105.99999999999999</c:v>
                </c:pt>
                <c:pt idx="123">
                  <c:v>-105.99999999999999</c:v>
                </c:pt>
                <c:pt idx="124">
                  <c:v>-105.99999999999999</c:v>
                </c:pt>
                <c:pt idx="125">
                  <c:v>-105.99999999999999</c:v>
                </c:pt>
                <c:pt idx="126">
                  <c:v>-105.99999999999999</c:v>
                </c:pt>
                <c:pt idx="127">
                  <c:v>-105.99999999999999</c:v>
                </c:pt>
                <c:pt idx="128">
                  <c:v>-105.99999999999999</c:v>
                </c:pt>
                <c:pt idx="129">
                  <c:v>-105.99999999999999</c:v>
                </c:pt>
                <c:pt idx="130">
                  <c:v>-105.99999999999999</c:v>
                </c:pt>
                <c:pt idx="131">
                  <c:v>-105.99999999999999</c:v>
                </c:pt>
                <c:pt idx="132">
                  <c:v>-105.99999999999999</c:v>
                </c:pt>
                <c:pt idx="133">
                  <c:v>-105.99999999999999</c:v>
                </c:pt>
                <c:pt idx="134">
                  <c:v>-105.99999999999999</c:v>
                </c:pt>
                <c:pt idx="135">
                  <c:v>-105.99999999999999</c:v>
                </c:pt>
                <c:pt idx="136">
                  <c:v>-105.99999999999999</c:v>
                </c:pt>
                <c:pt idx="137">
                  <c:v>-105.99999999999999</c:v>
                </c:pt>
                <c:pt idx="138">
                  <c:v>-105.99999999999999</c:v>
                </c:pt>
                <c:pt idx="139">
                  <c:v>-105.99999999999999</c:v>
                </c:pt>
                <c:pt idx="140">
                  <c:v>-105.99999999999999</c:v>
                </c:pt>
                <c:pt idx="141">
                  <c:v>-105.99999999999999</c:v>
                </c:pt>
                <c:pt idx="142">
                  <c:v>-105.99999999999999</c:v>
                </c:pt>
                <c:pt idx="143">
                  <c:v>-105.99999999999999</c:v>
                </c:pt>
                <c:pt idx="144">
                  <c:v>-105.99999999999999</c:v>
                </c:pt>
                <c:pt idx="145">
                  <c:v>-105.99999999999999</c:v>
                </c:pt>
                <c:pt idx="146">
                  <c:v>-105.99999999999999</c:v>
                </c:pt>
                <c:pt idx="147">
                  <c:v>-105.99999999999999</c:v>
                </c:pt>
                <c:pt idx="148">
                  <c:v>-105.99999999999999</c:v>
                </c:pt>
                <c:pt idx="149">
                  <c:v>-105.99999999999999</c:v>
                </c:pt>
                <c:pt idx="150">
                  <c:v>-105.99999999999999</c:v>
                </c:pt>
                <c:pt idx="151">
                  <c:v>-105.99999999999999</c:v>
                </c:pt>
                <c:pt idx="152">
                  <c:v>-105.99999999999999</c:v>
                </c:pt>
                <c:pt idx="153">
                  <c:v>-105.99999999999999</c:v>
                </c:pt>
                <c:pt idx="154">
                  <c:v>-105.99999999999999</c:v>
                </c:pt>
                <c:pt idx="155">
                  <c:v>-105.99999999999999</c:v>
                </c:pt>
                <c:pt idx="156">
                  <c:v>-105.99999999999999</c:v>
                </c:pt>
                <c:pt idx="157">
                  <c:v>-105.99999999999999</c:v>
                </c:pt>
                <c:pt idx="158">
                  <c:v>-105.99999999999999</c:v>
                </c:pt>
                <c:pt idx="159">
                  <c:v>-105.99999999999999</c:v>
                </c:pt>
                <c:pt idx="160">
                  <c:v>-105.99999999999999</c:v>
                </c:pt>
                <c:pt idx="161">
                  <c:v>-105.99999999999999</c:v>
                </c:pt>
                <c:pt idx="162">
                  <c:v>-105.99999999999999</c:v>
                </c:pt>
                <c:pt idx="163">
                  <c:v>-105.99999999999999</c:v>
                </c:pt>
                <c:pt idx="164">
                  <c:v>-105.99999999999999</c:v>
                </c:pt>
                <c:pt idx="165">
                  <c:v>-105.99999999999999</c:v>
                </c:pt>
                <c:pt idx="166">
                  <c:v>-105.99999999999999</c:v>
                </c:pt>
                <c:pt idx="167">
                  <c:v>-105.99999999999999</c:v>
                </c:pt>
                <c:pt idx="168">
                  <c:v>-105.99999999999999</c:v>
                </c:pt>
                <c:pt idx="169">
                  <c:v>-105.99999999999999</c:v>
                </c:pt>
                <c:pt idx="170">
                  <c:v>-105.99999999999999</c:v>
                </c:pt>
                <c:pt idx="171">
                  <c:v>-105.99999999999999</c:v>
                </c:pt>
                <c:pt idx="172">
                  <c:v>-105.99999999999999</c:v>
                </c:pt>
                <c:pt idx="173">
                  <c:v>-105.99999999999999</c:v>
                </c:pt>
                <c:pt idx="174">
                  <c:v>-105.99999999999999</c:v>
                </c:pt>
                <c:pt idx="175">
                  <c:v>-105.99999999999999</c:v>
                </c:pt>
                <c:pt idx="176">
                  <c:v>-105.99999999999999</c:v>
                </c:pt>
                <c:pt idx="177">
                  <c:v>-105.99999999999999</c:v>
                </c:pt>
                <c:pt idx="178">
                  <c:v>-105.99999999999999</c:v>
                </c:pt>
                <c:pt idx="179">
                  <c:v>-105.99999999999999</c:v>
                </c:pt>
                <c:pt idx="180">
                  <c:v>-105.99999999999999</c:v>
                </c:pt>
                <c:pt idx="181">
                  <c:v>-105.99999999999999</c:v>
                </c:pt>
                <c:pt idx="182">
                  <c:v>-105.99999999999999</c:v>
                </c:pt>
                <c:pt idx="183">
                  <c:v>-105.99999999999999</c:v>
                </c:pt>
                <c:pt idx="184">
                  <c:v>-105.99999999999999</c:v>
                </c:pt>
                <c:pt idx="185">
                  <c:v>-105.99999999999999</c:v>
                </c:pt>
                <c:pt idx="186">
                  <c:v>-105.99999999999999</c:v>
                </c:pt>
                <c:pt idx="187">
                  <c:v>-105.99999999999999</c:v>
                </c:pt>
                <c:pt idx="188">
                  <c:v>-105.99999999999999</c:v>
                </c:pt>
                <c:pt idx="189">
                  <c:v>-105.99999999999999</c:v>
                </c:pt>
                <c:pt idx="190">
                  <c:v>-105.99999999999999</c:v>
                </c:pt>
                <c:pt idx="191">
                  <c:v>-105.99999999999999</c:v>
                </c:pt>
                <c:pt idx="192">
                  <c:v>-105.99999999999999</c:v>
                </c:pt>
                <c:pt idx="193">
                  <c:v>-105.99999999999999</c:v>
                </c:pt>
                <c:pt idx="194">
                  <c:v>-105.99999999999999</c:v>
                </c:pt>
                <c:pt idx="195">
                  <c:v>-105.99999999999999</c:v>
                </c:pt>
                <c:pt idx="196">
                  <c:v>-105.99999999999999</c:v>
                </c:pt>
                <c:pt idx="197">
                  <c:v>-105.99999999999999</c:v>
                </c:pt>
                <c:pt idx="198">
                  <c:v>-105.99999999999999</c:v>
                </c:pt>
                <c:pt idx="199">
                  <c:v>-105.99999999999999</c:v>
                </c:pt>
                <c:pt idx="200">
                  <c:v>-105.99999999999999</c:v>
                </c:pt>
                <c:pt idx="201">
                  <c:v>-105.99999999999999</c:v>
                </c:pt>
                <c:pt idx="202">
                  <c:v>-105.99999999999999</c:v>
                </c:pt>
                <c:pt idx="203">
                  <c:v>-105.99999999999999</c:v>
                </c:pt>
                <c:pt idx="204">
                  <c:v>-105.99999999999999</c:v>
                </c:pt>
                <c:pt idx="205">
                  <c:v>-105.99999999999999</c:v>
                </c:pt>
                <c:pt idx="206">
                  <c:v>-105.99999999999999</c:v>
                </c:pt>
                <c:pt idx="207">
                  <c:v>-105.99999999999999</c:v>
                </c:pt>
                <c:pt idx="208">
                  <c:v>-105.99999999999999</c:v>
                </c:pt>
                <c:pt idx="209">
                  <c:v>-105.99999999999999</c:v>
                </c:pt>
                <c:pt idx="210">
                  <c:v>-105.99999999999999</c:v>
                </c:pt>
                <c:pt idx="211">
                  <c:v>-105.99999999999999</c:v>
                </c:pt>
                <c:pt idx="212">
                  <c:v>-105.99999999999999</c:v>
                </c:pt>
                <c:pt idx="213">
                  <c:v>-105.99999999999999</c:v>
                </c:pt>
                <c:pt idx="214">
                  <c:v>-105.99999999999999</c:v>
                </c:pt>
                <c:pt idx="215">
                  <c:v>-105.99999999999999</c:v>
                </c:pt>
                <c:pt idx="216">
                  <c:v>-105.99999999999999</c:v>
                </c:pt>
                <c:pt idx="217">
                  <c:v>-105.99999999999999</c:v>
                </c:pt>
                <c:pt idx="218">
                  <c:v>-105.99999999999999</c:v>
                </c:pt>
                <c:pt idx="219">
                  <c:v>-105.99999999999999</c:v>
                </c:pt>
                <c:pt idx="220">
                  <c:v>-105.99999999999999</c:v>
                </c:pt>
                <c:pt idx="221">
                  <c:v>-105.99999999999999</c:v>
                </c:pt>
                <c:pt idx="222">
                  <c:v>-105.99999999999999</c:v>
                </c:pt>
                <c:pt idx="223">
                  <c:v>-105.99999999999999</c:v>
                </c:pt>
                <c:pt idx="224">
                  <c:v>-105.99999999999999</c:v>
                </c:pt>
                <c:pt idx="225">
                  <c:v>-105.99999999999999</c:v>
                </c:pt>
                <c:pt idx="226">
                  <c:v>-105.99999999999999</c:v>
                </c:pt>
                <c:pt idx="227">
                  <c:v>-105.99999999999999</c:v>
                </c:pt>
                <c:pt idx="228">
                  <c:v>-105.99999999999999</c:v>
                </c:pt>
                <c:pt idx="229">
                  <c:v>-105.99999999999999</c:v>
                </c:pt>
                <c:pt idx="230">
                  <c:v>-105.99999999999999</c:v>
                </c:pt>
                <c:pt idx="231">
                  <c:v>-105.99999999999999</c:v>
                </c:pt>
                <c:pt idx="232">
                  <c:v>-105.99999999999999</c:v>
                </c:pt>
                <c:pt idx="233">
                  <c:v>-105.99999999999999</c:v>
                </c:pt>
                <c:pt idx="234">
                  <c:v>-105.99999999999999</c:v>
                </c:pt>
                <c:pt idx="235">
                  <c:v>-105.99999999999999</c:v>
                </c:pt>
                <c:pt idx="236">
                  <c:v>-105.99999999999999</c:v>
                </c:pt>
                <c:pt idx="237">
                  <c:v>-105.99999999999999</c:v>
                </c:pt>
                <c:pt idx="238">
                  <c:v>-105.99999999999999</c:v>
                </c:pt>
                <c:pt idx="239">
                  <c:v>-105.99999999999999</c:v>
                </c:pt>
                <c:pt idx="240">
                  <c:v>-105.99999999999999</c:v>
                </c:pt>
                <c:pt idx="241">
                  <c:v>-105.99999999999999</c:v>
                </c:pt>
                <c:pt idx="242">
                  <c:v>-105.99999999999999</c:v>
                </c:pt>
                <c:pt idx="243">
                  <c:v>-105.99999999999999</c:v>
                </c:pt>
                <c:pt idx="244">
                  <c:v>-105.99999999999999</c:v>
                </c:pt>
                <c:pt idx="245">
                  <c:v>-105.99999999999999</c:v>
                </c:pt>
                <c:pt idx="246">
                  <c:v>-105.99999999999999</c:v>
                </c:pt>
                <c:pt idx="247">
                  <c:v>-105.99999999999999</c:v>
                </c:pt>
                <c:pt idx="248">
                  <c:v>-105.99999999999999</c:v>
                </c:pt>
                <c:pt idx="249">
                  <c:v>-105.99999999999999</c:v>
                </c:pt>
                <c:pt idx="250">
                  <c:v>-105.99999999999999</c:v>
                </c:pt>
                <c:pt idx="251">
                  <c:v>-105.99999999999999</c:v>
                </c:pt>
                <c:pt idx="252">
                  <c:v>-105.99999999999999</c:v>
                </c:pt>
                <c:pt idx="253">
                  <c:v>-105.99999999999999</c:v>
                </c:pt>
                <c:pt idx="254">
                  <c:v>-105.99999999999999</c:v>
                </c:pt>
                <c:pt idx="255">
                  <c:v>-105.99999999999999</c:v>
                </c:pt>
                <c:pt idx="256">
                  <c:v>-105.99999999999999</c:v>
                </c:pt>
                <c:pt idx="257">
                  <c:v>-105.99999999999999</c:v>
                </c:pt>
                <c:pt idx="258">
                  <c:v>-105.99999999999999</c:v>
                </c:pt>
                <c:pt idx="259">
                  <c:v>-105.99999999999999</c:v>
                </c:pt>
                <c:pt idx="260">
                  <c:v>-105.99999999999999</c:v>
                </c:pt>
                <c:pt idx="261">
                  <c:v>-105.99999999999999</c:v>
                </c:pt>
                <c:pt idx="262">
                  <c:v>-105.99999999999999</c:v>
                </c:pt>
                <c:pt idx="263">
                  <c:v>-105.99999999999999</c:v>
                </c:pt>
                <c:pt idx="264">
                  <c:v>-105.99999999999999</c:v>
                </c:pt>
                <c:pt idx="265">
                  <c:v>-105.99999999999999</c:v>
                </c:pt>
                <c:pt idx="266">
                  <c:v>-105.99999999999999</c:v>
                </c:pt>
                <c:pt idx="267">
                  <c:v>-105.99999999999999</c:v>
                </c:pt>
                <c:pt idx="268">
                  <c:v>-105.99999999999999</c:v>
                </c:pt>
                <c:pt idx="269">
                  <c:v>-105.99999999999999</c:v>
                </c:pt>
                <c:pt idx="270">
                  <c:v>-105.99999999999999</c:v>
                </c:pt>
                <c:pt idx="271">
                  <c:v>-105.99999999999999</c:v>
                </c:pt>
                <c:pt idx="272">
                  <c:v>-105.99999999999999</c:v>
                </c:pt>
                <c:pt idx="273">
                  <c:v>-105.99999999999999</c:v>
                </c:pt>
                <c:pt idx="274">
                  <c:v>-105.99999999999999</c:v>
                </c:pt>
                <c:pt idx="275">
                  <c:v>-105.99999999999999</c:v>
                </c:pt>
                <c:pt idx="276">
                  <c:v>-105.99999999999999</c:v>
                </c:pt>
                <c:pt idx="277">
                  <c:v>-105.99999999999999</c:v>
                </c:pt>
                <c:pt idx="278">
                  <c:v>-105.99999999999999</c:v>
                </c:pt>
                <c:pt idx="279">
                  <c:v>-105.99999999999999</c:v>
                </c:pt>
                <c:pt idx="280">
                  <c:v>-105.99999999999999</c:v>
                </c:pt>
                <c:pt idx="281">
                  <c:v>-105.99999999999999</c:v>
                </c:pt>
                <c:pt idx="282">
                  <c:v>-105.99999999999999</c:v>
                </c:pt>
                <c:pt idx="283">
                  <c:v>-105.99999999999999</c:v>
                </c:pt>
                <c:pt idx="284">
                  <c:v>-105.99999999999999</c:v>
                </c:pt>
                <c:pt idx="285">
                  <c:v>-105.99999999999999</c:v>
                </c:pt>
                <c:pt idx="286">
                  <c:v>-105.99999999999999</c:v>
                </c:pt>
                <c:pt idx="287">
                  <c:v>-105.99999999999999</c:v>
                </c:pt>
                <c:pt idx="288">
                  <c:v>-105.99999999999999</c:v>
                </c:pt>
                <c:pt idx="289">
                  <c:v>-105.99999999999999</c:v>
                </c:pt>
                <c:pt idx="290">
                  <c:v>-105.99999999999999</c:v>
                </c:pt>
                <c:pt idx="291">
                  <c:v>-105.99999999999999</c:v>
                </c:pt>
                <c:pt idx="292">
                  <c:v>-105.99999999999999</c:v>
                </c:pt>
                <c:pt idx="293">
                  <c:v>-105.99999999999999</c:v>
                </c:pt>
                <c:pt idx="294">
                  <c:v>-105.99999999999999</c:v>
                </c:pt>
                <c:pt idx="295">
                  <c:v>-105.99999999999999</c:v>
                </c:pt>
                <c:pt idx="296">
                  <c:v>-105.99999999999999</c:v>
                </c:pt>
                <c:pt idx="297">
                  <c:v>-105.99999999999999</c:v>
                </c:pt>
                <c:pt idx="298">
                  <c:v>-105.99999999999999</c:v>
                </c:pt>
                <c:pt idx="299">
                  <c:v>-105.99999999999999</c:v>
                </c:pt>
                <c:pt idx="300">
                  <c:v>-105.99999999999999</c:v>
                </c:pt>
                <c:pt idx="301">
                  <c:v>-105.99999999999999</c:v>
                </c:pt>
                <c:pt idx="302">
                  <c:v>-105.99999999999999</c:v>
                </c:pt>
                <c:pt idx="303">
                  <c:v>-105.99999999999999</c:v>
                </c:pt>
                <c:pt idx="304">
                  <c:v>-105.99999999999999</c:v>
                </c:pt>
                <c:pt idx="305">
                  <c:v>-105.99999999999999</c:v>
                </c:pt>
                <c:pt idx="306">
                  <c:v>-105.99999999999999</c:v>
                </c:pt>
                <c:pt idx="307">
                  <c:v>-105.99999999999999</c:v>
                </c:pt>
                <c:pt idx="308">
                  <c:v>-105.99999999999999</c:v>
                </c:pt>
                <c:pt idx="309">
                  <c:v>-105.99999999999999</c:v>
                </c:pt>
                <c:pt idx="310">
                  <c:v>-105.99999999999999</c:v>
                </c:pt>
                <c:pt idx="311">
                  <c:v>-105.99999999999999</c:v>
                </c:pt>
                <c:pt idx="312">
                  <c:v>-105.99999999999999</c:v>
                </c:pt>
                <c:pt idx="313">
                  <c:v>-105.99999999999999</c:v>
                </c:pt>
                <c:pt idx="314">
                  <c:v>-105.99999999999999</c:v>
                </c:pt>
                <c:pt idx="315">
                  <c:v>-105.99999999999999</c:v>
                </c:pt>
                <c:pt idx="316">
                  <c:v>-105.99999999999999</c:v>
                </c:pt>
                <c:pt idx="317">
                  <c:v>-105.99999999999999</c:v>
                </c:pt>
                <c:pt idx="318">
                  <c:v>-105.99999999999999</c:v>
                </c:pt>
                <c:pt idx="319">
                  <c:v>-105.99999999999999</c:v>
                </c:pt>
                <c:pt idx="320">
                  <c:v>-105.99999999999999</c:v>
                </c:pt>
                <c:pt idx="321">
                  <c:v>-105.99999999999999</c:v>
                </c:pt>
                <c:pt idx="322">
                  <c:v>-105.99999999999999</c:v>
                </c:pt>
                <c:pt idx="323">
                  <c:v>-105.99999999999999</c:v>
                </c:pt>
                <c:pt idx="324">
                  <c:v>-105.99999999999999</c:v>
                </c:pt>
                <c:pt idx="325">
                  <c:v>-105.99999999999999</c:v>
                </c:pt>
                <c:pt idx="326">
                  <c:v>-105.99999999999999</c:v>
                </c:pt>
                <c:pt idx="327">
                  <c:v>-105.99999999999999</c:v>
                </c:pt>
                <c:pt idx="328">
                  <c:v>-105.99999999999999</c:v>
                </c:pt>
                <c:pt idx="329">
                  <c:v>-105.99999999999999</c:v>
                </c:pt>
                <c:pt idx="330">
                  <c:v>-105.99999999999999</c:v>
                </c:pt>
                <c:pt idx="331">
                  <c:v>-105.99999999999999</c:v>
                </c:pt>
                <c:pt idx="332">
                  <c:v>-105.99999999999999</c:v>
                </c:pt>
                <c:pt idx="333">
                  <c:v>-105.99999999999999</c:v>
                </c:pt>
                <c:pt idx="334">
                  <c:v>-105.99999999999999</c:v>
                </c:pt>
                <c:pt idx="335">
                  <c:v>-105.99999999999999</c:v>
                </c:pt>
                <c:pt idx="336">
                  <c:v>-105.99999999999999</c:v>
                </c:pt>
                <c:pt idx="337">
                  <c:v>-110.99999999999999</c:v>
                </c:pt>
                <c:pt idx="338">
                  <c:v>-114.99999999999999</c:v>
                </c:pt>
                <c:pt idx="339">
                  <c:v>-118</c:v>
                </c:pt>
                <c:pt idx="340">
                  <c:v>-120</c:v>
                </c:pt>
                <c:pt idx="341">
                  <c:v>-124</c:v>
                </c:pt>
                <c:pt idx="342">
                  <c:v>-127</c:v>
                </c:pt>
                <c:pt idx="343">
                  <c:v>-129</c:v>
                </c:pt>
                <c:pt idx="344">
                  <c:v>-133</c:v>
                </c:pt>
                <c:pt idx="345">
                  <c:v>-140</c:v>
                </c:pt>
                <c:pt idx="346">
                  <c:v>-145.00000000000003</c:v>
                </c:pt>
                <c:pt idx="347">
                  <c:v>-150.00000000000003</c:v>
                </c:pt>
                <c:pt idx="348">
                  <c:v>-154.00000000000003</c:v>
                </c:pt>
                <c:pt idx="349">
                  <c:v>-157.00000000000003</c:v>
                </c:pt>
                <c:pt idx="350">
                  <c:v>-159.00000000000003</c:v>
                </c:pt>
                <c:pt idx="351">
                  <c:v>-163.00000000000003</c:v>
                </c:pt>
                <c:pt idx="352">
                  <c:v>-165.99999999999997</c:v>
                </c:pt>
                <c:pt idx="353">
                  <c:v>-169.99999999999997</c:v>
                </c:pt>
                <c:pt idx="354">
                  <c:v>-177</c:v>
                </c:pt>
                <c:pt idx="355">
                  <c:v>-182</c:v>
                </c:pt>
                <c:pt idx="356">
                  <c:v>-187</c:v>
                </c:pt>
                <c:pt idx="357">
                  <c:v>-191</c:v>
                </c:pt>
                <c:pt idx="358">
                  <c:v>-194</c:v>
                </c:pt>
                <c:pt idx="359">
                  <c:v>-196</c:v>
                </c:pt>
                <c:pt idx="360">
                  <c:v>-200</c:v>
                </c:pt>
                <c:pt idx="361">
                  <c:v>-203</c:v>
                </c:pt>
                <c:pt idx="362">
                  <c:v>-205.00000000000003</c:v>
                </c:pt>
                <c:pt idx="363">
                  <c:v>-208.00000000000003</c:v>
                </c:pt>
                <c:pt idx="364">
                  <c:v>-210.00000000000003</c:v>
                </c:pt>
                <c:pt idx="365">
                  <c:v>-214.00000000000003</c:v>
                </c:pt>
                <c:pt idx="366">
                  <c:v>-217.00000000000003</c:v>
                </c:pt>
                <c:pt idx="367">
                  <c:v>-221.00000000000003</c:v>
                </c:pt>
                <c:pt idx="368">
                  <c:v>-227.99999999999997</c:v>
                </c:pt>
                <c:pt idx="369">
                  <c:v>-232.99999999999997</c:v>
                </c:pt>
                <c:pt idx="370">
                  <c:v>-238</c:v>
                </c:pt>
                <c:pt idx="371">
                  <c:v>-242</c:v>
                </c:pt>
                <c:pt idx="372">
                  <c:v>-245</c:v>
                </c:pt>
                <c:pt idx="373">
                  <c:v>-247</c:v>
                </c:pt>
                <c:pt idx="374">
                  <c:v>-251</c:v>
                </c:pt>
                <c:pt idx="375">
                  <c:v>-254</c:v>
                </c:pt>
                <c:pt idx="376">
                  <c:v>-256</c:v>
                </c:pt>
                <c:pt idx="377">
                  <c:v>-256</c:v>
                </c:pt>
                <c:pt idx="378">
                  <c:v>-256</c:v>
                </c:pt>
                <c:pt idx="379">
                  <c:v>-256</c:v>
                </c:pt>
                <c:pt idx="380">
                  <c:v>-256</c:v>
                </c:pt>
                <c:pt idx="381">
                  <c:v>-256</c:v>
                </c:pt>
                <c:pt idx="382">
                  <c:v>-256</c:v>
                </c:pt>
                <c:pt idx="383">
                  <c:v>-256</c:v>
                </c:pt>
                <c:pt idx="384">
                  <c:v>-256</c:v>
                </c:pt>
                <c:pt idx="385">
                  <c:v>-256</c:v>
                </c:pt>
                <c:pt idx="386">
                  <c:v>-256</c:v>
                </c:pt>
                <c:pt idx="387">
                  <c:v>-256</c:v>
                </c:pt>
                <c:pt idx="388">
                  <c:v>-256</c:v>
                </c:pt>
                <c:pt idx="389">
                  <c:v>-256</c:v>
                </c:pt>
                <c:pt idx="390">
                  <c:v>-256</c:v>
                </c:pt>
                <c:pt idx="391">
                  <c:v>-256</c:v>
                </c:pt>
                <c:pt idx="392">
                  <c:v>-256</c:v>
                </c:pt>
                <c:pt idx="393">
                  <c:v>-256</c:v>
                </c:pt>
                <c:pt idx="394">
                  <c:v>-256</c:v>
                </c:pt>
                <c:pt idx="395">
                  <c:v>-256</c:v>
                </c:pt>
                <c:pt idx="396">
                  <c:v>-256</c:v>
                </c:pt>
                <c:pt idx="397">
                  <c:v>-256</c:v>
                </c:pt>
                <c:pt idx="398">
                  <c:v>-256</c:v>
                </c:pt>
                <c:pt idx="399">
                  <c:v>-256</c:v>
                </c:pt>
                <c:pt idx="400">
                  <c:v>-256</c:v>
                </c:pt>
                <c:pt idx="401">
                  <c:v>-256</c:v>
                </c:pt>
                <c:pt idx="402">
                  <c:v>-256</c:v>
                </c:pt>
                <c:pt idx="403">
                  <c:v>-256</c:v>
                </c:pt>
                <c:pt idx="404">
                  <c:v>-256</c:v>
                </c:pt>
                <c:pt idx="405">
                  <c:v>-256</c:v>
                </c:pt>
                <c:pt idx="406">
                  <c:v>-256</c:v>
                </c:pt>
                <c:pt idx="407">
                  <c:v>-256</c:v>
                </c:pt>
                <c:pt idx="408">
                  <c:v>-256</c:v>
                </c:pt>
                <c:pt idx="409">
                  <c:v>-256</c:v>
                </c:pt>
                <c:pt idx="410">
                  <c:v>-256</c:v>
                </c:pt>
                <c:pt idx="411">
                  <c:v>-256</c:v>
                </c:pt>
                <c:pt idx="412">
                  <c:v>-256</c:v>
                </c:pt>
                <c:pt idx="413">
                  <c:v>-256</c:v>
                </c:pt>
                <c:pt idx="414">
                  <c:v>-256</c:v>
                </c:pt>
                <c:pt idx="415">
                  <c:v>-256</c:v>
                </c:pt>
                <c:pt idx="416">
                  <c:v>-256</c:v>
                </c:pt>
                <c:pt idx="417">
                  <c:v>-256</c:v>
                </c:pt>
                <c:pt idx="418">
                  <c:v>-256</c:v>
                </c:pt>
                <c:pt idx="419">
                  <c:v>-256</c:v>
                </c:pt>
                <c:pt idx="420">
                  <c:v>-256</c:v>
                </c:pt>
                <c:pt idx="421">
                  <c:v>-256</c:v>
                </c:pt>
                <c:pt idx="422">
                  <c:v>-256</c:v>
                </c:pt>
                <c:pt idx="423">
                  <c:v>-256</c:v>
                </c:pt>
                <c:pt idx="424">
                  <c:v>-256</c:v>
                </c:pt>
                <c:pt idx="425">
                  <c:v>-256</c:v>
                </c:pt>
                <c:pt idx="426">
                  <c:v>-256</c:v>
                </c:pt>
                <c:pt idx="427">
                  <c:v>-256</c:v>
                </c:pt>
                <c:pt idx="428">
                  <c:v>-256</c:v>
                </c:pt>
                <c:pt idx="429">
                  <c:v>-256</c:v>
                </c:pt>
                <c:pt idx="430">
                  <c:v>-256</c:v>
                </c:pt>
                <c:pt idx="431">
                  <c:v>-256</c:v>
                </c:pt>
                <c:pt idx="432">
                  <c:v>-256</c:v>
                </c:pt>
                <c:pt idx="433">
                  <c:v>-256</c:v>
                </c:pt>
                <c:pt idx="434">
                  <c:v>-256</c:v>
                </c:pt>
                <c:pt idx="435">
                  <c:v>-256</c:v>
                </c:pt>
                <c:pt idx="436">
                  <c:v>-256</c:v>
                </c:pt>
                <c:pt idx="437">
                  <c:v>-256</c:v>
                </c:pt>
                <c:pt idx="438">
                  <c:v>-256</c:v>
                </c:pt>
                <c:pt idx="439">
                  <c:v>-256</c:v>
                </c:pt>
                <c:pt idx="440">
                  <c:v>-256</c:v>
                </c:pt>
                <c:pt idx="441">
                  <c:v>-256</c:v>
                </c:pt>
                <c:pt idx="442">
                  <c:v>-256</c:v>
                </c:pt>
                <c:pt idx="443">
                  <c:v>-256</c:v>
                </c:pt>
                <c:pt idx="444">
                  <c:v>-256</c:v>
                </c:pt>
                <c:pt idx="445">
                  <c:v>-256</c:v>
                </c:pt>
                <c:pt idx="446">
                  <c:v>-256</c:v>
                </c:pt>
                <c:pt idx="447">
                  <c:v>-256</c:v>
                </c:pt>
                <c:pt idx="448">
                  <c:v>-256</c:v>
                </c:pt>
                <c:pt idx="449">
                  <c:v>-256</c:v>
                </c:pt>
                <c:pt idx="450">
                  <c:v>-256</c:v>
                </c:pt>
                <c:pt idx="451">
                  <c:v>-256</c:v>
                </c:pt>
                <c:pt idx="452">
                  <c:v>-256</c:v>
                </c:pt>
                <c:pt idx="453">
                  <c:v>-256</c:v>
                </c:pt>
                <c:pt idx="454">
                  <c:v>-256</c:v>
                </c:pt>
                <c:pt idx="455">
                  <c:v>-256</c:v>
                </c:pt>
                <c:pt idx="456">
                  <c:v>-256</c:v>
                </c:pt>
                <c:pt idx="457">
                  <c:v>-256</c:v>
                </c:pt>
                <c:pt idx="458">
                  <c:v>-256</c:v>
                </c:pt>
                <c:pt idx="459">
                  <c:v>-256</c:v>
                </c:pt>
                <c:pt idx="460">
                  <c:v>-256</c:v>
                </c:pt>
                <c:pt idx="461">
                  <c:v>-256</c:v>
                </c:pt>
                <c:pt idx="462">
                  <c:v>-256</c:v>
                </c:pt>
                <c:pt idx="463">
                  <c:v>-256</c:v>
                </c:pt>
                <c:pt idx="464">
                  <c:v>-256</c:v>
                </c:pt>
                <c:pt idx="465">
                  <c:v>-256</c:v>
                </c:pt>
                <c:pt idx="466">
                  <c:v>-256</c:v>
                </c:pt>
                <c:pt idx="467">
                  <c:v>-256</c:v>
                </c:pt>
                <c:pt idx="468">
                  <c:v>-256</c:v>
                </c:pt>
                <c:pt idx="469">
                  <c:v>-256</c:v>
                </c:pt>
                <c:pt idx="470">
                  <c:v>-256</c:v>
                </c:pt>
                <c:pt idx="471">
                  <c:v>-256</c:v>
                </c:pt>
                <c:pt idx="472">
                  <c:v>-256</c:v>
                </c:pt>
                <c:pt idx="473">
                  <c:v>-256</c:v>
                </c:pt>
                <c:pt idx="474">
                  <c:v>-256</c:v>
                </c:pt>
                <c:pt idx="475">
                  <c:v>-256</c:v>
                </c:pt>
                <c:pt idx="476">
                  <c:v>-256</c:v>
                </c:pt>
                <c:pt idx="477">
                  <c:v>-256</c:v>
                </c:pt>
                <c:pt idx="478">
                  <c:v>-256</c:v>
                </c:pt>
                <c:pt idx="479">
                  <c:v>-256</c:v>
                </c:pt>
                <c:pt idx="480">
                  <c:v>-256</c:v>
                </c:pt>
                <c:pt idx="481">
                  <c:v>-256</c:v>
                </c:pt>
                <c:pt idx="482">
                  <c:v>-256</c:v>
                </c:pt>
                <c:pt idx="483">
                  <c:v>-256</c:v>
                </c:pt>
                <c:pt idx="484">
                  <c:v>-256</c:v>
                </c:pt>
                <c:pt idx="485">
                  <c:v>-256</c:v>
                </c:pt>
                <c:pt idx="486">
                  <c:v>-256</c:v>
                </c:pt>
                <c:pt idx="487">
                  <c:v>-256</c:v>
                </c:pt>
                <c:pt idx="488">
                  <c:v>-256</c:v>
                </c:pt>
                <c:pt idx="489">
                  <c:v>-256</c:v>
                </c:pt>
                <c:pt idx="490">
                  <c:v>-256</c:v>
                </c:pt>
                <c:pt idx="491">
                  <c:v>-256</c:v>
                </c:pt>
                <c:pt idx="492">
                  <c:v>-256</c:v>
                </c:pt>
                <c:pt idx="493">
                  <c:v>-256</c:v>
                </c:pt>
                <c:pt idx="494">
                  <c:v>-256</c:v>
                </c:pt>
                <c:pt idx="495">
                  <c:v>-256</c:v>
                </c:pt>
                <c:pt idx="496">
                  <c:v>-256</c:v>
                </c:pt>
                <c:pt idx="497">
                  <c:v>-256</c:v>
                </c:pt>
                <c:pt idx="498">
                  <c:v>-256</c:v>
                </c:pt>
                <c:pt idx="499">
                  <c:v>-256</c:v>
                </c:pt>
                <c:pt idx="500">
                  <c:v>-256</c:v>
                </c:pt>
                <c:pt idx="501">
                  <c:v>-256</c:v>
                </c:pt>
                <c:pt idx="502">
                  <c:v>-256</c:v>
                </c:pt>
                <c:pt idx="503">
                  <c:v>-256</c:v>
                </c:pt>
                <c:pt idx="504">
                  <c:v>-256</c:v>
                </c:pt>
                <c:pt idx="505">
                  <c:v>-256</c:v>
                </c:pt>
                <c:pt idx="506">
                  <c:v>-256</c:v>
                </c:pt>
                <c:pt idx="507">
                  <c:v>-256</c:v>
                </c:pt>
                <c:pt idx="508">
                  <c:v>-256</c:v>
                </c:pt>
                <c:pt idx="509">
                  <c:v>-256</c:v>
                </c:pt>
                <c:pt idx="510">
                  <c:v>-256</c:v>
                </c:pt>
                <c:pt idx="511">
                  <c:v>-256</c:v>
                </c:pt>
                <c:pt idx="512">
                  <c:v>-256</c:v>
                </c:pt>
                <c:pt idx="513">
                  <c:v>-256</c:v>
                </c:pt>
                <c:pt idx="514">
                  <c:v>-266</c:v>
                </c:pt>
                <c:pt idx="515">
                  <c:v>-276</c:v>
                </c:pt>
                <c:pt idx="516">
                  <c:v>-286.00000000000006</c:v>
                </c:pt>
                <c:pt idx="517">
                  <c:v>-294</c:v>
                </c:pt>
                <c:pt idx="518">
                  <c:v>-303</c:v>
                </c:pt>
                <c:pt idx="519">
                  <c:v>-313</c:v>
                </c:pt>
                <c:pt idx="520">
                  <c:v>-323</c:v>
                </c:pt>
                <c:pt idx="521">
                  <c:v>-332</c:v>
                </c:pt>
                <c:pt idx="522">
                  <c:v>-341</c:v>
                </c:pt>
                <c:pt idx="523">
                  <c:v>-350.00000000000006</c:v>
                </c:pt>
                <c:pt idx="524">
                  <c:v>-360.00000000000006</c:v>
                </c:pt>
                <c:pt idx="525">
                  <c:v>-370.00000000000006</c:v>
                </c:pt>
                <c:pt idx="526">
                  <c:v>-379.00000000000006</c:v>
                </c:pt>
                <c:pt idx="527">
                  <c:v>-387.99999999999994</c:v>
                </c:pt>
                <c:pt idx="528">
                  <c:v>-397.99999999999994</c:v>
                </c:pt>
                <c:pt idx="529">
                  <c:v>-408</c:v>
                </c:pt>
                <c:pt idx="530">
                  <c:v>-417</c:v>
                </c:pt>
                <c:pt idx="531">
                  <c:v>-425</c:v>
                </c:pt>
                <c:pt idx="532">
                  <c:v>-434</c:v>
                </c:pt>
                <c:pt idx="533">
                  <c:v>-442</c:v>
                </c:pt>
                <c:pt idx="534">
                  <c:v>-449</c:v>
                </c:pt>
                <c:pt idx="535">
                  <c:v>-458</c:v>
                </c:pt>
                <c:pt idx="536">
                  <c:v>-466</c:v>
                </c:pt>
                <c:pt idx="537">
                  <c:v>-474.00000000000006</c:v>
                </c:pt>
                <c:pt idx="538">
                  <c:v>-481.00000000000006</c:v>
                </c:pt>
                <c:pt idx="539">
                  <c:v>-490.00000000000006</c:v>
                </c:pt>
                <c:pt idx="540">
                  <c:v>-498.00000000000006</c:v>
                </c:pt>
                <c:pt idx="541">
                  <c:v>-505.00000000000011</c:v>
                </c:pt>
                <c:pt idx="542">
                  <c:v>-512.99999999999989</c:v>
                </c:pt>
                <c:pt idx="543">
                  <c:v>-522</c:v>
                </c:pt>
                <c:pt idx="544">
                  <c:v>-530</c:v>
                </c:pt>
                <c:pt idx="545">
                  <c:v>-538.99999999999989</c:v>
                </c:pt>
                <c:pt idx="546">
                  <c:v>-546.99999999999989</c:v>
                </c:pt>
                <c:pt idx="547">
                  <c:v>-556</c:v>
                </c:pt>
                <c:pt idx="548">
                  <c:v>-564</c:v>
                </c:pt>
                <c:pt idx="549">
                  <c:v>-571</c:v>
                </c:pt>
                <c:pt idx="550">
                  <c:v>-576.00000000000011</c:v>
                </c:pt>
                <c:pt idx="551">
                  <c:v>-581</c:v>
                </c:pt>
                <c:pt idx="552">
                  <c:v>-585</c:v>
                </c:pt>
                <c:pt idx="553">
                  <c:v>-588.00000000000011</c:v>
                </c:pt>
                <c:pt idx="554">
                  <c:v>-590.00000000000011</c:v>
                </c:pt>
                <c:pt idx="555">
                  <c:v>-594.00000000000011</c:v>
                </c:pt>
                <c:pt idx="556">
                  <c:v>-601</c:v>
                </c:pt>
                <c:pt idx="557">
                  <c:v>-606.00000000000011</c:v>
                </c:pt>
                <c:pt idx="558">
                  <c:v>-611</c:v>
                </c:pt>
                <c:pt idx="559">
                  <c:v>-615</c:v>
                </c:pt>
                <c:pt idx="560">
                  <c:v>-618.00000000000011</c:v>
                </c:pt>
                <c:pt idx="561">
                  <c:v>-620.00000000000011</c:v>
                </c:pt>
                <c:pt idx="562">
                  <c:v>-624.00000000000011</c:v>
                </c:pt>
                <c:pt idx="563">
                  <c:v>-627</c:v>
                </c:pt>
                <c:pt idx="564">
                  <c:v>-629</c:v>
                </c:pt>
                <c:pt idx="565">
                  <c:v>-633</c:v>
                </c:pt>
                <c:pt idx="566">
                  <c:v>-639.99999999999989</c:v>
                </c:pt>
                <c:pt idx="567">
                  <c:v>-645</c:v>
                </c:pt>
                <c:pt idx="568">
                  <c:v>-649.99999999999989</c:v>
                </c:pt>
                <c:pt idx="569">
                  <c:v>-653.99999999999989</c:v>
                </c:pt>
                <c:pt idx="570">
                  <c:v>-657</c:v>
                </c:pt>
                <c:pt idx="571">
                  <c:v>-659</c:v>
                </c:pt>
                <c:pt idx="572">
                  <c:v>-663</c:v>
                </c:pt>
                <c:pt idx="573">
                  <c:v>-665.99999999999989</c:v>
                </c:pt>
                <c:pt idx="574">
                  <c:v>-669.99999999999989</c:v>
                </c:pt>
                <c:pt idx="575">
                  <c:v>-677</c:v>
                </c:pt>
                <c:pt idx="576">
                  <c:v>-681.99999999999989</c:v>
                </c:pt>
                <c:pt idx="577">
                  <c:v>-687</c:v>
                </c:pt>
                <c:pt idx="578">
                  <c:v>-691.00000000000011</c:v>
                </c:pt>
                <c:pt idx="579">
                  <c:v>-694</c:v>
                </c:pt>
                <c:pt idx="580">
                  <c:v>-696</c:v>
                </c:pt>
                <c:pt idx="581">
                  <c:v>-700</c:v>
                </c:pt>
                <c:pt idx="582">
                  <c:v>-703.00000000000011</c:v>
                </c:pt>
                <c:pt idx="583">
                  <c:v>-705.00000000000011</c:v>
                </c:pt>
                <c:pt idx="584">
                  <c:v>-709.00000000000011</c:v>
                </c:pt>
                <c:pt idx="585">
                  <c:v>-711.00000000000011</c:v>
                </c:pt>
                <c:pt idx="586">
                  <c:v>-713.00000000000011</c:v>
                </c:pt>
                <c:pt idx="587">
                  <c:v>-716</c:v>
                </c:pt>
                <c:pt idx="588">
                  <c:v>-720</c:v>
                </c:pt>
                <c:pt idx="589">
                  <c:v>-723.00000000000011</c:v>
                </c:pt>
                <c:pt idx="590">
                  <c:v>-725.00000000000011</c:v>
                </c:pt>
                <c:pt idx="591">
                  <c:v>-729.00000000000011</c:v>
                </c:pt>
                <c:pt idx="592">
                  <c:v>-732</c:v>
                </c:pt>
                <c:pt idx="593">
                  <c:v>-736</c:v>
                </c:pt>
                <c:pt idx="594">
                  <c:v>-743.00000000000011</c:v>
                </c:pt>
                <c:pt idx="595">
                  <c:v>-748</c:v>
                </c:pt>
                <c:pt idx="596">
                  <c:v>-753.00000000000011</c:v>
                </c:pt>
                <c:pt idx="597">
                  <c:v>-757.00000000000011</c:v>
                </c:pt>
                <c:pt idx="598">
                  <c:v>-760</c:v>
                </c:pt>
                <c:pt idx="599">
                  <c:v>-762</c:v>
                </c:pt>
                <c:pt idx="600">
                  <c:v>-766</c:v>
                </c:pt>
                <c:pt idx="601">
                  <c:v>-768.99999999999989</c:v>
                </c:pt>
                <c:pt idx="602">
                  <c:v>-770.99999999999989</c:v>
                </c:pt>
                <c:pt idx="603">
                  <c:v>-774.99999999999989</c:v>
                </c:pt>
                <c:pt idx="604">
                  <c:v>-782</c:v>
                </c:pt>
                <c:pt idx="605">
                  <c:v>-786.99999999999989</c:v>
                </c:pt>
                <c:pt idx="606">
                  <c:v>-792</c:v>
                </c:pt>
                <c:pt idx="607">
                  <c:v>-796</c:v>
                </c:pt>
                <c:pt idx="608">
                  <c:v>-798.99999999999989</c:v>
                </c:pt>
                <c:pt idx="609">
                  <c:v>-800.99999999999989</c:v>
                </c:pt>
                <c:pt idx="610">
                  <c:v>-804.99999999999989</c:v>
                </c:pt>
                <c:pt idx="611">
                  <c:v>-808</c:v>
                </c:pt>
                <c:pt idx="612">
                  <c:v>-812</c:v>
                </c:pt>
                <c:pt idx="613">
                  <c:v>-813</c:v>
                </c:pt>
                <c:pt idx="614">
                  <c:v>-817</c:v>
                </c:pt>
                <c:pt idx="615">
                  <c:v>-817</c:v>
                </c:pt>
                <c:pt idx="616">
                  <c:v>-819</c:v>
                </c:pt>
                <c:pt idx="617">
                  <c:v>-823</c:v>
                </c:pt>
                <c:pt idx="618">
                  <c:v>-824.00000000000011</c:v>
                </c:pt>
                <c:pt idx="619">
                  <c:v>-825</c:v>
                </c:pt>
                <c:pt idx="620">
                  <c:v>-826.00000000000011</c:v>
                </c:pt>
                <c:pt idx="621">
                  <c:v>-829</c:v>
                </c:pt>
                <c:pt idx="622">
                  <c:v>-830.00000000000011</c:v>
                </c:pt>
                <c:pt idx="623">
                  <c:v>-832.00000000000011</c:v>
                </c:pt>
                <c:pt idx="624">
                  <c:v>-833</c:v>
                </c:pt>
                <c:pt idx="625">
                  <c:v>-835</c:v>
                </c:pt>
                <c:pt idx="626">
                  <c:v>-837</c:v>
                </c:pt>
                <c:pt idx="627">
                  <c:v>-840.00000000000011</c:v>
                </c:pt>
                <c:pt idx="628">
                  <c:v>-841</c:v>
                </c:pt>
                <c:pt idx="629">
                  <c:v>-843</c:v>
                </c:pt>
                <c:pt idx="630">
                  <c:v>-845</c:v>
                </c:pt>
                <c:pt idx="631">
                  <c:v>-846.00000000000011</c:v>
                </c:pt>
                <c:pt idx="632">
                  <c:v>-848.00000000000011</c:v>
                </c:pt>
                <c:pt idx="633">
                  <c:v>-852.00000000000011</c:v>
                </c:pt>
                <c:pt idx="634">
                  <c:v>-854.00000000000011</c:v>
                </c:pt>
                <c:pt idx="635">
                  <c:v>-856.00000000000011</c:v>
                </c:pt>
                <c:pt idx="636">
                  <c:v>-857</c:v>
                </c:pt>
                <c:pt idx="637">
                  <c:v>-859</c:v>
                </c:pt>
                <c:pt idx="638">
                  <c:v>-862.00000000000011</c:v>
                </c:pt>
                <c:pt idx="639">
                  <c:v>-864.00000000000011</c:v>
                </c:pt>
                <c:pt idx="640">
                  <c:v>-867</c:v>
                </c:pt>
                <c:pt idx="641">
                  <c:v>-871</c:v>
                </c:pt>
                <c:pt idx="642">
                  <c:v>-874.00000000000011</c:v>
                </c:pt>
                <c:pt idx="643">
                  <c:v>-875</c:v>
                </c:pt>
                <c:pt idx="644">
                  <c:v>-877</c:v>
                </c:pt>
                <c:pt idx="645">
                  <c:v>-880.00000000000011</c:v>
                </c:pt>
                <c:pt idx="646">
                  <c:v>-883</c:v>
                </c:pt>
                <c:pt idx="647">
                  <c:v>-887</c:v>
                </c:pt>
                <c:pt idx="648">
                  <c:v>-890.00000000000011</c:v>
                </c:pt>
                <c:pt idx="649">
                  <c:v>-894.00000000000011</c:v>
                </c:pt>
                <c:pt idx="650">
                  <c:v>-898.00000000000011</c:v>
                </c:pt>
                <c:pt idx="651">
                  <c:v>-899</c:v>
                </c:pt>
                <c:pt idx="652">
                  <c:v>-901</c:v>
                </c:pt>
                <c:pt idx="653">
                  <c:v>-902.00000000000011</c:v>
                </c:pt>
                <c:pt idx="654">
                  <c:v>-905</c:v>
                </c:pt>
                <c:pt idx="655">
                  <c:v>-907</c:v>
                </c:pt>
                <c:pt idx="656">
                  <c:v>-908.00000000000011</c:v>
                </c:pt>
                <c:pt idx="657">
                  <c:v>-911</c:v>
                </c:pt>
                <c:pt idx="658">
                  <c:v>-914.00000000000011</c:v>
                </c:pt>
                <c:pt idx="659">
                  <c:v>-917</c:v>
                </c:pt>
                <c:pt idx="660">
                  <c:v>-920.00000000000011</c:v>
                </c:pt>
                <c:pt idx="661">
                  <c:v>-922.00000000000011</c:v>
                </c:pt>
                <c:pt idx="662">
                  <c:v>-924.00000000000011</c:v>
                </c:pt>
                <c:pt idx="663">
                  <c:v>-926.00000000000011</c:v>
                </c:pt>
                <c:pt idx="664">
                  <c:v>-927</c:v>
                </c:pt>
                <c:pt idx="665">
                  <c:v>-930.00000000000011</c:v>
                </c:pt>
                <c:pt idx="666">
                  <c:v>-932.00000000000011</c:v>
                </c:pt>
                <c:pt idx="667">
                  <c:v>-934.00000000000011</c:v>
                </c:pt>
                <c:pt idx="668">
                  <c:v>-935</c:v>
                </c:pt>
                <c:pt idx="669">
                  <c:v>-938.00000000000011</c:v>
                </c:pt>
                <c:pt idx="670">
                  <c:v>-941.00000000000011</c:v>
                </c:pt>
                <c:pt idx="671">
                  <c:v>-943.00000000000011</c:v>
                </c:pt>
                <c:pt idx="672">
                  <c:v>-945.00000000000011</c:v>
                </c:pt>
                <c:pt idx="673">
                  <c:v>-948</c:v>
                </c:pt>
                <c:pt idx="674">
                  <c:v>-952</c:v>
                </c:pt>
                <c:pt idx="675">
                  <c:v>-954</c:v>
                </c:pt>
                <c:pt idx="676">
                  <c:v>-956</c:v>
                </c:pt>
                <c:pt idx="677">
                  <c:v>-957.00000000000011</c:v>
                </c:pt>
                <c:pt idx="678">
                  <c:v>-959.00000000000011</c:v>
                </c:pt>
                <c:pt idx="679">
                  <c:v>-960</c:v>
                </c:pt>
                <c:pt idx="680">
                  <c:v>-961.00000000000011</c:v>
                </c:pt>
                <c:pt idx="681">
                  <c:v>-963.00000000000011</c:v>
                </c:pt>
                <c:pt idx="682">
                  <c:v>-964</c:v>
                </c:pt>
                <c:pt idx="683">
                  <c:v>-965.00000000000011</c:v>
                </c:pt>
                <c:pt idx="684">
                  <c:v>-966</c:v>
                </c:pt>
                <c:pt idx="685">
                  <c:v>-968</c:v>
                </c:pt>
                <c:pt idx="686">
                  <c:v>-969.00000000000011</c:v>
                </c:pt>
                <c:pt idx="687">
                  <c:v>-971.00000000000011</c:v>
                </c:pt>
                <c:pt idx="688">
                  <c:v>-972</c:v>
                </c:pt>
                <c:pt idx="689">
                  <c:v>-974</c:v>
                </c:pt>
                <c:pt idx="690">
                  <c:v>-975.00000000000011</c:v>
                </c:pt>
                <c:pt idx="691">
                  <c:v>-977.00000000000011</c:v>
                </c:pt>
                <c:pt idx="692">
                  <c:v>-979.00000000000011</c:v>
                </c:pt>
                <c:pt idx="693">
                  <c:v>-981.00000000000011</c:v>
                </c:pt>
                <c:pt idx="694">
                  <c:v>-982</c:v>
                </c:pt>
                <c:pt idx="695">
                  <c:v>-984</c:v>
                </c:pt>
                <c:pt idx="696">
                  <c:v>-985.00000000000011</c:v>
                </c:pt>
                <c:pt idx="697">
                  <c:v>-987.00000000000011</c:v>
                </c:pt>
                <c:pt idx="698">
                  <c:v>-989.00000000000011</c:v>
                </c:pt>
                <c:pt idx="699">
                  <c:v>-991.00000000000011</c:v>
                </c:pt>
                <c:pt idx="700">
                  <c:v>-993.00000000000011</c:v>
                </c:pt>
                <c:pt idx="701">
                  <c:v>-995.00000000000011</c:v>
                </c:pt>
                <c:pt idx="702">
                  <c:v>-997.00000000000011</c:v>
                </c:pt>
                <c:pt idx="703">
                  <c:v>-1000</c:v>
                </c:pt>
                <c:pt idx="704">
                  <c:v>-1001.0000000000001</c:v>
                </c:pt>
                <c:pt idx="705">
                  <c:v>-1001.0000000000001</c:v>
                </c:pt>
                <c:pt idx="706">
                  <c:v>-1001.0000000000001</c:v>
                </c:pt>
                <c:pt idx="707">
                  <c:v>-1001.0000000000001</c:v>
                </c:pt>
                <c:pt idx="708">
                  <c:v>-1001.0000000000001</c:v>
                </c:pt>
                <c:pt idx="709">
                  <c:v>-1001.0000000000001</c:v>
                </c:pt>
                <c:pt idx="710">
                  <c:v>-1001.0000000000001</c:v>
                </c:pt>
                <c:pt idx="711">
                  <c:v>-1001.0000000000001</c:v>
                </c:pt>
                <c:pt idx="712">
                  <c:v>-1001.0000000000001</c:v>
                </c:pt>
                <c:pt idx="713">
                  <c:v>-1001.0000000000001</c:v>
                </c:pt>
                <c:pt idx="714">
                  <c:v>-1001.0000000000001</c:v>
                </c:pt>
                <c:pt idx="715">
                  <c:v>-1001.0000000000001</c:v>
                </c:pt>
                <c:pt idx="716">
                  <c:v>-1001.0000000000001</c:v>
                </c:pt>
                <c:pt idx="717">
                  <c:v>-1001.0000000000001</c:v>
                </c:pt>
                <c:pt idx="718">
                  <c:v>-1001.0000000000001</c:v>
                </c:pt>
                <c:pt idx="719">
                  <c:v>-1001.0000000000001</c:v>
                </c:pt>
                <c:pt idx="720">
                  <c:v>-1001.0000000000001</c:v>
                </c:pt>
                <c:pt idx="721">
                  <c:v>-1001.0000000000001</c:v>
                </c:pt>
                <c:pt idx="722">
                  <c:v>-1001.0000000000001</c:v>
                </c:pt>
                <c:pt idx="723">
                  <c:v>-1001.0000000000001</c:v>
                </c:pt>
                <c:pt idx="724">
                  <c:v>-1001.0000000000001</c:v>
                </c:pt>
                <c:pt idx="725">
                  <c:v>-1001.0000000000001</c:v>
                </c:pt>
                <c:pt idx="726">
                  <c:v>-1001.0000000000001</c:v>
                </c:pt>
                <c:pt idx="727">
                  <c:v>-1001.0000000000001</c:v>
                </c:pt>
                <c:pt idx="728">
                  <c:v>-1001.0000000000001</c:v>
                </c:pt>
                <c:pt idx="729">
                  <c:v>-1001.0000000000001</c:v>
                </c:pt>
                <c:pt idx="730">
                  <c:v>-1001.0000000000001</c:v>
                </c:pt>
                <c:pt idx="731">
                  <c:v>-1001.0000000000001</c:v>
                </c:pt>
                <c:pt idx="732">
                  <c:v>-1001.0000000000001</c:v>
                </c:pt>
                <c:pt idx="733">
                  <c:v>-1001.0000000000001</c:v>
                </c:pt>
                <c:pt idx="734">
                  <c:v>-1001.0000000000001</c:v>
                </c:pt>
                <c:pt idx="735">
                  <c:v>-1001.0000000000001</c:v>
                </c:pt>
                <c:pt idx="736">
                  <c:v>-1001.0000000000001</c:v>
                </c:pt>
                <c:pt idx="737">
                  <c:v>-1001.0000000000001</c:v>
                </c:pt>
                <c:pt idx="738">
                  <c:v>-1001.0000000000001</c:v>
                </c:pt>
                <c:pt idx="739">
                  <c:v>-1001.0000000000001</c:v>
                </c:pt>
                <c:pt idx="740">
                  <c:v>-1001.0000000000001</c:v>
                </c:pt>
                <c:pt idx="741">
                  <c:v>-1001.0000000000001</c:v>
                </c:pt>
                <c:pt idx="742">
                  <c:v>-1001.0000000000001</c:v>
                </c:pt>
                <c:pt idx="743">
                  <c:v>-1064</c:v>
                </c:pt>
                <c:pt idx="744">
                  <c:v>-1064</c:v>
                </c:pt>
                <c:pt idx="745">
                  <c:v>-1064</c:v>
                </c:pt>
                <c:pt idx="746">
                  <c:v>-1092</c:v>
                </c:pt>
                <c:pt idx="747">
                  <c:v>-1125</c:v>
                </c:pt>
                <c:pt idx="748">
                  <c:v>-1145</c:v>
                </c:pt>
                <c:pt idx="749">
                  <c:v>-1172.0000000000002</c:v>
                </c:pt>
                <c:pt idx="750">
                  <c:v>-1190.0000000000002</c:v>
                </c:pt>
                <c:pt idx="751">
                  <c:v>-1216</c:v>
                </c:pt>
                <c:pt idx="752">
                  <c:v>-1225</c:v>
                </c:pt>
                <c:pt idx="753">
                  <c:v>-1241</c:v>
                </c:pt>
                <c:pt idx="754">
                  <c:v>-1271.0000000000002</c:v>
                </c:pt>
                <c:pt idx="755">
                  <c:v>-1291.0000000000002</c:v>
                </c:pt>
                <c:pt idx="756">
                  <c:v>-1307.0000000000002</c:v>
                </c:pt>
                <c:pt idx="757">
                  <c:v>-1321</c:v>
                </c:pt>
                <c:pt idx="758">
                  <c:v>-1335</c:v>
                </c:pt>
                <c:pt idx="759">
                  <c:v>-1349</c:v>
                </c:pt>
                <c:pt idx="760">
                  <c:v>-1361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49-4C12-A0BF-1EA74933D6C8}"/>
            </c:ext>
          </c:extLst>
        </c:ser>
        <c:ser>
          <c:idx val="2"/>
          <c:order val="2"/>
          <c:tx>
            <c:strRef>
              <c:f>'SL.114+320'!$M$12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'SL.114+320'!$A$14:$A$799</c:f>
              <c:numCache>
                <c:formatCode>dd/mm/yyyy;@</c:formatCode>
                <c:ptCount val="786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45791</c:v>
                </c:pt>
                <c:pt idx="747">
                  <c:v>45795</c:v>
                </c:pt>
                <c:pt idx="748">
                  <c:v>45798</c:v>
                </c:pt>
                <c:pt idx="749">
                  <c:v>45802</c:v>
                </c:pt>
                <c:pt idx="750">
                  <c:v>45805</c:v>
                </c:pt>
                <c:pt idx="751">
                  <c:v>45809</c:v>
                </c:pt>
                <c:pt idx="752">
                  <c:v>45812</c:v>
                </c:pt>
                <c:pt idx="753">
                  <c:v>45816</c:v>
                </c:pt>
                <c:pt idx="754">
                  <c:v>45823</c:v>
                </c:pt>
                <c:pt idx="755">
                  <c:v>45830</c:v>
                </c:pt>
                <c:pt idx="756">
                  <c:v>45837</c:v>
                </c:pt>
                <c:pt idx="757">
                  <c:v>45844</c:v>
                </c:pt>
                <c:pt idx="758">
                  <c:v>45851</c:v>
                </c:pt>
                <c:pt idx="759">
                  <c:v>45858</c:v>
                </c:pt>
                <c:pt idx="760">
                  <c:v>45865</c:v>
                </c:pt>
              </c:numCache>
            </c:numRef>
          </c:xVal>
          <c:yVal>
            <c:numRef>
              <c:f>'SL.114+320'!$M$14:$M$799</c:f>
              <c:numCache>
                <c:formatCode>0</c:formatCode>
                <c:ptCount val="78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-7.0000000000000062</c:v>
                </c:pt>
                <c:pt idx="26">
                  <c:v>-14.000000000000012</c:v>
                </c:pt>
                <c:pt idx="27">
                  <c:v>-19.000000000000018</c:v>
                </c:pt>
                <c:pt idx="28">
                  <c:v>-23.999999999999993</c:v>
                </c:pt>
                <c:pt idx="29">
                  <c:v>-31</c:v>
                </c:pt>
                <c:pt idx="30">
                  <c:v>-34</c:v>
                </c:pt>
                <c:pt idx="31">
                  <c:v>-36.000000000000007</c:v>
                </c:pt>
                <c:pt idx="32">
                  <c:v>-40.000000000000007</c:v>
                </c:pt>
                <c:pt idx="33">
                  <c:v>-47.000000000000014</c:v>
                </c:pt>
                <c:pt idx="34">
                  <c:v>-52.000000000000021</c:v>
                </c:pt>
                <c:pt idx="35">
                  <c:v>-56.999999999999993</c:v>
                </c:pt>
                <c:pt idx="36">
                  <c:v>-61</c:v>
                </c:pt>
                <c:pt idx="37">
                  <c:v>-64</c:v>
                </c:pt>
                <c:pt idx="38">
                  <c:v>-68</c:v>
                </c:pt>
                <c:pt idx="39">
                  <c:v>-75.000000000000014</c:v>
                </c:pt>
                <c:pt idx="40">
                  <c:v>-80.000000000000014</c:v>
                </c:pt>
                <c:pt idx="41">
                  <c:v>-85.000000000000014</c:v>
                </c:pt>
                <c:pt idx="42">
                  <c:v>-89.000000000000028</c:v>
                </c:pt>
                <c:pt idx="43">
                  <c:v>-92.000000000000028</c:v>
                </c:pt>
                <c:pt idx="44">
                  <c:v>-94.000000000000028</c:v>
                </c:pt>
                <c:pt idx="45">
                  <c:v>-98.000000000000028</c:v>
                </c:pt>
                <c:pt idx="46">
                  <c:v>-104.99999999999999</c:v>
                </c:pt>
                <c:pt idx="47">
                  <c:v>-109.99999999999999</c:v>
                </c:pt>
                <c:pt idx="48">
                  <c:v>-114.99999999999999</c:v>
                </c:pt>
                <c:pt idx="49">
                  <c:v>-119</c:v>
                </c:pt>
                <c:pt idx="50">
                  <c:v>-120</c:v>
                </c:pt>
                <c:pt idx="51">
                  <c:v>-121</c:v>
                </c:pt>
                <c:pt idx="52">
                  <c:v>-121</c:v>
                </c:pt>
                <c:pt idx="53">
                  <c:v>-122</c:v>
                </c:pt>
                <c:pt idx="54">
                  <c:v>-122</c:v>
                </c:pt>
                <c:pt idx="55">
                  <c:v>-123</c:v>
                </c:pt>
                <c:pt idx="56">
                  <c:v>-123</c:v>
                </c:pt>
                <c:pt idx="57">
                  <c:v>-123</c:v>
                </c:pt>
                <c:pt idx="58">
                  <c:v>-123</c:v>
                </c:pt>
                <c:pt idx="59">
                  <c:v>-123</c:v>
                </c:pt>
                <c:pt idx="60">
                  <c:v>-123</c:v>
                </c:pt>
                <c:pt idx="61">
                  <c:v>-123</c:v>
                </c:pt>
                <c:pt idx="62">
                  <c:v>-123</c:v>
                </c:pt>
                <c:pt idx="63">
                  <c:v>-123</c:v>
                </c:pt>
                <c:pt idx="64">
                  <c:v>-123</c:v>
                </c:pt>
                <c:pt idx="65">
                  <c:v>-123</c:v>
                </c:pt>
                <c:pt idx="66">
                  <c:v>-123</c:v>
                </c:pt>
                <c:pt idx="67">
                  <c:v>-123</c:v>
                </c:pt>
                <c:pt idx="68">
                  <c:v>-123</c:v>
                </c:pt>
                <c:pt idx="69">
                  <c:v>-123</c:v>
                </c:pt>
                <c:pt idx="70">
                  <c:v>-123</c:v>
                </c:pt>
                <c:pt idx="71">
                  <c:v>-123</c:v>
                </c:pt>
                <c:pt idx="72">
                  <c:v>-123</c:v>
                </c:pt>
                <c:pt idx="73">
                  <c:v>-123</c:v>
                </c:pt>
                <c:pt idx="74">
                  <c:v>-123</c:v>
                </c:pt>
                <c:pt idx="75">
                  <c:v>-123</c:v>
                </c:pt>
                <c:pt idx="76">
                  <c:v>-123</c:v>
                </c:pt>
                <c:pt idx="77">
                  <c:v>-123</c:v>
                </c:pt>
                <c:pt idx="78">
                  <c:v>-123</c:v>
                </c:pt>
                <c:pt idx="79">
                  <c:v>-123</c:v>
                </c:pt>
                <c:pt idx="80">
                  <c:v>-123</c:v>
                </c:pt>
                <c:pt idx="81">
                  <c:v>-123</c:v>
                </c:pt>
                <c:pt idx="82">
                  <c:v>-123</c:v>
                </c:pt>
                <c:pt idx="83">
                  <c:v>-123</c:v>
                </c:pt>
                <c:pt idx="84">
                  <c:v>-123</c:v>
                </c:pt>
                <c:pt idx="85">
                  <c:v>-123</c:v>
                </c:pt>
                <c:pt idx="86">
                  <c:v>-123</c:v>
                </c:pt>
                <c:pt idx="87">
                  <c:v>-123</c:v>
                </c:pt>
                <c:pt idx="88">
                  <c:v>-123</c:v>
                </c:pt>
                <c:pt idx="89">
                  <c:v>-123</c:v>
                </c:pt>
                <c:pt idx="90">
                  <c:v>-123</c:v>
                </c:pt>
                <c:pt idx="91">
                  <c:v>-123</c:v>
                </c:pt>
                <c:pt idx="92">
                  <c:v>-123</c:v>
                </c:pt>
                <c:pt idx="93">
                  <c:v>-123</c:v>
                </c:pt>
                <c:pt idx="94">
                  <c:v>-123</c:v>
                </c:pt>
                <c:pt idx="95">
                  <c:v>-123</c:v>
                </c:pt>
                <c:pt idx="96">
                  <c:v>-123</c:v>
                </c:pt>
                <c:pt idx="97">
                  <c:v>-123</c:v>
                </c:pt>
                <c:pt idx="98">
                  <c:v>-123</c:v>
                </c:pt>
                <c:pt idx="99">
                  <c:v>-123</c:v>
                </c:pt>
                <c:pt idx="100">
                  <c:v>-123</c:v>
                </c:pt>
                <c:pt idx="101">
                  <c:v>-123</c:v>
                </c:pt>
                <c:pt idx="102">
                  <c:v>-123</c:v>
                </c:pt>
                <c:pt idx="103">
                  <c:v>-123</c:v>
                </c:pt>
                <c:pt idx="104">
                  <c:v>-123</c:v>
                </c:pt>
                <c:pt idx="105">
                  <c:v>-123</c:v>
                </c:pt>
                <c:pt idx="106">
                  <c:v>-123</c:v>
                </c:pt>
                <c:pt idx="107">
                  <c:v>-123</c:v>
                </c:pt>
                <c:pt idx="108">
                  <c:v>-123</c:v>
                </c:pt>
                <c:pt idx="109">
                  <c:v>-123</c:v>
                </c:pt>
                <c:pt idx="110">
                  <c:v>-123</c:v>
                </c:pt>
                <c:pt idx="111">
                  <c:v>-123</c:v>
                </c:pt>
                <c:pt idx="112">
                  <c:v>-123</c:v>
                </c:pt>
                <c:pt idx="113">
                  <c:v>-123</c:v>
                </c:pt>
                <c:pt idx="114">
                  <c:v>-123</c:v>
                </c:pt>
                <c:pt idx="115">
                  <c:v>-123</c:v>
                </c:pt>
                <c:pt idx="116">
                  <c:v>-123</c:v>
                </c:pt>
                <c:pt idx="117">
                  <c:v>-123</c:v>
                </c:pt>
                <c:pt idx="118">
                  <c:v>-123</c:v>
                </c:pt>
                <c:pt idx="119">
                  <c:v>-123</c:v>
                </c:pt>
                <c:pt idx="120">
                  <c:v>-123</c:v>
                </c:pt>
                <c:pt idx="121">
                  <c:v>-123</c:v>
                </c:pt>
                <c:pt idx="122">
                  <c:v>-123</c:v>
                </c:pt>
                <c:pt idx="123">
                  <c:v>-123</c:v>
                </c:pt>
                <c:pt idx="124">
                  <c:v>-123</c:v>
                </c:pt>
                <c:pt idx="125">
                  <c:v>-123</c:v>
                </c:pt>
                <c:pt idx="126">
                  <c:v>-123</c:v>
                </c:pt>
                <c:pt idx="127">
                  <c:v>-123</c:v>
                </c:pt>
                <c:pt idx="128">
                  <c:v>-123</c:v>
                </c:pt>
                <c:pt idx="129">
                  <c:v>-123</c:v>
                </c:pt>
                <c:pt idx="130">
                  <c:v>-123</c:v>
                </c:pt>
                <c:pt idx="131">
                  <c:v>-123</c:v>
                </c:pt>
                <c:pt idx="132">
                  <c:v>-123</c:v>
                </c:pt>
                <c:pt idx="133">
                  <c:v>-123</c:v>
                </c:pt>
                <c:pt idx="134">
                  <c:v>-123</c:v>
                </c:pt>
                <c:pt idx="135">
                  <c:v>-123</c:v>
                </c:pt>
                <c:pt idx="136">
                  <c:v>-123</c:v>
                </c:pt>
                <c:pt idx="137">
                  <c:v>-123</c:v>
                </c:pt>
                <c:pt idx="138">
                  <c:v>-123</c:v>
                </c:pt>
                <c:pt idx="139">
                  <c:v>-123</c:v>
                </c:pt>
                <c:pt idx="140">
                  <c:v>-123</c:v>
                </c:pt>
                <c:pt idx="141">
                  <c:v>-123</c:v>
                </c:pt>
                <c:pt idx="142">
                  <c:v>-123</c:v>
                </c:pt>
                <c:pt idx="143">
                  <c:v>-123</c:v>
                </c:pt>
                <c:pt idx="144">
                  <c:v>-123</c:v>
                </c:pt>
                <c:pt idx="145">
                  <c:v>-123</c:v>
                </c:pt>
                <c:pt idx="146">
                  <c:v>-123</c:v>
                </c:pt>
                <c:pt idx="147">
                  <c:v>-123</c:v>
                </c:pt>
                <c:pt idx="148">
                  <c:v>-123</c:v>
                </c:pt>
                <c:pt idx="149">
                  <c:v>-123</c:v>
                </c:pt>
                <c:pt idx="150">
                  <c:v>-123</c:v>
                </c:pt>
                <c:pt idx="151">
                  <c:v>-123</c:v>
                </c:pt>
                <c:pt idx="152">
                  <c:v>-123</c:v>
                </c:pt>
                <c:pt idx="153">
                  <c:v>-123</c:v>
                </c:pt>
                <c:pt idx="154">
                  <c:v>-123</c:v>
                </c:pt>
                <c:pt idx="155">
                  <c:v>-123</c:v>
                </c:pt>
                <c:pt idx="156">
                  <c:v>-123</c:v>
                </c:pt>
                <c:pt idx="157">
                  <c:v>-123</c:v>
                </c:pt>
                <c:pt idx="158">
                  <c:v>-123</c:v>
                </c:pt>
                <c:pt idx="159">
                  <c:v>-123</c:v>
                </c:pt>
                <c:pt idx="160">
                  <c:v>-123</c:v>
                </c:pt>
                <c:pt idx="161">
                  <c:v>-123</c:v>
                </c:pt>
                <c:pt idx="162">
                  <c:v>-123</c:v>
                </c:pt>
                <c:pt idx="163">
                  <c:v>-123</c:v>
                </c:pt>
                <c:pt idx="164">
                  <c:v>-123</c:v>
                </c:pt>
                <c:pt idx="165">
                  <c:v>-123</c:v>
                </c:pt>
                <c:pt idx="166">
                  <c:v>-123</c:v>
                </c:pt>
                <c:pt idx="167">
                  <c:v>-123</c:v>
                </c:pt>
                <c:pt idx="168">
                  <c:v>-123</c:v>
                </c:pt>
                <c:pt idx="169">
                  <c:v>-123</c:v>
                </c:pt>
                <c:pt idx="170">
                  <c:v>-123</c:v>
                </c:pt>
                <c:pt idx="171">
                  <c:v>-123</c:v>
                </c:pt>
                <c:pt idx="172">
                  <c:v>-123</c:v>
                </c:pt>
                <c:pt idx="173">
                  <c:v>-123</c:v>
                </c:pt>
                <c:pt idx="174">
                  <c:v>-123</c:v>
                </c:pt>
                <c:pt idx="175">
                  <c:v>-123</c:v>
                </c:pt>
                <c:pt idx="176">
                  <c:v>-123</c:v>
                </c:pt>
                <c:pt idx="177">
                  <c:v>-123</c:v>
                </c:pt>
                <c:pt idx="178">
                  <c:v>-123</c:v>
                </c:pt>
                <c:pt idx="179">
                  <c:v>-123</c:v>
                </c:pt>
                <c:pt idx="180">
                  <c:v>-123</c:v>
                </c:pt>
                <c:pt idx="181">
                  <c:v>-123</c:v>
                </c:pt>
                <c:pt idx="182">
                  <c:v>-123</c:v>
                </c:pt>
                <c:pt idx="183">
                  <c:v>-123</c:v>
                </c:pt>
                <c:pt idx="184">
                  <c:v>-123</c:v>
                </c:pt>
                <c:pt idx="185">
                  <c:v>-123</c:v>
                </c:pt>
                <c:pt idx="186">
                  <c:v>-123</c:v>
                </c:pt>
                <c:pt idx="187">
                  <c:v>-123</c:v>
                </c:pt>
                <c:pt idx="188">
                  <c:v>-123</c:v>
                </c:pt>
                <c:pt idx="189">
                  <c:v>-123</c:v>
                </c:pt>
                <c:pt idx="190">
                  <c:v>-123</c:v>
                </c:pt>
                <c:pt idx="191">
                  <c:v>-123</c:v>
                </c:pt>
                <c:pt idx="192">
                  <c:v>-123</c:v>
                </c:pt>
                <c:pt idx="193">
                  <c:v>-123</c:v>
                </c:pt>
                <c:pt idx="194">
                  <c:v>-123</c:v>
                </c:pt>
                <c:pt idx="195">
                  <c:v>-123</c:v>
                </c:pt>
                <c:pt idx="196">
                  <c:v>-123</c:v>
                </c:pt>
                <c:pt idx="197">
                  <c:v>-123</c:v>
                </c:pt>
                <c:pt idx="198">
                  <c:v>-123</c:v>
                </c:pt>
                <c:pt idx="199">
                  <c:v>-123</c:v>
                </c:pt>
                <c:pt idx="200">
                  <c:v>-123</c:v>
                </c:pt>
                <c:pt idx="201">
                  <c:v>-123</c:v>
                </c:pt>
                <c:pt idx="202">
                  <c:v>-123</c:v>
                </c:pt>
                <c:pt idx="203">
                  <c:v>-123</c:v>
                </c:pt>
                <c:pt idx="204">
                  <c:v>-123</c:v>
                </c:pt>
                <c:pt idx="205">
                  <c:v>-123</c:v>
                </c:pt>
                <c:pt idx="206">
                  <c:v>-123</c:v>
                </c:pt>
                <c:pt idx="207">
                  <c:v>-123</c:v>
                </c:pt>
                <c:pt idx="208">
                  <c:v>-123</c:v>
                </c:pt>
                <c:pt idx="209">
                  <c:v>-123</c:v>
                </c:pt>
                <c:pt idx="210">
                  <c:v>-123</c:v>
                </c:pt>
                <c:pt idx="211">
                  <c:v>-123</c:v>
                </c:pt>
                <c:pt idx="212">
                  <c:v>-123</c:v>
                </c:pt>
                <c:pt idx="213">
                  <c:v>-123</c:v>
                </c:pt>
                <c:pt idx="214">
                  <c:v>-123</c:v>
                </c:pt>
                <c:pt idx="215">
                  <c:v>-123</c:v>
                </c:pt>
                <c:pt idx="216">
                  <c:v>-123</c:v>
                </c:pt>
                <c:pt idx="217">
                  <c:v>-123</c:v>
                </c:pt>
                <c:pt idx="218">
                  <c:v>-123</c:v>
                </c:pt>
                <c:pt idx="219">
                  <c:v>-123</c:v>
                </c:pt>
                <c:pt idx="220">
                  <c:v>-123</c:v>
                </c:pt>
                <c:pt idx="221">
                  <c:v>-123</c:v>
                </c:pt>
                <c:pt idx="222">
                  <c:v>-123</c:v>
                </c:pt>
                <c:pt idx="223">
                  <c:v>-123</c:v>
                </c:pt>
                <c:pt idx="224">
                  <c:v>-123</c:v>
                </c:pt>
                <c:pt idx="225">
                  <c:v>-123</c:v>
                </c:pt>
                <c:pt idx="226">
                  <c:v>-123</c:v>
                </c:pt>
                <c:pt idx="227">
                  <c:v>-123</c:v>
                </c:pt>
                <c:pt idx="228">
                  <c:v>-123</c:v>
                </c:pt>
                <c:pt idx="229">
                  <c:v>-123</c:v>
                </c:pt>
                <c:pt idx="230">
                  <c:v>-123</c:v>
                </c:pt>
                <c:pt idx="231">
                  <c:v>-123</c:v>
                </c:pt>
                <c:pt idx="232">
                  <c:v>-123</c:v>
                </c:pt>
                <c:pt idx="233">
                  <c:v>-123</c:v>
                </c:pt>
                <c:pt idx="234">
                  <c:v>-123</c:v>
                </c:pt>
                <c:pt idx="235">
                  <c:v>-123</c:v>
                </c:pt>
                <c:pt idx="236">
                  <c:v>-123</c:v>
                </c:pt>
                <c:pt idx="237">
                  <c:v>-123</c:v>
                </c:pt>
                <c:pt idx="238">
                  <c:v>-123</c:v>
                </c:pt>
                <c:pt idx="239">
                  <c:v>-123</c:v>
                </c:pt>
                <c:pt idx="240">
                  <c:v>-123</c:v>
                </c:pt>
                <c:pt idx="241">
                  <c:v>-123</c:v>
                </c:pt>
                <c:pt idx="242">
                  <c:v>-123</c:v>
                </c:pt>
                <c:pt idx="243">
                  <c:v>-123</c:v>
                </c:pt>
                <c:pt idx="244">
                  <c:v>-123</c:v>
                </c:pt>
                <c:pt idx="245">
                  <c:v>-123</c:v>
                </c:pt>
                <c:pt idx="246">
                  <c:v>-123</c:v>
                </c:pt>
                <c:pt idx="247">
                  <c:v>-123</c:v>
                </c:pt>
                <c:pt idx="248">
                  <c:v>-123</c:v>
                </c:pt>
                <c:pt idx="249">
                  <c:v>-123</c:v>
                </c:pt>
                <c:pt idx="250">
                  <c:v>-123</c:v>
                </c:pt>
                <c:pt idx="251">
                  <c:v>-123</c:v>
                </c:pt>
                <c:pt idx="252">
                  <c:v>-123</c:v>
                </c:pt>
                <c:pt idx="253">
                  <c:v>-123</c:v>
                </c:pt>
                <c:pt idx="254">
                  <c:v>-123</c:v>
                </c:pt>
                <c:pt idx="255">
                  <c:v>-123</c:v>
                </c:pt>
                <c:pt idx="256">
                  <c:v>-123</c:v>
                </c:pt>
                <c:pt idx="257">
                  <c:v>-123</c:v>
                </c:pt>
                <c:pt idx="258">
                  <c:v>-123</c:v>
                </c:pt>
                <c:pt idx="259">
                  <c:v>-123</c:v>
                </c:pt>
                <c:pt idx="260">
                  <c:v>-123</c:v>
                </c:pt>
                <c:pt idx="261">
                  <c:v>-123</c:v>
                </c:pt>
                <c:pt idx="262">
                  <c:v>-123</c:v>
                </c:pt>
                <c:pt idx="263">
                  <c:v>-123</c:v>
                </c:pt>
                <c:pt idx="264">
                  <c:v>-123</c:v>
                </c:pt>
                <c:pt idx="265">
                  <c:v>-123</c:v>
                </c:pt>
                <c:pt idx="266">
                  <c:v>-123</c:v>
                </c:pt>
                <c:pt idx="267">
                  <c:v>-123</c:v>
                </c:pt>
                <c:pt idx="268">
                  <c:v>-123</c:v>
                </c:pt>
                <c:pt idx="269">
                  <c:v>-123</c:v>
                </c:pt>
                <c:pt idx="270">
                  <c:v>-123</c:v>
                </c:pt>
                <c:pt idx="271">
                  <c:v>-123</c:v>
                </c:pt>
                <c:pt idx="272">
                  <c:v>-123</c:v>
                </c:pt>
                <c:pt idx="273">
                  <c:v>-123</c:v>
                </c:pt>
                <c:pt idx="274">
                  <c:v>-123</c:v>
                </c:pt>
                <c:pt idx="275">
                  <c:v>-123</c:v>
                </c:pt>
                <c:pt idx="276">
                  <c:v>-123</c:v>
                </c:pt>
                <c:pt idx="277">
                  <c:v>-123</c:v>
                </c:pt>
                <c:pt idx="278">
                  <c:v>-123</c:v>
                </c:pt>
                <c:pt idx="279">
                  <c:v>-123</c:v>
                </c:pt>
                <c:pt idx="280">
                  <c:v>-123</c:v>
                </c:pt>
                <c:pt idx="281">
                  <c:v>-123</c:v>
                </c:pt>
                <c:pt idx="282">
                  <c:v>-123</c:v>
                </c:pt>
                <c:pt idx="283">
                  <c:v>-123</c:v>
                </c:pt>
                <c:pt idx="284">
                  <c:v>-123</c:v>
                </c:pt>
                <c:pt idx="285">
                  <c:v>-123</c:v>
                </c:pt>
                <c:pt idx="286">
                  <c:v>-123</c:v>
                </c:pt>
                <c:pt idx="287">
                  <c:v>-123</c:v>
                </c:pt>
                <c:pt idx="288">
                  <c:v>-123</c:v>
                </c:pt>
                <c:pt idx="289">
                  <c:v>-123</c:v>
                </c:pt>
                <c:pt idx="290">
                  <c:v>-123</c:v>
                </c:pt>
                <c:pt idx="291">
                  <c:v>-123</c:v>
                </c:pt>
                <c:pt idx="292">
                  <c:v>-123</c:v>
                </c:pt>
                <c:pt idx="293">
                  <c:v>-123</c:v>
                </c:pt>
                <c:pt idx="294">
                  <c:v>-123</c:v>
                </c:pt>
                <c:pt idx="295">
                  <c:v>-123</c:v>
                </c:pt>
                <c:pt idx="296">
                  <c:v>-123</c:v>
                </c:pt>
                <c:pt idx="297">
                  <c:v>-123</c:v>
                </c:pt>
                <c:pt idx="298">
                  <c:v>-123</c:v>
                </c:pt>
                <c:pt idx="299">
                  <c:v>-123</c:v>
                </c:pt>
                <c:pt idx="300">
                  <c:v>-123</c:v>
                </c:pt>
                <c:pt idx="301">
                  <c:v>-123</c:v>
                </c:pt>
                <c:pt idx="302">
                  <c:v>-123</c:v>
                </c:pt>
                <c:pt idx="303">
                  <c:v>-123</c:v>
                </c:pt>
                <c:pt idx="304">
                  <c:v>-123</c:v>
                </c:pt>
                <c:pt idx="305">
                  <c:v>-123</c:v>
                </c:pt>
                <c:pt idx="306">
                  <c:v>-123</c:v>
                </c:pt>
                <c:pt idx="307">
                  <c:v>-123</c:v>
                </c:pt>
                <c:pt idx="308">
                  <c:v>-123</c:v>
                </c:pt>
                <c:pt idx="309">
                  <c:v>-123</c:v>
                </c:pt>
                <c:pt idx="310">
                  <c:v>-123</c:v>
                </c:pt>
                <c:pt idx="311">
                  <c:v>-123</c:v>
                </c:pt>
                <c:pt idx="312">
                  <c:v>-123</c:v>
                </c:pt>
                <c:pt idx="313">
                  <c:v>-123</c:v>
                </c:pt>
                <c:pt idx="314">
                  <c:v>-123</c:v>
                </c:pt>
                <c:pt idx="315">
                  <c:v>-123</c:v>
                </c:pt>
                <c:pt idx="316">
                  <c:v>-123</c:v>
                </c:pt>
                <c:pt idx="317">
                  <c:v>-123</c:v>
                </c:pt>
                <c:pt idx="318">
                  <c:v>-123</c:v>
                </c:pt>
                <c:pt idx="319">
                  <c:v>-123</c:v>
                </c:pt>
                <c:pt idx="320">
                  <c:v>-123</c:v>
                </c:pt>
                <c:pt idx="321">
                  <c:v>-123</c:v>
                </c:pt>
                <c:pt idx="322">
                  <c:v>-123</c:v>
                </c:pt>
                <c:pt idx="323">
                  <c:v>-123</c:v>
                </c:pt>
                <c:pt idx="324">
                  <c:v>-123</c:v>
                </c:pt>
                <c:pt idx="325">
                  <c:v>-123</c:v>
                </c:pt>
                <c:pt idx="326">
                  <c:v>-123</c:v>
                </c:pt>
                <c:pt idx="327">
                  <c:v>-123</c:v>
                </c:pt>
                <c:pt idx="328">
                  <c:v>-123</c:v>
                </c:pt>
                <c:pt idx="329">
                  <c:v>-123</c:v>
                </c:pt>
                <c:pt idx="330">
                  <c:v>-123</c:v>
                </c:pt>
                <c:pt idx="331">
                  <c:v>-123</c:v>
                </c:pt>
                <c:pt idx="332">
                  <c:v>-123</c:v>
                </c:pt>
                <c:pt idx="333">
                  <c:v>-123</c:v>
                </c:pt>
                <c:pt idx="334">
                  <c:v>-123</c:v>
                </c:pt>
                <c:pt idx="335">
                  <c:v>-123</c:v>
                </c:pt>
                <c:pt idx="336">
                  <c:v>-123</c:v>
                </c:pt>
                <c:pt idx="337">
                  <c:v>-127</c:v>
                </c:pt>
                <c:pt idx="338">
                  <c:v>-134</c:v>
                </c:pt>
                <c:pt idx="339">
                  <c:v>-139</c:v>
                </c:pt>
                <c:pt idx="340">
                  <c:v>-144.00000000000003</c:v>
                </c:pt>
                <c:pt idx="341">
                  <c:v>-148.00000000000003</c:v>
                </c:pt>
                <c:pt idx="342">
                  <c:v>-151.00000000000003</c:v>
                </c:pt>
                <c:pt idx="343">
                  <c:v>-153.00000000000003</c:v>
                </c:pt>
                <c:pt idx="344">
                  <c:v>-157.00000000000003</c:v>
                </c:pt>
                <c:pt idx="345">
                  <c:v>-163.99999999999997</c:v>
                </c:pt>
                <c:pt idx="346">
                  <c:v>-168.99999999999997</c:v>
                </c:pt>
                <c:pt idx="347">
                  <c:v>-174</c:v>
                </c:pt>
                <c:pt idx="348">
                  <c:v>-178</c:v>
                </c:pt>
                <c:pt idx="349">
                  <c:v>-181</c:v>
                </c:pt>
                <c:pt idx="350">
                  <c:v>-183</c:v>
                </c:pt>
                <c:pt idx="351">
                  <c:v>-187</c:v>
                </c:pt>
                <c:pt idx="352">
                  <c:v>-190</c:v>
                </c:pt>
                <c:pt idx="353">
                  <c:v>-194</c:v>
                </c:pt>
                <c:pt idx="354">
                  <c:v>-197</c:v>
                </c:pt>
                <c:pt idx="355">
                  <c:v>-199</c:v>
                </c:pt>
                <c:pt idx="356">
                  <c:v>-203</c:v>
                </c:pt>
                <c:pt idx="357">
                  <c:v>-210.00000000000003</c:v>
                </c:pt>
                <c:pt idx="358">
                  <c:v>-215.00000000000003</c:v>
                </c:pt>
                <c:pt idx="359">
                  <c:v>-220.00000000000003</c:v>
                </c:pt>
                <c:pt idx="360">
                  <c:v>-224.00000000000003</c:v>
                </c:pt>
                <c:pt idx="361">
                  <c:v>-226.99999999999997</c:v>
                </c:pt>
                <c:pt idx="362">
                  <c:v>-228.99999999999997</c:v>
                </c:pt>
                <c:pt idx="363">
                  <c:v>-231.99999999999997</c:v>
                </c:pt>
                <c:pt idx="364">
                  <c:v>-234</c:v>
                </c:pt>
                <c:pt idx="365">
                  <c:v>-238</c:v>
                </c:pt>
                <c:pt idx="366">
                  <c:v>-241</c:v>
                </c:pt>
                <c:pt idx="367">
                  <c:v>-245</c:v>
                </c:pt>
                <c:pt idx="368">
                  <c:v>-248</c:v>
                </c:pt>
                <c:pt idx="369">
                  <c:v>-250</c:v>
                </c:pt>
                <c:pt idx="370">
                  <c:v>-254</c:v>
                </c:pt>
                <c:pt idx="371">
                  <c:v>-261</c:v>
                </c:pt>
                <c:pt idx="372">
                  <c:v>-266</c:v>
                </c:pt>
                <c:pt idx="373">
                  <c:v>-271</c:v>
                </c:pt>
                <c:pt idx="374">
                  <c:v>-275</c:v>
                </c:pt>
                <c:pt idx="375">
                  <c:v>-278</c:v>
                </c:pt>
                <c:pt idx="376">
                  <c:v>-280</c:v>
                </c:pt>
                <c:pt idx="377">
                  <c:v>-280</c:v>
                </c:pt>
                <c:pt idx="378">
                  <c:v>-280</c:v>
                </c:pt>
                <c:pt idx="379">
                  <c:v>-280</c:v>
                </c:pt>
                <c:pt idx="380">
                  <c:v>-280</c:v>
                </c:pt>
                <c:pt idx="381">
                  <c:v>-280</c:v>
                </c:pt>
                <c:pt idx="382">
                  <c:v>-280</c:v>
                </c:pt>
                <c:pt idx="383">
                  <c:v>-280</c:v>
                </c:pt>
                <c:pt idx="384">
                  <c:v>-280</c:v>
                </c:pt>
                <c:pt idx="385">
                  <c:v>-280</c:v>
                </c:pt>
                <c:pt idx="386">
                  <c:v>-280</c:v>
                </c:pt>
                <c:pt idx="387">
                  <c:v>-280</c:v>
                </c:pt>
                <c:pt idx="388">
                  <c:v>-280</c:v>
                </c:pt>
                <c:pt idx="389">
                  <c:v>-280</c:v>
                </c:pt>
                <c:pt idx="390">
                  <c:v>-280</c:v>
                </c:pt>
                <c:pt idx="391">
                  <c:v>-280</c:v>
                </c:pt>
                <c:pt idx="392">
                  <c:v>-280</c:v>
                </c:pt>
                <c:pt idx="393">
                  <c:v>-280</c:v>
                </c:pt>
                <c:pt idx="394">
                  <c:v>-280</c:v>
                </c:pt>
                <c:pt idx="395">
                  <c:v>-280</c:v>
                </c:pt>
                <c:pt idx="396">
                  <c:v>-280</c:v>
                </c:pt>
                <c:pt idx="397">
                  <c:v>-280</c:v>
                </c:pt>
                <c:pt idx="398">
                  <c:v>-280</c:v>
                </c:pt>
                <c:pt idx="399">
                  <c:v>-280</c:v>
                </c:pt>
                <c:pt idx="400">
                  <c:v>-280</c:v>
                </c:pt>
                <c:pt idx="401">
                  <c:v>-280</c:v>
                </c:pt>
                <c:pt idx="402">
                  <c:v>-280</c:v>
                </c:pt>
                <c:pt idx="403">
                  <c:v>-280</c:v>
                </c:pt>
                <c:pt idx="404">
                  <c:v>-280</c:v>
                </c:pt>
                <c:pt idx="405">
                  <c:v>-280</c:v>
                </c:pt>
                <c:pt idx="406">
                  <c:v>-280</c:v>
                </c:pt>
                <c:pt idx="407">
                  <c:v>-280</c:v>
                </c:pt>
                <c:pt idx="408">
                  <c:v>-280</c:v>
                </c:pt>
                <c:pt idx="409">
                  <c:v>-280</c:v>
                </c:pt>
                <c:pt idx="410">
                  <c:v>-280</c:v>
                </c:pt>
                <c:pt idx="411">
                  <c:v>-280</c:v>
                </c:pt>
                <c:pt idx="412">
                  <c:v>-280</c:v>
                </c:pt>
                <c:pt idx="413">
                  <c:v>-280</c:v>
                </c:pt>
                <c:pt idx="414">
                  <c:v>-280</c:v>
                </c:pt>
                <c:pt idx="415">
                  <c:v>-280</c:v>
                </c:pt>
                <c:pt idx="416">
                  <c:v>-280</c:v>
                </c:pt>
                <c:pt idx="417">
                  <c:v>-280</c:v>
                </c:pt>
                <c:pt idx="418">
                  <c:v>-280</c:v>
                </c:pt>
                <c:pt idx="419">
                  <c:v>-280</c:v>
                </c:pt>
                <c:pt idx="420">
                  <c:v>-280</c:v>
                </c:pt>
                <c:pt idx="421">
                  <c:v>-280</c:v>
                </c:pt>
                <c:pt idx="422">
                  <c:v>-280</c:v>
                </c:pt>
                <c:pt idx="423">
                  <c:v>-280</c:v>
                </c:pt>
                <c:pt idx="424">
                  <c:v>-280</c:v>
                </c:pt>
                <c:pt idx="425">
                  <c:v>-280</c:v>
                </c:pt>
                <c:pt idx="426">
                  <c:v>-280</c:v>
                </c:pt>
                <c:pt idx="427">
                  <c:v>-280</c:v>
                </c:pt>
                <c:pt idx="428">
                  <c:v>-280</c:v>
                </c:pt>
                <c:pt idx="429">
                  <c:v>-280</c:v>
                </c:pt>
                <c:pt idx="430">
                  <c:v>-280</c:v>
                </c:pt>
                <c:pt idx="431">
                  <c:v>-280</c:v>
                </c:pt>
                <c:pt idx="432">
                  <c:v>-280</c:v>
                </c:pt>
                <c:pt idx="433">
                  <c:v>-280</c:v>
                </c:pt>
                <c:pt idx="434">
                  <c:v>-280</c:v>
                </c:pt>
                <c:pt idx="435">
                  <c:v>-280</c:v>
                </c:pt>
                <c:pt idx="436">
                  <c:v>-280</c:v>
                </c:pt>
                <c:pt idx="437">
                  <c:v>-280</c:v>
                </c:pt>
                <c:pt idx="438">
                  <c:v>-280</c:v>
                </c:pt>
                <c:pt idx="439">
                  <c:v>-280</c:v>
                </c:pt>
                <c:pt idx="440">
                  <c:v>-280</c:v>
                </c:pt>
                <c:pt idx="441">
                  <c:v>-280</c:v>
                </c:pt>
                <c:pt idx="442">
                  <c:v>-280</c:v>
                </c:pt>
                <c:pt idx="443">
                  <c:v>-280</c:v>
                </c:pt>
                <c:pt idx="444">
                  <c:v>-280</c:v>
                </c:pt>
                <c:pt idx="445">
                  <c:v>-280</c:v>
                </c:pt>
                <c:pt idx="446">
                  <c:v>-280</c:v>
                </c:pt>
                <c:pt idx="447">
                  <c:v>-280</c:v>
                </c:pt>
                <c:pt idx="448">
                  <c:v>-280</c:v>
                </c:pt>
                <c:pt idx="449">
                  <c:v>-280</c:v>
                </c:pt>
                <c:pt idx="450">
                  <c:v>-280</c:v>
                </c:pt>
                <c:pt idx="451">
                  <c:v>-280</c:v>
                </c:pt>
                <c:pt idx="452">
                  <c:v>-280</c:v>
                </c:pt>
                <c:pt idx="453">
                  <c:v>-280</c:v>
                </c:pt>
                <c:pt idx="454">
                  <c:v>-280</c:v>
                </c:pt>
                <c:pt idx="455">
                  <c:v>-280</c:v>
                </c:pt>
                <c:pt idx="456">
                  <c:v>-280</c:v>
                </c:pt>
                <c:pt idx="457">
                  <c:v>-280</c:v>
                </c:pt>
                <c:pt idx="458">
                  <c:v>-280</c:v>
                </c:pt>
                <c:pt idx="459">
                  <c:v>-280</c:v>
                </c:pt>
                <c:pt idx="460">
                  <c:v>-280</c:v>
                </c:pt>
                <c:pt idx="461">
                  <c:v>-280</c:v>
                </c:pt>
                <c:pt idx="462">
                  <c:v>-280</c:v>
                </c:pt>
                <c:pt idx="463">
                  <c:v>-280</c:v>
                </c:pt>
                <c:pt idx="464">
                  <c:v>-280</c:v>
                </c:pt>
                <c:pt idx="465">
                  <c:v>-280</c:v>
                </c:pt>
                <c:pt idx="466">
                  <c:v>-280</c:v>
                </c:pt>
                <c:pt idx="467">
                  <c:v>-280</c:v>
                </c:pt>
                <c:pt idx="468">
                  <c:v>-280</c:v>
                </c:pt>
                <c:pt idx="469">
                  <c:v>-280</c:v>
                </c:pt>
                <c:pt idx="470">
                  <c:v>-280</c:v>
                </c:pt>
                <c:pt idx="471">
                  <c:v>-280</c:v>
                </c:pt>
                <c:pt idx="472">
                  <c:v>-280</c:v>
                </c:pt>
                <c:pt idx="473">
                  <c:v>-280</c:v>
                </c:pt>
                <c:pt idx="474">
                  <c:v>-280</c:v>
                </c:pt>
                <c:pt idx="475">
                  <c:v>-280</c:v>
                </c:pt>
                <c:pt idx="476">
                  <c:v>-280</c:v>
                </c:pt>
                <c:pt idx="477">
                  <c:v>-280</c:v>
                </c:pt>
                <c:pt idx="478">
                  <c:v>-280</c:v>
                </c:pt>
                <c:pt idx="479">
                  <c:v>-280</c:v>
                </c:pt>
                <c:pt idx="480">
                  <c:v>-280</c:v>
                </c:pt>
                <c:pt idx="481">
                  <c:v>-280</c:v>
                </c:pt>
                <c:pt idx="482">
                  <c:v>-280</c:v>
                </c:pt>
                <c:pt idx="483">
                  <c:v>-280</c:v>
                </c:pt>
                <c:pt idx="484">
                  <c:v>-280</c:v>
                </c:pt>
                <c:pt idx="485">
                  <c:v>-280</c:v>
                </c:pt>
                <c:pt idx="486">
                  <c:v>-280</c:v>
                </c:pt>
                <c:pt idx="487">
                  <c:v>-280</c:v>
                </c:pt>
                <c:pt idx="488">
                  <c:v>-280</c:v>
                </c:pt>
                <c:pt idx="489">
                  <c:v>-280</c:v>
                </c:pt>
                <c:pt idx="490">
                  <c:v>-280</c:v>
                </c:pt>
                <c:pt idx="491">
                  <c:v>-280</c:v>
                </c:pt>
                <c:pt idx="492">
                  <c:v>-280</c:v>
                </c:pt>
                <c:pt idx="493">
                  <c:v>-280</c:v>
                </c:pt>
                <c:pt idx="494">
                  <c:v>-280</c:v>
                </c:pt>
                <c:pt idx="495">
                  <c:v>-280</c:v>
                </c:pt>
                <c:pt idx="496">
                  <c:v>-280</c:v>
                </c:pt>
                <c:pt idx="497">
                  <c:v>-280</c:v>
                </c:pt>
                <c:pt idx="498">
                  <c:v>-280</c:v>
                </c:pt>
                <c:pt idx="499">
                  <c:v>-280</c:v>
                </c:pt>
                <c:pt idx="500">
                  <c:v>-280</c:v>
                </c:pt>
                <c:pt idx="501">
                  <c:v>-280</c:v>
                </c:pt>
                <c:pt idx="502">
                  <c:v>-280</c:v>
                </c:pt>
                <c:pt idx="503">
                  <c:v>-280</c:v>
                </c:pt>
                <c:pt idx="504">
                  <c:v>-280</c:v>
                </c:pt>
                <c:pt idx="505">
                  <c:v>-280</c:v>
                </c:pt>
                <c:pt idx="506">
                  <c:v>-280</c:v>
                </c:pt>
                <c:pt idx="507">
                  <c:v>-280</c:v>
                </c:pt>
                <c:pt idx="508">
                  <c:v>-280</c:v>
                </c:pt>
                <c:pt idx="509">
                  <c:v>-280</c:v>
                </c:pt>
                <c:pt idx="510">
                  <c:v>-280</c:v>
                </c:pt>
                <c:pt idx="511">
                  <c:v>-280</c:v>
                </c:pt>
                <c:pt idx="512">
                  <c:v>-280</c:v>
                </c:pt>
                <c:pt idx="513">
                  <c:v>-280</c:v>
                </c:pt>
                <c:pt idx="514">
                  <c:v>-290</c:v>
                </c:pt>
                <c:pt idx="515">
                  <c:v>-300</c:v>
                </c:pt>
                <c:pt idx="516">
                  <c:v>-310</c:v>
                </c:pt>
                <c:pt idx="517">
                  <c:v>-320</c:v>
                </c:pt>
                <c:pt idx="518">
                  <c:v>-327</c:v>
                </c:pt>
                <c:pt idx="519">
                  <c:v>-337</c:v>
                </c:pt>
                <c:pt idx="520">
                  <c:v>-347.00000000000006</c:v>
                </c:pt>
                <c:pt idx="521">
                  <c:v>-357.00000000000006</c:v>
                </c:pt>
                <c:pt idx="522">
                  <c:v>-364.00000000000006</c:v>
                </c:pt>
                <c:pt idx="523">
                  <c:v>-371.00000000000006</c:v>
                </c:pt>
                <c:pt idx="524">
                  <c:v>-381.00000000000006</c:v>
                </c:pt>
                <c:pt idx="525">
                  <c:v>-388.99999999999994</c:v>
                </c:pt>
                <c:pt idx="526">
                  <c:v>-397.99999999999994</c:v>
                </c:pt>
                <c:pt idx="527">
                  <c:v>-404.99999999999994</c:v>
                </c:pt>
                <c:pt idx="528">
                  <c:v>-415</c:v>
                </c:pt>
                <c:pt idx="529">
                  <c:v>-425</c:v>
                </c:pt>
                <c:pt idx="530">
                  <c:v>-435</c:v>
                </c:pt>
                <c:pt idx="531">
                  <c:v>-444</c:v>
                </c:pt>
                <c:pt idx="532">
                  <c:v>-452</c:v>
                </c:pt>
                <c:pt idx="533">
                  <c:v>-461</c:v>
                </c:pt>
                <c:pt idx="534">
                  <c:v>-469</c:v>
                </c:pt>
                <c:pt idx="535">
                  <c:v>-478.00000000000006</c:v>
                </c:pt>
                <c:pt idx="536">
                  <c:v>-486.00000000000006</c:v>
                </c:pt>
                <c:pt idx="537">
                  <c:v>-495.00000000000006</c:v>
                </c:pt>
                <c:pt idx="538">
                  <c:v>-503.00000000000011</c:v>
                </c:pt>
                <c:pt idx="539">
                  <c:v>-512</c:v>
                </c:pt>
                <c:pt idx="540">
                  <c:v>-520</c:v>
                </c:pt>
                <c:pt idx="541">
                  <c:v>-526.99999999999989</c:v>
                </c:pt>
                <c:pt idx="542">
                  <c:v>-536</c:v>
                </c:pt>
                <c:pt idx="543">
                  <c:v>-544</c:v>
                </c:pt>
                <c:pt idx="544">
                  <c:v>-552</c:v>
                </c:pt>
                <c:pt idx="545">
                  <c:v>-561</c:v>
                </c:pt>
                <c:pt idx="546">
                  <c:v>-569</c:v>
                </c:pt>
                <c:pt idx="547">
                  <c:v>-578.00000000000011</c:v>
                </c:pt>
                <c:pt idx="548">
                  <c:v>-586.00000000000011</c:v>
                </c:pt>
                <c:pt idx="549">
                  <c:v>-593</c:v>
                </c:pt>
                <c:pt idx="550">
                  <c:v>-602.00000000000011</c:v>
                </c:pt>
                <c:pt idx="551">
                  <c:v>-610.00000000000011</c:v>
                </c:pt>
                <c:pt idx="552">
                  <c:v>-617</c:v>
                </c:pt>
                <c:pt idx="553">
                  <c:v>-624.00000000000011</c:v>
                </c:pt>
                <c:pt idx="554">
                  <c:v>-630.00000000000011</c:v>
                </c:pt>
                <c:pt idx="555">
                  <c:v>-637.99999999999989</c:v>
                </c:pt>
                <c:pt idx="556">
                  <c:v>-645</c:v>
                </c:pt>
                <c:pt idx="557">
                  <c:v>-653.99999999999989</c:v>
                </c:pt>
                <c:pt idx="558">
                  <c:v>-661.99999999999989</c:v>
                </c:pt>
                <c:pt idx="559">
                  <c:v>-669.99999999999989</c:v>
                </c:pt>
                <c:pt idx="560">
                  <c:v>-679</c:v>
                </c:pt>
                <c:pt idx="561">
                  <c:v>-687</c:v>
                </c:pt>
                <c:pt idx="562">
                  <c:v>-696</c:v>
                </c:pt>
                <c:pt idx="563">
                  <c:v>-704</c:v>
                </c:pt>
                <c:pt idx="564">
                  <c:v>-711.00000000000011</c:v>
                </c:pt>
                <c:pt idx="565">
                  <c:v>-720</c:v>
                </c:pt>
                <c:pt idx="566">
                  <c:v>-728</c:v>
                </c:pt>
                <c:pt idx="567">
                  <c:v>-735.00000000000011</c:v>
                </c:pt>
                <c:pt idx="568">
                  <c:v>-742</c:v>
                </c:pt>
                <c:pt idx="569">
                  <c:v>-748</c:v>
                </c:pt>
                <c:pt idx="570">
                  <c:v>-751.00000000000011</c:v>
                </c:pt>
                <c:pt idx="571">
                  <c:v>-753.00000000000011</c:v>
                </c:pt>
                <c:pt idx="572">
                  <c:v>-757.00000000000011</c:v>
                </c:pt>
                <c:pt idx="573">
                  <c:v>-760</c:v>
                </c:pt>
                <c:pt idx="574">
                  <c:v>-764</c:v>
                </c:pt>
                <c:pt idx="575">
                  <c:v>-766.99999999999989</c:v>
                </c:pt>
                <c:pt idx="576">
                  <c:v>-768.99999999999989</c:v>
                </c:pt>
                <c:pt idx="577">
                  <c:v>-772.99999999999989</c:v>
                </c:pt>
                <c:pt idx="578">
                  <c:v>-780</c:v>
                </c:pt>
                <c:pt idx="579">
                  <c:v>-784.99999999999989</c:v>
                </c:pt>
                <c:pt idx="580">
                  <c:v>-790</c:v>
                </c:pt>
                <c:pt idx="581">
                  <c:v>-794</c:v>
                </c:pt>
                <c:pt idx="582">
                  <c:v>-796.99999999999989</c:v>
                </c:pt>
                <c:pt idx="583">
                  <c:v>-798.99999999999989</c:v>
                </c:pt>
                <c:pt idx="584">
                  <c:v>-802.99999999999989</c:v>
                </c:pt>
                <c:pt idx="585">
                  <c:v>-810</c:v>
                </c:pt>
                <c:pt idx="586">
                  <c:v>-815</c:v>
                </c:pt>
                <c:pt idx="587">
                  <c:v>-820.00000000000011</c:v>
                </c:pt>
                <c:pt idx="588">
                  <c:v>-824.00000000000011</c:v>
                </c:pt>
                <c:pt idx="589">
                  <c:v>-827</c:v>
                </c:pt>
                <c:pt idx="590">
                  <c:v>-829</c:v>
                </c:pt>
                <c:pt idx="591">
                  <c:v>-833</c:v>
                </c:pt>
                <c:pt idx="592">
                  <c:v>-836.00000000000011</c:v>
                </c:pt>
                <c:pt idx="593">
                  <c:v>-840.00000000000011</c:v>
                </c:pt>
                <c:pt idx="594">
                  <c:v>-843</c:v>
                </c:pt>
                <c:pt idx="595">
                  <c:v>-845</c:v>
                </c:pt>
                <c:pt idx="596">
                  <c:v>-849</c:v>
                </c:pt>
                <c:pt idx="597">
                  <c:v>-856.00000000000011</c:v>
                </c:pt>
                <c:pt idx="598">
                  <c:v>-861</c:v>
                </c:pt>
                <c:pt idx="599">
                  <c:v>-866.00000000000011</c:v>
                </c:pt>
                <c:pt idx="600">
                  <c:v>-870.00000000000011</c:v>
                </c:pt>
                <c:pt idx="601">
                  <c:v>-873</c:v>
                </c:pt>
                <c:pt idx="602">
                  <c:v>-875</c:v>
                </c:pt>
                <c:pt idx="603">
                  <c:v>-879</c:v>
                </c:pt>
                <c:pt idx="604">
                  <c:v>-886.00000000000011</c:v>
                </c:pt>
                <c:pt idx="605">
                  <c:v>-891</c:v>
                </c:pt>
                <c:pt idx="606">
                  <c:v>-896.00000000000011</c:v>
                </c:pt>
                <c:pt idx="607">
                  <c:v>-900.00000000000011</c:v>
                </c:pt>
                <c:pt idx="608">
                  <c:v>-903</c:v>
                </c:pt>
                <c:pt idx="609">
                  <c:v>-905</c:v>
                </c:pt>
                <c:pt idx="610">
                  <c:v>-909</c:v>
                </c:pt>
                <c:pt idx="611">
                  <c:v>-911</c:v>
                </c:pt>
                <c:pt idx="612">
                  <c:v>-915</c:v>
                </c:pt>
                <c:pt idx="613">
                  <c:v>-916.00000000000011</c:v>
                </c:pt>
                <c:pt idx="614">
                  <c:v>-917</c:v>
                </c:pt>
                <c:pt idx="615">
                  <c:v>-918.00000000000011</c:v>
                </c:pt>
                <c:pt idx="616">
                  <c:v>-921</c:v>
                </c:pt>
                <c:pt idx="617">
                  <c:v>-922.00000000000011</c:v>
                </c:pt>
                <c:pt idx="618">
                  <c:v>-924.00000000000011</c:v>
                </c:pt>
                <c:pt idx="619">
                  <c:v>-925</c:v>
                </c:pt>
                <c:pt idx="620">
                  <c:v>-927</c:v>
                </c:pt>
                <c:pt idx="621">
                  <c:v>-929</c:v>
                </c:pt>
                <c:pt idx="622">
                  <c:v>-932.00000000000011</c:v>
                </c:pt>
                <c:pt idx="623">
                  <c:v>-933</c:v>
                </c:pt>
                <c:pt idx="624">
                  <c:v>-935</c:v>
                </c:pt>
                <c:pt idx="625">
                  <c:v>-937</c:v>
                </c:pt>
                <c:pt idx="626">
                  <c:v>-938.00000000000011</c:v>
                </c:pt>
                <c:pt idx="627">
                  <c:v>-940.00000000000011</c:v>
                </c:pt>
                <c:pt idx="628">
                  <c:v>-944.00000000000023</c:v>
                </c:pt>
                <c:pt idx="629">
                  <c:v>-946</c:v>
                </c:pt>
                <c:pt idx="630">
                  <c:v>-948</c:v>
                </c:pt>
                <c:pt idx="631">
                  <c:v>-949.00000000000011</c:v>
                </c:pt>
                <c:pt idx="632">
                  <c:v>-951.00000000000011</c:v>
                </c:pt>
                <c:pt idx="633">
                  <c:v>-954</c:v>
                </c:pt>
                <c:pt idx="634">
                  <c:v>-956</c:v>
                </c:pt>
                <c:pt idx="635">
                  <c:v>-959.00000000000011</c:v>
                </c:pt>
                <c:pt idx="636">
                  <c:v>-963.00000000000011</c:v>
                </c:pt>
                <c:pt idx="637">
                  <c:v>-966</c:v>
                </c:pt>
                <c:pt idx="638">
                  <c:v>-967.00000000000011</c:v>
                </c:pt>
                <c:pt idx="639">
                  <c:v>-969.00000000000011</c:v>
                </c:pt>
                <c:pt idx="640">
                  <c:v>-972</c:v>
                </c:pt>
                <c:pt idx="641">
                  <c:v>-975.00000000000011</c:v>
                </c:pt>
                <c:pt idx="642">
                  <c:v>-979.00000000000011</c:v>
                </c:pt>
                <c:pt idx="643">
                  <c:v>-982</c:v>
                </c:pt>
                <c:pt idx="644">
                  <c:v>-986</c:v>
                </c:pt>
                <c:pt idx="645">
                  <c:v>-990</c:v>
                </c:pt>
                <c:pt idx="646">
                  <c:v>-991.00000000000011</c:v>
                </c:pt>
                <c:pt idx="647">
                  <c:v>-993.00000000000011</c:v>
                </c:pt>
                <c:pt idx="648">
                  <c:v>-994</c:v>
                </c:pt>
                <c:pt idx="649">
                  <c:v>-997.00000000000011</c:v>
                </c:pt>
                <c:pt idx="650">
                  <c:v>-999.00000000000011</c:v>
                </c:pt>
                <c:pt idx="651">
                  <c:v>-1000</c:v>
                </c:pt>
                <c:pt idx="652">
                  <c:v>-1003.0000000000001</c:v>
                </c:pt>
                <c:pt idx="653">
                  <c:v>-1006</c:v>
                </c:pt>
                <c:pt idx="654">
                  <c:v>-1009.0000000000001</c:v>
                </c:pt>
                <c:pt idx="655">
                  <c:v>-1012</c:v>
                </c:pt>
                <c:pt idx="656">
                  <c:v>-1014</c:v>
                </c:pt>
                <c:pt idx="657">
                  <c:v>-1016</c:v>
                </c:pt>
                <c:pt idx="658">
                  <c:v>-1018</c:v>
                </c:pt>
                <c:pt idx="659">
                  <c:v>-1019.0000000000001</c:v>
                </c:pt>
                <c:pt idx="660">
                  <c:v>-1022</c:v>
                </c:pt>
                <c:pt idx="661">
                  <c:v>-1024</c:v>
                </c:pt>
                <c:pt idx="662">
                  <c:v>-1026</c:v>
                </c:pt>
                <c:pt idx="663">
                  <c:v>-1027.0000000000002</c:v>
                </c:pt>
                <c:pt idx="664">
                  <c:v>-1030</c:v>
                </c:pt>
                <c:pt idx="665">
                  <c:v>-1033.0000000000002</c:v>
                </c:pt>
                <c:pt idx="666">
                  <c:v>-1035.0000000000002</c:v>
                </c:pt>
                <c:pt idx="667">
                  <c:v>-1037.0000000000002</c:v>
                </c:pt>
                <c:pt idx="668">
                  <c:v>-1040</c:v>
                </c:pt>
                <c:pt idx="669">
                  <c:v>-1043.0000000000002</c:v>
                </c:pt>
                <c:pt idx="670">
                  <c:v>-1045.0000000000002</c:v>
                </c:pt>
                <c:pt idx="671">
                  <c:v>-1047.0000000000002</c:v>
                </c:pt>
                <c:pt idx="672">
                  <c:v>-1048</c:v>
                </c:pt>
                <c:pt idx="673">
                  <c:v>-1050</c:v>
                </c:pt>
                <c:pt idx="674">
                  <c:v>-1051.0000000000002</c:v>
                </c:pt>
                <c:pt idx="675">
                  <c:v>-1052</c:v>
                </c:pt>
                <c:pt idx="676">
                  <c:v>-1054</c:v>
                </c:pt>
                <c:pt idx="677">
                  <c:v>-1055.0000000000002</c:v>
                </c:pt>
                <c:pt idx="678">
                  <c:v>-1056</c:v>
                </c:pt>
                <c:pt idx="679">
                  <c:v>-1059.0000000000002</c:v>
                </c:pt>
                <c:pt idx="680">
                  <c:v>-1060</c:v>
                </c:pt>
                <c:pt idx="681">
                  <c:v>-1061.0000000000002</c:v>
                </c:pt>
                <c:pt idx="682">
                  <c:v>-1063.0000000000002</c:v>
                </c:pt>
                <c:pt idx="683">
                  <c:v>-1064</c:v>
                </c:pt>
                <c:pt idx="684">
                  <c:v>-1066</c:v>
                </c:pt>
                <c:pt idx="685">
                  <c:v>-1067.0000000000002</c:v>
                </c:pt>
                <c:pt idx="686">
                  <c:v>-1069.0000000000002</c:v>
                </c:pt>
                <c:pt idx="687">
                  <c:v>-1071</c:v>
                </c:pt>
                <c:pt idx="688">
                  <c:v>-1073</c:v>
                </c:pt>
                <c:pt idx="689">
                  <c:v>-1075</c:v>
                </c:pt>
                <c:pt idx="690">
                  <c:v>-1077</c:v>
                </c:pt>
                <c:pt idx="691">
                  <c:v>-1079</c:v>
                </c:pt>
                <c:pt idx="692">
                  <c:v>-1082</c:v>
                </c:pt>
                <c:pt idx="693">
                  <c:v>-1083</c:v>
                </c:pt>
                <c:pt idx="694">
                  <c:v>-1087</c:v>
                </c:pt>
                <c:pt idx="695">
                  <c:v>-1091</c:v>
                </c:pt>
                <c:pt idx="696">
                  <c:v>-1093</c:v>
                </c:pt>
                <c:pt idx="697">
                  <c:v>-1096</c:v>
                </c:pt>
                <c:pt idx="698">
                  <c:v>-1097</c:v>
                </c:pt>
                <c:pt idx="699">
                  <c:v>-1099</c:v>
                </c:pt>
                <c:pt idx="700">
                  <c:v>-1101</c:v>
                </c:pt>
                <c:pt idx="701">
                  <c:v>-1102</c:v>
                </c:pt>
                <c:pt idx="702">
                  <c:v>-1104</c:v>
                </c:pt>
                <c:pt idx="703">
                  <c:v>-1105</c:v>
                </c:pt>
                <c:pt idx="704">
                  <c:v>-1106</c:v>
                </c:pt>
                <c:pt idx="705">
                  <c:v>-1112</c:v>
                </c:pt>
                <c:pt idx="706">
                  <c:v>-1115</c:v>
                </c:pt>
                <c:pt idx="707">
                  <c:v>-1120</c:v>
                </c:pt>
                <c:pt idx="708">
                  <c:v>-1122</c:v>
                </c:pt>
                <c:pt idx="709">
                  <c:v>-1126</c:v>
                </c:pt>
                <c:pt idx="710">
                  <c:v>-1130.0000000000002</c:v>
                </c:pt>
                <c:pt idx="711">
                  <c:v>-1136.0000000000002</c:v>
                </c:pt>
                <c:pt idx="712">
                  <c:v>-1140.0000000000002</c:v>
                </c:pt>
                <c:pt idx="713">
                  <c:v>-1143</c:v>
                </c:pt>
                <c:pt idx="714">
                  <c:v>-1145</c:v>
                </c:pt>
                <c:pt idx="715">
                  <c:v>-1150.0000000000002</c:v>
                </c:pt>
                <c:pt idx="716">
                  <c:v>-1156.0000000000002</c:v>
                </c:pt>
                <c:pt idx="717">
                  <c:v>-1159</c:v>
                </c:pt>
                <c:pt idx="718">
                  <c:v>-1165</c:v>
                </c:pt>
                <c:pt idx="719">
                  <c:v>-1168.0000000000002</c:v>
                </c:pt>
                <c:pt idx="720">
                  <c:v>-1173</c:v>
                </c:pt>
                <c:pt idx="721">
                  <c:v>-1175</c:v>
                </c:pt>
                <c:pt idx="722">
                  <c:v>-1179</c:v>
                </c:pt>
                <c:pt idx="723">
                  <c:v>-1183</c:v>
                </c:pt>
                <c:pt idx="724">
                  <c:v>-1189</c:v>
                </c:pt>
                <c:pt idx="725">
                  <c:v>-1193</c:v>
                </c:pt>
                <c:pt idx="726">
                  <c:v>-1196</c:v>
                </c:pt>
                <c:pt idx="727">
                  <c:v>-1198</c:v>
                </c:pt>
                <c:pt idx="728">
                  <c:v>-1203</c:v>
                </c:pt>
                <c:pt idx="729">
                  <c:v>-1205</c:v>
                </c:pt>
                <c:pt idx="730">
                  <c:v>-1208</c:v>
                </c:pt>
                <c:pt idx="731">
                  <c:v>-1208</c:v>
                </c:pt>
                <c:pt idx="732">
                  <c:v>-1210</c:v>
                </c:pt>
                <c:pt idx="733">
                  <c:v>-1210</c:v>
                </c:pt>
                <c:pt idx="734">
                  <c:v>-1211</c:v>
                </c:pt>
                <c:pt idx="735">
                  <c:v>-1213</c:v>
                </c:pt>
                <c:pt idx="736">
                  <c:v>-1221</c:v>
                </c:pt>
                <c:pt idx="737">
                  <c:v>-1227</c:v>
                </c:pt>
                <c:pt idx="738">
                  <c:v>-1232</c:v>
                </c:pt>
                <c:pt idx="739">
                  <c:v>-1239</c:v>
                </c:pt>
                <c:pt idx="740">
                  <c:v>-1247</c:v>
                </c:pt>
                <c:pt idx="741">
                  <c:v>-1257.0000000000002</c:v>
                </c:pt>
                <c:pt idx="742">
                  <c:v>-1263.0000000000002</c:v>
                </c:pt>
                <c:pt idx="743">
                  <c:v>-1272</c:v>
                </c:pt>
                <c:pt idx="744">
                  <c:v>-1278</c:v>
                </c:pt>
                <c:pt idx="745">
                  <c:v>-1286</c:v>
                </c:pt>
                <c:pt idx="746">
                  <c:v>-1306</c:v>
                </c:pt>
                <c:pt idx="747">
                  <c:v>-1331</c:v>
                </c:pt>
                <c:pt idx="748">
                  <c:v>-1350</c:v>
                </c:pt>
                <c:pt idx="749">
                  <c:v>-1372</c:v>
                </c:pt>
                <c:pt idx="750">
                  <c:v>-1388.0000000000002</c:v>
                </c:pt>
                <c:pt idx="751">
                  <c:v>-1408.0000000000002</c:v>
                </c:pt>
                <c:pt idx="752">
                  <c:v>-1420.0000000000002</c:v>
                </c:pt>
                <c:pt idx="753">
                  <c:v>-1439</c:v>
                </c:pt>
                <c:pt idx="754">
                  <c:v>-1462</c:v>
                </c:pt>
                <c:pt idx="755">
                  <c:v>-1482</c:v>
                </c:pt>
                <c:pt idx="756">
                  <c:v>-1501</c:v>
                </c:pt>
                <c:pt idx="757">
                  <c:v>-1520</c:v>
                </c:pt>
                <c:pt idx="758">
                  <c:v>-1537.0000000000002</c:v>
                </c:pt>
                <c:pt idx="759">
                  <c:v>-1551.0000000000002</c:v>
                </c:pt>
                <c:pt idx="760">
                  <c:v>-1586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49-4C12-A0BF-1EA74933D6C8}"/>
            </c:ext>
          </c:extLst>
        </c:ser>
        <c:ser>
          <c:idx val="3"/>
          <c:order val="3"/>
          <c:tx>
            <c:strRef>
              <c:f>'SL.114+320'!$N$12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'SL.114+320'!$A$14:$A$799</c:f>
              <c:numCache>
                <c:formatCode>dd/mm/yyyy;@</c:formatCode>
                <c:ptCount val="786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45791</c:v>
                </c:pt>
                <c:pt idx="747">
                  <c:v>45795</c:v>
                </c:pt>
                <c:pt idx="748">
                  <c:v>45798</c:v>
                </c:pt>
                <c:pt idx="749">
                  <c:v>45802</c:v>
                </c:pt>
                <c:pt idx="750">
                  <c:v>45805</c:v>
                </c:pt>
                <c:pt idx="751">
                  <c:v>45809</c:v>
                </c:pt>
                <c:pt idx="752">
                  <c:v>45812</c:v>
                </c:pt>
                <c:pt idx="753">
                  <c:v>45816</c:v>
                </c:pt>
                <c:pt idx="754">
                  <c:v>45823</c:v>
                </c:pt>
                <c:pt idx="755">
                  <c:v>45830</c:v>
                </c:pt>
                <c:pt idx="756">
                  <c:v>45837</c:v>
                </c:pt>
                <c:pt idx="757">
                  <c:v>45844</c:v>
                </c:pt>
                <c:pt idx="758">
                  <c:v>45851</c:v>
                </c:pt>
                <c:pt idx="759">
                  <c:v>45858</c:v>
                </c:pt>
                <c:pt idx="760">
                  <c:v>45865</c:v>
                </c:pt>
              </c:numCache>
            </c:numRef>
          </c:xVal>
          <c:yVal>
            <c:numRef>
              <c:f>'SL.114+320'!$N$14:$N$799</c:f>
              <c:numCache>
                <c:formatCode>General</c:formatCode>
                <c:ptCount val="7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-7.0000000000000062</c:v>
                </c:pt>
                <c:pt idx="26">
                  <c:v>-11.000000000000011</c:v>
                </c:pt>
                <c:pt idx="27">
                  <c:v>-14.000000000000012</c:v>
                </c:pt>
                <c:pt idx="28">
                  <c:v>-16.000000000000014</c:v>
                </c:pt>
                <c:pt idx="29">
                  <c:v>-22.999999999999993</c:v>
                </c:pt>
                <c:pt idx="30">
                  <c:v>-25.999999999999996</c:v>
                </c:pt>
                <c:pt idx="31">
                  <c:v>-27.999999999999996</c:v>
                </c:pt>
                <c:pt idx="32">
                  <c:v>-32</c:v>
                </c:pt>
                <c:pt idx="33">
                  <c:v>-39.000000000000007</c:v>
                </c:pt>
                <c:pt idx="34">
                  <c:v>-44.000000000000014</c:v>
                </c:pt>
                <c:pt idx="35">
                  <c:v>-49.000000000000014</c:v>
                </c:pt>
                <c:pt idx="36">
                  <c:v>-52.999999999999993</c:v>
                </c:pt>
                <c:pt idx="37">
                  <c:v>-55.999999999999993</c:v>
                </c:pt>
                <c:pt idx="38">
                  <c:v>-61</c:v>
                </c:pt>
                <c:pt idx="39">
                  <c:v>-65</c:v>
                </c:pt>
                <c:pt idx="40">
                  <c:v>-68</c:v>
                </c:pt>
                <c:pt idx="41">
                  <c:v>-70</c:v>
                </c:pt>
                <c:pt idx="42">
                  <c:v>-74.000000000000014</c:v>
                </c:pt>
                <c:pt idx="43">
                  <c:v>-77.000000000000014</c:v>
                </c:pt>
                <c:pt idx="44">
                  <c:v>-79.000000000000014</c:v>
                </c:pt>
                <c:pt idx="45">
                  <c:v>-83.000000000000014</c:v>
                </c:pt>
                <c:pt idx="46">
                  <c:v>-90</c:v>
                </c:pt>
                <c:pt idx="47">
                  <c:v>-95</c:v>
                </c:pt>
                <c:pt idx="48">
                  <c:v>-100</c:v>
                </c:pt>
                <c:pt idx="49">
                  <c:v>-104.00000000000001</c:v>
                </c:pt>
                <c:pt idx="50">
                  <c:v>-105.00000000000001</c:v>
                </c:pt>
                <c:pt idx="51">
                  <c:v>-106.00000000000001</c:v>
                </c:pt>
                <c:pt idx="52">
                  <c:v>-108.00000000000001</c:v>
                </c:pt>
                <c:pt idx="53">
                  <c:v>-108.00000000000001</c:v>
                </c:pt>
                <c:pt idx="54">
                  <c:v>-110.00000000000001</c:v>
                </c:pt>
                <c:pt idx="55">
                  <c:v>-111.00000000000001</c:v>
                </c:pt>
                <c:pt idx="56">
                  <c:v>-111.00000000000001</c:v>
                </c:pt>
                <c:pt idx="57">
                  <c:v>-111.00000000000001</c:v>
                </c:pt>
                <c:pt idx="58">
                  <c:v>-111.00000000000001</c:v>
                </c:pt>
                <c:pt idx="59">
                  <c:v>-111.00000000000001</c:v>
                </c:pt>
                <c:pt idx="60">
                  <c:v>-111.00000000000001</c:v>
                </c:pt>
                <c:pt idx="61">
                  <c:v>-111.00000000000001</c:v>
                </c:pt>
                <c:pt idx="62">
                  <c:v>-111.00000000000001</c:v>
                </c:pt>
                <c:pt idx="63">
                  <c:v>-111.00000000000001</c:v>
                </c:pt>
                <c:pt idx="64">
                  <c:v>-111.00000000000001</c:v>
                </c:pt>
                <c:pt idx="65">
                  <c:v>-111.00000000000001</c:v>
                </c:pt>
                <c:pt idx="66">
                  <c:v>-111.00000000000001</c:v>
                </c:pt>
                <c:pt idx="67">
                  <c:v>-111.00000000000001</c:v>
                </c:pt>
                <c:pt idx="68">
                  <c:v>-111.00000000000001</c:v>
                </c:pt>
                <c:pt idx="69">
                  <c:v>-111.00000000000001</c:v>
                </c:pt>
                <c:pt idx="70">
                  <c:v>-111.00000000000001</c:v>
                </c:pt>
                <c:pt idx="71">
                  <c:v>-111.00000000000001</c:v>
                </c:pt>
                <c:pt idx="72">
                  <c:v>-111.00000000000001</c:v>
                </c:pt>
                <c:pt idx="73">
                  <c:v>-111.00000000000001</c:v>
                </c:pt>
                <c:pt idx="74">
                  <c:v>-111.00000000000001</c:v>
                </c:pt>
                <c:pt idx="75">
                  <c:v>-111.00000000000001</c:v>
                </c:pt>
                <c:pt idx="76">
                  <c:v>-111.00000000000001</c:v>
                </c:pt>
                <c:pt idx="77">
                  <c:v>-111.00000000000001</c:v>
                </c:pt>
                <c:pt idx="78">
                  <c:v>-111.00000000000001</c:v>
                </c:pt>
                <c:pt idx="79">
                  <c:v>-111.00000000000001</c:v>
                </c:pt>
                <c:pt idx="80">
                  <c:v>-111.00000000000001</c:v>
                </c:pt>
                <c:pt idx="81">
                  <c:v>-111.00000000000001</c:v>
                </c:pt>
                <c:pt idx="82">
                  <c:v>-111.00000000000001</c:v>
                </c:pt>
                <c:pt idx="83">
                  <c:v>-111.00000000000001</c:v>
                </c:pt>
                <c:pt idx="84">
                  <c:v>-111.00000000000001</c:v>
                </c:pt>
                <c:pt idx="85">
                  <c:v>-111.00000000000001</c:v>
                </c:pt>
                <c:pt idx="86">
                  <c:v>-111.00000000000001</c:v>
                </c:pt>
                <c:pt idx="87">
                  <c:v>-111.00000000000001</c:v>
                </c:pt>
                <c:pt idx="88">
                  <c:v>-111.00000000000001</c:v>
                </c:pt>
                <c:pt idx="89">
                  <c:v>-111.00000000000001</c:v>
                </c:pt>
                <c:pt idx="90">
                  <c:v>-111.00000000000001</c:v>
                </c:pt>
                <c:pt idx="91">
                  <c:v>-111.00000000000001</c:v>
                </c:pt>
                <c:pt idx="92">
                  <c:v>-111.00000000000001</c:v>
                </c:pt>
                <c:pt idx="93">
                  <c:v>-111.00000000000001</c:v>
                </c:pt>
                <c:pt idx="94">
                  <c:v>-111.00000000000001</c:v>
                </c:pt>
                <c:pt idx="95">
                  <c:v>-111.00000000000001</c:v>
                </c:pt>
                <c:pt idx="96">
                  <c:v>-111.00000000000001</c:v>
                </c:pt>
                <c:pt idx="97">
                  <c:v>-111.00000000000001</c:v>
                </c:pt>
                <c:pt idx="98">
                  <c:v>-111.00000000000001</c:v>
                </c:pt>
                <c:pt idx="99">
                  <c:v>-111.00000000000001</c:v>
                </c:pt>
                <c:pt idx="100">
                  <c:v>-111.00000000000001</c:v>
                </c:pt>
                <c:pt idx="101">
                  <c:v>-111.00000000000001</c:v>
                </c:pt>
                <c:pt idx="102">
                  <c:v>-111.00000000000001</c:v>
                </c:pt>
                <c:pt idx="103">
                  <c:v>-111.00000000000001</c:v>
                </c:pt>
                <c:pt idx="104">
                  <c:v>-111.00000000000001</c:v>
                </c:pt>
                <c:pt idx="105">
                  <c:v>-111.00000000000001</c:v>
                </c:pt>
                <c:pt idx="106">
                  <c:v>-111.00000000000001</c:v>
                </c:pt>
                <c:pt idx="107">
                  <c:v>-111.00000000000001</c:v>
                </c:pt>
                <c:pt idx="108">
                  <c:v>-111.00000000000001</c:v>
                </c:pt>
                <c:pt idx="109">
                  <c:v>-111.00000000000001</c:v>
                </c:pt>
                <c:pt idx="110">
                  <c:v>-111.00000000000001</c:v>
                </c:pt>
                <c:pt idx="111">
                  <c:v>-111.00000000000001</c:v>
                </c:pt>
                <c:pt idx="112">
                  <c:v>-111.00000000000001</c:v>
                </c:pt>
                <c:pt idx="113">
                  <c:v>-111.00000000000001</c:v>
                </c:pt>
                <c:pt idx="114">
                  <c:v>-111.00000000000001</c:v>
                </c:pt>
                <c:pt idx="115">
                  <c:v>-111.00000000000001</c:v>
                </c:pt>
                <c:pt idx="116">
                  <c:v>-111.00000000000001</c:v>
                </c:pt>
                <c:pt idx="117">
                  <c:v>-111.00000000000001</c:v>
                </c:pt>
                <c:pt idx="118">
                  <c:v>-111.00000000000001</c:v>
                </c:pt>
                <c:pt idx="119">
                  <c:v>-111.00000000000001</c:v>
                </c:pt>
                <c:pt idx="120">
                  <c:v>-111.00000000000001</c:v>
                </c:pt>
                <c:pt idx="121">
                  <c:v>-111.00000000000001</c:v>
                </c:pt>
                <c:pt idx="122">
                  <c:v>-111.00000000000001</c:v>
                </c:pt>
                <c:pt idx="123">
                  <c:v>-111.00000000000001</c:v>
                </c:pt>
                <c:pt idx="124">
                  <c:v>-111.00000000000001</c:v>
                </c:pt>
                <c:pt idx="125">
                  <c:v>-111.00000000000001</c:v>
                </c:pt>
                <c:pt idx="126">
                  <c:v>-111.00000000000001</c:v>
                </c:pt>
                <c:pt idx="127">
                  <c:v>-111.00000000000001</c:v>
                </c:pt>
                <c:pt idx="128">
                  <c:v>-111.00000000000001</c:v>
                </c:pt>
                <c:pt idx="129">
                  <c:v>-111.00000000000001</c:v>
                </c:pt>
                <c:pt idx="130">
                  <c:v>-111.00000000000001</c:v>
                </c:pt>
                <c:pt idx="131">
                  <c:v>-111.00000000000001</c:v>
                </c:pt>
                <c:pt idx="132">
                  <c:v>-111.00000000000001</c:v>
                </c:pt>
                <c:pt idx="133">
                  <c:v>-111.00000000000001</c:v>
                </c:pt>
                <c:pt idx="134">
                  <c:v>-111.00000000000001</c:v>
                </c:pt>
                <c:pt idx="135">
                  <c:v>-111.00000000000001</c:v>
                </c:pt>
                <c:pt idx="136">
                  <c:v>-111.00000000000001</c:v>
                </c:pt>
                <c:pt idx="137">
                  <c:v>-111.00000000000001</c:v>
                </c:pt>
                <c:pt idx="138">
                  <c:v>-111.00000000000001</c:v>
                </c:pt>
                <c:pt idx="139">
                  <c:v>-111.00000000000001</c:v>
                </c:pt>
                <c:pt idx="140">
                  <c:v>-111.00000000000001</c:v>
                </c:pt>
                <c:pt idx="141">
                  <c:v>-111.00000000000001</c:v>
                </c:pt>
                <c:pt idx="142">
                  <c:v>-111.00000000000001</c:v>
                </c:pt>
                <c:pt idx="143">
                  <c:v>-111.00000000000001</c:v>
                </c:pt>
                <c:pt idx="144">
                  <c:v>-111.00000000000001</c:v>
                </c:pt>
                <c:pt idx="145">
                  <c:v>-111.00000000000001</c:v>
                </c:pt>
                <c:pt idx="146">
                  <c:v>-111.00000000000001</c:v>
                </c:pt>
                <c:pt idx="147">
                  <c:v>-111.00000000000001</c:v>
                </c:pt>
                <c:pt idx="148">
                  <c:v>-111.00000000000001</c:v>
                </c:pt>
                <c:pt idx="149">
                  <c:v>-111.00000000000001</c:v>
                </c:pt>
                <c:pt idx="150">
                  <c:v>-111.00000000000001</c:v>
                </c:pt>
                <c:pt idx="151">
                  <c:v>-111.00000000000001</c:v>
                </c:pt>
                <c:pt idx="152">
                  <c:v>-111.00000000000001</c:v>
                </c:pt>
                <c:pt idx="153">
                  <c:v>-111.00000000000001</c:v>
                </c:pt>
                <c:pt idx="154">
                  <c:v>-111.00000000000001</c:v>
                </c:pt>
                <c:pt idx="155">
                  <c:v>-111.00000000000001</c:v>
                </c:pt>
                <c:pt idx="156">
                  <c:v>-111.00000000000001</c:v>
                </c:pt>
                <c:pt idx="157">
                  <c:v>-111.00000000000001</c:v>
                </c:pt>
                <c:pt idx="158">
                  <c:v>-111.00000000000001</c:v>
                </c:pt>
                <c:pt idx="159">
                  <c:v>-111.00000000000001</c:v>
                </c:pt>
                <c:pt idx="160">
                  <c:v>-111.00000000000001</c:v>
                </c:pt>
                <c:pt idx="161">
                  <c:v>-111.00000000000001</c:v>
                </c:pt>
                <c:pt idx="162">
                  <c:v>-111.00000000000001</c:v>
                </c:pt>
                <c:pt idx="163">
                  <c:v>-111.00000000000001</c:v>
                </c:pt>
                <c:pt idx="164">
                  <c:v>-111.00000000000001</c:v>
                </c:pt>
                <c:pt idx="165">
                  <c:v>-111.00000000000001</c:v>
                </c:pt>
                <c:pt idx="166">
                  <c:v>-111.00000000000001</c:v>
                </c:pt>
                <c:pt idx="167">
                  <c:v>-111.00000000000001</c:v>
                </c:pt>
                <c:pt idx="168">
                  <c:v>-111.00000000000001</c:v>
                </c:pt>
                <c:pt idx="169">
                  <c:v>-111.00000000000001</c:v>
                </c:pt>
                <c:pt idx="170">
                  <c:v>-111.00000000000001</c:v>
                </c:pt>
                <c:pt idx="171">
                  <c:v>-111.00000000000001</c:v>
                </c:pt>
                <c:pt idx="172">
                  <c:v>-111.00000000000001</c:v>
                </c:pt>
                <c:pt idx="173">
                  <c:v>-111.00000000000001</c:v>
                </c:pt>
                <c:pt idx="174">
                  <c:v>-111.00000000000001</c:v>
                </c:pt>
                <c:pt idx="175">
                  <c:v>-111.00000000000001</c:v>
                </c:pt>
                <c:pt idx="176">
                  <c:v>-111.00000000000001</c:v>
                </c:pt>
                <c:pt idx="177">
                  <c:v>-111.00000000000001</c:v>
                </c:pt>
                <c:pt idx="178">
                  <c:v>-111.00000000000001</c:v>
                </c:pt>
                <c:pt idx="179">
                  <c:v>-111.00000000000001</c:v>
                </c:pt>
                <c:pt idx="180">
                  <c:v>-111.00000000000001</c:v>
                </c:pt>
                <c:pt idx="181">
                  <c:v>-111.00000000000001</c:v>
                </c:pt>
                <c:pt idx="182">
                  <c:v>-111.00000000000001</c:v>
                </c:pt>
                <c:pt idx="183">
                  <c:v>-111.00000000000001</c:v>
                </c:pt>
                <c:pt idx="184">
                  <c:v>-111.00000000000001</c:v>
                </c:pt>
                <c:pt idx="185">
                  <c:v>-111.00000000000001</c:v>
                </c:pt>
                <c:pt idx="186">
                  <c:v>-111.00000000000001</c:v>
                </c:pt>
                <c:pt idx="187">
                  <c:v>-111.00000000000001</c:v>
                </c:pt>
                <c:pt idx="188">
                  <c:v>-111.00000000000001</c:v>
                </c:pt>
                <c:pt idx="189">
                  <c:v>-111.00000000000001</c:v>
                </c:pt>
                <c:pt idx="190">
                  <c:v>-111.00000000000001</c:v>
                </c:pt>
                <c:pt idx="191">
                  <c:v>-111.00000000000001</c:v>
                </c:pt>
                <c:pt idx="192">
                  <c:v>-111.00000000000001</c:v>
                </c:pt>
                <c:pt idx="193">
                  <c:v>-111.00000000000001</c:v>
                </c:pt>
                <c:pt idx="194">
                  <c:v>-111.00000000000001</c:v>
                </c:pt>
                <c:pt idx="195">
                  <c:v>-111.00000000000001</c:v>
                </c:pt>
                <c:pt idx="196">
                  <c:v>-111.00000000000001</c:v>
                </c:pt>
                <c:pt idx="197">
                  <c:v>-111.00000000000001</c:v>
                </c:pt>
                <c:pt idx="198">
                  <c:v>-111.00000000000001</c:v>
                </c:pt>
                <c:pt idx="199">
                  <c:v>-111.00000000000001</c:v>
                </c:pt>
                <c:pt idx="200">
                  <c:v>-111.00000000000001</c:v>
                </c:pt>
                <c:pt idx="201">
                  <c:v>-111.00000000000001</c:v>
                </c:pt>
                <c:pt idx="202">
                  <c:v>-111.00000000000001</c:v>
                </c:pt>
                <c:pt idx="203">
                  <c:v>-111.00000000000001</c:v>
                </c:pt>
                <c:pt idx="204">
                  <c:v>-111.00000000000001</c:v>
                </c:pt>
                <c:pt idx="205">
                  <c:v>-111.00000000000001</c:v>
                </c:pt>
                <c:pt idx="206">
                  <c:v>-111.00000000000001</c:v>
                </c:pt>
                <c:pt idx="207">
                  <c:v>-111.00000000000001</c:v>
                </c:pt>
                <c:pt idx="208">
                  <c:v>-111.00000000000001</c:v>
                </c:pt>
                <c:pt idx="209">
                  <c:v>-111.00000000000001</c:v>
                </c:pt>
                <c:pt idx="210">
                  <c:v>-111.00000000000001</c:v>
                </c:pt>
                <c:pt idx="211">
                  <c:v>-111.00000000000001</c:v>
                </c:pt>
                <c:pt idx="212">
                  <c:v>-111.00000000000001</c:v>
                </c:pt>
                <c:pt idx="213">
                  <c:v>-111.00000000000001</c:v>
                </c:pt>
                <c:pt idx="214">
                  <c:v>-111.00000000000001</c:v>
                </c:pt>
                <c:pt idx="215">
                  <c:v>-111.00000000000001</c:v>
                </c:pt>
                <c:pt idx="216">
                  <c:v>-111.00000000000001</c:v>
                </c:pt>
                <c:pt idx="217">
                  <c:v>-111.00000000000001</c:v>
                </c:pt>
                <c:pt idx="218">
                  <c:v>-111.00000000000001</c:v>
                </c:pt>
                <c:pt idx="219">
                  <c:v>-111.00000000000001</c:v>
                </c:pt>
                <c:pt idx="220">
                  <c:v>-111.00000000000001</c:v>
                </c:pt>
                <c:pt idx="221">
                  <c:v>-111.00000000000001</c:v>
                </c:pt>
                <c:pt idx="222">
                  <c:v>-111.00000000000001</c:v>
                </c:pt>
                <c:pt idx="223">
                  <c:v>-111.00000000000001</c:v>
                </c:pt>
                <c:pt idx="224">
                  <c:v>-111.00000000000001</c:v>
                </c:pt>
                <c:pt idx="225">
                  <c:v>-111.00000000000001</c:v>
                </c:pt>
                <c:pt idx="226">
                  <c:v>-111.00000000000001</c:v>
                </c:pt>
                <c:pt idx="227">
                  <c:v>-111.00000000000001</c:v>
                </c:pt>
                <c:pt idx="228">
                  <c:v>-111.00000000000001</c:v>
                </c:pt>
                <c:pt idx="229">
                  <c:v>-111.00000000000001</c:v>
                </c:pt>
                <c:pt idx="230">
                  <c:v>-111.00000000000001</c:v>
                </c:pt>
                <c:pt idx="231">
                  <c:v>-111.00000000000001</c:v>
                </c:pt>
                <c:pt idx="232">
                  <c:v>-111.00000000000001</c:v>
                </c:pt>
                <c:pt idx="233">
                  <c:v>-111.00000000000001</c:v>
                </c:pt>
                <c:pt idx="234">
                  <c:v>-111.00000000000001</c:v>
                </c:pt>
                <c:pt idx="235">
                  <c:v>-111.00000000000001</c:v>
                </c:pt>
                <c:pt idx="236">
                  <c:v>-111.00000000000001</c:v>
                </c:pt>
                <c:pt idx="237">
                  <c:v>-111.00000000000001</c:v>
                </c:pt>
                <c:pt idx="238">
                  <c:v>-111.00000000000001</c:v>
                </c:pt>
                <c:pt idx="239">
                  <c:v>-111.00000000000001</c:v>
                </c:pt>
                <c:pt idx="240">
                  <c:v>-111.00000000000001</c:v>
                </c:pt>
                <c:pt idx="241">
                  <c:v>-111.00000000000001</c:v>
                </c:pt>
                <c:pt idx="242">
                  <c:v>-111.00000000000001</c:v>
                </c:pt>
                <c:pt idx="243">
                  <c:v>-111.00000000000001</c:v>
                </c:pt>
                <c:pt idx="244">
                  <c:v>-111.00000000000001</c:v>
                </c:pt>
                <c:pt idx="245">
                  <c:v>-111.00000000000001</c:v>
                </c:pt>
                <c:pt idx="246">
                  <c:v>-111.00000000000001</c:v>
                </c:pt>
                <c:pt idx="247">
                  <c:v>-111.00000000000001</c:v>
                </c:pt>
                <c:pt idx="248">
                  <c:v>-111.00000000000001</c:v>
                </c:pt>
                <c:pt idx="249">
                  <c:v>-111.00000000000001</c:v>
                </c:pt>
                <c:pt idx="250">
                  <c:v>-111.00000000000001</c:v>
                </c:pt>
                <c:pt idx="251">
                  <c:v>-111.00000000000001</c:v>
                </c:pt>
                <c:pt idx="252">
                  <c:v>-111.00000000000001</c:v>
                </c:pt>
                <c:pt idx="253">
                  <c:v>-111.00000000000001</c:v>
                </c:pt>
                <c:pt idx="254">
                  <c:v>-111.00000000000001</c:v>
                </c:pt>
                <c:pt idx="255">
                  <c:v>-111.00000000000001</c:v>
                </c:pt>
                <c:pt idx="256">
                  <c:v>-111.00000000000001</c:v>
                </c:pt>
                <c:pt idx="257">
                  <c:v>-111.00000000000001</c:v>
                </c:pt>
                <c:pt idx="258">
                  <c:v>-111.00000000000001</c:v>
                </c:pt>
                <c:pt idx="259">
                  <c:v>-111.00000000000001</c:v>
                </c:pt>
                <c:pt idx="260">
                  <c:v>-111.00000000000001</c:v>
                </c:pt>
                <c:pt idx="261">
                  <c:v>-111.00000000000001</c:v>
                </c:pt>
                <c:pt idx="262">
                  <c:v>-111.00000000000001</c:v>
                </c:pt>
                <c:pt idx="263">
                  <c:v>-111.00000000000001</c:v>
                </c:pt>
                <c:pt idx="264">
                  <c:v>-111.00000000000001</c:v>
                </c:pt>
                <c:pt idx="265">
                  <c:v>-111.00000000000001</c:v>
                </c:pt>
                <c:pt idx="266">
                  <c:v>-111.00000000000001</c:v>
                </c:pt>
                <c:pt idx="267">
                  <c:v>-111.00000000000001</c:v>
                </c:pt>
                <c:pt idx="268">
                  <c:v>-111.00000000000001</c:v>
                </c:pt>
                <c:pt idx="269">
                  <c:v>-111.00000000000001</c:v>
                </c:pt>
                <c:pt idx="270">
                  <c:v>-111.00000000000001</c:v>
                </c:pt>
                <c:pt idx="271">
                  <c:v>-111.00000000000001</c:v>
                </c:pt>
                <c:pt idx="272">
                  <c:v>-111.00000000000001</c:v>
                </c:pt>
                <c:pt idx="273">
                  <c:v>-111.00000000000001</c:v>
                </c:pt>
                <c:pt idx="274">
                  <c:v>-111.00000000000001</c:v>
                </c:pt>
                <c:pt idx="275">
                  <c:v>-111.00000000000001</c:v>
                </c:pt>
                <c:pt idx="276">
                  <c:v>-111.00000000000001</c:v>
                </c:pt>
                <c:pt idx="277">
                  <c:v>-111.00000000000001</c:v>
                </c:pt>
                <c:pt idx="278">
                  <c:v>-111.00000000000001</c:v>
                </c:pt>
                <c:pt idx="279">
                  <c:v>-111.00000000000001</c:v>
                </c:pt>
                <c:pt idx="280">
                  <c:v>-111.00000000000001</c:v>
                </c:pt>
                <c:pt idx="281">
                  <c:v>-111.00000000000001</c:v>
                </c:pt>
                <c:pt idx="282">
                  <c:v>-111.00000000000001</c:v>
                </c:pt>
                <c:pt idx="283">
                  <c:v>-111.00000000000001</c:v>
                </c:pt>
                <c:pt idx="284">
                  <c:v>-111.00000000000001</c:v>
                </c:pt>
                <c:pt idx="285">
                  <c:v>-111.00000000000001</c:v>
                </c:pt>
                <c:pt idx="286">
                  <c:v>-111.00000000000001</c:v>
                </c:pt>
                <c:pt idx="287">
                  <c:v>-111.00000000000001</c:v>
                </c:pt>
                <c:pt idx="288">
                  <c:v>-111.00000000000001</c:v>
                </c:pt>
                <c:pt idx="289">
                  <c:v>-111.00000000000001</c:v>
                </c:pt>
                <c:pt idx="290">
                  <c:v>-111.00000000000001</c:v>
                </c:pt>
                <c:pt idx="291">
                  <c:v>-111.00000000000001</c:v>
                </c:pt>
                <c:pt idx="292">
                  <c:v>-111.00000000000001</c:v>
                </c:pt>
                <c:pt idx="293">
                  <c:v>-111.00000000000001</c:v>
                </c:pt>
                <c:pt idx="294">
                  <c:v>-111.00000000000001</c:v>
                </c:pt>
                <c:pt idx="295">
                  <c:v>-111.00000000000001</c:v>
                </c:pt>
                <c:pt idx="296">
                  <c:v>-111.00000000000001</c:v>
                </c:pt>
                <c:pt idx="297">
                  <c:v>-111.00000000000001</c:v>
                </c:pt>
                <c:pt idx="298">
                  <c:v>-111.00000000000001</c:v>
                </c:pt>
                <c:pt idx="299">
                  <c:v>-111.00000000000001</c:v>
                </c:pt>
                <c:pt idx="300">
                  <c:v>-111.00000000000001</c:v>
                </c:pt>
                <c:pt idx="301">
                  <c:v>-111.00000000000001</c:v>
                </c:pt>
                <c:pt idx="302">
                  <c:v>-111.00000000000001</c:v>
                </c:pt>
                <c:pt idx="303">
                  <c:v>-111.00000000000001</c:v>
                </c:pt>
                <c:pt idx="304">
                  <c:v>-111.00000000000001</c:v>
                </c:pt>
                <c:pt idx="305">
                  <c:v>-111.00000000000001</c:v>
                </c:pt>
                <c:pt idx="306">
                  <c:v>-111.00000000000001</c:v>
                </c:pt>
                <c:pt idx="307">
                  <c:v>-111.00000000000001</c:v>
                </c:pt>
                <c:pt idx="308">
                  <c:v>-111.00000000000001</c:v>
                </c:pt>
                <c:pt idx="309">
                  <c:v>-111.00000000000001</c:v>
                </c:pt>
                <c:pt idx="310">
                  <c:v>-111.00000000000001</c:v>
                </c:pt>
                <c:pt idx="311">
                  <c:v>-111.00000000000001</c:v>
                </c:pt>
                <c:pt idx="312">
                  <c:v>-111.00000000000001</c:v>
                </c:pt>
                <c:pt idx="313">
                  <c:v>-111.00000000000001</c:v>
                </c:pt>
                <c:pt idx="314">
                  <c:v>-111.00000000000001</c:v>
                </c:pt>
                <c:pt idx="315">
                  <c:v>-111.00000000000001</c:v>
                </c:pt>
                <c:pt idx="316">
                  <c:v>-111.00000000000001</c:v>
                </c:pt>
                <c:pt idx="317">
                  <c:v>-111.00000000000001</c:v>
                </c:pt>
                <c:pt idx="318">
                  <c:v>-111.00000000000001</c:v>
                </c:pt>
                <c:pt idx="319">
                  <c:v>-111.00000000000001</c:v>
                </c:pt>
                <c:pt idx="320">
                  <c:v>-111.00000000000001</c:v>
                </c:pt>
                <c:pt idx="321">
                  <c:v>-111.00000000000001</c:v>
                </c:pt>
                <c:pt idx="322">
                  <c:v>-111.00000000000001</c:v>
                </c:pt>
                <c:pt idx="323">
                  <c:v>-111.00000000000001</c:v>
                </c:pt>
                <c:pt idx="324">
                  <c:v>-111.00000000000001</c:v>
                </c:pt>
                <c:pt idx="325">
                  <c:v>-111.00000000000001</c:v>
                </c:pt>
                <c:pt idx="326">
                  <c:v>-111.00000000000001</c:v>
                </c:pt>
                <c:pt idx="327">
                  <c:v>-111.00000000000001</c:v>
                </c:pt>
                <c:pt idx="328">
                  <c:v>-111.00000000000001</c:v>
                </c:pt>
                <c:pt idx="329">
                  <c:v>-111.00000000000001</c:v>
                </c:pt>
                <c:pt idx="330">
                  <c:v>-111.00000000000001</c:v>
                </c:pt>
                <c:pt idx="331">
                  <c:v>-111.00000000000001</c:v>
                </c:pt>
                <c:pt idx="332">
                  <c:v>-111.00000000000001</c:v>
                </c:pt>
                <c:pt idx="333">
                  <c:v>-111.00000000000001</c:v>
                </c:pt>
                <c:pt idx="334">
                  <c:v>-111.00000000000001</c:v>
                </c:pt>
                <c:pt idx="335">
                  <c:v>-111.00000000000001</c:v>
                </c:pt>
                <c:pt idx="336">
                  <c:v>-111.00000000000001</c:v>
                </c:pt>
                <c:pt idx="337">
                  <c:v>-115.99999999999999</c:v>
                </c:pt>
                <c:pt idx="338">
                  <c:v>-120</c:v>
                </c:pt>
                <c:pt idx="339">
                  <c:v>-123</c:v>
                </c:pt>
                <c:pt idx="340">
                  <c:v>-125</c:v>
                </c:pt>
                <c:pt idx="341">
                  <c:v>-129</c:v>
                </c:pt>
                <c:pt idx="342">
                  <c:v>-132</c:v>
                </c:pt>
                <c:pt idx="343">
                  <c:v>-134</c:v>
                </c:pt>
                <c:pt idx="344">
                  <c:v>-138</c:v>
                </c:pt>
                <c:pt idx="345">
                  <c:v>-145.00000000000003</c:v>
                </c:pt>
                <c:pt idx="346">
                  <c:v>-150.00000000000003</c:v>
                </c:pt>
                <c:pt idx="347">
                  <c:v>-155.00000000000003</c:v>
                </c:pt>
                <c:pt idx="348">
                  <c:v>-159.00000000000003</c:v>
                </c:pt>
                <c:pt idx="349">
                  <c:v>-161.99999999999997</c:v>
                </c:pt>
                <c:pt idx="350">
                  <c:v>-169.99999999999997</c:v>
                </c:pt>
                <c:pt idx="351">
                  <c:v>-174</c:v>
                </c:pt>
                <c:pt idx="352">
                  <c:v>-177</c:v>
                </c:pt>
                <c:pt idx="353">
                  <c:v>-181</c:v>
                </c:pt>
                <c:pt idx="354">
                  <c:v>-188</c:v>
                </c:pt>
                <c:pt idx="355">
                  <c:v>-196</c:v>
                </c:pt>
                <c:pt idx="356">
                  <c:v>-201</c:v>
                </c:pt>
                <c:pt idx="357">
                  <c:v>-205.00000000000003</c:v>
                </c:pt>
                <c:pt idx="358">
                  <c:v>-208.00000000000003</c:v>
                </c:pt>
                <c:pt idx="359">
                  <c:v>-210.00000000000003</c:v>
                </c:pt>
                <c:pt idx="360">
                  <c:v>-211.00000000000003</c:v>
                </c:pt>
                <c:pt idx="361">
                  <c:v>-212.00000000000003</c:v>
                </c:pt>
                <c:pt idx="362">
                  <c:v>-213.00000000000003</c:v>
                </c:pt>
                <c:pt idx="363">
                  <c:v>-213.00000000000003</c:v>
                </c:pt>
                <c:pt idx="364">
                  <c:v>-214.00000000000003</c:v>
                </c:pt>
                <c:pt idx="365">
                  <c:v>-214.00000000000003</c:v>
                </c:pt>
                <c:pt idx="366">
                  <c:v>-215.00000000000003</c:v>
                </c:pt>
                <c:pt idx="367">
                  <c:v>-216.00000000000003</c:v>
                </c:pt>
                <c:pt idx="368">
                  <c:v>-216.00000000000003</c:v>
                </c:pt>
                <c:pt idx="369">
                  <c:v>-217.00000000000003</c:v>
                </c:pt>
                <c:pt idx="370">
                  <c:v>-217.00000000000003</c:v>
                </c:pt>
                <c:pt idx="371">
                  <c:v>-218.00000000000003</c:v>
                </c:pt>
                <c:pt idx="372">
                  <c:v>-218.00000000000003</c:v>
                </c:pt>
                <c:pt idx="373">
                  <c:v>-219.00000000000003</c:v>
                </c:pt>
                <c:pt idx="374">
                  <c:v>-219.00000000000003</c:v>
                </c:pt>
                <c:pt idx="375">
                  <c:v>-220.00000000000003</c:v>
                </c:pt>
                <c:pt idx="376">
                  <c:v>-220.00000000000003</c:v>
                </c:pt>
                <c:pt idx="377">
                  <c:v>-220.00000000000003</c:v>
                </c:pt>
                <c:pt idx="378">
                  <c:v>-220.00000000000003</c:v>
                </c:pt>
                <c:pt idx="379">
                  <c:v>-220.00000000000003</c:v>
                </c:pt>
                <c:pt idx="380">
                  <c:v>-220.00000000000003</c:v>
                </c:pt>
                <c:pt idx="381">
                  <c:v>-220.00000000000003</c:v>
                </c:pt>
                <c:pt idx="382">
                  <c:v>-220.00000000000003</c:v>
                </c:pt>
                <c:pt idx="383">
                  <c:v>-220.00000000000003</c:v>
                </c:pt>
                <c:pt idx="384">
                  <c:v>-220.00000000000003</c:v>
                </c:pt>
                <c:pt idx="385">
                  <c:v>-220.00000000000003</c:v>
                </c:pt>
                <c:pt idx="386">
                  <c:v>-220.00000000000003</c:v>
                </c:pt>
                <c:pt idx="387">
                  <c:v>-220.00000000000003</c:v>
                </c:pt>
                <c:pt idx="388">
                  <c:v>-220.00000000000003</c:v>
                </c:pt>
                <c:pt idx="389">
                  <c:v>-220.00000000000003</c:v>
                </c:pt>
                <c:pt idx="390">
                  <c:v>-220.00000000000003</c:v>
                </c:pt>
                <c:pt idx="391">
                  <c:v>-220.00000000000003</c:v>
                </c:pt>
                <c:pt idx="392">
                  <c:v>-220.00000000000003</c:v>
                </c:pt>
                <c:pt idx="393">
                  <c:v>-220.00000000000003</c:v>
                </c:pt>
                <c:pt idx="394">
                  <c:v>-220.00000000000003</c:v>
                </c:pt>
                <c:pt idx="395">
                  <c:v>-220.00000000000003</c:v>
                </c:pt>
                <c:pt idx="396">
                  <c:v>-220.00000000000003</c:v>
                </c:pt>
                <c:pt idx="397">
                  <c:v>-220.00000000000003</c:v>
                </c:pt>
                <c:pt idx="398">
                  <c:v>-220.00000000000003</c:v>
                </c:pt>
                <c:pt idx="399">
                  <c:v>-220.00000000000003</c:v>
                </c:pt>
                <c:pt idx="400">
                  <c:v>-220.00000000000003</c:v>
                </c:pt>
                <c:pt idx="401">
                  <c:v>-220.00000000000003</c:v>
                </c:pt>
                <c:pt idx="402">
                  <c:v>-220.00000000000003</c:v>
                </c:pt>
                <c:pt idx="403">
                  <c:v>-220.00000000000003</c:v>
                </c:pt>
                <c:pt idx="404">
                  <c:v>-220.00000000000003</c:v>
                </c:pt>
                <c:pt idx="405">
                  <c:v>-220.00000000000003</c:v>
                </c:pt>
                <c:pt idx="406">
                  <c:v>-220.00000000000003</c:v>
                </c:pt>
                <c:pt idx="407">
                  <c:v>-220.00000000000003</c:v>
                </c:pt>
                <c:pt idx="408">
                  <c:v>-220.00000000000003</c:v>
                </c:pt>
                <c:pt idx="409">
                  <c:v>-220.00000000000003</c:v>
                </c:pt>
                <c:pt idx="410">
                  <c:v>-220.00000000000003</c:v>
                </c:pt>
                <c:pt idx="411">
                  <c:v>-220.00000000000003</c:v>
                </c:pt>
                <c:pt idx="412">
                  <c:v>-220.00000000000003</c:v>
                </c:pt>
                <c:pt idx="413">
                  <c:v>-220.00000000000003</c:v>
                </c:pt>
                <c:pt idx="414">
                  <c:v>-220.00000000000003</c:v>
                </c:pt>
                <c:pt idx="415">
                  <c:v>-220.00000000000003</c:v>
                </c:pt>
                <c:pt idx="416">
                  <c:v>-220.00000000000003</c:v>
                </c:pt>
                <c:pt idx="417">
                  <c:v>-220.00000000000003</c:v>
                </c:pt>
                <c:pt idx="418">
                  <c:v>-220.00000000000003</c:v>
                </c:pt>
                <c:pt idx="419">
                  <c:v>-220.00000000000003</c:v>
                </c:pt>
                <c:pt idx="420">
                  <c:v>-220.00000000000003</c:v>
                </c:pt>
                <c:pt idx="421">
                  <c:v>-220.00000000000003</c:v>
                </c:pt>
                <c:pt idx="422">
                  <c:v>-220.00000000000003</c:v>
                </c:pt>
                <c:pt idx="423">
                  <c:v>-220.00000000000003</c:v>
                </c:pt>
                <c:pt idx="424">
                  <c:v>-220.00000000000003</c:v>
                </c:pt>
                <c:pt idx="425">
                  <c:v>-220.00000000000003</c:v>
                </c:pt>
                <c:pt idx="426">
                  <c:v>-220.00000000000003</c:v>
                </c:pt>
                <c:pt idx="427">
                  <c:v>-220.00000000000003</c:v>
                </c:pt>
                <c:pt idx="428">
                  <c:v>-220.00000000000003</c:v>
                </c:pt>
                <c:pt idx="429">
                  <c:v>-220.00000000000003</c:v>
                </c:pt>
                <c:pt idx="430">
                  <c:v>-220.00000000000003</c:v>
                </c:pt>
                <c:pt idx="431">
                  <c:v>-220.00000000000003</c:v>
                </c:pt>
                <c:pt idx="432">
                  <c:v>-220.00000000000003</c:v>
                </c:pt>
                <c:pt idx="433">
                  <c:v>-220.00000000000003</c:v>
                </c:pt>
                <c:pt idx="434">
                  <c:v>-220.00000000000003</c:v>
                </c:pt>
                <c:pt idx="435">
                  <c:v>-220.00000000000003</c:v>
                </c:pt>
                <c:pt idx="436">
                  <c:v>-220.00000000000003</c:v>
                </c:pt>
                <c:pt idx="437">
                  <c:v>-220.00000000000003</c:v>
                </c:pt>
                <c:pt idx="438">
                  <c:v>-220.00000000000003</c:v>
                </c:pt>
                <c:pt idx="439">
                  <c:v>-220.00000000000003</c:v>
                </c:pt>
                <c:pt idx="440">
                  <c:v>-220.00000000000003</c:v>
                </c:pt>
                <c:pt idx="441">
                  <c:v>-220.00000000000003</c:v>
                </c:pt>
                <c:pt idx="442">
                  <c:v>-220.00000000000003</c:v>
                </c:pt>
                <c:pt idx="443">
                  <c:v>-220.00000000000003</c:v>
                </c:pt>
                <c:pt idx="444">
                  <c:v>-220.00000000000003</c:v>
                </c:pt>
                <c:pt idx="445">
                  <c:v>-220.00000000000003</c:v>
                </c:pt>
                <c:pt idx="446">
                  <c:v>-220.00000000000003</c:v>
                </c:pt>
                <c:pt idx="447">
                  <c:v>-220.00000000000003</c:v>
                </c:pt>
                <c:pt idx="448">
                  <c:v>-220.00000000000003</c:v>
                </c:pt>
                <c:pt idx="449">
                  <c:v>-220.00000000000003</c:v>
                </c:pt>
                <c:pt idx="450">
                  <c:v>-220.00000000000003</c:v>
                </c:pt>
                <c:pt idx="451">
                  <c:v>-220.00000000000003</c:v>
                </c:pt>
                <c:pt idx="452">
                  <c:v>-220.00000000000003</c:v>
                </c:pt>
                <c:pt idx="453">
                  <c:v>-220.00000000000003</c:v>
                </c:pt>
                <c:pt idx="454">
                  <c:v>-220.00000000000003</c:v>
                </c:pt>
                <c:pt idx="455">
                  <c:v>-220.00000000000003</c:v>
                </c:pt>
                <c:pt idx="456">
                  <c:v>-220.00000000000003</c:v>
                </c:pt>
                <c:pt idx="457">
                  <c:v>-220.00000000000003</c:v>
                </c:pt>
                <c:pt idx="458">
                  <c:v>-220.00000000000003</c:v>
                </c:pt>
                <c:pt idx="459">
                  <c:v>-220.00000000000003</c:v>
                </c:pt>
                <c:pt idx="460">
                  <c:v>-220.00000000000003</c:v>
                </c:pt>
                <c:pt idx="461">
                  <c:v>-220.00000000000003</c:v>
                </c:pt>
                <c:pt idx="462">
                  <c:v>-220.00000000000003</c:v>
                </c:pt>
                <c:pt idx="463">
                  <c:v>-220.00000000000003</c:v>
                </c:pt>
                <c:pt idx="464">
                  <c:v>-220.00000000000003</c:v>
                </c:pt>
                <c:pt idx="465">
                  <c:v>-220.00000000000003</c:v>
                </c:pt>
                <c:pt idx="466">
                  <c:v>-220.00000000000003</c:v>
                </c:pt>
                <c:pt idx="467">
                  <c:v>-220.00000000000003</c:v>
                </c:pt>
                <c:pt idx="468">
                  <c:v>-220.00000000000003</c:v>
                </c:pt>
                <c:pt idx="469">
                  <c:v>-220.00000000000003</c:v>
                </c:pt>
                <c:pt idx="470">
                  <c:v>-220.00000000000003</c:v>
                </c:pt>
                <c:pt idx="471">
                  <c:v>-220.00000000000003</c:v>
                </c:pt>
                <c:pt idx="472">
                  <c:v>-220.00000000000003</c:v>
                </c:pt>
                <c:pt idx="473">
                  <c:v>-220.00000000000003</c:v>
                </c:pt>
                <c:pt idx="474">
                  <c:v>-220.00000000000003</c:v>
                </c:pt>
                <c:pt idx="475">
                  <c:v>-220.00000000000003</c:v>
                </c:pt>
                <c:pt idx="476">
                  <c:v>-220.00000000000003</c:v>
                </c:pt>
                <c:pt idx="477">
                  <c:v>-220.00000000000003</c:v>
                </c:pt>
                <c:pt idx="478">
                  <c:v>-220.00000000000003</c:v>
                </c:pt>
                <c:pt idx="479">
                  <c:v>-220.00000000000003</c:v>
                </c:pt>
                <c:pt idx="480">
                  <c:v>-220.00000000000003</c:v>
                </c:pt>
                <c:pt idx="481">
                  <c:v>-220.00000000000003</c:v>
                </c:pt>
                <c:pt idx="482">
                  <c:v>-220.00000000000003</c:v>
                </c:pt>
                <c:pt idx="483">
                  <c:v>-220.00000000000003</c:v>
                </c:pt>
                <c:pt idx="484">
                  <c:v>-220.00000000000003</c:v>
                </c:pt>
                <c:pt idx="485">
                  <c:v>-220.00000000000003</c:v>
                </c:pt>
                <c:pt idx="486">
                  <c:v>-220.00000000000003</c:v>
                </c:pt>
                <c:pt idx="487">
                  <c:v>-220.00000000000003</c:v>
                </c:pt>
                <c:pt idx="488">
                  <c:v>-220.00000000000003</c:v>
                </c:pt>
                <c:pt idx="489">
                  <c:v>-220.00000000000003</c:v>
                </c:pt>
                <c:pt idx="490">
                  <c:v>-220.00000000000003</c:v>
                </c:pt>
                <c:pt idx="491">
                  <c:v>-220.00000000000003</c:v>
                </c:pt>
                <c:pt idx="492">
                  <c:v>-220.00000000000003</c:v>
                </c:pt>
                <c:pt idx="493">
                  <c:v>-220.00000000000003</c:v>
                </c:pt>
                <c:pt idx="494">
                  <c:v>-220.00000000000003</c:v>
                </c:pt>
                <c:pt idx="495">
                  <c:v>-220.00000000000003</c:v>
                </c:pt>
                <c:pt idx="496">
                  <c:v>-220.00000000000003</c:v>
                </c:pt>
                <c:pt idx="497">
                  <c:v>-220.00000000000003</c:v>
                </c:pt>
                <c:pt idx="498">
                  <c:v>-220.00000000000003</c:v>
                </c:pt>
                <c:pt idx="499">
                  <c:v>-220.00000000000003</c:v>
                </c:pt>
                <c:pt idx="500">
                  <c:v>-220.00000000000003</c:v>
                </c:pt>
                <c:pt idx="501">
                  <c:v>-220.00000000000003</c:v>
                </c:pt>
                <c:pt idx="502">
                  <c:v>-220.00000000000003</c:v>
                </c:pt>
                <c:pt idx="503">
                  <c:v>-220.00000000000003</c:v>
                </c:pt>
                <c:pt idx="504">
                  <c:v>-220.00000000000003</c:v>
                </c:pt>
                <c:pt idx="505">
                  <c:v>-220.00000000000003</c:v>
                </c:pt>
                <c:pt idx="506">
                  <c:v>-220.00000000000003</c:v>
                </c:pt>
                <c:pt idx="507">
                  <c:v>-220.00000000000003</c:v>
                </c:pt>
                <c:pt idx="508">
                  <c:v>-220.00000000000003</c:v>
                </c:pt>
                <c:pt idx="509">
                  <c:v>-220.00000000000003</c:v>
                </c:pt>
                <c:pt idx="510">
                  <c:v>-220.00000000000003</c:v>
                </c:pt>
                <c:pt idx="511">
                  <c:v>-220.00000000000003</c:v>
                </c:pt>
                <c:pt idx="512">
                  <c:v>-220.00000000000003</c:v>
                </c:pt>
                <c:pt idx="513">
                  <c:v>-220.00000000000003</c:v>
                </c:pt>
                <c:pt idx="514">
                  <c:v>-229.99999999999997</c:v>
                </c:pt>
                <c:pt idx="515">
                  <c:v>-240</c:v>
                </c:pt>
                <c:pt idx="516">
                  <c:v>-248</c:v>
                </c:pt>
                <c:pt idx="517">
                  <c:v>-256</c:v>
                </c:pt>
                <c:pt idx="518">
                  <c:v>-266</c:v>
                </c:pt>
                <c:pt idx="519">
                  <c:v>-276</c:v>
                </c:pt>
                <c:pt idx="520">
                  <c:v>-284.00000000000006</c:v>
                </c:pt>
                <c:pt idx="521">
                  <c:v>-292</c:v>
                </c:pt>
                <c:pt idx="522">
                  <c:v>-299</c:v>
                </c:pt>
                <c:pt idx="523">
                  <c:v>-309</c:v>
                </c:pt>
                <c:pt idx="524">
                  <c:v>-317</c:v>
                </c:pt>
                <c:pt idx="525">
                  <c:v>-324</c:v>
                </c:pt>
                <c:pt idx="526">
                  <c:v>-332</c:v>
                </c:pt>
                <c:pt idx="527">
                  <c:v>-339</c:v>
                </c:pt>
                <c:pt idx="528">
                  <c:v>-349</c:v>
                </c:pt>
                <c:pt idx="529">
                  <c:v>-358</c:v>
                </c:pt>
                <c:pt idx="530">
                  <c:v>-366</c:v>
                </c:pt>
                <c:pt idx="531">
                  <c:v>-373</c:v>
                </c:pt>
                <c:pt idx="532">
                  <c:v>-383</c:v>
                </c:pt>
                <c:pt idx="533">
                  <c:v>-390</c:v>
                </c:pt>
                <c:pt idx="534">
                  <c:v>-397</c:v>
                </c:pt>
                <c:pt idx="535">
                  <c:v>-405</c:v>
                </c:pt>
                <c:pt idx="536">
                  <c:v>-412.00000000000006</c:v>
                </c:pt>
                <c:pt idx="537">
                  <c:v>-422.00000000000006</c:v>
                </c:pt>
                <c:pt idx="538">
                  <c:v>-431.00000000000006</c:v>
                </c:pt>
                <c:pt idx="539">
                  <c:v>-439.00000000000006</c:v>
                </c:pt>
                <c:pt idx="540">
                  <c:v>-445.99999999999994</c:v>
                </c:pt>
                <c:pt idx="541">
                  <c:v>-452.99999999999994</c:v>
                </c:pt>
                <c:pt idx="542">
                  <c:v>-461.99999999999994</c:v>
                </c:pt>
                <c:pt idx="543">
                  <c:v>-470</c:v>
                </c:pt>
                <c:pt idx="544">
                  <c:v>-477</c:v>
                </c:pt>
                <c:pt idx="545">
                  <c:v>-486</c:v>
                </c:pt>
                <c:pt idx="546">
                  <c:v>-494</c:v>
                </c:pt>
                <c:pt idx="547">
                  <c:v>-501</c:v>
                </c:pt>
                <c:pt idx="548">
                  <c:v>-508</c:v>
                </c:pt>
                <c:pt idx="549">
                  <c:v>-515</c:v>
                </c:pt>
                <c:pt idx="550">
                  <c:v>-524</c:v>
                </c:pt>
                <c:pt idx="551">
                  <c:v>-532</c:v>
                </c:pt>
                <c:pt idx="552">
                  <c:v>-539</c:v>
                </c:pt>
                <c:pt idx="553">
                  <c:v>-548</c:v>
                </c:pt>
                <c:pt idx="554">
                  <c:v>-556</c:v>
                </c:pt>
                <c:pt idx="555">
                  <c:v>-563</c:v>
                </c:pt>
                <c:pt idx="556">
                  <c:v>-567.00000000000011</c:v>
                </c:pt>
                <c:pt idx="557">
                  <c:v>-570</c:v>
                </c:pt>
                <c:pt idx="558">
                  <c:v>-572</c:v>
                </c:pt>
                <c:pt idx="559">
                  <c:v>-576</c:v>
                </c:pt>
                <c:pt idx="560">
                  <c:v>-583</c:v>
                </c:pt>
                <c:pt idx="561">
                  <c:v>-588</c:v>
                </c:pt>
                <c:pt idx="562">
                  <c:v>-593</c:v>
                </c:pt>
                <c:pt idx="563">
                  <c:v>-597</c:v>
                </c:pt>
                <c:pt idx="564">
                  <c:v>-600</c:v>
                </c:pt>
                <c:pt idx="565">
                  <c:v>-602</c:v>
                </c:pt>
                <c:pt idx="566">
                  <c:v>-606</c:v>
                </c:pt>
                <c:pt idx="567">
                  <c:v>-609</c:v>
                </c:pt>
                <c:pt idx="568">
                  <c:v>-611</c:v>
                </c:pt>
                <c:pt idx="569">
                  <c:v>-615</c:v>
                </c:pt>
                <c:pt idx="570">
                  <c:v>-622</c:v>
                </c:pt>
                <c:pt idx="571">
                  <c:v>-627</c:v>
                </c:pt>
                <c:pt idx="572">
                  <c:v>-632</c:v>
                </c:pt>
                <c:pt idx="573">
                  <c:v>-636</c:v>
                </c:pt>
                <c:pt idx="574">
                  <c:v>-639</c:v>
                </c:pt>
                <c:pt idx="575">
                  <c:v>-641</c:v>
                </c:pt>
                <c:pt idx="576">
                  <c:v>-645</c:v>
                </c:pt>
                <c:pt idx="577">
                  <c:v>-648</c:v>
                </c:pt>
                <c:pt idx="578">
                  <c:v>-652</c:v>
                </c:pt>
                <c:pt idx="579">
                  <c:v>-659</c:v>
                </c:pt>
                <c:pt idx="580">
                  <c:v>-664</c:v>
                </c:pt>
                <c:pt idx="581">
                  <c:v>-669</c:v>
                </c:pt>
                <c:pt idx="582">
                  <c:v>-673</c:v>
                </c:pt>
                <c:pt idx="583">
                  <c:v>-676</c:v>
                </c:pt>
                <c:pt idx="584">
                  <c:v>-678</c:v>
                </c:pt>
                <c:pt idx="585">
                  <c:v>-682</c:v>
                </c:pt>
                <c:pt idx="586">
                  <c:v>-685</c:v>
                </c:pt>
                <c:pt idx="587">
                  <c:v>-687</c:v>
                </c:pt>
                <c:pt idx="588">
                  <c:v>-691.00000000000011</c:v>
                </c:pt>
                <c:pt idx="589">
                  <c:v>-698</c:v>
                </c:pt>
                <c:pt idx="590">
                  <c:v>-703</c:v>
                </c:pt>
                <c:pt idx="591">
                  <c:v>-708</c:v>
                </c:pt>
                <c:pt idx="592">
                  <c:v>-712</c:v>
                </c:pt>
                <c:pt idx="593">
                  <c:v>-715</c:v>
                </c:pt>
                <c:pt idx="594">
                  <c:v>-717</c:v>
                </c:pt>
                <c:pt idx="595">
                  <c:v>-721</c:v>
                </c:pt>
                <c:pt idx="596">
                  <c:v>-724</c:v>
                </c:pt>
                <c:pt idx="597">
                  <c:v>-728</c:v>
                </c:pt>
                <c:pt idx="598">
                  <c:v>-735</c:v>
                </c:pt>
                <c:pt idx="599">
                  <c:v>-740</c:v>
                </c:pt>
                <c:pt idx="600">
                  <c:v>-745</c:v>
                </c:pt>
                <c:pt idx="601">
                  <c:v>-749</c:v>
                </c:pt>
                <c:pt idx="602">
                  <c:v>-752</c:v>
                </c:pt>
                <c:pt idx="603">
                  <c:v>-754</c:v>
                </c:pt>
                <c:pt idx="604">
                  <c:v>-758</c:v>
                </c:pt>
                <c:pt idx="605">
                  <c:v>-761</c:v>
                </c:pt>
                <c:pt idx="606">
                  <c:v>-763</c:v>
                </c:pt>
                <c:pt idx="607">
                  <c:v>-767</c:v>
                </c:pt>
                <c:pt idx="608">
                  <c:v>-774</c:v>
                </c:pt>
                <c:pt idx="609">
                  <c:v>-779</c:v>
                </c:pt>
                <c:pt idx="610">
                  <c:v>-784</c:v>
                </c:pt>
                <c:pt idx="611">
                  <c:v>-788</c:v>
                </c:pt>
                <c:pt idx="612">
                  <c:v>-791</c:v>
                </c:pt>
                <c:pt idx="613">
                  <c:v>-793</c:v>
                </c:pt>
                <c:pt idx="614">
                  <c:v>-797</c:v>
                </c:pt>
                <c:pt idx="615">
                  <c:v>-799</c:v>
                </c:pt>
                <c:pt idx="616">
                  <c:v>-803</c:v>
                </c:pt>
                <c:pt idx="617">
                  <c:v>-804</c:v>
                </c:pt>
                <c:pt idx="618">
                  <c:v>-805</c:v>
                </c:pt>
                <c:pt idx="619">
                  <c:v>-806</c:v>
                </c:pt>
                <c:pt idx="620">
                  <c:v>-809</c:v>
                </c:pt>
                <c:pt idx="621">
                  <c:v>-810</c:v>
                </c:pt>
                <c:pt idx="622">
                  <c:v>-812</c:v>
                </c:pt>
                <c:pt idx="623">
                  <c:v>-813</c:v>
                </c:pt>
                <c:pt idx="624">
                  <c:v>-815.00000000000011</c:v>
                </c:pt>
                <c:pt idx="625">
                  <c:v>-817.00000000000011</c:v>
                </c:pt>
                <c:pt idx="626">
                  <c:v>-820</c:v>
                </c:pt>
                <c:pt idx="627">
                  <c:v>-821</c:v>
                </c:pt>
                <c:pt idx="628">
                  <c:v>-823</c:v>
                </c:pt>
                <c:pt idx="629">
                  <c:v>-825</c:v>
                </c:pt>
                <c:pt idx="630">
                  <c:v>-826</c:v>
                </c:pt>
                <c:pt idx="631">
                  <c:v>-828</c:v>
                </c:pt>
                <c:pt idx="632">
                  <c:v>-832</c:v>
                </c:pt>
                <c:pt idx="633">
                  <c:v>-834</c:v>
                </c:pt>
                <c:pt idx="634">
                  <c:v>-836</c:v>
                </c:pt>
                <c:pt idx="635">
                  <c:v>-837</c:v>
                </c:pt>
                <c:pt idx="636">
                  <c:v>-839</c:v>
                </c:pt>
                <c:pt idx="637">
                  <c:v>-842</c:v>
                </c:pt>
                <c:pt idx="638">
                  <c:v>-844</c:v>
                </c:pt>
                <c:pt idx="639">
                  <c:v>-847</c:v>
                </c:pt>
                <c:pt idx="640">
                  <c:v>-851</c:v>
                </c:pt>
                <c:pt idx="641">
                  <c:v>-854</c:v>
                </c:pt>
                <c:pt idx="642">
                  <c:v>-855</c:v>
                </c:pt>
                <c:pt idx="643">
                  <c:v>-857</c:v>
                </c:pt>
                <c:pt idx="644">
                  <c:v>-860</c:v>
                </c:pt>
                <c:pt idx="645">
                  <c:v>-863</c:v>
                </c:pt>
                <c:pt idx="646">
                  <c:v>-867</c:v>
                </c:pt>
                <c:pt idx="647">
                  <c:v>-870</c:v>
                </c:pt>
                <c:pt idx="648">
                  <c:v>-874</c:v>
                </c:pt>
                <c:pt idx="649">
                  <c:v>-878</c:v>
                </c:pt>
                <c:pt idx="650">
                  <c:v>-879</c:v>
                </c:pt>
                <c:pt idx="651">
                  <c:v>-880.99999999999989</c:v>
                </c:pt>
                <c:pt idx="652">
                  <c:v>-882</c:v>
                </c:pt>
                <c:pt idx="653">
                  <c:v>-884.99999999999989</c:v>
                </c:pt>
                <c:pt idx="654">
                  <c:v>-886.99999999999989</c:v>
                </c:pt>
                <c:pt idx="655">
                  <c:v>-888</c:v>
                </c:pt>
                <c:pt idx="656">
                  <c:v>-890.99999999999989</c:v>
                </c:pt>
                <c:pt idx="657">
                  <c:v>-894</c:v>
                </c:pt>
                <c:pt idx="658">
                  <c:v>-896.99999999999989</c:v>
                </c:pt>
                <c:pt idx="659">
                  <c:v>-900</c:v>
                </c:pt>
                <c:pt idx="660">
                  <c:v>-902</c:v>
                </c:pt>
                <c:pt idx="661">
                  <c:v>-904</c:v>
                </c:pt>
                <c:pt idx="662">
                  <c:v>-906</c:v>
                </c:pt>
                <c:pt idx="663">
                  <c:v>-906.99999999999989</c:v>
                </c:pt>
                <c:pt idx="664">
                  <c:v>-910</c:v>
                </c:pt>
                <c:pt idx="665">
                  <c:v>-912</c:v>
                </c:pt>
                <c:pt idx="666">
                  <c:v>-914</c:v>
                </c:pt>
                <c:pt idx="667">
                  <c:v>-914.99999999999989</c:v>
                </c:pt>
                <c:pt idx="668">
                  <c:v>-918</c:v>
                </c:pt>
                <c:pt idx="669">
                  <c:v>-920.99999999999989</c:v>
                </c:pt>
                <c:pt idx="670">
                  <c:v>-922.99999999999989</c:v>
                </c:pt>
                <c:pt idx="671">
                  <c:v>-924.99999999999989</c:v>
                </c:pt>
                <c:pt idx="672">
                  <c:v>-928</c:v>
                </c:pt>
                <c:pt idx="673">
                  <c:v>-928.99999999999989</c:v>
                </c:pt>
                <c:pt idx="674">
                  <c:v>-930.99999999999989</c:v>
                </c:pt>
                <c:pt idx="675">
                  <c:v>-932.99999999999989</c:v>
                </c:pt>
                <c:pt idx="676">
                  <c:v>-934</c:v>
                </c:pt>
                <c:pt idx="677">
                  <c:v>-936</c:v>
                </c:pt>
                <c:pt idx="678">
                  <c:v>-937</c:v>
                </c:pt>
                <c:pt idx="679">
                  <c:v>-938</c:v>
                </c:pt>
                <c:pt idx="680">
                  <c:v>-940.00000000000011</c:v>
                </c:pt>
                <c:pt idx="681">
                  <c:v>-941</c:v>
                </c:pt>
                <c:pt idx="682">
                  <c:v>-942.00000000000011</c:v>
                </c:pt>
                <c:pt idx="683">
                  <c:v>-943</c:v>
                </c:pt>
                <c:pt idx="684">
                  <c:v>-944.00000000000011</c:v>
                </c:pt>
                <c:pt idx="685">
                  <c:v>-945</c:v>
                </c:pt>
                <c:pt idx="686">
                  <c:v>-947</c:v>
                </c:pt>
                <c:pt idx="687">
                  <c:v>-948.00000000000011</c:v>
                </c:pt>
                <c:pt idx="688">
                  <c:v>-950.00000000000011</c:v>
                </c:pt>
                <c:pt idx="689">
                  <c:v>-951</c:v>
                </c:pt>
                <c:pt idx="690">
                  <c:v>-953</c:v>
                </c:pt>
                <c:pt idx="691">
                  <c:v>-954.00000000000011</c:v>
                </c:pt>
                <c:pt idx="692">
                  <c:v>-956.00000000000011</c:v>
                </c:pt>
                <c:pt idx="693">
                  <c:v>-956.00000000000011</c:v>
                </c:pt>
                <c:pt idx="694">
                  <c:v>-958.00000000000011</c:v>
                </c:pt>
                <c:pt idx="695">
                  <c:v>-960.00000000000011</c:v>
                </c:pt>
                <c:pt idx="696">
                  <c:v>-962.00000000000011</c:v>
                </c:pt>
                <c:pt idx="697">
                  <c:v>-964.00000000000011</c:v>
                </c:pt>
                <c:pt idx="698">
                  <c:v>-965</c:v>
                </c:pt>
                <c:pt idx="699">
                  <c:v>-967</c:v>
                </c:pt>
                <c:pt idx="700">
                  <c:v>-968.00000000000011</c:v>
                </c:pt>
                <c:pt idx="701">
                  <c:v>-970.00000000000011</c:v>
                </c:pt>
                <c:pt idx="702">
                  <c:v>-972.00000000000011</c:v>
                </c:pt>
                <c:pt idx="703">
                  <c:v>-973</c:v>
                </c:pt>
                <c:pt idx="704">
                  <c:v>-975</c:v>
                </c:pt>
                <c:pt idx="705">
                  <c:v>-975</c:v>
                </c:pt>
                <c:pt idx="706">
                  <c:v>-975</c:v>
                </c:pt>
                <c:pt idx="707">
                  <c:v>-975</c:v>
                </c:pt>
                <c:pt idx="708">
                  <c:v>-975</c:v>
                </c:pt>
                <c:pt idx="709">
                  <c:v>-975</c:v>
                </c:pt>
                <c:pt idx="710">
                  <c:v>-975</c:v>
                </c:pt>
                <c:pt idx="711">
                  <c:v>-975</c:v>
                </c:pt>
                <c:pt idx="712">
                  <c:v>-975</c:v>
                </c:pt>
                <c:pt idx="713">
                  <c:v>-975</c:v>
                </c:pt>
                <c:pt idx="714">
                  <c:v>-975</c:v>
                </c:pt>
                <c:pt idx="715">
                  <c:v>-975</c:v>
                </c:pt>
                <c:pt idx="716">
                  <c:v>-975</c:v>
                </c:pt>
                <c:pt idx="717">
                  <c:v>-975</c:v>
                </c:pt>
                <c:pt idx="718">
                  <c:v>-975</c:v>
                </c:pt>
                <c:pt idx="719">
                  <c:v>-975</c:v>
                </c:pt>
                <c:pt idx="720">
                  <c:v>-975</c:v>
                </c:pt>
                <c:pt idx="721">
                  <c:v>-975</c:v>
                </c:pt>
                <c:pt idx="722">
                  <c:v>-975</c:v>
                </c:pt>
                <c:pt idx="723">
                  <c:v>-975</c:v>
                </c:pt>
                <c:pt idx="724">
                  <c:v>-975</c:v>
                </c:pt>
                <c:pt idx="725">
                  <c:v>-975</c:v>
                </c:pt>
                <c:pt idx="726">
                  <c:v>-975</c:v>
                </c:pt>
                <c:pt idx="727">
                  <c:v>-975</c:v>
                </c:pt>
                <c:pt idx="728">
                  <c:v>-975</c:v>
                </c:pt>
                <c:pt idx="729">
                  <c:v>-975</c:v>
                </c:pt>
                <c:pt idx="730">
                  <c:v>-975</c:v>
                </c:pt>
                <c:pt idx="731">
                  <c:v>-975</c:v>
                </c:pt>
                <c:pt idx="732">
                  <c:v>-975</c:v>
                </c:pt>
                <c:pt idx="733">
                  <c:v>-975</c:v>
                </c:pt>
                <c:pt idx="734">
                  <c:v>-975</c:v>
                </c:pt>
                <c:pt idx="735">
                  <c:v>-975</c:v>
                </c:pt>
                <c:pt idx="736">
                  <c:v>-975</c:v>
                </c:pt>
                <c:pt idx="737">
                  <c:v>-975</c:v>
                </c:pt>
                <c:pt idx="738">
                  <c:v>-975</c:v>
                </c:pt>
                <c:pt idx="739">
                  <c:v>-975</c:v>
                </c:pt>
                <c:pt idx="740">
                  <c:v>-975</c:v>
                </c:pt>
                <c:pt idx="741">
                  <c:v>-975</c:v>
                </c:pt>
                <c:pt idx="742">
                  <c:v>-975</c:v>
                </c:pt>
                <c:pt idx="743">
                  <c:v>-975</c:v>
                </c:pt>
                <c:pt idx="744">
                  <c:v>-976.00000000000011</c:v>
                </c:pt>
                <c:pt idx="745">
                  <c:v>-976.00000000000011</c:v>
                </c:pt>
                <c:pt idx="746">
                  <c:v>-998.00000000000011</c:v>
                </c:pt>
                <c:pt idx="747">
                  <c:v>-1021.9999999999998</c:v>
                </c:pt>
                <c:pt idx="748">
                  <c:v>-1041.9999999999998</c:v>
                </c:pt>
                <c:pt idx="749">
                  <c:v>-1065.9999999999998</c:v>
                </c:pt>
                <c:pt idx="750">
                  <c:v>-1081.9999999999998</c:v>
                </c:pt>
                <c:pt idx="751">
                  <c:v>-1105.9999999999998</c:v>
                </c:pt>
                <c:pt idx="752">
                  <c:v>-1122</c:v>
                </c:pt>
                <c:pt idx="753">
                  <c:v>-1144.0000000000002</c:v>
                </c:pt>
                <c:pt idx="754">
                  <c:v>-1170</c:v>
                </c:pt>
                <c:pt idx="755">
                  <c:v>-1192.0000000000002</c:v>
                </c:pt>
                <c:pt idx="756">
                  <c:v>-1212.0000000000002</c:v>
                </c:pt>
                <c:pt idx="757">
                  <c:v>-1226.9999999999998</c:v>
                </c:pt>
                <c:pt idx="758">
                  <c:v>-1240.0000000000002</c:v>
                </c:pt>
                <c:pt idx="759">
                  <c:v>-1252.0000000000002</c:v>
                </c:pt>
                <c:pt idx="760">
                  <c:v>-1262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49-4C12-A0BF-1EA74933D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'SL.114+320'!$C$12:$C$13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'SL.114+320'!$A$14:$A$700</c:f>
              <c:numCache>
                <c:formatCode>dd/mm/yyyy;@</c:formatCode>
                <c:ptCount val="687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</c:numCache>
            </c:numRef>
          </c:xVal>
          <c:yVal>
            <c:numRef>
              <c:f>'SL.114+320'!$C$14:$C$700</c:f>
              <c:numCache>
                <c:formatCode>0.000</c:formatCode>
                <c:ptCount val="687"/>
                <c:pt idx="0">
                  <c:v>-0.18</c:v>
                </c:pt>
                <c:pt idx="1">
                  <c:v>-0.18</c:v>
                </c:pt>
                <c:pt idx="2">
                  <c:v>-0.18</c:v>
                </c:pt>
                <c:pt idx="3">
                  <c:v>-0.18</c:v>
                </c:pt>
                <c:pt idx="4">
                  <c:v>-0.18</c:v>
                </c:pt>
                <c:pt idx="5">
                  <c:v>-0.18</c:v>
                </c:pt>
                <c:pt idx="6">
                  <c:v>-0.18</c:v>
                </c:pt>
                <c:pt idx="7">
                  <c:v>-0.18</c:v>
                </c:pt>
                <c:pt idx="8">
                  <c:v>-0.18</c:v>
                </c:pt>
                <c:pt idx="9">
                  <c:v>-0.18</c:v>
                </c:pt>
                <c:pt idx="10">
                  <c:v>-0.18</c:v>
                </c:pt>
                <c:pt idx="11">
                  <c:v>-0.18</c:v>
                </c:pt>
                <c:pt idx="12">
                  <c:v>-0.18</c:v>
                </c:pt>
                <c:pt idx="13">
                  <c:v>-0.18</c:v>
                </c:pt>
                <c:pt idx="14">
                  <c:v>-0.18</c:v>
                </c:pt>
                <c:pt idx="15">
                  <c:v>-0.18</c:v>
                </c:pt>
                <c:pt idx="16">
                  <c:v>-0.18</c:v>
                </c:pt>
                <c:pt idx="17">
                  <c:v>-0.18</c:v>
                </c:pt>
                <c:pt idx="18">
                  <c:v>-0.18</c:v>
                </c:pt>
                <c:pt idx="19">
                  <c:v>-0.18</c:v>
                </c:pt>
                <c:pt idx="20">
                  <c:v>-0.18</c:v>
                </c:pt>
                <c:pt idx="21">
                  <c:v>-0.18</c:v>
                </c:pt>
                <c:pt idx="22">
                  <c:v>-0.18</c:v>
                </c:pt>
                <c:pt idx="23">
                  <c:v>-0.18</c:v>
                </c:pt>
                <c:pt idx="24">
                  <c:v>-0.1</c:v>
                </c:pt>
                <c:pt idx="25">
                  <c:v>0.193</c:v>
                </c:pt>
                <c:pt idx="26">
                  <c:v>0.186</c:v>
                </c:pt>
                <c:pt idx="27">
                  <c:v>0.18099999999999999</c:v>
                </c:pt>
                <c:pt idx="28">
                  <c:v>0.17599999999999999</c:v>
                </c:pt>
                <c:pt idx="29">
                  <c:v>0.46899999999999997</c:v>
                </c:pt>
                <c:pt idx="30">
                  <c:v>0.46600000000000003</c:v>
                </c:pt>
                <c:pt idx="31">
                  <c:v>0.46400000000000002</c:v>
                </c:pt>
                <c:pt idx="32">
                  <c:v>0.46</c:v>
                </c:pt>
                <c:pt idx="33">
                  <c:v>0.753</c:v>
                </c:pt>
                <c:pt idx="34">
                  <c:v>0.748</c:v>
                </c:pt>
                <c:pt idx="35">
                  <c:v>0.74299999999999999</c:v>
                </c:pt>
                <c:pt idx="36">
                  <c:v>0.73899999999999999</c:v>
                </c:pt>
                <c:pt idx="37">
                  <c:v>0.73599999999999999</c:v>
                </c:pt>
                <c:pt idx="38">
                  <c:v>0.73199999999999998</c:v>
                </c:pt>
                <c:pt idx="39">
                  <c:v>0.72499999999999998</c:v>
                </c:pt>
                <c:pt idx="40">
                  <c:v>0.72</c:v>
                </c:pt>
                <c:pt idx="41">
                  <c:v>0.71499999999999997</c:v>
                </c:pt>
                <c:pt idx="42">
                  <c:v>0.71099999999999997</c:v>
                </c:pt>
                <c:pt idx="43">
                  <c:v>0.70799999999999996</c:v>
                </c:pt>
                <c:pt idx="44">
                  <c:v>0.70599999999999996</c:v>
                </c:pt>
                <c:pt idx="45">
                  <c:v>0.70199999999999996</c:v>
                </c:pt>
                <c:pt idx="46">
                  <c:v>0.69499999999999995</c:v>
                </c:pt>
                <c:pt idx="47">
                  <c:v>0.69</c:v>
                </c:pt>
                <c:pt idx="48">
                  <c:v>0.68500000000000005</c:v>
                </c:pt>
                <c:pt idx="49">
                  <c:v>0.68100000000000005</c:v>
                </c:pt>
                <c:pt idx="50">
                  <c:v>0.68</c:v>
                </c:pt>
                <c:pt idx="51">
                  <c:v>0.67900000000000005</c:v>
                </c:pt>
                <c:pt idx="52">
                  <c:v>0.67900000000000005</c:v>
                </c:pt>
                <c:pt idx="53">
                  <c:v>0.67800000000000005</c:v>
                </c:pt>
                <c:pt idx="54">
                  <c:v>0.67800000000000005</c:v>
                </c:pt>
                <c:pt idx="55">
                  <c:v>0.67700000000000005</c:v>
                </c:pt>
                <c:pt idx="56">
                  <c:v>0.67700000000000005</c:v>
                </c:pt>
                <c:pt idx="57">
                  <c:v>0.67700000000000005</c:v>
                </c:pt>
                <c:pt idx="58">
                  <c:v>0.67700000000000005</c:v>
                </c:pt>
                <c:pt idx="59">
                  <c:v>0.67700000000000005</c:v>
                </c:pt>
                <c:pt idx="60">
                  <c:v>0.67700000000000005</c:v>
                </c:pt>
                <c:pt idx="61">
                  <c:v>0.67700000000000005</c:v>
                </c:pt>
                <c:pt idx="62">
                  <c:v>0.67700000000000005</c:v>
                </c:pt>
                <c:pt idx="63">
                  <c:v>0.67700000000000005</c:v>
                </c:pt>
                <c:pt idx="64">
                  <c:v>0.67700000000000005</c:v>
                </c:pt>
                <c:pt idx="65">
                  <c:v>0.67700000000000005</c:v>
                </c:pt>
                <c:pt idx="66">
                  <c:v>0.67700000000000005</c:v>
                </c:pt>
                <c:pt idx="67">
                  <c:v>0.67700000000000005</c:v>
                </c:pt>
                <c:pt idx="68">
                  <c:v>0.67700000000000005</c:v>
                </c:pt>
                <c:pt idx="69">
                  <c:v>0.67700000000000005</c:v>
                </c:pt>
                <c:pt idx="70">
                  <c:v>0.67700000000000005</c:v>
                </c:pt>
                <c:pt idx="71">
                  <c:v>0.67700000000000005</c:v>
                </c:pt>
                <c:pt idx="72">
                  <c:v>0.67700000000000005</c:v>
                </c:pt>
                <c:pt idx="73">
                  <c:v>0.67700000000000005</c:v>
                </c:pt>
                <c:pt idx="74">
                  <c:v>0.67700000000000005</c:v>
                </c:pt>
                <c:pt idx="75">
                  <c:v>0.67700000000000005</c:v>
                </c:pt>
                <c:pt idx="76">
                  <c:v>0.67700000000000005</c:v>
                </c:pt>
                <c:pt idx="77">
                  <c:v>0.67700000000000005</c:v>
                </c:pt>
                <c:pt idx="78">
                  <c:v>0.67700000000000005</c:v>
                </c:pt>
                <c:pt idx="79">
                  <c:v>0.67700000000000005</c:v>
                </c:pt>
                <c:pt idx="80">
                  <c:v>0.67700000000000005</c:v>
                </c:pt>
                <c:pt idx="81">
                  <c:v>0.67700000000000005</c:v>
                </c:pt>
                <c:pt idx="82">
                  <c:v>0.67700000000000005</c:v>
                </c:pt>
                <c:pt idx="83">
                  <c:v>0.67700000000000005</c:v>
                </c:pt>
                <c:pt idx="84">
                  <c:v>0.67700000000000005</c:v>
                </c:pt>
                <c:pt idx="85">
                  <c:v>0.67700000000000005</c:v>
                </c:pt>
                <c:pt idx="86">
                  <c:v>0.67700000000000005</c:v>
                </c:pt>
                <c:pt idx="87">
                  <c:v>0.67700000000000005</c:v>
                </c:pt>
                <c:pt idx="88">
                  <c:v>0.67700000000000005</c:v>
                </c:pt>
                <c:pt idx="89">
                  <c:v>0.67700000000000005</c:v>
                </c:pt>
                <c:pt idx="90">
                  <c:v>0.67700000000000005</c:v>
                </c:pt>
                <c:pt idx="91">
                  <c:v>0.67700000000000005</c:v>
                </c:pt>
                <c:pt idx="92">
                  <c:v>0.67700000000000005</c:v>
                </c:pt>
                <c:pt idx="93">
                  <c:v>0.67700000000000005</c:v>
                </c:pt>
                <c:pt idx="94">
                  <c:v>0.67700000000000005</c:v>
                </c:pt>
                <c:pt idx="95">
                  <c:v>0.67700000000000005</c:v>
                </c:pt>
                <c:pt idx="96">
                  <c:v>0.67700000000000005</c:v>
                </c:pt>
                <c:pt idx="97">
                  <c:v>0.67700000000000005</c:v>
                </c:pt>
                <c:pt idx="98">
                  <c:v>0.67700000000000005</c:v>
                </c:pt>
                <c:pt idx="99">
                  <c:v>0.67700000000000005</c:v>
                </c:pt>
                <c:pt idx="100">
                  <c:v>0.67700000000000005</c:v>
                </c:pt>
                <c:pt idx="101">
                  <c:v>0.67700000000000005</c:v>
                </c:pt>
                <c:pt idx="102">
                  <c:v>0.67700000000000005</c:v>
                </c:pt>
                <c:pt idx="103">
                  <c:v>0.67700000000000005</c:v>
                </c:pt>
                <c:pt idx="104">
                  <c:v>0.67700000000000005</c:v>
                </c:pt>
                <c:pt idx="105">
                  <c:v>0.67700000000000005</c:v>
                </c:pt>
                <c:pt idx="106">
                  <c:v>0.67700000000000005</c:v>
                </c:pt>
                <c:pt idx="107">
                  <c:v>0.67700000000000005</c:v>
                </c:pt>
                <c:pt idx="108">
                  <c:v>0.67700000000000005</c:v>
                </c:pt>
                <c:pt idx="109">
                  <c:v>0.67700000000000005</c:v>
                </c:pt>
                <c:pt idx="110">
                  <c:v>0.67700000000000005</c:v>
                </c:pt>
                <c:pt idx="111">
                  <c:v>0.67700000000000005</c:v>
                </c:pt>
                <c:pt idx="112">
                  <c:v>0.67700000000000005</c:v>
                </c:pt>
                <c:pt idx="113">
                  <c:v>0.67700000000000005</c:v>
                </c:pt>
                <c:pt idx="114">
                  <c:v>0.67700000000000005</c:v>
                </c:pt>
                <c:pt idx="115">
                  <c:v>0.67700000000000005</c:v>
                </c:pt>
                <c:pt idx="116">
                  <c:v>0.67700000000000005</c:v>
                </c:pt>
                <c:pt idx="117">
                  <c:v>0.67700000000000005</c:v>
                </c:pt>
                <c:pt idx="118">
                  <c:v>0.67700000000000005</c:v>
                </c:pt>
                <c:pt idx="119">
                  <c:v>0.67700000000000005</c:v>
                </c:pt>
                <c:pt idx="120">
                  <c:v>0.67700000000000005</c:v>
                </c:pt>
                <c:pt idx="121">
                  <c:v>0.67700000000000005</c:v>
                </c:pt>
                <c:pt idx="122">
                  <c:v>0.67700000000000005</c:v>
                </c:pt>
                <c:pt idx="123">
                  <c:v>0.67700000000000005</c:v>
                </c:pt>
                <c:pt idx="124">
                  <c:v>0.67700000000000005</c:v>
                </c:pt>
                <c:pt idx="125">
                  <c:v>0.67700000000000005</c:v>
                </c:pt>
                <c:pt idx="126">
                  <c:v>0.67700000000000005</c:v>
                </c:pt>
                <c:pt idx="127">
                  <c:v>0.67700000000000005</c:v>
                </c:pt>
                <c:pt idx="128">
                  <c:v>0.67700000000000005</c:v>
                </c:pt>
                <c:pt idx="129">
                  <c:v>0.67700000000000005</c:v>
                </c:pt>
                <c:pt idx="130">
                  <c:v>0.67700000000000005</c:v>
                </c:pt>
                <c:pt idx="131">
                  <c:v>0.67700000000000005</c:v>
                </c:pt>
                <c:pt idx="132">
                  <c:v>0.67700000000000005</c:v>
                </c:pt>
                <c:pt idx="133">
                  <c:v>0.67700000000000005</c:v>
                </c:pt>
                <c:pt idx="134">
                  <c:v>0.67700000000000005</c:v>
                </c:pt>
                <c:pt idx="135">
                  <c:v>0.67700000000000005</c:v>
                </c:pt>
                <c:pt idx="136">
                  <c:v>0.67700000000000005</c:v>
                </c:pt>
                <c:pt idx="137">
                  <c:v>0.67700000000000005</c:v>
                </c:pt>
                <c:pt idx="138">
                  <c:v>0.67700000000000005</c:v>
                </c:pt>
                <c:pt idx="139">
                  <c:v>0.67700000000000005</c:v>
                </c:pt>
                <c:pt idx="140">
                  <c:v>0.67700000000000005</c:v>
                </c:pt>
                <c:pt idx="141">
                  <c:v>0.67700000000000005</c:v>
                </c:pt>
                <c:pt idx="142">
                  <c:v>0.67700000000000005</c:v>
                </c:pt>
                <c:pt idx="143">
                  <c:v>0.67700000000000005</c:v>
                </c:pt>
                <c:pt idx="144">
                  <c:v>0.67700000000000005</c:v>
                </c:pt>
                <c:pt idx="145">
                  <c:v>0.67700000000000005</c:v>
                </c:pt>
                <c:pt idx="146">
                  <c:v>0.67700000000000005</c:v>
                </c:pt>
                <c:pt idx="147">
                  <c:v>0.67700000000000005</c:v>
                </c:pt>
                <c:pt idx="148">
                  <c:v>0.67700000000000005</c:v>
                </c:pt>
                <c:pt idx="149">
                  <c:v>0.67700000000000005</c:v>
                </c:pt>
                <c:pt idx="150">
                  <c:v>0.67700000000000005</c:v>
                </c:pt>
                <c:pt idx="151">
                  <c:v>0.67700000000000005</c:v>
                </c:pt>
                <c:pt idx="152">
                  <c:v>0.67700000000000005</c:v>
                </c:pt>
                <c:pt idx="153">
                  <c:v>0.67700000000000005</c:v>
                </c:pt>
                <c:pt idx="154">
                  <c:v>0.67700000000000005</c:v>
                </c:pt>
                <c:pt idx="155">
                  <c:v>0.67700000000000005</c:v>
                </c:pt>
                <c:pt idx="156">
                  <c:v>0.67700000000000005</c:v>
                </c:pt>
                <c:pt idx="157">
                  <c:v>0.67700000000000005</c:v>
                </c:pt>
                <c:pt idx="158">
                  <c:v>0.67700000000000005</c:v>
                </c:pt>
                <c:pt idx="159">
                  <c:v>0.67700000000000005</c:v>
                </c:pt>
                <c:pt idx="160">
                  <c:v>0.67700000000000005</c:v>
                </c:pt>
                <c:pt idx="161">
                  <c:v>0.67700000000000005</c:v>
                </c:pt>
                <c:pt idx="162">
                  <c:v>0.67700000000000005</c:v>
                </c:pt>
                <c:pt idx="163">
                  <c:v>0.67700000000000005</c:v>
                </c:pt>
                <c:pt idx="164">
                  <c:v>0.67700000000000005</c:v>
                </c:pt>
                <c:pt idx="165">
                  <c:v>0.67700000000000005</c:v>
                </c:pt>
                <c:pt idx="166">
                  <c:v>0.67700000000000005</c:v>
                </c:pt>
                <c:pt idx="167">
                  <c:v>0.67700000000000005</c:v>
                </c:pt>
                <c:pt idx="168">
                  <c:v>0.67700000000000005</c:v>
                </c:pt>
                <c:pt idx="169">
                  <c:v>0.67700000000000005</c:v>
                </c:pt>
                <c:pt idx="170">
                  <c:v>0.67700000000000005</c:v>
                </c:pt>
                <c:pt idx="171">
                  <c:v>0.67700000000000005</c:v>
                </c:pt>
                <c:pt idx="172">
                  <c:v>0.67700000000000005</c:v>
                </c:pt>
                <c:pt idx="173">
                  <c:v>0.67700000000000005</c:v>
                </c:pt>
                <c:pt idx="174">
                  <c:v>0.67700000000000005</c:v>
                </c:pt>
                <c:pt idx="175">
                  <c:v>0.67700000000000005</c:v>
                </c:pt>
                <c:pt idx="176">
                  <c:v>0.67700000000000005</c:v>
                </c:pt>
                <c:pt idx="177">
                  <c:v>0.67700000000000005</c:v>
                </c:pt>
                <c:pt idx="178">
                  <c:v>0.67700000000000005</c:v>
                </c:pt>
                <c:pt idx="179">
                  <c:v>0.67700000000000005</c:v>
                </c:pt>
                <c:pt idx="180">
                  <c:v>0.67700000000000005</c:v>
                </c:pt>
                <c:pt idx="181">
                  <c:v>0.67700000000000005</c:v>
                </c:pt>
                <c:pt idx="182">
                  <c:v>0.67700000000000005</c:v>
                </c:pt>
                <c:pt idx="183">
                  <c:v>0.67700000000000005</c:v>
                </c:pt>
                <c:pt idx="184">
                  <c:v>0.67700000000000005</c:v>
                </c:pt>
                <c:pt idx="185">
                  <c:v>0.67700000000000005</c:v>
                </c:pt>
                <c:pt idx="186">
                  <c:v>0.67700000000000005</c:v>
                </c:pt>
                <c:pt idx="187">
                  <c:v>0.67700000000000005</c:v>
                </c:pt>
                <c:pt idx="188">
                  <c:v>0.67700000000000005</c:v>
                </c:pt>
                <c:pt idx="189">
                  <c:v>0.67700000000000005</c:v>
                </c:pt>
                <c:pt idx="190">
                  <c:v>0.67700000000000005</c:v>
                </c:pt>
                <c:pt idx="191">
                  <c:v>0.67700000000000005</c:v>
                </c:pt>
                <c:pt idx="192">
                  <c:v>0.67700000000000005</c:v>
                </c:pt>
                <c:pt idx="193">
                  <c:v>0.67700000000000005</c:v>
                </c:pt>
                <c:pt idx="194">
                  <c:v>0.67700000000000005</c:v>
                </c:pt>
                <c:pt idx="195">
                  <c:v>0.67700000000000005</c:v>
                </c:pt>
                <c:pt idx="196">
                  <c:v>0.67700000000000005</c:v>
                </c:pt>
                <c:pt idx="197">
                  <c:v>0.67700000000000005</c:v>
                </c:pt>
                <c:pt idx="198">
                  <c:v>0.67700000000000005</c:v>
                </c:pt>
                <c:pt idx="199">
                  <c:v>0.67700000000000005</c:v>
                </c:pt>
                <c:pt idx="200">
                  <c:v>0.67700000000000005</c:v>
                </c:pt>
                <c:pt idx="201">
                  <c:v>0.67700000000000005</c:v>
                </c:pt>
                <c:pt idx="202">
                  <c:v>0.67700000000000005</c:v>
                </c:pt>
                <c:pt idx="203">
                  <c:v>0.67700000000000005</c:v>
                </c:pt>
                <c:pt idx="204">
                  <c:v>0.67700000000000005</c:v>
                </c:pt>
                <c:pt idx="205">
                  <c:v>0.67700000000000005</c:v>
                </c:pt>
                <c:pt idx="206">
                  <c:v>0.67700000000000005</c:v>
                </c:pt>
                <c:pt idx="207">
                  <c:v>0.67700000000000005</c:v>
                </c:pt>
                <c:pt idx="208">
                  <c:v>0.67700000000000005</c:v>
                </c:pt>
                <c:pt idx="209">
                  <c:v>0.67700000000000005</c:v>
                </c:pt>
                <c:pt idx="210">
                  <c:v>0.67700000000000005</c:v>
                </c:pt>
                <c:pt idx="211">
                  <c:v>0.67700000000000005</c:v>
                </c:pt>
                <c:pt idx="212">
                  <c:v>0.67700000000000005</c:v>
                </c:pt>
                <c:pt idx="213">
                  <c:v>0.67700000000000005</c:v>
                </c:pt>
                <c:pt idx="214">
                  <c:v>0.67700000000000005</c:v>
                </c:pt>
                <c:pt idx="215">
                  <c:v>0.67700000000000005</c:v>
                </c:pt>
                <c:pt idx="216">
                  <c:v>0.67700000000000005</c:v>
                </c:pt>
                <c:pt idx="217">
                  <c:v>0.67700000000000005</c:v>
                </c:pt>
                <c:pt idx="218">
                  <c:v>0.67700000000000005</c:v>
                </c:pt>
                <c:pt idx="219">
                  <c:v>0.67700000000000005</c:v>
                </c:pt>
                <c:pt idx="220">
                  <c:v>0.67700000000000005</c:v>
                </c:pt>
                <c:pt idx="221">
                  <c:v>0.67700000000000005</c:v>
                </c:pt>
                <c:pt idx="222">
                  <c:v>0.67700000000000005</c:v>
                </c:pt>
                <c:pt idx="223">
                  <c:v>0.67700000000000005</c:v>
                </c:pt>
                <c:pt idx="224">
                  <c:v>0.67700000000000005</c:v>
                </c:pt>
                <c:pt idx="225">
                  <c:v>0.67700000000000005</c:v>
                </c:pt>
                <c:pt idx="226">
                  <c:v>0.67700000000000005</c:v>
                </c:pt>
                <c:pt idx="227">
                  <c:v>0.67700000000000005</c:v>
                </c:pt>
                <c:pt idx="228">
                  <c:v>0.67700000000000005</c:v>
                </c:pt>
                <c:pt idx="229">
                  <c:v>0.67700000000000005</c:v>
                </c:pt>
                <c:pt idx="230">
                  <c:v>0.67700000000000005</c:v>
                </c:pt>
                <c:pt idx="231">
                  <c:v>0.67700000000000005</c:v>
                </c:pt>
                <c:pt idx="232">
                  <c:v>0.67700000000000005</c:v>
                </c:pt>
                <c:pt idx="233">
                  <c:v>0.67700000000000005</c:v>
                </c:pt>
                <c:pt idx="234">
                  <c:v>0.67700000000000005</c:v>
                </c:pt>
                <c:pt idx="235">
                  <c:v>0.67700000000000005</c:v>
                </c:pt>
                <c:pt idx="236">
                  <c:v>0.67700000000000005</c:v>
                </c:pt>
                <c:pt idx="237">
                  <c:v>0.67700000000000005</c:v>
                </c:pt>
                <c:pt idx="238">
                  <c:v>0.67700000000000005</c:v>
                </c:pt>
                <c:pt idx="239">
                  <c:v>0.67700000000000005</c:v>
                </c:pt>
                <c:pt idx="240">
                  <c:v>0.67700000000000005</c:v>
                </c:pt>
                <c:pt idx="241">
                  <c:v>0.67700000000000005</c:v>
                </c:pt>
                <c:pt idx="242">
                  <c:v>0.67700000000000005</c:v>
                </c:pt>
                <c:pt idx="243">
                  <c:v>0.67700000000000005</c:v>
                </c:pt>
                <c:pt idx="244">
                  <c:v>0.67700000000000005</c:v>
                </c:pt>
                <c:pt idx="245">
                  <c:v>0.67700000000000005</c:v>
                </c:pt>
                <c:pt idx="246">
                  <c:v>0.67700000000000005</c:v>
                </c:pt>
                <c:pt idx="247">
                  <c:v>0.67700000000000005</c:v>
                </c:pt>
                <c:pt idx="248">
                  <c:v>0.67700000000000005</c:v>
                </c:pt>
                <c:pt idx="249">
                  <c:v>0.67700000000000005</c:v>
                </c:pt>
                <c:pt idx="250">
                  <c:v>0.67700000000000005</c:v>
                </c:pt>
                <c:pt idx="251">
                  <c:v>0.67700000000000005</c:v>
                </c:pt>
                <c:pt idx="252">
                  <c:v>0.67700000000000005</c:v>
                </c:pt>
                <c:pt idx="253">
                  <c:v>0.67700000000000005</c:v>
                </c:pt>
                <c:pt idx="254">
                  <c:v>0.67700000000000005</c:v>
                </c:pt>
                <c:pt idx="255">
                  <c:v>0.67700000000000005</c:v>
                </c:pt>
                <c:pt idx="256">
                  <c:v>0.67700000000000005</c:v>
                </c:pt>
                <c:pt idx="257">
                  <c:v>0.67700000000000005</c:v>
                </c:pt>
                <c:pt idx="258">
                  <c:v>0.67700000000000005</c:v>
                </c:pt>
                <c:pt idx="259">
                  <c:v>0.67700000000000005</c:v>
                </c:pt>
                <c:pt idx="260">
                  <c:v>0.67700000000000005</c:v>
                </c:pt>
                <c:pt idx="261">
                  <c:v>0.67700000000000005</c:v>
                </c:pt>
                <c:pt idx="262">
                  <c:v>0.67700000000000005</c:v>
                </c:pt>
                <c:pt idx="263">
                  <c:v>0.67700000000000005</c:v>
                </c:pt>
                <c:pt idx="264">
                  <c:v>0.67700000000000005</c:v>
                </c:pt>
                <c:pt idx="265">
                  <c:v>0.67700000000000005</c:v>
                </c:pt>
                <c:pt idx="266">
                  <c:v>0.67700000000000005</c:v>
                </c:pt>
                <c:pt idx="267">
                  <c:v>0.67700000000000005</c:v>
                </c:pt>
                <c:pt idx="268">
                  <c:v>0.67700000000000005</c:v>
                </c:pt>
                <c:pt idx="269">
                  <c:v>0.67700000000000005</c:v>
                </c:pt>
                <c:pt idx="270">
                  <c:v>0.67700000000000005</c:v>
                </c:pt>
                <c:pt idx="271">
                  <c:v>0.67700000000000005</c:v>
                </c:pt>
                <c:pt idx="272">
                  <c:v>0.67700000000000005</c:v>
                </c:pt>
                <c:pt idx="273">
                  <c:v>0.67700000000000005</c:v>
                </c:pt>
                <c:pt idx="274">
                  <c:v>0.67700000000000005</c:v>
                </c:pt>
                <c:pt idx="275">
                  <c:v>0.67700000000000005</c:v>
                </c:pt>
                <c:pt idx="276">
                  <c:v>0.67700000000000005</c:v>
                </c:pt>
                <c:pt idx="277">
                  <c:v>0.67700000000000005</c:v>
                </c:pt>
                <c:pt idx="278">
                  <c:v>0.67700000000000005</c:v>
                </c:pt>
                <c:pt idx="279">
                  <c:v>0.67700000000000005</c:v>
                </c:pt>
                <c:pt idx="280">
                  <c:v>0.67700000000000005</c:v>
                </c:pt>
                <c:pt idx="281">
                  <c:v>0.67700000000000005</c:v>
                </c:pt>
                <c:pt idx="282">
                  <c:v>0.67700000000000005</c:v>
                </c:pt>
                <c:pt idx="283">
                  <c:v>0.67700000000000005</c:v>
                </c:pt>
                <c:pt idx="284">
                  <c:v>0.67700000000000005</c:v>
                </c:pt>
                <c:pt idx="285">
                  <c:v>0.67700000000000005</c:v>
                </c:pt>
                <c:pt idx="286">
                  <c:v>0.67700000000000005</c:v>
                </c:pt>
                <c:pt idx="287">
                  <c:v>0.67700000000000005</c:v>
                </c:pt>
                <c:pt idx="288">
                  <c:v>0.67700000000000005</c:v>
                </c:pt>
                <c:pt idx="289">
                  <c:v>0.67700000000000005</c:v>
                </c:pt>
                <c:pt idx="290">
                  <c:v>0.67700000000000005</c:v>
                </c:pt>
                <c:pt idx="291">
                  <c:v>0.67700000000000005</c:v>
                </c:pt>
                <c:pt idx="292">
                  <c:v>0.67700000000000005</c:v>
                </c:pt>
                <c:pt idx="293">
                  <c:v>0.67700000000000005</c:v>
                </c:pt>
                <c:pt idx="294">
                  <c:v>0.67700000000000005</c:v>
                </c:pt>
                <c:pt idx="295">
                  <c:v>0.67700000000000005</c:v>
                </c:pt>
                <c:pt idx="296">
                  <c:v>0.67700000000000005</c:v>
                </c:pt>
                <c:pt idx="297">
                  <c:v>0.67700000000000005</c:v>
                </c:pt>
                <c:pt idx="298">
                  <c:v>0.67700000000000005</c:v>
                </c:pt>
                <c:pt idx="299">
                  <c:v>0.67700000000000005</c:v>
                </c:pt>
                <c:pt idx="300">
                  <c:v>0.67700000000000005</c:v>
                </c:pt>
                <c:pt idx="301">
                  <c:v>0.67700000000000005</c:v>
                </c:pt>
                <c:pt idx="302">
                  <c:v>0.67700000000000005</c:v>
                </c:pt>
                <c:pt idx="303">
                  <c:v>0.67700000000000005</c:v>
                </c:pt>
                <c:pt idx="304">
                  <c:v>0.67700000000000005</c:v>
                </c:pt>
                <c:pt idx="305">
                  <c:v>0.67700000000000005</c:v>
                </c:pt>
                <c:pt idx="306">
                  <c:v>0.67700000000000005</c:v>
                </c:pt>
                <c:pt idx="307">
                  <c:v>0.67700000000000005</c:v>
                </c:pt>
                <c:pt idx="308">
                  <c:v>0.67700000000000005</c:v>
                </c:pt>
                <c:pt idx="309">
                  <c:v>0.67700000000000005</c:v>
                </c:pt>
                <c:pt idx="310">
                  <c:v>0.67700000000000005</c:v>
                </c:pt>
                <c:pt idx="311">
                  <c:v>0.67700000000000005</c:v>
                </c:pt>
                <c:pt idx="312">
                  <c:v>0.67700000000000005</c:v>
                </c:pt>
                <c:pt idx="313">
                  <c:v>0.67700000000000005</c:v>
                </c:pt>
                <c:pt idx="314">
                  <c:v>0.67700000000000005</c:v>
                </c:pt>
                <c:pt idx="315">
                  <c:v>0.67700000000000005</c:v>
                </c:pt>
                <c:pt idx="316">
                  <c:v>0.67700000000000005</c:v>
                </c:pt>
                <c:pt idx="317">
                  <c:v>0.67700000000000005</c:v>
                </c:pt>
                <c:pt idx="318">
                  <c:v>0.67700000000000005</c:v>
                </c:pt>
                <c:pt idx="319">
                  <c:v>0.67700000000000005</c:v>
                </c:pt>
                <c:pt idx="320">
                  <c:v>0.67700000000000005</c:v>
                </c:pt>
                <c:pt idx="321">
                  <c:v>0.67700000000000005</c:v>
                </c:pt>
                <c:pt idx="322">
                  <c:v>0.67700000000000005</c:v>
                </c:pt>
                <c:pt idx="323">
                  <c:v>0.67700000000000005</c:v>
                </c:pt>
                <c:pt idx="324">
                  <c:v>0.67700000000000005</c:v>
                </c:pt>
                <c:pt idx="325">
                  <c:v>0.67700000000000005</c:v>
                </c:pt>
                <c:pt idx="326">
                  <c:v>0.67700000000000005</c:v>
                </c:pt>
                <c:pt idx="327">
                  <c:v>0.67700000000000005</c:v>
                </c:pt>
                <c:pt idx="328">
                  <c:v>0.67700000000000005</c:v>
                </c:pt>
                <c:pt idx="329">
                  <c:v>0.67700000000000005</c:v>
                </c:pt>
                <c:pt idx="330">
                  <c:v>0.67700000000000005</c:v>
                </c:pt>
                <c:pt idx="331">
                  <c:v>0.67700000000000005</c:v>
                </c:pt>
                <c:pt idx="332">
                  <c:v>0.67700000000000005</c:v>
                </c:pt>
                <c:pt idx="333">
                  <c:v>0.67700000000000005</c:v>
                </c:pt>
                <c:pt idx="334">
                  <c:v>0.67700000000000005</c:v>
                </c:pt>
                <c:pt idx="335">
                  <c:v>0.67700000000000005</c:v>
                </c:pt>
                <c:pt idx="336">
                  <c:v>0.67700000000000005</c:v>
                </c:pt>
                <c:pt idx="337">
                  <c:v>0.97299999999999998</c:v>
                </c:pt>
                <c:pt idx="338">
                  <c:v>0.96599999999999997</c:v>
                </c:pt>
                <c:pt idx="339">
                  <c:v>0.96099999999999997</c:v>
                </c:pt>
                <c:pt idx="340">
                  <c:v>0.95599999999999996</c:v>
                </c:pt>
                <c:pt idx="341">
                  <c:v>1.252</c:v>
                </c:pt>
                <c:pt idx="342">
                  <c:v>1.2490000000000001</c:v>
                </c:pt>
                <c:pt idx="343">
                  <c:v>1.2470000000000001</c:v>
                </c:pt>
                <c:pt idx="344">
                  <c:v>1.2430000000000001</c:v>
                </c:pt>
                <c:pt idx="345">
                  <c:v>1.236</c:v>
                </c:pt>
                <c:pt idx="346">
                  <c:v>1.5309999999999999</c:v>
                </c:pt>
                <c:pt idx="347">
                  <c:v>1.526</c:v>
                </c:pt>
                <c:pt idx="348">
                  <c:v>1.522</c:v>
                </c:pt>
                <c:pt idx="349">
                  <c:v>1.5189999999999999</c:v>
                </c:pt>
                <c:pt idx="350">
                  <c:v>1.8169999999999999</c:v>
                </c:pt>
                <c:pt idx="351">
                  <c:v>1.8129999999999999</c:v>
                </c:pt>
                <c:pt idx="352">
                  <c:v>1.81</c:v>
                </c:pt>
                <c:pt idx="353">
                  <c:v>1.806</c:v>
                </c:pt>
                <c:pt idx="354">
                  <c:v>1.8029999999999999</c:v>
                </c:pt>
                <c:pt idx="355">
                  <c:v>2.101</c:v>
                </c:pt>
                <c:pt idx="356">
                  <c:v>2.097</c:v>
                </c:pt>
                <c:pt idx="357">
                  <c:v>2.09</c:v>
                </c:pt>
                <c:pt idx="358">
                  <c:v>2.085</c:v>
                </c:pt>
                <c:pt idx="359">
                  <c:v>2.08</c:v>
                </c:pt>
                <c:pt idx="360">
                  <c:v>2.0760000000000001</c:v>
                </c:pt>
                <c:pt idx="361">
                  <c:v>2.073</c:v>
                </c:pt>
                <c:pt idx="362">
                  <c:v>2.0710000000000002</c:v>
                </c:pt>
                <c:pt idx="363">
                  <c:v>2.0680000000000001</c:v>
                </c:pt>
                <c:pt idx="364">
                  <c:v>2.0659999999999998</c:v>
                </c:pt>
                <c:pt idx="365">
                  <c:v>2.0619999999999998</c:v>
                </c:pt>
                <c:pt idx="366">
                  <c:v>2.0590000000000002</c:v>
                </c:pt>
                <c:pt idx="367">
                  <c:v>2.0550000000000002</c:v>
                </c:pt>
                <c:pt idx="368">
                  <c:v>2.052</c:v>
                </c:pt>
                <c:pt idx="369">
                  <c:v>2.0499999999999998</c:v>
                </c:pt>
                <c:pt idx="370">
                  <c:v>2.0459999999999998</c:v>
                </c:pt>
                <c:pt idx="371">
                  <c:v>2.0390000000000001</c:v>
                </c:pt>
                <c:pt idx="372">
                  <c:v>2.0339999999999998</c:v>
                </c:pt>
                <c:pt idx="373">
                  <c:v>2.0289999999999999</c:v>
                </c:pt>
                <c:pt idx="374">
                  <c:v>2.0249999999999999</c:v>
                </c:pt>
                <c:pt idx="375">
                  <c:v>2.0219999999999998</c:v>
                </c:pt>
                <c:pt idx="376">
                  <c:v>2.02</c:v>
                </c:pt>
                <c:pt idx="377">
                  <c:v>2.02</c:v>
                </c:pt>
                <c:pt idx="378">
                  <c:v>2.02</c:v>
                </c:pt>
                <c:pt idx="379">
                  <c:v>2.02</c:v>
                </c:pt>
                <c:pt idx="380">
                  <c:v>2.02</c:v>
                </c:pt>
                <c:pt idx="381">
                  <c:v>2.02</c:v>
                </c:pt>
                <c:pt idx="382">
                  <c:v>2.02</c:v>
                </c:pt>
                <c:pt idx="383">
                  <c:v>2.02</c:v>
                </c:pt>
                <c:pt idx="384">
                  <c:v>2.02</c:v>
                </c:pt>
                <c:pt idx="385">
                  <c:v>2.02</c:v>
                </c:pt>
                <c:pt idx="386">
                  <c:v>2.02</c:v>
                </c:pt>
                <c:pt idx="387">
                  <c:v>2.02</c:v>
                </c:pt>
                <c:pt idx="388">
                  <c:v>2.02</c:v>
                </c:pt>
                <c:pt idx="389">
                  <c:v>2.02</c:v>
                </c:pt>
                <c:pt idx="390">
                  <c:v>2.02</c:v>
                </c:pt>
                <c:pt idx="391">
                  <c:v>2.02</c:v>
                </c:pt>
                <c:pt idx="392">
                  <c:v>2.02</c:v>
                </c:pt>
                <c:pt idx="393">
                  <c:v>2.02</c:v>
                </c:pt>
                <c:pt idx="394">
                  <c:v>2.02</c:v>
                </c:pt>
                <c:pt idx="395">
                  <c:v>2.02</c:v>
                </c:pt>
                <c:pt idx="396">
                  <c:v>2.02</c:v>
                </c:pt>
                <c:pt idx="397">
                  <c:v>2.02</c:v>
                </c:pt>
                <c:pt idx="398">
                  <c:v>2.02</c:v>
                </c:pt>
                <c:pt idx="399">
                  <c:v>2.02</c:v>
                </c:pt>
                <c:pt idx="400">
                  <c:v>2.02</c:v>
                </c:pt>
                <c:pt idx="401">
                  <c:v>2.02</c:v>
                </c:pt>
                <c:pt idx="402">
                  <c:v>2.02</c:v>
                </c:pt>
                <c:pt idx="403">
                  <c:v>2.02</c:v>
                </c:pt>
                <c:pt idx="404">
                  <c:v>2.02</c:v>
                </c:pt>
                <c:pt idx="405">
                  <c:v>2.02</c:v>
                </c:pt>
                <c:pt idx="406">
                  <c:v>2.02</c:v>
                </c:pt>
                <c:pt idx="407">
                  <c:v>2.02</c:v>
                </c:pt>
                <c:pt idx="408">
                  <c:v>2.02</c:v>
                </c:pt>
                <c:pt idx="409">
                  <c:v>2.02</c:v>
                </c:pt>
                <c:pt idx="410">
                  <c:v>2.02</c:v>
                </c:pt>
                <c:pt idx="411">
                  <c:v>2.02</c:v>
                </c:pt>
                <c:pt idx="412">
                  <c:v>2.02</c:v>
                </c:pt>
                <c:pt idx="413">
                  <c:v>2.02</c:v>
                </c:pt>
                <c:pt idx="414">
                  <c:v>2.02</c:v>
                </c:pt>
                <c:pt idx="415">
                  <c:v>2.02</c:v>
                </c:pt>
                <c:pt idx="416">
                  <c:v>2.02</c:v>
                </c:pt>
                <c:pt idx="417">
                  <c:v>2.02</c:v>
                </c:pt>
                <c:pt idx="418">
                  <c:v>2.02</c:v>
                </c:pt>
                <c:pt idx="419">
                  <c:v>2.02</c:v>
                </c:pt>
                <c:pt idx="420">
                  <c:v>2.02</c:v>
                </c:pt>
                <c:pt idx="421">
                  <c:v>2.02</c:v>
                </c:pt>
                <c:pt idx="422">
                  <c:v>2.02</c:v>
                </c:pt>
                <c:pt idx="423">
                  <c:v>2.02</c:v>
                </c:pt>
                <c:pt idx="424">
                  <c:v>2.02</c:v>
                </c:pt>
                <c:pt idx="425">
                  <c:v>2.02</c:v>
                </c:pt>
                <c:pt idx="426">
                  <c:v>2.02</c:v>
                </c:pt>
                <c:pt idx="427">
                  <c:v>2.02</c:v>
                </c:pt>
                <c:pt idx="428">
                  <c:v>2.02</c:v>
                </c:pt>
                <c:pt idx="429">
                  <c:v>2.02</c:v>
                </c:pt>
                <c:pt idx="430">
                  <c:v>2.02</c:v>
                </c:pt>
                <c:pt idx="431">
                  <c:v>2.02</c:v>
                </c:pt>
                <c:pt idx="432">
                  <c:v>2.02</c:v>
                </c:pt>
                <c:pt idx="433">
                  <c:v>2.02</c:v>
                </c:pt>
                <c:pt idx="434">
                  <c:v>2.02</c:v>
                </c:pt>
                <c:pt idx="435">
                  <c:v>2.02</c:v>
                </c:pt>
                <c:pt idx="436">
                  <c:v>2.02</c:v>
                </c:pt>
                <c:pt idx="437">
                  <c:v>2.02</c:v>
                </c:pt>
                <c:pt idx="438">
                  <c:v>2.02</c:v>
                </c:pt>
                <c:pt idx="439">
                  <c:v>2.02</c:v>
                </c:pt>
                <c:pt idx="440">
                  <c:v>2.02</c:v>
                </c:pt>
                <c:pt idx="441">
                  <c:v>2.02</c:v>
                </c:pt>
                <c:pt idx="442">
                  <c:v>2.02</c:v>
                </c:pt>
                <c:pt idx="443">
                  <c:v>2.02</c:v>
                </c:pt>
                <c:pt idx="444">
                  <c:v>2.02</c:v>
                </c:pt>
                <c:pt idx="445">
                  <c:v>2.02</c:v>
                </c:pt>
                <c:pt idx="446">
                  <c:v>2.02</c:v>
                </c:pt>
                <c:pt idx="447">
                  <c:v>2.02</c:v>
                </c:pt>
                <c:pt idx="448">
                  <c:v>2.02</c:v>
                </c:pt>
                <c:pt idx="449">
                  <c:v>2.02</c:v>
                </c:pt>
                <c:pt idx="450">
                  <c:v>2.02</c:v>
                </c:pt>
                <c:pt idx="451">
                  <c:v>2.02</c:v>
                </c:pt>
                <c:pt idx="452">
                  <c:v>2.02</c:v>
                </c:pt>
                <c:pt idx="453">
                  <c:v>2.02</c:v>
                </c:pt>
                <c:pt idx="454">
                  <c:v>2.02</c:v>
                </c:pt>
                <c:pt idx="455">
                  <c:v>2.02</c:v>
                </c:pt>
                <c:pt idx="456">
                  <c:v>2.02</c:v>
                </c:pt>
                <c:pt idx="457">
                  <c:v>2.02</c:v>
                </c:pt>
                <c:pt idx="458">
                  <c:v>2.02</c:v>
                </c:pt>
                <c:pt idx="459">
                  <c:v>2.02</c:v>
                </c:pt>
                <c:pt idx="460">
                  <c:v>2.02</c:v>
                </c:pt>
                <c:pt idx="461">
                  <c:v>2.02</c:v>
                </c:pt>
                <c:pt idx="462">
                  <c:v>2.02</c:v>
                </c:pt>
                <c:pt idx="463">
                  <c:v>2.02</c:v>
                </c:pt>
                <c:pt idx="464">
                  <c:v>2.02</c:v>
                </c:pt>
                <c:pt idx="465">
                  <c:v>2.02</c:v>
                </c:pt>
                <c:pt idx="466">
                  <c:v>2.02</c:v>
                </c:pt>
                <c:pt idx="467">
                  <c:v>2.02</c:v>
                </c:pt>
                <c:pt idx="468">
                  <c:v>2.02</c:v>
                </c:pt>
                <c:pt idx="469">
                  <c:v>2.02</c:v>
                </c:pt>
                <c:pt idx="470">
                  <c:v>2.02</c:v>
                </c:pt>
                <c:pt idx="471">
                  <c:v>2.02</c:v>
                </c:pt>
                <c:pt idx="472">
                  <c:v>2.02</c:v>
                </c:pt>
                <c:pt idx="473">
                  <c:v>2.02</c:v>
                </c:pt>
                <c:pt idx="474">
                  <c:v>2.02</c:v>
                </c:pt>
                <c:pt idx="475">
                  <c:v>2.02</c:v>
                </c:pt>
                <c:pt idx="476">
                  <c:v>2.02</c:v>
                </c:pt>
                <c:pt idx="477">
                  <c:v>2.02</c:v>
                </c:pt>
                <c:pt idx="478">
                  <c:v>2.02</c:v>
                </c:pt>
                <c:pt idx="479">
                  <c:v>2.02</c:v>
                </c:pt>
                <c:pt idx="480">
                  <c:v>2.02</c:v>
                </c:pt>
                <c:pt idx="481">
                  <c:v>2.02</c:v>
                </c:pt>
                <c:pt idx="482">
                  <c:v>2.02</c:v>
                </c:pt>
                <c:pt idx="483">
                  <c:v>2.02</c:v>
                </c:pt>
                <c:pt idx="484">
                  <c:v>2.02</c:v>
                </c:pt>
                <c:pt idx="485">
                  <c:v>2.02</c:v>
                </c:pt>
                <c:pt idx="486">
                  <c:v>2.02</c:v>
                </c:pt>
                <c:pt idx="487">
                  <c:v>2.02</c:v>
                </c:pt>
                <c:pt idx="488">
                  <c:v>2.02</c:v>
                </c:pt>
                <c:pt idx="489">
                  <c:v>2.02</c:v>
                </c:pt>
                <c:pt idx="490">
                  <c:v>2.02</c:v>
                </c:pt>
                <c:pt idx="491">
                  <c:v>2.02</c:v>
                </c:pt>
                <c:pt idx="492">
                  <c:v>2.02</c:v>
                </c:pt>
                <c:pt idx="493">
                  <c:v>2.02</c:v>
                </c:pt>
                <c:pt idx="494">
                  <c:v>2.02</c:v>
                </c:pt>
                <c:pt idx="495">
                  <c:v>2.02</c:v>
                </c:pt>
                <c:pt idx="496">
                  <c:v>2.02</c:v>
                </c:pt>
                <c:pt idx="497">
                  <c:v>2.02</c:v>
                </c:pt>
                <c:pt idx="498">
                  <c:v>2.02</c:v>
                </c:pt>
                <c:pt idx="499">
                  <c:v>2.02</c:v>
                </c:pt>
                <c:pt idx="500">
                  <c:v>2.02</c:v>
                </c:pt>
                <c:pt idx="501">
                  <c:v>2.02</c:v>
                </c:pt>
                <c:pt idx="502">
                  <c:v>2.02</c:v>
                </c:pt>
                <c:pt idx="503">
                  <c:v>2.02</c:v>
                </c:pt>
                <c:pt idx="504">
                  <c:v>2.02</c:v>
                </c:pt>
                <c:pt idx="505">
                  <c:v>2.02</c:v>
                </c:pt>
                <c:pt idx="506">
                  <c:v>2.02</c:v>
                </c:pt>
                <c:pt idx="507">
                  <c:v>2.02</c:v>
                </c:pt>
                <c:pt idx="508">
                  <c:v>2.02</c:v>
                </c:pt>
                <c:pt idx="509">
                  <c:v>2.02</c:v>
                </c:pt>
                <c:pt idx="510">
                  <c:v>2.02</c:v>
                </c:pt>
                <c:pt idx="511">
                  <c:v>2.02</c:v>
                </c:pt>
                <c:pt idx="512">
                  <c:v>2.02</c:v>
                </c:pt>
                <c:pt idx="513">
                  <c:v>2.02</c:v>
                </c:pt>
                <c:pt idx="514">
                  <c:v>2.2999999999999998</c:v>
                </c:pt>
                <c:pt idx="515">
                  <c:v>2.29</c:v>
                </c:pt>
                <c:pt idx="516">
                  <c:v>2.2799999999999998</c:v>
                </c:pt>
                <c:pt idx="517">
                  <c:v>2.27</c:v>
                </c:pt>
                <c:pt idx="518">
                  <c:v>2.5630000000000002</c:v>
                </c:pt>
                <c:pt idx="519">
                  <c:v>2.5529999999999999</c:v>
                </c:pt>
                <c:pt idx="520">
                  <c:v>2.5430000000000001</c:v>
                </c:pt>
                <c:pt idx="521">
                  <c:v>2.5329999999999999</c:v>
                </c:pt>
                <c:pt idx="522">
                  <c:v>2.5259999999999998</c:v>
                </c:pt>
                <c:pt idx="523">
                  <c:v>2.819</c:v>
                </c:pt>
                <c:pt idx="524">
                  <c:v>2.8090000000000002</c:v>
                </c:pt>
                <c:pt idx="525">
                  <c:v>2.8010000000000002</c:v>
                </c:pt>
                <c:pt idx="526">
                  <c:v>2.7919999999999998</c:v>
                </c:pt>
                <c:pt idx="527">
                  <c:v>2.7850000000000001</c:v>
                </c:pt>
                <c:pt idx="528">
                  <c:v>3.0750000000000002</c:v>
                </c:pt>
                <c:pt idx="529">
                  <c:v>3.0649999999999999</c:v>
                </c:pt>
                <c:pt idx="530">
                  <c:v>3.0550000000000002</c:v>
                </c:pt>
                <c:pt idx="531">
                  <c:v>3.0459999999999998</c:v>
                </c:pt>
                <c:pt idx="532">
                  <c:v>3.3380000000000001</c:v>
                </c:pt>
                <c:pt idx="533">
                  <c:v>3.3290000000000002</c:v>
                </c:pt>
                <c:pt idx="534">
                  <c:v>3.3210000000000002</c:v>
                </c:pt>
                <c:pt idx="535">
                  <c:v>3.3119999999999998</c:v>
                </c:pt>
                <c:pt idx="536">
                  <c:v>3.3039999999999998</c:v>
                </c:pt>
                <c:pt idx="537">
                  <c:v>3.5950000000000002</c:v>
                </c:pt>
                <c:pt idx="538">
                  <c:v>3.5870000000000002</c:v>
                </c:pt>
                <c:pt idx="539">
                  <c:v>3.5779999999999998</c:v>
                </c:pt>
                <c:pt idx="540">
                  <c:v>3.57</c:v>
                </c:pt>
                <c:pt idx="541">
                  <c:v>3.5630000000000002</c:v>
                </c:pt>
                <c:pt idx="542">
                  <c:v>3.5539999999999998</c:v>
                </c:pt>
                <c:pt idx="543">
                  <c:v>3.5459999999999998</c:v>
                </c:pt>
                <c:pt idx="544">
                  <c:v>3.5379999999999998</c:v>
                </c:pt>
                <c:pt idx="545">
                  <c:v>3.5289999999999999</c:v>
                </c:pt>
                <c:pt idx="546">
                  <c:v>3.5209999999999999</c:v>
                </c:pt>
                <c:pt idx="547">
                  <c:v>3.512</c:v>
                </c:pt>
                <c:pt idx="548">
                  <c:v>3.504</c:v>
                </c:pt>
                <c:pt idx="549">
                  <c:v>3.4969999999999999</c:v>
                </c:pt>
                <c:pt idx="550">
                  <c:v>3.488</c:v>
                </c:pt>
                <c:pt idx="551">
                  <c:v>3.48</c:v>
                </c:pt>
                <c:pt idx="552">
                  <c:v>3.4729999999999999</c:v>
                </c:pt>
                <c:pt idx="553">
                  <c:v>3.4660000000000002</c:v>
                </c:pt>
                <c:pt idx="554">
                  <c:v>3.46</c:v>
                </c:pt>
                <c:pt idx="555">
                  <c:v>3.452</c:v>
                </c:pt>
                <c:pt idx="556">
                  <c:v>3.4449999999999998</c:v>
                </c:pt>
                <c:pt idx="557">
                  <c:v>3.4359999999999999</c:v>
                </c:pt>
                <c:pt idx="558">
                  <c:v>3.4279999999999999</c:v>
                </c:pt>
                <c:pt idx="559">
                  <c:v>3.42</c:v>
                </c:pt>
                <c:pt idx="560">
                  <c:v>3.411</c:v>
                </c:pt>
                <c:pt idx="561">
                  <c:v>3.403</c:v>
                </c:pt>
                <c:pt idx="562">
                  <c:v>3.3940000000000001</c:v>
                </c:pt>
                <c:pt idx="563">
                  <c:v>3.3860000000000001</c:v>
                </c:pt>
                <c:pt idx="564">
                  <c:v>3.379</c:v>
                </c:pt>
                <c:pt idx="565">
                  <c:v>3.37</c:v>
                </c:pt>
                <c:pt idx="566">
                  <c:v>3.3620000000000001</c:v>
                </c:pt>
                <c:pt idx="567">
                  <c:v>3.355</c:v>
                </c:pt>
                <c:pt idx="568">
                  <c:v>3.3479999999999999</c:v>
                </c:pt>
                <c:pt idx="569">
                  <c:v>3.3420000000000001</c:v>
                </c:pt>
                <c:pt idx="570">
                  <c:v>3.339</c:v>
                </c:pt>
                <c:pt idx="571">
                  <c:v>3.3370000000000002</c:v>
                </c:pt>
                <c:pt idx="572">
                  <c:v>3.3330000000000002</c:v>
                </c:pt>
                <c:pt idx="573">
                  <c:v>3.33</c:v>
                </c:pt>
                <c:pt idx="574">
                  <c:v>3.3260000000000001</c:v>
                </c:pt>
                <c:pt idx="575">
                  <c:v>3.323</c:v>
                </c:pt>
                <c:pt idx="576">
                  <c:v>3.3210000000000002</c:v>
                </c:pt>
                <c:pt idx="577">
                  <c:v>3.3170000000000002</c:v>
                </c:pt>
                <c:pt idx="578">
                  <c:v>3.31</c:v>
                </c:pt>
                <c:pt idx="579">
                  <c:v>3.3050000000000002</c:v>
                </c:pt>
                <c:pt idx="580">
                  <c:v>3.3</c:v>
                </c:pt>
                <c:pt idx="581">
                  <c:v>3.2959999999999998</c:v>
                </c:pt>
                <c:pt idx="582">
                  <c:v>3.2930000000000001</c:v>
                </c:pt>
                <c:pt idx="583">
                  <c:v>3.2909999999999999</c:v>
                </c:pt>
                <c:pt idx="584">
                  <c:v>3.2869999999999999</c:v>
                </c:pt>
                <c:pt idx="585">
                  <c:v>3.28</c:v>
                </c:pt>
                <c:pt idx="586">
                  <c:v>3.2749999999999999</c:v>
                </c:pt>
                <c:pt idx="587">
                  <c:v>3.27</c:v>
                </c:pt>
                <c:pt idx="588">
                  <c:v>3.266</c:v>
                </c:pt>
                <c:pt idx="589">
                  <c:v>3.2629999999999999</c:v>
                </c:pt>
                <c:pt idx="590">
                  <c:v>3.2610000000000001</c:v>
                </c:pt>
                <c:pt idx="591">
                  <c:v>3.2570000000000001</c:v>
                </c:pt>
                <c:pt idx="592">
                  <c:v>3.254</c:v>
                </c:pt>
                <c:pt idx="593">
                  <c:v>3.25</c:v>
                </c:pt>
                <c:pt idx="594">
                  <c:v>3.2469999999999999</c:v>
                </c:pt>
                <c:pt idx="595">
                  <c:v>3.2450000000000001</c:v>
                </c:pt>
                <c:pt idx="596">
                  <c:v>3.2410000000000001</c:v>
                </c:pt>
                <c:pt idx="597">
                  <c:v>3.234</c:v>
                </c:pt>
                <c:pt idx="598">
                  <c:v>3.2290000000000001</c:v>
                </c:pt>
                <c:pt idx="599">
                  <c:v>3.2240000000000002</c:v>
                </c:pt>
                <c:pt idx="600">
                  <c:v>3.22</c:v>
                </c:pt>
                <c:pt idx="601">
                  <c:v>3.2170000000000001</c:v>
                </c:pt>
                <c:pt idx="602">
                  <c:v>3.2149999999999999</c:v>
                </c:pt>
                <c:pt idx="603">
                  <c:v>3.2109999999999999</c:v>
                </c:pt>
                <c:pt idx="604">
                  <c:v>3.2040000000000002</c:v>
                </c:pt>
                <c:pt idx="605">
                  <c:v>3.1989999999999998</c:v>
                </c:pt>
                <c:pt idx="606">
                  <c:v>3.194</c:v>
                </c:pt>
                <c:pt idx="607">
                  <c:v>3.19</c:v>
                </c:pt>
                <c:pt idx="608">
                  <c:v>3.1869999999999998</c:v>
                </c:pt>
                <c:pt idx="609">
                  <c:v>3.1850000000000001</c:v>
                </c:pt>
                <c:pt idx="610">
                  <c:v>3.181</c:v>
                </c:pt>
                <c:pt idx="611">
                  <c:v>3.1789999999999998</c:v>
                </c:pt>
                <c:pt idx="612">
                  <c:v>3.1749999999999998</c:v>
                </c:pt>
                <c:pt idx="613">
                  <c:v>3.1739999999999999</c:v>
                </c:pt>
                <c:pt idx="614">
                  <c:v>3.173</c:v>
                </c:pt>
                <c:pt idx="615">
                  <c:v>3.1720000000000002</c:v>
                </c:pt>
                <c:pt idx="616">
                  <c:v>3.169</c:v>
                </c:pt>
                <c:pt idx="617">
                  <c:v>3.1680000000000001</c:v>
                </c:pt>
                <c:pt idx="618">
                  <c:v>3.1659999999999999</c:v>
                </c:pt>
                <c:pt idx="619">
                  <c:v>3.165</c:v>
                </c:pt>
                <c:pt idx="620">
                  <c:v>3.1629999999999998</c:v>
                </c:pt>
                <c:pt idx="621">
                  <c:v>3.161</c:v>
                </c:pt>
                <c:pt idx="622">
                  <c:v>3.1579999999999999</c:v>
                </c:pt>
                <c:pt idx="623">
                  <c:v>3.157</c:v>
                </c:pt>
                <c:pt idx="624">
                  <c:v>3.1549999999999998</c:v>
                </c:pt>
                <c:pt idx="625">
                  <c:v>3.153</c:v>
                </c:pt>
                <c:pt idx="626">
                  <c:v>3.1520000000000001</c:v>
                </c:pt>
                <c:pt idx="627">
                  <c:v>3.15</c:v>
                </c:pt>
                <c:pt idx="628">
                  <c:v>3.1459999999999999</c:v>
                </c:pt>
                <c:pt idx="629">
                  <c:v>3.1440000000000001</c:v>
                </c:pt>
                <c:pt idx="630">
                  <c:v>3.1419999999999999</c:v>
                </c:pt>
                <c:pt idx="631">
                  <c:v>3.141</c:v>
                </c:pt>
                <c:pt idx="632">
                  <c:v>3.1389999999999998</c:v>
                </c:pt>
                <c:pt idx="633">
                  <c:v>3.1360000000000001</c:v>
                </c:pt>
                <c:pt idx="634">
                  <c:v>3.1339999999999999</c:v>
                </c:pt>
                <c:pt idx="635">
                  <c:v>3.1309999999999998</c:v>
                </c:pt>
                <c:pt idx="636">
                  <c:v>3.1269999999999998</c:v>
                </c:pt>
                <c:pt idx="637">
                  <c:v>3.1240000000000001</c:v>
                </c:pt>
                <c:pt idx="638">
                  <c:v>3.1230000000000002</c:v>
                </c:pt>
                <c:pt idx="639">
                  <c:v>3.121</c:v>
                </c:pt>
                <c:pt idx="640">
                  <c:v>3.1179999999999999</c:v>
                </c:pt>
                <c:pt idx="641">
                  <c:v>3.1150000000000002</c:v>
                </c:pt>
                <c:pt idx="642">
                  <c:v>3.1110000000000002</c:v>
                </c:pt>
                <c:pt idx="643">
                  <c:v>3.1080000000000001</c:v>
                </c:pt>
                <c:pt idx="644">
                  <c:v>3.1040000000000001</c:v>
                </c:pt>
                <c:pt idx="645">
                  <c:v>3.1</c:v>
                </c:pt>
                <c:pt idx="646">
                  <c:v>3.0990000000000002</c:v>
                </c:pt>
                <c:pt idx="647">
                  <c:v>3.097</c:v>
                </c:pt>
                <c:pt idx="648">
                  <c:v>3.0960000000000001</c:v>
                </c:pt>
                <c:pt idx="649">
                  <c:v>3.093</c:v>
                </c:pt>
                <c:pt idx="650">
                  <c:v>3.0910000000000002</c:v>
                </c:pt>
                <c:pt idx="651">
                  <c:v>3.09</c:v>
                </c:pt>
                <c:pt idx="652">
                  <c:v>3.0870000000000002</c:v>
                </c:pt>
                <c:pt idx="653">
                  <c:v>3.0840000000000001</c:v>
                </c:pt>
                <c:pt idx="654">
                  <c:v>3.081</c:v>
                </c:pt>
                <c:pt idx="655">
                  <c:v>3.0779999999999998</c:v>
                </c:pt>
                <c:pt idx="656">
                  <c:v>3.0760000000000001</c:v>
                </c:pt>
                <c:pt idx="657">
                  <c:v>3.0739999999999998</c:v>
                </c:pt>
                <c:pt idx="658">
                  <c:v>3.0720000000000001</c:v>
                </c:pt>
                <c:pt idx="659">
                  <c:v>3.0710000000000002</c:v>
                </c:pt>
                <c:pt idx="660">
                  <c:v>3.0680000000000001</c:v>
                </c:pt>
                <c:pt idx="661">
                  <c:v>3.0659999999999998</c:v>
                </c:pt>
                <c:pt idx="662">
                  <c:v>3.0640000000000001</c:v>
                </c:pt>
                <c:pt idx="663">
                  <c:v>3.0630000000000002</c:v>
                </c:pt>
                <c:pt idx="664">
                  <c:v>3.06</c:v>
                </c:pt>
                <c:pt idx="665">
                  <c:v>3.0569999999999999</c:v>
                </c:pt>
                <c:pt idx="666">
                  <c:v>3.0550000000000002</c:v>
                </c:pt>
                <c:pt idx="667">
                  <c:v>3.0529999999999999</c:v>
                </c:pt>
                <c:pt idx="668">
                  <c:v>3.05</c:v>
                </c:pt>
                <c:pt idx="669">
                  <c:v>3.0470000000000002</c:v>
                </c:pt>
                <c:pt idx="670">
                  <c:v>3.0449999999999999</c:v>
                </c:pt>
                <c:pt idx="671">
                  <c:v>3.0430000000000001</c:v>
                </c:pt>
                <c:pt idx="672">
                  <c:v>3.0419999999999998</c:v>
                </c:pt>
                <c:pt idx="673">
                  <c:v>3.04</c:v>
                </c:pt>
                <c:pt idx="674">
                  <c:v>3.0390000000000001</c:v>
                </c:pt>
                <c:pt idx="675">
                  <c:v>3.0379999999999998</c:v>
                </c:pt>
                <c:pt idx="676">
                  <c:v>3.036</c:v>
                </c:pt>
                <c:pt idx="677">
                  <c:v>3.0350000000000001</c:v>
                </c:pt>
                <c:pt idx="678">
                  <c:v>3.0339999999999998</c:v>
                </c:pt>
                <c:pt idx="679">
                  <c:v>3.0310000000000001</c:v>
                </c:pt>
                <c:pt idx="680">
                  <c:v>3.03</c:v>
                </c:pt>
                <c:pt idx="681">
                  <c:v>3.0289999999999999</c:v>
                </c:pt>
                <c:pt idx="682">
                  <c:v>3.0270000000000001</c:v>
                </c:pt>
                <c:pt idx="683">
                  <c:v>3.0259999999999998</c:v>
                </c:pt>
                <c:pt idx="684">
                  <c:v>3.024</c:v>
                </c:pt>
                <c:pt idx="685">
                  <c:v>3.0230000000000001</c:v>
                </c:pt>
                <c:pt idx="686">
                  <c:v>3.0209999999999999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49-4C12-A0BF-1EA74933D6C8}"/>
            </c:ext>
          </c:extLst>
        </c:ser>
        <c:ser>
          <c:idx val="4"/>
          <c:order val="4"/>
          <c:tx>
            <c:strRef>
              <c:f>'SL.114+320'!$E$12:$E$13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'SL.114+320'!$A$14:$A$699</c:f>
              <c:numCache>
                <c:formatCode>dd/mm/yyyy;@</c:formatCode>
                <c:ptCount val="686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</c:numCache>
            </c:numRef>
          </c:xVal>
          <c:yVal>
            <c:numRef>
              <c:f>'SL.114+320'!$D$14:$D$699</c:f>
              <c:numCache>
                <c:formatCode>0.000</c:formatCode>
                <c:ptCount val="6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0.02</c:v>
                </c:pt>
                <c:pt idx="25">
                  <c:v>0.313</c:v>
                </c:pt>
                <c:pt idx="26">
                  <c:v>0.313</c:v>
                </c:pt>
                <c:pt idx="27">
                  <c:v>0.313</c:v>
                </c:pt>
                <c:pt idx="28">
                  <c:v>0.313</c:v>
                </c:pt>
                <c:pt idx="29">
                  <c:v>0.60599999999999998</c:v>
                </c:pt>
                <c:pt idx="30">
                  <c:v>0.60599999999999998</c:v>
                </c:pt>
                <c:pt idx="31">
                  <c:v>0.60599999999999998</c:v>
                </c:pt>
                <c:pt idx="32">
                  <c:v>0.60599999999999998</c:v>
                </c:pt>
                <c:pt idx="33">
                  <c:v>0.89900000000000002</c:v>
                </c:pt>
                <c:pt idx="34">
                  <c:v>0.89900000000000002</c:v>
                </c:pt>
                <c:pt idx="35">
                  <c:v>0.89900000000000002</c:v>
                </c:pt>
                <c:pt idx="36">
                  <c:v>0.89900000000000002</c:v>
                </c:pt>
                <c:pt idx="37">
                  <c:v>0.89900000000000002</c:v>
                </c:pt>
                <c:pt idx="38">
                  <c:v>0.89900000000000002</c:v>
                </c:pt>
                <c:pt idx="39">
                  <c:v>0.89900000000000002</c:v>
                </c:pt>
                <c:pt idx="40">
                  <c:v>0.89900000000000002</c:v>
                </c:pt>
                <c:pt idx="41">
                  <c:v>0.89900000000000002</c:v>
                </c:pt>
                <c:pt idx="42">
                  <c:v>0.89900000000000002</c:v>
                </c:pt>
                <c:pt idx="43">
                  <c:v>0.89900000000000002</c:v>
                </c:pt>
                <c:pt idx="44">
                  <c:v>0.89900000000000002</c:v>
                </c:pt>
                <c:pt idx="45">
                  <c:v>0.89900000000000002</c:v>
                </c:pt>
                <c:pt idx="46">
                  <c:v>0.89900000000000002</c:v>
                </c:pt>
                <c:pt idx="47">
                  <c:v>0.89900000000000002</c:v>
                </c:pt>
                <c:pt idx="48">
                  <c:v>0.89900000000000002</c:v>
                </c:pt>
                <c:pt idx="49">
                  <c:v>0.89900000000000002</c:v>
                </c:pt>
                <c:pt idx="50">
                  <c:v>0.89900000000000002</c:v>
                </c:pt>
                <c:pt idx="51">
                  <c:v>0.89900000000000002</c:v>
                </c:pt>
                <c:pt idx="52">
                  <c:v>0.89900000000000002</c:v>
                </c:pt>
                <c:pt idx="53">
                  <c:v>0.89900000000000002</c:v>
                </c:pt>
                <c:pt idx="54">
                  <c:v>0.89900000000000002</c:v>
                </c:pt>
                <c:pt idx="55">
                  <c:v>0.89900000000000002</c:v>
                </c:pt>
                <c:pt idx="56">
                  <c:v>0.89900000000000002</c:v>
                </c:pt>
                <c:pt idx="57">
                  <c:v>0.89900000000000002</c:v>
                </c:pt>
                <c:pt idx="58">
                  <c:v>0.89900000000000002</c:v>
                </c:pt>
                <c:pt idx="59">
                  <c:v>0.89900000000000002</c:v>
                </c:pt>
                <c:pt idx="60">
                  <c:v>0.89900000000000002</c:v>
                </c:pt>
                <c:pt idx="61">
                  <c:v>0.89900000000000002</c:v>
                </c:pt>
                <c:pt idx="62">
                  <c:v>0.89900000000000002</c:v>
                </c:pt>
                <c:pt idx="63">
                  <c:v>0.89900000000000002</c:v>
                </c:pt>
                <c:pt idx="64">
                  <c:v>0.89900000000000002</c:v>
                </c:pt>
                <c:pt idx="65">
                  <c:v>0.89900000000000002</c:v>
                </c:pt>
                <c:pt idx="66">
                  <c:v>0.89900000000000002</c:v>
                </c:pt>
                <c:pt idx="67">
                  <c:v>0.89900000000000002</c:v>
                </c:pt>
                <c:pt idx="68">
                  <c:v>0.89900000000000002</c:v>
                </c:pt>
                <c:pt idx="69">
                  <c:v>0.89900000000000002</c:v>
                </c:pt>
                <c:pt idx="70">
                  <c:v>0.89900000000000002</c:v>
                </c:pt>
                <c:pt idx="71">
                  <c:v>0.89900000000000002</c:v>
                </c:pt>
                <c:pt idx="72">
                  <c:v>0.89900000000000002</c:v>
                </c:pt>
                <c:pt idx="73">
                  <c:v>0.89900000000000002</c:v>
                </c:pt>
                <c:pt idx="74">
                  <c:v>0.89900000000000002</c:v>
                </c:pt>
                <c:pt idx="75">
                  <c:v>0.89900000000000002</c:v>
                </c:pt>
                <c:pt idx="76">
                  <c:v>0.89900000000000002</c:v>
                </c:pt>
                <c:pt idx="77">
                  <c:v>0.89900000000000002</c:v>
                </c:pt>
                <c:pt idx="78">
                  <c:v>0.89900000000000002</c:v>
                </c:pt>
                <c:pt idx="79">
                  <c:v>0.89900000000000002</c:v>
                </c:pt>
                <c:pt idx="80">
                  <c:v>0.89900000000000002</c:v>
                </c:pt>
                <c:pt idx="81">
                  <c:v>0.89900000000000002</c:v>
                </c:pt>
                <c:pt idx="82">
                  <c:v>0.89900000000000002</c:v>
                </c:pt>
                <c:pt idx="83">
                  <c:v>0.89900000000000002</c:v>
                </c:pt>
                <c:pt idx="84">
                  <c:v>0.89900000000000002</c:v>
                </c:pt>
                <c:pt idx="85">
                  <c:v>0.89900000000000002</c:v>
                </c:pt>
                <c:pt idx="86">
                  <c:v>0.89900000000000002</c:v>
                </c:pt>
                <c:pt idx="87">
                  <c:v>0.89900000000000002</c:v>
                </c:pt>
                <c:pt idx="88">
                  <c:v>0.89900000000000002</c:v>
                </c:pt>
                <c:pt idx="89">
                  <c:v>0.89900000000000002</c:v>
                </c:pt>
                <c:pt idx="90">
                  <c:v>0.89900000000000002</c:v>
                </c:pt>
                <c:pt idx="91">
                  <c:v>0.89900000000000002</c:v>
                </c:pt>
                <c:pt idx="92">
                  <c:v>0.89900000000000002</c:v>
                </c:pt>
                <c:pt idx="93">
                  <c:v>0.89900000000000002</c:v>
                </c:pt>
                <c:pt idx="94">
                  <c:v>0.89900000000000002</c:v>
                </c:pt>
                <c:pt idx="95">
                  <c:v>0.89900000000000002</c:v>
                </c:pt>
                <c:pt idx="96">
                  <c:v>0.89900000000000002</c:v>
                </c:pt>
                <c:pt idx="97">
                  <c:v>0.89900000000000002</c:v>
                </c:pt>
                <c:pt idx="98">
                  <c:v>0.89900000000000002</c:v>
                </c:pt>
                <c:pt idx="99">
                  <c:v>0.89900000000000002</c:v>
                </c:pt>
                <c:pt idx="100">
                  <c:v>0.89900000000000002</c:v>
                </c:pt>
                <c:pt idx="101">
                  <c:v>0.89900000000000002</c:v>
                </c:pt>
                <c:pt idx="102">
                  <c:v>0.89900000000000002</c:v>
                </c:pt>
                <c:pt idx="103">
                  <c:v>0.89900000000000002</c:v>
                </c:pt>
                <c:pt idx="104">
                  <c:v>0.89900000000000002</c:v>
                </c:pt>
                <c:pt idx="105">
                  <c:v>0.89900000000000002</c:v>
                </c:pt>
                <c:pt idx="106">
                  <c:v>0.89900000000000002</c:v>
                </c:pt>
                <c:pt idx="107">
                  <c:v>0.89900000000000002</c:v>
                </c:pt>
                <c:pt idx="108">
                  <c:v>0.89900000000000002</c:v>
                </c:pt>
                <c:pt idx="109">
                  <c:v>0.89900000000000002</c:v>
                </c:pt>
                <c:pt idx="110">
                  <c:v>0.89900000000000002</c:v>
                </c:pt>
                <c:pt idx="111">
                  <c:v>0.89900000000000002</c:v>
                </c:pt>
                <c:pt idx="112">
                  <c:v>0.89900000000000002</c:v>
                </c:pt>
                <c:pt idx="113">
                  <c:v>0.89900000000000002</c:v>
                </c:pt>
                <c:pt idx="114">
                  <c:v>0.89900000000000002</c:v>
                </c:pt>
                <c:pt idx="115">
                  <c:v>0.89900000000000002</c:v>
                </c:pt>
                <c:pt idx="116">
                  <c:v>0.89900000000000002</c:v>
                </c:pt>
                <c:pt idx="117">
                  <c:v>0.89900000000000002</c:v>
                </c:pt>
                <c:pt idx="118">
                  <c:v>0.89900000000000002</c:v>
                </c:pt>
                <c:pt idx="119">
                  <c:v>0.89900000000000002</c:v>
                </c:pt>
                <c:pt idx="120">
                  <c:v>0.89900000000000002</c:v>
                </c:pt>
                <c:pt idx="121">
                  <c:v>0.89900000000000002</c:v>
                </c:pt>
                <c:pt idx="122">
                  <c:v>0.89900000000000002</c:v>
                </c:pt>
                <c:pt idx="123">
                  <c:v>0.89900000000000002</c:v>
                </c:pt>
                <c:pt idx="124">
                  <c:v>0.89900000000000002</c:v>
                </c:pt>
                <c:pt idx="125">
                  <c:v>0.89900000000000002</c:v>
                </c:pt>
                <c:pt idx="126">
                  <c:v>0.89900000000000002</c:v>
                </c:pt>
                <c:pt idx="127">
                  <c:v>0.89900000000000002</c:v>
                </c:pt>
                <c:pt idx="128">
                  <c:v>0.89900000000000002</c:v>
                </c:pt>
                <c:pt idx="129">
                  <c:v>0.89900000000000002</c:v>
                </c:pt>
                <c:pt idx="130">
                  <c:v>0.89900000000000002</c:v>
                </c:pt>
                <c:pt idx="131">
                  <c:v>0.89900000000000002</c:v>
                </c:pt>
                <c:pt idx="132">
                  <c:v>0.89900000000000002</c:v>
                </c:pt>
                <c:pt idx="133">
                  <c:v>0.89900000000000002</c:v>
                </c:pt>
                <c:pt idx="134">
                  <c:v>0.89900000000000002</c:v>
                </c:pt>
                <c:pt idx="135">
                  <c:v>0.89900000000000002</c:v>
                </c:pt>
                <c:pt idx="136">
                  <c:v>0.89900000000000002</c:v>
                </c:pt>
                <c:pt idx="137">
                  <c:v>0.89900000000000002</c:v>
                </c:pt>
                <c:pt idx="138">
                  <c:v>0.89900000000000002</c:v>
                </c:pt>
                <c:pt idx="139">
                  <c:v>0.89900000000000002</c:v>
                </c:pt>
                <c:pt idx="140">
                  <c:v>0.89900000000000002</c:v>
                </c:pt>
                <c:pt idx="141">
                  <c:v>0.89900000000000002</c:v>
                </c:pt>
                <c:pt idx="142">
                  <c:v>0.89900000000000002</c:v>
                </c:pt>
                <c:pt idx="143">
                  <c:v>0.89900000000000002</c:v>
                </c:pt>
                <c:pt idx="144">
                  <c:v>0.89900000000000002</c:v>
                </c:pt>
                <c:pt idx="145">
                  <c:v>0.89900000000000002</c:v>
                </c:pt>
                <c:pt idx="146">
                  <c:v>0.89900000000000002</c:v>
                </c:pt>
                <c:pt idx="147">
                  <c:v>0.89900000000000002</c:v>
                </c:pt>
                <c:pt idx="148">
                  <c:v>0.89900000000000002</c:v>
                </c:pt>
                <c:pt idx="149">
                  <c:v>0.89900000000000002</c:v>
                </c:pt>
                <c:pt idx="150">
                  <c:v>0.89900000000000002</c:v>
                </c:pt>
                <c:pt idx="151">
                  <c:v>0.89900000000000002</c:v>
                </c:pt>
                <c:pt idx="152">
                  <c:v>0.89900000000000002</c:v>
                </c:pt>
                <c:pt idx="153">
                  <c:v>0.89900000000000002</c:v>
                </c:pt>
                <c:pt idx="154">
                  <c:v>0.89900000000000002</c:v>
                </c:pt>
                <c:pt idx="155">
                  <c:v>0.89900000000000002</c:v>
                </c:pt>
                <c:pt idx="156">
                  <c:v>0.89900000000000002</c:v>
                </c:pt>
                <c:pt idx="157">
                  <c:v>0.89900000000000002</c:v>
                </c:pt>
                <c:pt idx="158">
                  <c:v>0.89900000000000002</c:v>
                </c:pt>
                <c:pt idx="159">
                  <c:v>0.89900000000000002</c:v>
                </c:pt>
                <c:pt idx="160">
                  <c:v>0.89900000000000002</c:v>
                </c:pt>
                <c:pt idx="161">
                  <c:v>0.89900000000000002</c:v>
                </c:pt>
                <c:pt idx="162">
                  <c:v>0.89900000000000002</c:v>
                </c:pt>
                <c:pt idx="163">
                  <c:v>0.89900000000000002</c:v>
                </c:pt>
                <c:pt idx="164">
                  <c:v>0.89900000000000002</c:v>
                </c:pt>
                <c:pt idx="165">
                  <c:v>0.89900000000000002</c:v>
                </c:pt>
                <c:pt idx="166">
                  <c:v>0.89900000000000002</c:v>
                </c:pt>
                <c:pt idx="167">
                  <c:v>0.89900000000000002</c:v>
                </c:pt>
                <c:pt idx="168">
                  <c:v>0.89900000000000002</c:v>
                </c:pt>
                <c:pt idx="169">
                  <c:v>0.89900000000000002</c:v>
                </c:pt>
                <c:pt idx="170">
                  <c:v>0.89900000000000002</c:v>
                </c:pt>
                <c:pt idx="171">
                  <c:v>0.89900000000000002</c:v>
                </c:pt>
                <c:pt idx="172">
                  <c:v>0.89900000000000002</c:v>
                </c:pt>
                <c:pt idx="173">
                  <c:v>0.89900000000000002</c:v>
                </c:pt>
                <c:pt idx="174">
                  <c:v>0.89900000000000002</c:v>
                </c:pt>
                <c:pt idx="175">
                  <c:v>0.89900000000000002</c:v>
                </c:pt>
                <c:pt idx="176">
                  <c:v>0.89900000000000002</c:v>
                </c:pt>
                <c:pt idx="177">
                  <c:v>0.89900000000000002</c:v>
                </c:pt>
                <c:pt idx="178">
                  <c:v>0.89900000000000002</c:v>
                </c:pt>
                <c:pt idx="179">
                  <c:v>0.89900000000000002</c:v>
                </c:pt>
                <c:pt idx="180">
                  <c:v>0.89900000000000002</c:v>
                </c:pt>
                <c:pt idx="181">
                  <c:v>0.89900000000000002</c:v>
                </c:pt>
                <c:pt idx="182">
                  <c:v>0.89900000000000002</c:v>
                </c:pt>
                <c:pt idx="183">
                  <c:v>0.89900000000000002</c:v>
                </c:pt>
                <c:pt idx="184">
                  <c:v>0.89900000000000002</c:v>
                </c:pt>
                <c:pt idx="185">
                  <c:v>0.89900000000000002</c:v>
                </c:pt>
                <c:pt idx="186">
                  <c:v>0.89900000000000002</c:v>
                </c:pt>
                <c:pt idx="187">
                  <c:v>0.89900000000000002</c:v>
                </c:pt>
                <c:pt idx="188">
                  <c:v>0.89900000000000002</c:v>
                </c:pt>
                <c:pt idx="189">
                  <c:v>0.89900000000000002</c:v>
                </c:pt>
                <c:pt idx="190">
                  <c:v>0.89900000000000002</c:v>
                </c:pt>
                <c:pt idx="191">
                  <c:v>0.89900000000000002</c:v>
                </c:pt>
                <c:pt idx="192">
                  <c:v>0.89900000000000002</c:v>
                </c:pt>
                <c:pt idx="193">
                  <c:v>0.89900000000000002</c:v>
                </c:pt>
                <c:pt idx="194">
                  <c:v>0.89900000000000002</c:v>
                </c:pt>
                <c:pt idx="195">
                  <c:v>0.89900000000000002</c:v>
                </c:pt>
                <c:pt idx="196">
                  <c:v>0.89900000000000002</c:v>
                </c:pt>
                <c:pt idx="197">
                  <c:v>0.89900000000000002</c:v>
                </c:pt>
                <c:pt idx="198">
                  <c:v>0.89900000000000002</c:v>
                </c:pt>
                <c:pt idx="199">
                  <c:v>0.89900000000000002</c:v>
                </c:pt>
                <c:pt idx="200">
                  <c:v>0.89900000000000002</c:v>
                </c:pt>
                <c:pt idx="201">
                  <c:v>0.89900000000000002</c:v>
                </c:pt>
                <c:pt idx="202">
                  <c:v>0.89900000000000002</c:v>
                </c:pt>
                <c:pt idx="203">
                  <c:v>0.89900000000000002</c:v>
                </c:pt>
                <c:pt idx="204">
                  <c:v>0.89900000000000002</c:v>
                </c:pt>
                <c:pt idx="205">
                  <c:v>0.89900000000000002</c:v>
                </c:pt>
                <c:pt idx="206">
                  <c:v>0.89900000000000002</c:v>
                </c:pt>
                <c:pt idx="207">
                  <c:v>0.89900000000000002</c:v>
                </c:pt>
                <c:pt idx="208">
                  <c:v>0.89900000000000002</c:v>
                </c:pt>
                <c:pt idx="209">
                  <c:v>0.89900000000000002</c:v>
                </c:pt>
                <c:pt idx="210">
                  <c:v>0.89900000000000002</c:v>
                </c:pt>
                <c:pt idx="211">
                  <c:v>0.89900000000000002</c:v>
                </c:pt>
                <c:pt idx="212">
                  <c:v>0.89900000000000002</c:v>
                </c:pt>
                <c:pt idx="213">
                  <c:v>0.89900000000000002</c:v>
                </c:pt>
                <c:pt idx="214">
                  <c:v>0.89900000000000002</c:v>
                </c:pt>
                <c:pt idx="215">
                  <c:v>0.89900000000000002</c:v>
                </c:pt>
                <c:pt idx="216">
                  <c:v>0.89900000000000002</c:v>
                </c:pt>
                <c:pt idx="217">
                  <c:v>0.89900000000000002</c:v>
                </c:pt>
                <c:pt idx="218">
                  <c:v>0.89900000000000002</c:v>
                </c:pt>
                <c:pt idx="219">
                  <c:v>0.89900000000000002</c:v>
                </c:pt>
                <c:pt idx="220">
                  <c:v>0.89900000000000002</c:v>
                </c:pt>
                <c:pt idx="221">
                  <c:v>0.89900000000000002</c:v>
                </c:pt>
                <c:pt idx="222">
                  <c:v>0.89900000000000002</c:v>
                </c:pt>
                <c:pt idx="223">
                  <c:v>0.89900000000000002</c:v>
                </c:pt>
                <c:pt idx="224">
                  <c:v>0.89900000000000002</c:v>
                </c:pt>
                <c:pt idx="225">
                  <c:v>0.89900000000000002</c:v>
                </c:pt>
                <c:pt idx="226">
                  <c:v>0.89900000000000002</c:v>
                </c:pt>
                <c:pt idx="227">
                  <c:v>0.89900000000000002</c:v>
                </c:pt>
                <c:pt idx="228">
                  <c:v>0.89900000000000002</c:v>
                </c:pt>
                <c:pt idx="229">
                  <c:v>0.89900000000000002</c:v>
                </c:pt>
                <c:pt idx="230">
                  <c:v>0.89900000000000002</c:v>
                </c:pt>
                <c:pt idx="231">
                  <c:v>0.89900000000000002</c:v>
                </c:pt>
                <c:pt idx="232">
                  <c:v>0.89900000000000002</c:v>
                </c:pt>
                <c:pt idx="233">
                  <c:v>0.89900000000000002</c:v>
                </c:pt>
                <c:pt idx="234">
                  <c:v>0.89900000000000002</c:v>
                </c:pt>
                <c:pt idx="235">
                  <c:v>0.89900000000000002</c:v>
                </c:pt>
                <c:pt idx="236">
                  <c:v>0.89900000000000002</c:v>
                </c:pt>
                <c:pt idx="237">
                  <c:v>0.89900000000000002</c:v>
                </c:pt>
                <c:pt idx="238">
                  <c:v>0.89900000000000002</c:v>
                </c:pt>
                <c:pt idx="239">
                  <c:v>0.89900000000000002</c:v>
                </c:pt>
                <c:pt idx="240">
                  <c:v>0.89900000000000002</c:v>
                </c:pt>
                <c:pt idx="241">
                  <c:v>0.89900000000000002</c:v>
                </c:pt>
                <c:pt idx="242">
                  <c:v>0.89900000000000002</c:v>
                </c:pt>
                <c:pt idx="243">
                  <c:v>0.89900000000000002</c:v>
                </c:pt>
                <c:pt idx="244">
                  <c:v>0.89900000000000002</c:v>
                </c:pt>
                <c:pt idx="245">
                  <c:v>0.89900000000000002</c:v>
                </c:pt>
                <c:pt idx="246">
                  <c:v>0.89900000000000002</c:v>
                </c:pt>
                <c:pt idx="247">
                  <c:v>0.89900000000000002</c:v>
                </c:pt>
                <c:pt idx="248">
                  <c:v>0.89900000000000002</c:v>
                </c:pt>
                <c:pt idx="249">
                  <c:v>0.89900000000000002</c:v>
                </c:pt>
                <c:pt idx="250">
                  <c:v>0.89900000000000002</c:v>
                </c:pt>
                <c:pt idx="251">
                  <c:v>0.89900000000000002</c:v>
                </c:pt>
                <c:pt idx="252">
                  <c:v>0.89900000000000002</c:v>
                </c:pt>
                <c:pt idx="253">
                  <c:v>0.89900000000000002</c:v>
                </c:pt>
                <c:pt idx="254">
                  <c:v>0.89900000000000002</c:v>
                </c:pt>
                <c:pt idx="255">
                  <c:v>0.89900000000000002</c:v>
                </c:pt>
                <c:pt idx="256">
                  <c:v>0.89900000000000002</c:v>
                </c:pt>
                <c:pt idx="257">
                  <c:v>0.89900000000000002</c:v>
                </c:pt>
                <c:pt idx="258">
                  <c:v>0.89900000000000002</c:v>
                </c:pt>
                <c:pt idx="259">
                  <c:v>0.89900000000000002</c:v>
                </c:pt>
                <c:pt idx="260">
                  <c:v>0.89900000000000002</c:v>
                </c:pt>
                <c:pt idx="261">
                  <c:v>0.89900000000000002</c:v>
                </c:pt>
                <c:pt idx="262">
                  <c:v>0.89900000000000002</c:v>
                </c:pt>
                <c:pt idx="263">
                  <c:v>0.89900000000000002</c:v>
                </c:pt>
                <c:pt idx="264">
                  <c:v>0.89900000000000002</c:v>
                </c:pt>
                <c:pt idx="265">
                  <c:v>0.89900000000000002</c:v>
                </c:pt>
                <c:pt idx="266">
                  <c:v>0.89900000000000002</c:v>
                </c:pt>
                <c:pt idx="267">
                  <c:v>0.89900000000000002</c:v>
                </c:pt>
                <c:pt idx="268">
                  <c:v>0.89900000000000002</c:v>
                </c:pt>
                <c:pt idx="269">
                  <c:v>0.89900000000000002</c:v>
                </c:pt>
                <c:pt idx="270">
                  <c:v>0.89900000000000002</c:v>
                </c:pt>
                <c:pt idx="271">
                  <c:v>0.89900000000000002</c:v>
                </c:pt>
                <c:pt idx="272">
                  <c:v>0.89900000000000002</c:v>
                </c:pt>
                <c:pt idx="273">
                  <c:v>0.89900000000000002</c:v>
                </c:pt>
                <c:pt idx="274">
                  <c:v>0.89900000000000002</c:v>
                </c:pt>
                <c:pt idx="275">
                  <c:v>0.89900000000000002</c:v>
                </c:pt>
                <c:pt idx="276">
                  <c:v>0.89900000000000002</c:v>
                </c:pt>
                <c:pt idx="277">
                  <c:v>0.89900000000000002</c:v>
                </c:pt>
                <c:pt idx="278">
                  <c:v>0.89900000000000002</c:v>
                </c:pt>
                <c:pt idx="279">
                  <c:v>0.89900000000000002</c:v>
                </c:pt>
                <c:pt idx="280">
                  <c:v>0.89900000000000002</c:v>
                </c:pt>
                <c:pt idx="281">
                  <c:v>0.89900000000000002</c:v>
                </c:pt>
                <c:pt idx="282">
                  <c:v>0.89900000000000002</c:v>
                </c:pt>
                <c:pt idx="283">
                  <c:v>0.89900000000000002</c:v>
                </c:pt>
                <c:pt idx="284">
                  <c:v>0.89900000000000002</c:v>
                </c:pt>
                <c:pt idx="285">
                  <c:v>0.89900000000000002</c:v>
                </c:pt>
                <c:pt idx="286">
                  <c:v>0.89900000000000002</c:v>
                </c:pt>
                <c:pt idx="287">
                  <c:v>0.89900000000000002</c:v>
                </c:pt>
                <c:pt idx="288">
                  <c:v>0.89900000000000002</c:v>
                </c:pt>
                <c:pt idx="289">
                  <c:v>0.89900000000000002</c:v>
                </c:pt>
                <c:pt idx="290">
                  <c:v>0.89900000000000002</c:v>
                </c:pt>
                <c:pt idx="291">
                  <c:v>0.89900000000000002</c:v>
                </c:pt>
                <c:pt idx="292">
                  <c:v>0.89900000000000002</c:v>
                </c:pt>
                <c:pt idx="293">
                  <c:v>0.89900000000000002</c:v>
                </c:pt>
                <c:pt idx="294">
                  <c:v>0.89900000000000002</c:v>
                </c:pt>
                <c:pt idx="295">
                  <c:v>0.89900000000000002</c:v>
                </c:pt>
                <c:pt idx="296">
                  <c:v>0.89900000000000002</c:v>
                </c:pt>
                <c:pt idx="297">
                  <c:v>0.89900000000000002</c:v>
                </c:pt>
                <c:pt idx="298">
                  <c:v>0.89900000000000002</c:v>
                </c:pt>
                <c:pt idx="299">
                  <c:v>0.89900000000000002</c:v>
                </c:pt>
                <c:pt idx="300">
                  <c:v>0.89900000000000002</c:v>
                </c:pt>
                <c:pt idx="301">
                  <c:v>0.89900000000000002</c:v>
                </c:pt>
                <c:pt idx="302">
                  <c:v>0.89900000000000002</c:v>
                </c:pt>
                <c:pt idx="303">
                  <c:v>0.89900000000000002</c:v>
                </c:pt>
                <c:pt idx="304">
                  <c:v>0.89900000000000002</c:v>
                </c:pt>
                <c:pt idx="305">
                  <c:v>0.89900000000000002</c:v>
                </c:pt>
                <c:pt idx="306">
                  <c:v>0.89900000000000002</c:v>
                </c:pt>
                <c:pt idx="307">
                  <c:v>0.89900000000000002</c:v>
                </c:pt>
                <c:pt idx="308">
                  <c:v>0.89900000000000002</c:v>
                </c:pt>
                <c:pt idx="309">
                  <c:v>0.89900000000000002</c:v>
                </c:pt>
                <c:pt idx="310">
                  <c:v>0.89900000000000002</c:v>
                </c:pt>
                <c:pt idx="311">
                  <c:v>0.89900000000000002</c:v>
                </c:pt>
                <c:pt idx="312">
                  <c:v>0.89900000000000002</c:v>
                </c:pt>
                <c:pt idx="313">
                  <c:v>0.89900000000000002</c:v>
                </c:pt>
                <c:pt idx="314">
                  <c:v>0.89900000000000002</c:v>
                </c:pt>
                <c:pt idx="315">
                  <c:v>0.89900000000000002</c:v>
                </c:pt>
                <c:pt idx="316">
                  <c:v>0.89900000000000002</c:v>
                </c:pt>
                <c:pt idx="317">
                  <c:v>0.89900000000000002</c:v>
                </c:pt>
                <c:pt idx="318">
                  <c:v>0.89900000000000002</c:v>
                </c:pt>
                <c:pt idx="319">
                  <c:v>0.89900000000000002</c:v>
                </c:pt>
                <c:pt idx="320">
                  <c:v>0.89900000000000002</c:v>
                </c:pt>
                <c:pt idx="321">
                  <c:v>0.89900000000000002</c:v>
                </c:pt>
                <c:pt idx="322">
                  <c:v>0.89900000000000002</c:v>
                </c:pt>
                <c:pt idx="323">
                  <c:v>0.89900000000000002</c:v>
                </c:pt>
                <c:pt idx="324">
                  <c:v>0.89900000000000002</c:v>
                </c:pt>
                <c:pt idx="325">
                  <c:v>0.89900000000000002</c:v>
                </c:pt>
                <c:pt idx="326">
                  <c:v>0.89900000000000002</c:v>
                </c:pt>
                <c:pt idx="327">
                  <c:v>0.89900000000000002</c:v>
                </c:pt>
                <c:pt idx="328">
                  <c:v>0.89900000000000002</c:v>
                </c:pt>
                <c:pt idx="329">
                  <c:v>0.89900000000000002</c:v>
                </c:pt>
                <c:pt idx="330">
                  <c:v>0.89900000000000002</c:v>
                </c:pt>
                <c:pt idx="331">
                  <c:v>0.89900000000000002</c:v>
                </c:pt>
                <c:pt idx="332">
                  <c:v>0.89900000000000002</c:v>
                </c:pt>
                <c:pt idx="333">
                  <c:v>0.89900000000000002</c:v>
                </c:pt>
                <c:pt idx="334">
                  <c:v>0.89900000000000002</c:v>
                </c:pt>
                <c:pt idx="335">
                  <c:v>0.89900000000000002</c:v>
                </c:pt>
                <c:pt idx="336">
                  <c:v>0.89900000000000002</c:v>
                </c:pt>
                <c:pt idx="337">
                  <c:v>1.194</c:v>
                </c:pt>
                <c:pt idx="338">
                  <c:v>1.194</c:v>
                </c:pt>
                <c:pt idx="339">
                  <c:v>1.194</c:v>
                </c:pt>
                <c:pt idx="340">
                  <c:v>1.194</c:v>
                </c:pt>
                <c:pt idx="341">
                  <c:v>1.49</c:v>
                </c:pt>
                <c:pt idx="342">
                  <c:v>1.49</c:v>
                </c:pt>
                <c:pt idx="343">
                  <c:v>1.49</c:v>
                </c:pt>
                <c:pt idx="344">
                  <c:v>1.49</c:v>
                </c:pt>
                <c:pt idx="345">
                  <c:v>1.49</c:v>
                </c:pt>
                <c:pt idx="346">
                  <c:v>1.7849999999999999</c:v>
                </c:pt>
                <c:pt idx="347">
                  <c:v>1.7849999999999999</c:v>
                </c:pt>
                <c:pt idx="348">
                  <c:v>1.7849999999999999</c:v>
                </c:pt>
                <c:pt idx="349">
                  <c:v>1.7849999999999999</c:v>
                </c:pt>
                <c:pt idx="350">
                  <c:v>2.077</c:v>
                </c:pt>
                <c:pt idx="351">
                  <c:v>2.077</c:v>
                </c:pt>
                <c:pt idx="352">
                  <c:v>2.077</c:v>
                </c:pt>
                <c:pt idx="353">
                  <c:v>2.077</c:v>
                </c:pt>
                <c:pt idx="354">
                  <c:v>2.077</c:v>
                </c:pt>
                <c:pt idx="355">
                  <c:v>2.3689999999999998</c:v>
                </c:pt>
                <c:pt idx="356">
                  <c:v>2.3689999999999998</c:v>
                </c:pt>
                <c:pt idx="357">
                  <c:v>2.3689999999999998</c:v>
                </c:pt>
                <c:pt idx="358">
                  <c:v>2.3689999999999998</c:v>
                </c:pt>
                <c:pt idx="359">
                  <c:v>2.3689999999999998</c:v>
                </c:pt>
                <c:pt idx="360">
                  <c:v>2.3689999999999998</c:v>
                </c:pt>
                <c:pt idx="361">
                  <c:v>2.3689999999999998</c:v>
                </c:pt>
                <c:pt idx="362">
                  <c:v>2.3689999999999998</c:v>
                </c:pt>
                <c:pt idx="363">
                  <c:v>2.3689999999999998</c:v>
                </c:pt>
                <c:pt idx="364">
                  <c:v>2.3689999999999998</c:v>
                </c:pt>
                <c:pt idx="365">
                  <c:v>2.3689999999999998</c:v>
                </c:pt>
                <c:pt idx="366">
                  <c:v>2.3689999999999998</c:v>
                </c:pt>
                <c:pt idx="367">
                  <c:v>2.3689999999999998</c:v>
                </c:pt>
                <c:pt idx="368">
                  <c:v>2.3689999999999998</c:v>
                </c:pt>
                <c:pt idx="369">
                  <c:v>2.3689999999999998</c:v>
                </c:pt>
                <c:pt idx="370">
                  <c:v>2.3689999999999998</c:v>
                </c:pt>
                <c:pt idx="371">
                  <c:v>2.3689999999999998</c:v>
                </c:pt>
                <c:pt idx="372">
                  <c:v>2.3689999999999998</c:v>
                </c:pt>
                <c:pt idx="373">
                  <c:v>2.3689999999999998</c:v>
                </c:pt>
                <c:pt idx="374">
                  <c:v>2.3689999999999998</c:v>
                </c:pt>
                <c:pt idx="375">
                  <c:v>2.3689999999999998</c:v>
                </c:pt>
                <c:pt idx="376">
                  <c:v>2.3689999999999998</c:v>
                </c:pt>
                <c:pt idx="377">
                  <c:v>2.3689999999999998</c:v>
                </c:pt>
                <c:pt idx="378">
                  <c:v>2.3689999999999998</c:v>
                </c:pt>
                <c:pt idx="379">
                  <c:v>2.3689999999999998</c:v>
                </c:pt>
                <c:pt idx="380">
                  <c:v>2.3689999999999998</c:v>
                </c:pt>
                <c:pt idx="381">
                  <c:v>2.3689999999999998</c:v>
                </c:pt>
                <c:pt idx="382">
                  <c:v>2.3689999999999998</c:v>
                </c:pt>
                <c:pt idx="383">
                  <c:v>2.3689999999999998</c:v>
                </c:pt>
                <c:pt idx="384">
                  <c:v>2.3689999999999998</c:v>
                </c:pt>
                <c:pt idx="385">
                  <c:v>2.3689999999999998</c:v>
                </c:pt>
                <c:pt idx="386">
                  <c:v>2.3689999999999998</c:v>
                </c:pt>
                <c:pt idx="387">
                  <c:v>2.3689999999999998</c:v>
                </c:pt>
                <c:pt idx="388">
                  <c:v>2.3689999999999998</c:v>
                </c:pt>
                <c:pt idx="389">
                  <c:v>2.3689999999999998</c:v>
                </c:pt>
                <c:pt idx="390">
                  <c:v>2.3689999999999998</c:v>
                </c:pt>
                <c:pt idx="391">
                  <c:v>2.3689999999999998</c:v>
                </c:pt>
                <c:pt idx="392">
                  <c:v>2.3689999999999998</c:v>
                </c:pt>
                <c:pt idx="393">
                  <c:v>2.3689999999999998</c:v>
                </c:pt>
                <c:pt idx="394">
                  <c:v>2.3689999999999998</c:v>
                </c:pt>
                <c:pt idx="395">
                  <c:v>2.3689999999999998</c:v>
                </c:pt>
                <c:pt idx="396">
                  <c:v>2.3689999999999998</c:v>
                </c:pt>
                <c:pt idx="397">
                  <c:v>2.3689999999999998</c:v>
                </c:pt>
                <c:pt idx="398">
                  <c:v>2.3689999999999998</c:v>
                </c:pt>
                <c:pt idx="399">
                  <c:v>2.3689999999999998</c:v>
                </c:pt>
                <c:pt idx="400">
                  <c:v>2.3689999999999998</c:v>
                </c:pt>
                <c:pt idx="401">
                  <c:v>2.3689999999999998</c:v>
                </c:pt>
                <c:pt idx="402">
                  <c:v>2.3689999999999998</c:v>
                </c:pt>
                <c:pt idx="403">
                  <c:v>2.3689999999999998</c:v>
                </c:pt>
                <c:pt idx="404">
                  <c:v>2.3689999999999998</c:v>
                </c:pt>
                <c:pt idx="405">
                  <c:v>2.3689999999999998</c:v>
                </c:pt>
                <c:pt idx="406">
                  <c:v>2.3689999999999998</c:v>
                </c:pt>
                <c:pt idx="407">
                  <c:v>2.3689999999999998</c:v>
                </c:pt>
                <c:pt idx="408">
                  <c:v>2.3689999999999998</c:v>
                </c:pt>
                <c:pt idx="409">
                  <c:v>2.3689999999999998</c:v>
                </c:pt>
                <c:pt idx="410">
                  <c:v>2.3689999999999998</c:v>
                </c:pt>
                <c:pt idx="411">
                  <c:v>2.3689999999999998</c:v>
                </c:pt>
                <c:pt idx="412">
                  <c:v>2.3689999999999998</c:v>
                </c:pt>
                <c:pt idx="413">
                  <c:v>2.3689999999999998</c:v>
                </c:pt>
                <c:pt idx="414">
                  <c:v>2.3689999999999998</c:v>
                </c:pt>
                <c:pt idx="415">
                  <c:v>2.3689999999999998</c:v>
                </c:pt>
                <c:pt idx="416">
                  <c:v>2.3689999999999998</c:v>
                </c:pt>
                <c:pt idx="417">
                  <c:v>2.3689999999999998</c:v>
                </c:pt>
                <c:pt idx="418">
                  <c:v>2.3689999999999998</c:v>
                </c:pt>
                <c:pt idx="419">
                  <c:v>2.3689999999999998</c:v>
                </c:pt>
                <c:pt idx="420">
                  <c:v>2.3689999999999998</c:v>
                </c:pt>
                <c:pt idx="421">
                  <c:v>2.3689999999999998</c:v>
                </c:pt>
                <c:pt idx="422">
                  <c:v>2.3689999999999998</c:v>
                </c:pt>
                <c:pt idx="423">
                  <c:v>2.3689999999999998</c:v>
                </c:pt>
                <c:pt idx="424">
                  <c:v>2.3689999999999998</c:v>
                </c:pt>
                <c:pt idx="425">
                  <c:v>2.3689999999999998</c:v>
                </c:pt>
                <c:pt idx="426">
                  <c:v>2.3689999999999998</c:v>
                </c:pt>
                <c:pt idx="427">
                  <c:v>2.3689999999999998</c:v>
                </c:pt>
                <c:pt idx="428">
                  <c:v>2.3689999999999998</c:v>
                </c:pt>
                <c:pt idx="429">
                  <c:v>2.3689999999999998</c:v>
                </c:pt>
                <c:pt idx="430">
                  <c:v>2.3689999999999998</c:v>
                </c:pt>
                <c:pt idx="431">
                  <c:v>2.3689999999999998</c:v>
                </c:pt>
                <c:pt idx="432">
                  <c:v>2.3689999999999998</c:v>
                </c:pt>
                <c:pt idx="433">
                  <c:v>2.3689999999999998</c:v>
                </c:pt>
                <c:pt idx="434">
                  <c:v>2.3689999999999998</c:v>
                </c:pt>
                <c:pt idx="435">
                  <c:v>2.3689999999999998</c:v>
                </c:pt>
                <c:pt idx="436">
                  <c:v>2.3689999999999998</c:v>
                </c:pt>
                <c:pt idx="437">
                  <c:v>2.3689999999999998</c:v>
                </c:pt>
                <c:pt idx="438">
                  <c:v>2.3689999999999998</c:v>
                </c:pt>
                <c:pt idx="439">
                  <c:v>2.3689999999999998</c:v>
                </c:pt>
                <c:pt idx="440">
                  <c:v>2.3689999999999998</c:v>
                </c:pt>
                <c:pt idx="441">
                  <c:v>2.3689999999999998</c:v>
                </c:pt>
                <c:pt idx="442">
                  <c:v>2.3689999999999998</c:v>
                </c:pt>
                <c:pt idx="443">
                  <c:v>2.3689999999999998</c:v>
                </c:pt>
                <c:pt idx="444">
                  <c:v>2.3689999999999998</c:v>
                </c:pt>
                <c:pt idx="445">
                  <c:v>2.3689999999999998</c:v>
                </c:pt>
                <c:pt idx="446">
                  <c:v>2.3689999999999998</c:v>
                </c:pt>
                <c:pt idx="447">
                  <c:v>2.3689999999999998</c:v>
                </c:pt>
                <c:pt idx="448">
                  <c:v>2.3689999999999998</c:v>
                </c:pt>
                <c:pt idx="449">
                  <c:v>2.3689999999999998</c:v>
                </c:pt>
                <c:pt idx="450">
                  <c:v>2.3689999999999998</c:v>
                </c:pt>
                <c:pt idx="451">
                  <c:v>2.3689999999999998</c:v>
                </c:pt>
                <c:pt idx="452">
                  <c:v>2.3689999999999998</c:v>
                </c:pt>
                <c:pt idx="453">
                  <c:v>2.3689999999999998</c:v>
                </c:pt>
                <c:pt idx="454">
                  <c:v>2.3689999999999998</c:v>
                </c:pt>
                <c:pt idx="455">
                  <c:v>2.3689999999999998</c:v>
                </c:pt>
                <c:pt idx="456">
                  <c:v>2.3689999999999998</c:v>
                </c:pt>
                <c:pt idx="457">
                  <c:v>2.3689999999999998</c:v>
                </c:pt>
                <c:pt idx="458">
                  <c:v>2.3689999999999998</c:v>
                </c:pt>
                <c:pt idx="459">
                  <c:v>2.3689999999999998</c:v>
                </c:pt>
                <c:pt idx="460">
                  <c:v>2.3689999999999998</c:v>
                </c:pt>
                <c:pt idx="461">
                  <c:v>2.3689999999999998</c:v>
                </c:pt>
                <c:pt idx="462">
                  <c:v>2.3689999999999998</c:v>
                </c:pt>
                <c:pt idx="463">
                  <c:v>2.3689999999999998</c:v>
                </c:pt>
                <c:pt idx="464">
                  <c:v>2.3689999999999998</c:v>
                </c:pt>
                <c:pt idx="465">
                  <c:v>2.3689999999999998</c:v>
                </c:pt>
                <c:pt idx="466">
                  <c:v>2.3689999999999998</c:v>
                </c:pt>
                <c:pt idx="467">
                  <c:v>2.3689999999999998</c:v>
                </c:pt>
                <c:pt idx="468">
                  <c:v>2.3689999999999998</c:v>
                </c:pt>
                <c:pt idx="469">
                  <c:v>2.3689999999999998</c:v>
                </c:pt>
                <c:pt idx="470">
                  <c:v>2.3689999999999998</c:v>
                </c:pt>
                <c:pt idx="471">
                  <c:v>2.3689999999999998</c:v>
                </c:pt>
                <c:pt idx="472">
                  <c:v>2.3689999999999998</c:v>
                </c:pt>
                <c:pt idx="473">
                  <c:v>2.3689999999999998</c:v>
                </c:pt>
                <c:pt idx="474">
                  <c:v>2.3689999999999998</c:v>
                </c:pt>
                <c:pt idx="475">
                  <c:v>2.3689999999999998</c:v>
                </c:pt>
                <c:pt idx="476">
                  <c:v>2.3689999999999998</c:v>
                </c:pt>
                <c:pt idx="477">
                  <c:v>2.3689999999999998</c:v>
                </c:pt>
                <c:pt idx="478">
                  <c:v>2.3689999999999998</c:v>
                </c:pt>
                <c:pt idx="479">
                  <c:v>2.3689999999999998</c:v>
                </c:pt>
                <c:pt idx="480">
                  <c:v>2.3689999999999998</c:v>
                </c:pt>
                <c:pt idx="481">
                  <c:v>2.3689999999999998</c:v>
                </c:pt>
                <c:pt idx="482">
                  <c:v>2.3689999999999998</c:v>
                </c:pt>
                <c:pt idx="483">
                  <c:v>2.3689999999999998</c:v>
                </c:pt>
                <c:pt idx="484">
                  <c:v>2.3689999999999998</c:v>
                </c:pt>
                <c:pt idx="485">
                  <c:v>2.3689999999999998</c:v>
                </c:pt>
                <c:pt idx="486">
                  <c:v>2.3689999999999998</c:v>
                </c:pt>
                <c:pt idx="487">
                  <c:v>2.3689999999999998</c:v>
                </c:pt>
                <c:pt idx="488">
                  <c:v>2.3689999999999998</c:v>
                </c:pt>
                <c:pt idx="489">
                  <c:v>2.3689999999999998</c:v>
                </c:pt>
                <c:pt idx="490">
                  <c:v>2.3689999999999998</c:v>
                </c:pt>
                <c:pt idx="491">
                  <c:v>2.3689999999999998</c:v>
                </c:pt>
                <c:pt idx="492">
                  <c:v>2.3689999999999998</c:v>
                </c:pt>
                <c:pt idx="493">
                  <c:v>2.3689999999999998</c:v>
                </c:pt>
                <c:pt idx="494">
                  <c:v>2.3689999999999998</c:v>
                </c:pt>
                <c:pt idx="495">
                  <c:v>2.3689999999999998</c:v>
                </c:pt>
                <c:pt idx="496">
                  <c:v>2.3689999999999998</c:v>
                </c:pt>
                <c:pt idx="497">
                  <c:v>2.3689999999999998</c:v>
                </c:pt>
                <c:pt idx="498">
                  <c:v>2.3689999999999998</c:v>
                </c:pt>
                <c:pt idx="499">
                  <c:v>2.3689999999999998</c:v>
                </c:pt>
                <c:pt idx="500">
                  <c:v>2.3689999999999998</c:v>
                </c:pt>
                <c:pt idx="501">
                  <c:v>2.3689999999999998</c:v>
                </c:pt>
                <c:pt idx="502">
                  <c:v>2.3689999999999998</c:v>
                </c:pt>
                <c:pt idx="503">
                  <c:v>2.3689999999999998</c:v>
                </c:pt>
                <c:pt idx="504">
                  <c:v>2.3689999999999998</c:v>
                </c:pt>
                <c:pt idx="505">
                  <c:v>2.3689999999999998</c:v>
                </c:pt>
                <c:pt idx="506">
                  <c:v>2.3689999999999998</c:v>
                </c:pt>
                <c:pt idx="507">
                  <c:v>2.3689999999999998</c:v>
                </c:pt>
                <c:pt idx="508">
                  <c:v>2.3689999999999998</c:v>
                </c:pt>
                <c:pt idx="509">
                  <c:v>2.3689999999999998</c:v>
                </c:pt>
                <c:pt idx="510">
                  <c:v>2.3689999999999998</c:v>
                </c:pt>
                <c:pt idx="511">
                  <c:v>2.3689999999999998</c:v>
                </c:pt>
                <c:pt idx="512">
                  <c:v>2.3689999999999998</c:v>
                </c:pt>
                <c:pt idx="513">
                  <c:v>2.3689999999999998</c:v>
                </c:pt>
                <c:pt idx="514">
                  <c:v>2.649</c:v>
                </c:pt>
                <c:pt idx="515">
                  <c:v>2.649</c:v>
                </c:pt>
                <c:pt idx="516">
                  <c:v>2.649</c:v>
                </c:pt>
                <c:pt idx="517">
                  <c:v>2.649</c:v>
                </c:pt>
                <c:pt idx="518">
                  <c:v>2.9390000000000001</c:v>
                </c:pt>
                <c:pt idx="519">
                  <c:v>2.9390000000000001</c:v>
                </c:pt>
                <c:pt idx="520">
                  <c:v>2.9390000000000001</c:v>
                </c:pt>
                <c:pt idx="521">
                  <c:v>2.9390000000000001</c:v>
                </c:pt>
                <c:pt idx="522">
                  <c:v>2.9390000000000001</c:v>
                </c:pt>
                <c:pt idx="523">
                  <c:v>3.2290000000000001</c:v>
                </c:pt>
                <c:pt idx="524">
                  <c:v>3.2290000000000001</c:v>
                </c:pt>
                <c:pt idx="525">
                  <c:v>3.2290000000000001</c:v>
                </c:pt>
                <c:pt idx="526">
                  <c:v>3.2290000000000001</c:v>
                </c:pt>
                <c:pt idx="527">
                  <c:v>3.2290000000000001</c:v>
                </c:pt>
                <c:pt idx="528">
                  <c:v>3.5190000000000001</c:v>
                </c:pt>
                <c:pt idx="529">
                  <c:v>3.5190000000000001</c:v>
                </c:pt>
                <c:pt idx="530">
                  <c:v>3.5190000000000001</c:v>
                </c:pt>
                <c:pt idx="531">
                  <c:v>3.5190000000000001</c:v>
                </c:pt>
                <c:pt idx="532">
                  <c:v>3.8090000000000002</c:v>
                </c:pt>
                <c:pt idx="533">
                  <c:v>3.8090000000000002</c:v>
                </c:pt>
                <c:pt idx="534">
                  <c:v>3.8090000000000002</c:v>
                </c:pt>
                <c:pt idx="535">
                  <c:v>3.8090000000000002</c:v>
                </c:pt>
                <c:pt idx="536">
                  <c:v>3.8090000000000002</c:v>
                </c:pt>
                <c:pt idx="537">
                  <c:v>4.0990000000000002</c:v>
                </c:pt>
                <c:pt idx="538">
                  <c:v>4.0990000000000002</c:v>
                </c:pt>
                <c:pt idx="539">
                  <c:v>4.0990000000000002</c:v>
                </c:pt>
                <c:pt idx="540">
                  <c:v>4.0990000000000002</c:v>
                </c:pt>
                <c:pt idx="541">
                  <c:v>4.0990000000000002</c:v>
                </c:pt>
                <c:pt idx="542">
                  <c:v>4.0990000000000002</c:v>
                </c:pt>
                <c:pt idx="543">
                  <c:v>4.0990000000000002</c:v>
                </c:pt>
                <c:pt idx="544">
                  <c:v>4.0990000000000002</c:v>
                </c:pt>
                <c:pt idx="545">
                  <c:v>4.0990000000000002</c:v>
                </c:pt>
                <c:pt idx="546">
                  <c:v>4.0990000000000002</c:v>
                </c:pt>
                <c:pt idx="547">
                  <c:v>4.0990000000000002</c:v>
                </c:pt>
                <c:pt idx="548">
                  <c:v>4.0990000000000002</c:v>
                </c:pt>
                <c:pt idx="549">
                  <c:v>4.0990000000000002</c:v>
                </c:pt>
                <c:pt idx="550">
                  <c:v>4.0990000000000002</c:v>
                </c:pt>
                <c:pt idx="551">
                  <c:v>4.0990000000000002</c:v>
                </c:pt>
                <c:pt idx="552">
                  <c:v>4.0990000000000002</c:v>
                </c:pt>
                <c:pt idx="553">
                  <c:v>4.0990000000000002</c:v>
                </c:pt>
                <c:pt idx="554">
                  <c:v>4.0990000000000002</c:v>
                </c:pt>
                <c:pt idx="555">
                  <c:v>4.0990000000000002</c:v>
                </c:pt>
                <c:pt idx="556">
                  <c:v>4.0990000000000002</c:v>
                </c:pt>
                <c:pt idx="557">
                  <c:v>4.0990000000000002</c:v>
                </c:pt>
                <c:pt idx="558">
                  <c:v>4.0990000000000002</c:v>
                </c:pt>
                <c:pt idx="559">
                  <c:v>4.0990000000000002</c:v>
                </c:pt>
                <c:pt idx="560">
                  <c:v>4.0990000000000002</c:v>
                </c:pt>
                <c:pt idx="561">
                  <c:v>4.0990000000000002</c:v>
                </c:pt>
                <c:pt idx="562">
                  <c:v>4.0990000000000002</c:v>
                </c:pt>
                <c:pt idx="563">
                  <c:v>4.0990000000000002</c:v>
                </c:pt>
                <c:pt idx="564">
                  <c:v>4.0990000000000002</c:v>
                </c:pt>
                <c:pt idx="565">
                  <c:v>4.0990000000000002</c:v>
                </c:pt>
                <c:pt idx="566">
                  <c:v>4.0990000000000002</c:v>
                </c:pt>
                <c:pt idx="567">
                  <c:v>4.0990000000000002</c:v>
                </c:pt>
                <c:pt idx="568">
                  <c:v>4.0990000000000002</c:v>
                </c:pt>
                <c:pt idx="569">
                  <c:v>4.0990000000000002</c:v>
                </c:pt>
                <c:pt idx="570">
                  <c:v>4.0990000000000002</c:v>
                </c:pt>
                <c:pt idx="571">
                  <c:v>4.0990000000000002</c:v>
                </c:pt>
                <c:pt idx="572">
                  <c:v>4.0990000000000002</c:v>
                </c:pt>
                <c:pt idx="573">
                  <c:v>4.0990000000000002</c:v>
                </c:pt>
                <c:pt idx="574">
                  <c:v>4.0990000000000002</c:v>
                </c:pt>
                <c:pt idx="575">
                  <c:v>4.0990000000000002</c:v>
                </c:pt>
                <c:pt idx="576">
                  <c:v>4.0990000000000002</c:v>
                </c:pt>
                <c:pt idx="577">
                  <c:v>4.0990000000000002</c:v>
                </c:pt>
                <c:pt idx="578">
                  <c:v>4.0990000000000002</c:v>
                </c:pt>
                <c:pt idx="579">
                  <c:v>4.0990000000000002</c:v>
                </c:pt>
                <c:pt idx="580">
                  <c:v>4.0990000000000002</c:v>
                </c:pt>
                <c:pt idx="581">
                  <c:v>4.0990000000000002</c:v>
                </c:pt>
                <c:pt idx="582">
                  <c:v>4.0990000000000002</c:v>
                </c:pt>
                <c:pt idx="583">
                  <c:v>4.0990000000000002</c:v>
                </c:pt>
                <c:pt idx="584">
                  <c:v>4.0990000000000002</c:v>
                </c:pt>
                <c:pt idx="585">
                  <c:v>4.0990000000000002</c:v>
                </c:pt>
                <c:pt idx="586">
                  <c:v>4.0990000000000002</c:v>
                </c:pt>
                <c:pt idx="587">
                  <c:v>4.0990000000000002</c:v>
                </c:pt>
                <c:pt idx="588">
                  <c:v>4.0990000000000002</c:v>
                </c:pt>
                <c:pt idx="589">
                  <c:v>4.0990000000000002</c:v>
                </c:pt>
                <c:pt idx="590">
                  <c:v>4.0990000000000002</c:v>
                </c:pt>
                <c:pt idx="591">
                  <c:v>4.0990000000000002</c:v>
                </c:pt>
                <c:pt idx="592">
                  <c:v>4.0990000000000002</c:v>
                </c:pt>
                <c:pt idx="593">
                  <c:v>4.0990000000000002</c:v>
                </c:pt>
                <c:pt idx="594">
                  <c:v>4.0990000000000002</c:v>
                </c:pt>
                <c:pt idx="595">
                  <c:v>4.0990000000000002</c:v>
                </c:pt>
                <c:pt idx="596">
                  <c:v>4.0990000000000002</c:v>
                </c:pt>
                <c:pt idx="597">
                  <c:v>4.0990000000000002</c:v>
                </c:pt>
                <c:pt idx="598">
                  <c:v>4.0990000000000002</c:v>
                </c:pt>
                <c:pt idx="599">
                  <c:v>4.0990000000000002</c:v>
                </c:pt>
                <c:pt idx="600">
                  <c:v>4.0990000000000002</c:v>
                </c:pt>
                <c:pt idx="601">
                  <c:v>4.0990000000000002</c:v>
                </c:pt>
                <c:pt idx="602">
                  <c:v>4.0990000000000002</c:v>
                </c:pt>
                <c:pt idx="603">
                  <c:v>4.0990000000000002</c:v>
                </c:pt>
                <c:pt idx="604">
                  <c:v>4.0990000000000002</c:v>
                </c:pt>
                <c:pt idx="605">
                  <c:v>4.0990000000000002</c:v>
                </c:pt>
                <c:pt idx="606">
                  <c:v>4.0990000000000002</c:v>
                </c:pt>
                <c:pt idx="607">
                  <c:v>4.0990000000000002</c:v>
                </c:pt>
                <c:pt idx="608">
                  <c:v>4.0990000000000002</c:v>
                </c:pt>
                <c:pt idx="609">
                  <c:v>4.0990000000000002</c:v>
                </c:pt>
                <c:pt idx="610">
                  <c:v>4.0990000000000002</c:v>
                </c:pt>
                <c:pt idx="611">
                  <c:v>4.0990000000000002</c:v>
                </c:pt>
                <c:pt idx="612">
                  <c:v>4.0990000000000002</c:v>
                </c:pt>
                <c:pt idx="613">
                  <c:v>4.0990000000000002</c:v>
                </c:pt>
                <c:pt idx="614">
                  <c:v>4.0990000000000002</c:v>
                </c:pt>
                <c:pt idx="615">
                  <c:v>4.0990000000000002</c:v>
                </c:pt>
                <c:pt idx="616">
                  <c:v>4.0990000000000002</c:v>
                </c:pt>
                <c:pt idx="617">
                  <c:v>4.0990000000000002</c:v>
                </c:pt>
                <c:pt idx="618">
                  <c:v>4.0990000000000002</c:v>
                </c:pt>
                <c:pt idx="619">
                  <c:v>4.0990000000000002</c:v>
                </c:pt>
                <c:pt idx="620">
                  <c:v>4.0990000000000002</c:v>
                </c:pt>
                <c:pt idx="621">
                  <c:v>4.0990000000000002</c:v>
                </c:pt>
                <c:pt idx="622">
                  <c:v>4.0990000000000002</c:v>
                </c:pt>
                <c:pt idx="623">
                  <c:v>4.0990000000000002</c:v>
                </c:pt>
                <c:pt idx="624">
                  <c:v>4.0990000000000002</c:v>
                </c:pt>
                <c:pt idx="625">
                  <c:v>4.0990000000000002</c:v>
                </c:pt>
                <c:pt idx="626">
                  <c:v>4.0990000000000002</c:v>
                </c:pt>
                <c:pt idx="627">
                  <c:v>4.0990000000000002</c:v>
                </c:pt>
                <c:pt idx="628">
                  <c:v>4.0990000000000002</c:v>
                </c:pt>
                <c:pt idx="629">
                  <c:v>4.0990000000000002</c:v>
                </c:pt>
                <c:pt idx="630">
                  <c:v>4.0990000000000002</c:v>
                </c:pt>
                <c:pt idx="631">
                  <c:v>4.0990000000000002</c:v>
                </c:pt>
                <c:pt idx="632">
                  <c:v>4.0990000000000002</c:v>
                </c:pt>
                <c:pt idx="633">
                  <c:v>4.0990000000000002</c:v>
                </c:pt>
                <c:pt idx="634">
                  <c:v>4.0990000000000002</c:v>
                </c:pt>
                <c:pt idx="635">
                  <c:v>4.0990000000000002</c:v>
                </c:pt>
                <c:pt idx="636">
                  <c:v>4.0990000000000002</c:v>
                </c:pt>
                <c:pt idx="637">
                  <c:v>4.0990000000000002</c:v>
                </c:pt>
                <c:pt idx="638">
                  <c:v>4.0990000000000002</c:v>
                </c:pt>
                <c:pt idx="639">
                  <c:v>4.0990000000000002</c:v>
                </c:pt>
                <c:pt idx="640">
                  <c:v>4.0990000000000002</c:v>
                </c:pt>
                <c:pt idx="641">
                  <c:v>4.0990000000000002</c:v>
                </c:pt>
                <c:pt idx="642">
                  <c:v>4.0990000000000002</c:v>
                </c:pt>
                <c:pt idx="643">
                  <c:v>4.0990000000000002</c:v>
                </c:pt>
                <c:pt idx="644">
                  <c:v>4.0990000000000002</c:v>
                </c:pt>
                <c:pt idx="645">
                  <c:v>4.0990000000000002</c:v>
                </c:pt>
                <c:pt idx="646">
                  <c:v>4.0990000000000002</c:v>
                </c:pt>
                <c:pt idx="647">
                  <c:v>4.0990000000000002</c:v>
                </c:pt>
                <c:pt idx="648">
                  <c:v>4.0990000000000002</c:v>
                </c:pt>
                <c:pt idx="649">
                  <c:v>4.0990000000000002</c:v>
                </c:pt>
                <c:pt idx="650">
                  <c:v>4.0990000000000002</c:v>
                </c:pt>
                <c:pt idx="651">
                  <c:v>4.0990000000000002</c:v>
                </c:pt>
                <c:pt idx="652">
                  <c:v>4.0990000000000002</c:v>
                </c:pt>
                <c:pt idx="653">
                  <c:v>4.0990000000000002</c:v>
                </c:pt>
                <c:pt idx="654">
                  <c:v>4.0990000000000002</c:v>
                </c:pt>
                <c:pt idx="655">
                  <c:v>4.0990000000000002</c:v>
                </c:pt>
                <c:pt idx="656">
                  <c:v>4.0990000000000002</c:v>
                </c:pt>
                <c:pt idx="657">
                  <c:v>4.0990000000000002</c:v>
                </c:pt>
                <c:pt idx="658">
                  <c:v>4.0990000000000002</c:v>
                </c:pt>
                <c:pt idx="659">
                  <c:v>4.0990000000000002</c:v>
                </c:pt>
                <c:pt idx="660">
                  <c:v>4.0990000000000002</c:v>
                </c:pt>
                <c:pt idx="661">
                  <c:v>4.0990000000000002</c:v>
                </c:pt>
                <c:pt idx="662">
                  <c:v>4.0990000000000002</c:v>
                </c:pt>
                <c:pt idx="663">
                  <c:v>4.0990000000000002</c:v>
                </c:pt>
                <c:pt idx="664">
                  <c:v>4.0990000000000002</c:v>
                </c:pt>
                <c:pt idx="665">
                  <c:v>4.0990000000000002</c:v>
                </c:pt>
                <c:pt idx="666">
                  <c:v>4.0990000000000002</c:v>
                </c:pt>
                <c:pt idx="667">
                  <c:v>4.0990000000000002</c:v>
                </c:pt>
                <c:pt idx="668">
                  <c:v>4.0990000000000002</c:v>
                </c:pt>
                <c:pt idx="669">
                  <c:v>4.0990000000000002</c:v>
                </c:pt>
                <c:pt idx="670">
                  <c:v>4.0990000000000002</c:v>
                </c:pt>
                <c:pt idx="671">
                  <c:v>4.0990000000000002</c:v>
                </c:pt>
                <c:pt idx="672">
                  <c:v>4.0990000000000002</c:v>
                </c:pt>
                <c:pt idx="673">
                  <c:v>4.0990000000000002</c:v>
                </c:pt>
                <c:pt idx="674">
                  <c:v>4.0990000000000002</c:v>
                </c:pt>
                <c:pt idx="675">
                  <c:v>4.0990000000000002</c:v>
                </c:pt>
                <c:pt idx="676">
                  <c:v>4.0990000000000002</c:v>
                </c:pt>
                <c:pt idx="677">
                  <c:v>4.0990000000000002</c:v>
                </c:pt>
                <c:pt idx="678">
                  <c:v>4.0990000000000002</c:v>
                </c:pt>
                <c:pt idx="679">
                  <c:v>4.0990000000000002</c:v>
                </c:pt>
                <c:pt idx="680">
                  <c:v>4.0990000000000002</c:v>
                </c:pt>
                <c:pt idx="681">
                  <c:v>4.0990000000000002</c:v>
                </c:pt>
                <c:pt idx="682">
                  <c:v>4.0990000000000002</c:v>
                </c:pt>
                <c:pt idx="683">
                  <c:v>4.0990000000000002</c:v>
                </c:pt>
                <c:pt idx="684">
                  <c:v>4.0990000000000002</c:v>
                </c:pt>
                <c:pt idx="685">
                  <c:v>4.0990000000000002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49-4C12-A0BF-1EA74933D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043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1200"/>
          <c:min val="-12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2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83701</xdr:colOff>
      <xdr:row>705</xdr:row>
      <xdr:rowOff>79925</xdr:rowOff>
    </xdr:from>
    <xdr:to>
      <xdr:col>30</xdr:col>
      <xdr:colOff>202163</xdr:colOff>
      <xdr:row>730</xdr:row>
      <xdr:rowOff>109674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60F1E281-93A2-4DA5-89AC-2B0A3CAAB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8E28-66C7-4D3D-B3D7-7F1178634F6F}">
  <sheetPr>
    <tabColor rgb="FF00B050"/>
    <pageSetUpPr fitToPage="1"/>
  </sheetPr>
  <dimension ref="A1:AF798"/>
  <sheetViews>
    <sheetView view="pageBreakPreview" zoomScaleNormal="83" zoomScaleSheetLayoutView="100" workbookViewId="0">
      <pane ySplit="14" topLeftCell="A734" activePane="bottomLeft" state="frozen"/>
      <selection pane="bottomLeft" activeCell="X736" sqref="X736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189" t="s">
        <v>43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</row>
    <row r="3" spans="1:32" ht="19.5" customHeight="1">
      <c r="A3" s="189" t="s">
        <v>42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</row>
    <row r="4" spans="1:32" ht="19.5" customHeight="1">
      <c r="A4" s="18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</row>
    <row r="5" spans="1:32" ht="18.75" customHeight="1">
      <c r="A5" s="190" t="s">
        <v>41</v>
      </c>
      <c r="B5" s="191"/>
      <c r="C5" s="191"/>
      <c r="D5" s="191"/>
      <c r="E5" s="191"/>
      <c r="F5" s="191"/>
      <c r="G5" s="191"/>
      <c r="H5" s="192"/>
      <c r="I5" s="193" t="s">
        <v>40</v>
      </c>
      <c r="J5" s="194"/>
      <c r="K5" s="194"/>
      <c r="L5" s="194"/>
      <c r="M5" s="194"/>
      <c r="N5" s="194"/>
      <c r="O5" s="194"/>
      <c r="P5" s="194"/>
      <c r="Q5" s="194"/>
      <c r="R5" s="195"/>
      <c r="S5" s="193" t="s">
        <v>39</v>
      </c>
      <c r="T5" s="194"/>
      <c r="U5" s="194"/>
      <c r="V5" s="194"/>
      <c r="W5" s="194"/>
      <c r="X5" s="194"/>
      <c r="Y5" s="194"/>
      <c r="Z5" s="194"/>
      <c r="AA5" s="194"/>
      <c r="AB5" s="195"/>
    </row>
    <row r="6" spans="1:32" ht="17.25" customHeight="1">
      <c r="A6" s="196" t="s">
        <v>38</v>
      </c>
      <c r="B6" s="197"/>
      <c r="C6" s="197"/>
      <c r="D6" s="197"/>
      <c r="E6" s="197"/>
      <c r="F6" s="197"/>
      <c r="G6" s="197"/>
      <c r="H6" s="198"/>
      <c r="I6" s="20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10"/>
      <c r="K6" s="210"/>
      <c r="L6" s="210"/>
      <c r="M6" s="210"/>
      <c r="N6" s="210"/>
      <c r="O6" s="210"/>
      <c r="P6" s="210"/>
      <c r="Q6" s="210"/>
      <c r="R6" s="211"/>
      <c r="S6" s="212" t="s">
        <v>37</v>
      </c>
      <c r="T6" s="213"/>
      <c r="U6" s="213"/>
      <c r="V6" s="213"/>
      <c r="W6" s="213"/>
      <c r="X6" s="213"/>
      <c r="Y6" s="213"/>
      <c r="Z6" s="213"/>
      <c r="AA6" s="213"/>
      <c r="AB6" s="214"/>
    </row>
    <row r="7" spans="1:32" ht="21" customHeight="1">
      <c r="A7" s="199" t="s">
        <v>36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1"/>
    </row>
    <row r="8" spans="1:32" ht="15">
      <c r="A8" s="48" t="s">
        <v>35</v>
      </c>
      <c r="B8" s="46"/>
      <c r="C8" s="46"/>
      <c r="D8" s="46"/>
      <c r="E8" s="46"/>
      <c r="F8" s="46"/>
      <c r="G8" s="46"/>
      <c r="H8" s="46"/>
      <c r="I8" s="46"/>
      <c r="J8" s="47"/>
      <c r="K8" s="47" t="s">
        <v>34</v>
      </c>
      <c r="L8" s="47"/>
      <c r="M8" s="47"/>
      <c r="N8" s="47"/>
      <c r="O8" s="46"/>
      <c r="P8" s="46"/>
      <c r="Q8" s="46"/>
      <c r="R8" s="46"/>
      <c r="S8" s="46"/>
      <c r="T8" s="46"/>
      <c r="U8" s="46"/>
      <c r="V8" s="46"/>
      <c r="W8" s="45"/>
      <c r="X8" s="45"/>
      <c r="Y8" s="45"/>
      <c r="Z8" s="45"/>
      <c r="AA8" s="45"/>
      <c r="AB8" s="44"/>
    </row>
    <row r="9" spans="1:32" ht="15">
      <c r="A9" s="42" t="s">
        <v>33</v>
      </c>
      <c r="B9" s="40"/>
      <c r="C9" s="40" t="s">
        <v>32</v>
      </c>
      <c r="D9" s="40"/>
      <c r="E9" s="40"/>
      <c r="F9" s="40"/>
      <c r="G9" s="40"/>
      <c r="H9" s="40"/>
      <c r="I9" s="40"/>
      <c r="J9" s="41"/>
      <c r="K9" s="41" t="s">
        <v>31</v>
      </c>
      <c r="L9" s="41"/>
      <c r="M9" s="43">
        <f>C14</f>
        <v>842</v>
      </c>
      <c r="N9" s="41"/>
      <c r="O9" s="40"/>
      <c r="P9" s="40"/>
      <c r="Q9" s="40"/>
      <c r="R9" s="40"/>
      <c r="S9" s="40"/>
      <c r="T9" s="40"/>
      <c r="U9" s="40"/>
      <c r="V9" s="40"/>
      <c r="W9" s="39"/>
      <c r="X9" s="39"/>
      <c r="Y9" s="39"/>
      <c r="Z9" s="39"/>
      <c r="AA9" s="39"/>
      <c r="AB9" s="38"/>
    </row>
    <row r="10" spans="1:32" ht="15">
      <c r="A10" s="42" t="s">
        <v>30</v>
      </c>
      <c r="B10" s="40"/>
      <c r="C10" s="40" t="s">
        <v>29</v>
      </c>
      <c r="D10" s="40"/>
      <c r="E10" s="40"/>
      <c r="F10" s="40"/>
      <c r="G10" s="40"/>
      <c r="H10" s="40"/>
      <c r="I10" s="40"/>
      <c r="J10" s="41"/>
      <c r="K10" s="41" t="s">
        <v>28</v>
      </c>
      <c r="L10" s="41"/>
      <c r="M10" s="202">
        <f>B14</f>
        <v>45043</v>
      </c>
      <c r="N10" s="202"/>
      <c r="O10" s="40"/>
      <c r="P10" s="40"/>
      <c r="Q10" s="40"/>
      <c r="R10" s="40"/>
      <c r="S10" s="40"/>
      <c r="T10" s="40"/>
      <c r="U10" s="40"/>
      <c r="V10" s="40"/>
      <c r="W10" s="39"/>
      <c r="X10" s="39"/>
      <c r="Y10" s="39"/>
      <c r="Z10" s="39"/>
      <c r="AA10" s="39"/>
      <c r="AB10" s="38"/>
    </row>
    <row r="11" spans="1:32" ht="11.25" customHeight="1">
      <c r="A11" s="37"/>
      <c r="B11" s="34"/>
      <c r="C11" s="36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R11" s="35"/>
      <c r="S11" s="35"/>
      <c r="T11" s="34"/>
      <c r="U11" s="34"/>
      <c r="V11" s="34"/>
      <c r="W11" s="34"/>
      <c r="X11" s="34"/>
      <c r="Y11" s="34"/>
      <c r="Z11" s="34"/>
      <c r="AA11" s="34"/>
      <c r="AB11" s="33"/>
    </row>
    <row r="12" spans="1:32" ht="47.25" customHeight="1">
      <c r="A12" s="184" t="s">
        <v>27</v>
      </c>
      <c r="B12" s="184" t="s">
        <v>26</v>
      </c>
      <c r="C12" s="184" t="s">
        <v>25</v>
      </c>
      <c r="D12" s="184" t="s">
        <v>24</v>
      </c>
      <c r="E12" s="186" t="s">
        <v>23</v>
      </c>
      <c r="F12" s="187"/>
      <c r="G12" s="188"/>
      <c r="H12" s="186" t="s">
        <v>22</v>
      </c>
      <c r="I12" s="187"/>
      <c r="J12" s="188"/>
      <c r="K12" s="186" t="s">
        <v>21</v>
      </c>
      <c r="L12" s="187"/>
      <c r="M12" s="188"/>
      <c r="N12" s="186" t="s">
        <v>20</v>
      </c>
      <c r="O12" s="187"/>
      <c r="P12" s="188"/>
      <c r="Q12" s="203" t="s">
        <v>19</v>
      </c>
      <c r="R12" s="204"/>
      <c r="S12" s="205"/>
      <c r="T12" s="184" t="s">
        <v>18</v>
      </c>
      <c r="U12" s="206" t="s">
        <v>17</v>
      </c>
      <c r="V12" s="207"/>
      <c r="W12" s="208"/>
      <c r="X12" s="184" t="s">
        <v>16</v>
      </c>
      <c r="Y12" s="184" t="s">
        <v>15</v>
      </c>
      <c r="Z12" s="184" t="s">
        <v>14</v>
      </c>
      <c r="AA12" s="184" t="s">
        <v>13</v>
      </c>
      <c r="AB12" s="184" t="s">
        <v>12</v>
      </c>
    </row>
    <row r="13" spans="1:32" ht="33" customHeight="1">
      <c r="A13" s="185"/>
      <c r="B13" s="185"/>
      <c r="C13" s="185"/>
      <c r="D13" s="185"/>
      <c r="E13" s="32" t="s">
        <v>11</v>
      </c>
      <c r="F13" s="32" t="s">
        <v>10</v>
      </c>
      <c r="G13" s="32" t="s">
        <v>9</v>
      </c>
      <c r="H13" s="32" t="s">
        <v>11</v>
      </c>
      <c r="I13" s="32" t="s">
        <v>10</v>
      </c>
      <c r="J13" s="32" t="s">
        <v>9</v>
      </c>
      <c r="K13" s="32" t="s">
        <v>11</v>
      </c>
      <c r="L13" s="32" t="s">
        <v>10</v>
      </c>
      <c r="M13" s="32" t="s">
        <v>9</v>
      </c>
      <c r="N13" s="32" t="s">
        <v>11</v>
      </c>
      <c r="O13" s="32" t="s">
        <v>10</v>
      </c>
      <c r="P13" s="32" t="s">
        <v>9</v>
      </c>
      <c r="Q13" s="32" t="s">
        <v>11</v>
      </c>
      <c r="R13" s="32" t="s">
        <v>10</v>
      </c>
      <c r="S13" s="32" t="s">
        <v>9</v>
      </c>
      <c r="T13" s="185"/>
      <c r="U13" s="32" t="s">
        <v>11</v>
      </c>
      <c r="V13" s="32" t="s">
        <v>10</v>
      </c>
      <c r="W13" s="32" t="s">
        <v>9</v>
      </c>
      <c r="X13" s="185"/>
      <c r="Y13" s="185"/>
      <c r="Z13" s="185"/>
      <c r="AA13" s="185"/>
      <c r="AB13" s="185"/>
    </row>
    <row r="14" spans="1:32" s="24" customFormat="1" ht="15">
      <c r="A14" s="31">
        <v>0</v>
      </c>
      <c r="B14" s="30">
        <v>45043</v>
      </c>
      <c r="C14" s="29">
        <v>842</v>
      </c>
      <c r="D14" s="28">
        <v>1674</v>
      </c>
      <c r="E14" s="27">
        <f t="shared" ref="E14:E77" si="1">C14+D14-H14</f>
        <v>696</v>
      </c>
      <c r="F14" s="27">
        <f t="shared" ref="F14:F77" si="2">C14+D14-I14</f>
        <v>696</v>
      </c>
      <c r="G14" s="27">
        <f t="shared" ref="G14:G77" si="3">D14+C14-J14</f>
        <v>636</v>
      </c>
      <c r="H14" s="27">
        <f t="shared" ref="H14:H77" si="4">K14+N14</f>
        <v>1820</v>
      </c>
      <c r="I14" s="27">
        <f t="shared" ref="I14:I77" si="5">L14+O14</f>
        <v>1820</v>
      </c>
      <c r="J14" s="27">
        <f t="shared" ref="J14:J77" si="6">M14+P14</f>
        <v>1880</v>
      </c>
      <c r="K14" s="27">
        <v>2000</v>
      </c>
      <c r="L14" s="27">
        <v>2000</v>
      </c>
      <c r="M14" s="27">
        <v>2000</v>
      </c>
      <c r="N14" s="27">
        <v>-180</v>
      </c>
      <c r="O14" s="27">
        <v>-180</v>
      </c>
      <c r="P14" s="27">
        <v>-120</v>
      </c>
      <c r="Q14" s="27">
        <v>0</v>
      </c>
      <c r="R14" s="27">
        <v>0</v>
      </c>
      <c r="S14" s="27">
        <v>0</v>
      </c>
      <c r="T14" s="27">
        <f t="shared" ref="T14:T77" si="7">D14+C14-V14</f>
        <v>2696</v>
      </c>
      <c r="U14" s="27">
        <f t="shared" ref="U14:W20" si="8">N14</f>
        <v>-180</v>
      </c>
      <c r="V14" s="27">
        <f t="shared" si="8"/>
        <v>-180</v>
      </c>
      <c r="W14" s="27">
        <f t="shared" si="8"/>
        <v>-120</v>
      </c>
      <c r="X14" s="27"/>
      <c r="Y14" s="12"/>
      <c r="Z14" s="27"/>
      <c r="AA14" s="27"/>
      <c r="AB14" s="26" t="s">
        <v>8</v>
      </c>
      <c r="AF14" s="25"/>
    </row>
    <row r="15" spans="1:32" ht="15">
      <c r="A15" s="13">
        <v>1</v>
      </c>
      <c r="B15" s="4">
        <f t="shared" ref="B15:B78" si="9">B14+1</f>
        <v>45044</v>
      </c>
      <c r="C15" s="10">
        <f t="shared" ref="C15:C78" si="10">C14</f>
        <v>842</v>
      </c>
      <c r="D15" s="9">
        <f t="shared" ref="D15:D46" si="11">D14-2</f>
        <v>1672</v>
      </c>
      <c r="E15" s="8">
        <f t="shared" si="1"/>
        <v>694</v>
      </c>
      <c r="F15" s="8">
        <f t="shared" si="2"/>
        <v>694</v>
      </c>
      <c r="G15" s="8">
        <f t="shared" si="3"/>
        <v>634</v>
      </c>
      <c r="H15" s="5">
        <f t="shared" si="4"/>
        <v>1820</v>
      </c>
      <c r="I15" s="5">
        <f t="shared" si="5"/>
        <v>1820</v>
      </c>
      <c r="J15" s="5">
        <f t="shared" si="6"/>
        <v>1880</v>
      </c>
      <c r="K15" s="5">
        <f t="shared" ref="K15:K78" si="12">K14</f>
        <v>2000</v>
      </c>
      <c r="L15" s="5">
        <f t="shared" ref="L15:L78" si="13">L14</f>
        <v>2000</v>
      </c>
      <c r="M15" s="5">
        <f t="shared" ref="M15:M78" si="14">M14</f>
        <v>2000</v>
      </c>
      <c r="N15" s="5">
        <f t="shared" ref="N15:N78" si="15">N14-Q15</f>
        <v>-180</v>
      </c>
      <c r="O15" s="5">
        <f t="shared" ref="O15:O78" si="16">O14-R15</f>
        <v>-180</v>
      </c>
      <c r="P15" s="5">
        <f t="shared" ref="P15:P78" si="17">P14-S15</f>
        <v>-120</v>
      </c>
      <c r="Q15" s="8">
        <v>0</v>
      </c>
      <c r="R15" s="8">
        <v>0</v>
      </c>
      <c r="S15" s="8">
        <v>0</v>
      </c>
      <c r="T15" s="6">
        <f t="shared" si="7"/>
        <v>2694</v>
      </c>
      <c r="U15" s="6">
        <f t="shared" si="8"/>
        <v>-180</v>
      </c>
      <c r="V15" s="6">
        <f t="shared" si="8"/>
        <v>-180</v>
      </c>
      <c r="W15" s="6">
        <f t="shared" si="8"/>
        <v>-120</v>
      </c>
      <c r="X15" s="6"/>
      <c r="Y15" s="23"/>
      <c r="Z15" s="5"/>
      <c r="AA15" s="5"/>
      <c r="AB15" s="21"/>
    </row>
    <row r="16" spans="1:32" ht="15">
      <c r="A16" s="13">
        <v>2</v>
      </c>
      <c r="B16" s="4">
        <f t="shared" si="9"/>
        <v>45045</v>
      </c>
      <c r="C16" s="10">
        <f t="shared" si="10"/>
        <v>842</v>
      </c>
      <c r="D16" s="9">
        <f t="shared" si="11"/>
        <v>1670</v>
      </c>
      <c r="E16" s="8">
        <f t="shared" si="1"/>
        <v>692</v>
      </c>
      <c r="F16" s="8">
        <f t="shared" si="2"/>
        <v>692</v>
      </c>
      <c r="G16" s="8">
        <f t="shared" si="3"/>
        <v>632</v>
      </c>
      <c r="H16" s="5">
        <f t="shared" si="4"/>
        <v>1820</v>
      </c>
      <c r="I16" s="5">
        <f t="shared" si="5"/>
        <v>1820</v>
      </c>
      <c r="J16" s="5">
        <f t="shared" si="6"/>
        <v>1880</v>
      </c>
      <c r="K16" s="5">
        <f t="shared" si="12"/>
        <v>2000</v>
      </c>
      <c r="L16" s="5">
        <f t="shared" si="13"/>
        <v>2000</v>
      </c>
      <c r="M16" s="5">
        <f t="shared" si="14"/>
        <v>2000</v>
      </c>
      <c r="N16" s="5">
        <f t="shared" si="15"/>
        <v>-180</v>
      </c>
      <c r="O16" s="5">
        <f t="shared" si="16"/>
        <v>-180</v>
      </c>
      <c r="P16" s="5">
        <f t="shared" si="17"/>
        <v>-120</v>
      </c>
      <c r="Q16" s="8">
        <v>0</v>
      </c>
      <c r="R16" s="8">
        <v>0</v>
      </c>
      <c r="S16" s="8">
        <v>0</v>
      </c>
      <c r="T16" s="6">
        <f t="shared" si="7"/>
        <v>2692</v>
      </c>
      <c r="U16" s="6">
        <f t="shared" si="8"/>
        <v>-180</v>
      </c>
      <c r="V16" s="6">
        <f t="shared" si="8"/>
        <v>-180</v>
      </c>
      <c r="W16" s="6">
        <f t="shared" si="8"/>
        <v>-120</v>
      </c>
      <c r="X16" s="6"/>
      <c r="Y16" s="23"/>
      <c r="Z16" s="5"/>
      <c r="AA16" s="5"/>
      <c r="AB16" s="22"/>
      <c r="AD16" s="20"/>
    </row>
    <row r="17" spans="1:30" ht="15">
      <c r="A17" s="13">
        <v>3</v>
      </c>
      <c r="B17" s="4">
        <f t="shared" si="9"/>
        <v>45046</v>
      </c>
      <c r="C17" s="10">
        <f t="shared" si="10"/>
        <v>842</v>
      </c>
      <c r="D17" s="9">
        <f t="shared" si="11"/>
        <v>1668</v>
      </c>
      <c r="E17" s="8">
        <f t="shared" si="1"/>
        <v>690</v>
      </c>
      <c r="F17" s="8">
        <f t="shared" si="2"/>
        <v>690</v>
      </c>
      <c r="G17" s="8">
        <f t="shared" si="3"/>
        <v>630</v>
      </c>
      <c r="H17" s="5">
        <f t="shared" si="4"/>
        <v>1820</v>
      </c>
      <c r="I17" s="5">
        <f t="shared" si="5"/>
        <v>1820</v>
      </c>
      <c r="J17" s="5">
        <f t="shared" si="6"/>
        <v>1880</v>
      </c>
      <c r="K17" s="5">
        <f t="shared" si="12"/>
        <v>2000</v>
      </c>
      <c r="L17" s="5">
        <f t="shared" si="13"/>
        <v>2000</v>
      </c>
      <c r="M17" s="5">
        <f t="shared" si="14"/>
        <v>2000</v>
      </c>
      <c r="N17" s="5">
        <f t="shared" si="15"/>
        <v>-180</v>
      </c>
      <c r="O17" s="5">
        <f t="shared" si="16"/>
        <v>-180</v>
      </c>
      <c r="P17" s="5">
        <f t="shared" si="17"/>
        <v>-120</v>
      </c>
      <c r="Q17" s="8">
        <v>0</v>
      </c>
      <c r="R17" s="8">
        <v>0</v>
      </c>
      <c r="S17" s="8">
        <v>0</v>
      </c>
      <c r="T17" s="6">
        <f t="shared" si="7"/>
        <v>2690</v>
      </c>
      <c r="U17" s="6">
        <f t="shared" si="8"/>
        <v>-180</v>
      </c>
      <c r="V17" s="6">
        <f t="shared" si="8"/>
        <v>-180</v>
      </c>
      <c r="W17" s="6">
        <f t="shared" si="8"/>
        <v>-120</v>
      </c>
      <c r="X17" s="6"/>
      <c r="Y17" s="5"/>
      <c r="Z17" s="5"/>
      <c r="AA17" s="5"/>
      <c r="AB17" s="17"/>
      <c r="AD17" s="20"/>
    </row>
    <row r="18" spans="1:30" ht="16.5" customHeight="1">
      <c r="A18" s="13">
        <v>4</v>
      </c>
      <c r="B18" s="4">
        <f t="shared" si="9"/>
        <v>45047</v>
      </c>
      <c r="C18" s="10">
        <f t="shared" si="10"/>
        <v>842</v>
      </c>
      <c r="D18" s="9">
        <f t="shared" si="11"/>
        <v>1666</v>
      </c>
      <c r="E18" s="8">
        <f t="shared" si="1"/>
        <v>688</v>
      </c>
      <c r="F18" s="8">
        <f t="shared" si="2"/>
        <v>688</v>
      </c>
      <c r="G18" s="8">
        <f t="shared" si="3"/>
        <v>628</v>
      </c>
      <c r="H18" s="5">
        <f t="shared" si="4"/>
        <v>1820</v>
      </c>
      <c r="I18" s="5">
        <f t="shared" si="5"/>
        <v>1820</v>
      </c>
      <c r="J18" s="5">
        <f t="shared" si="6"/>
        <v>1880</v>
      </c>
      <c r="K18" s="5">
        <f t="shared" si="12"/>
        <v>2000</v>
      </c>
      <c r="L18" s="5">
        <f t="shared" si="13"/>
        <v>2000</v>
      </c>
      <c r="M18" s="5">
        <f t="shared" si="14"/>
        <v>2000</v>
      </c>
      <c r="N18" s="5">
        <f t="shared" si="15"/>
        <v>-180</v>
      </c>
      <c r="O18" s="5">
        <f t="shared" si="16"/>
        <v>-180</v>
      </c>
      <c r="P18" s="5">
        <f t="shared" si="17"/>
        <v>-120</v>
      </c>
      <c r="Q18" s="8">
        <v>0</v>
      </c>
      <c r="R18" s="8">
        <v>0</v>
      </c>
      <c r="S18" s="8">
        <v>0</v>
      </c>
      <c r="T18" s="6">
        <f t="shared" si="7"/>
        <v>2688</v>
      </c>
      <c r="U18" s="6">
        <f t="shared" si="8"/>
        <v>-180</v>
      </c>
      <c r="V18" s="6">
        <f t="shared" si="8"/>
        <v>-180</v>
      </c>
      <c r="W18" s="6">
        <f t="shared" si="8"/>
        <v>-120</v>
      </c>
      <c r="X18" s="6"/>
      <c r="Y18" s="5"/>
      <c r="Z18" s="5"/>
      <c r="AA18" s="5"/>
      <c r="AB18" s="21"/>
      <c r="AD18" s="20"/>
    </row>
    <row r="19" spans="1:30" ht="16.5" customHeight="1">
      <c r="A19" s="13">
        <v>5</v>
      </c>
      <c r="B19" s="4">
        <f t="shared" si="9"/>
        <v>45048</v>
      </c>
      <c r="C19" s="10">
        <f t="shared" si="10"/>
        <v>842</v>
      </c>
      <c r="D19" s="9">
        <f t="shared" si="11"/>
        <v>1664</v>
      </c>
      <c r="E19" s="8">
        <f t="shared" si="1"/>
        <v>686</v>
      </c>
      <c r="F19" s="8">
        <f t="shared" si="2"/>
        <v>686</v>
      </c>
      <c r="G19" s="8">
        <f t="shared" si="3"/>
        <v>626</v>
      </c>
      <c r="H19" s="5">
        <f t="shared" si="4"/>
        <v>1820</v>
      </c>
      <c r="I19" s="5">
        <f t="shared" si="5"/>
        <v>1820</v>
      </c>
      <c r="J19" s="5">
        <f t="shared" si="6"/>
        <v>1880</v>
      </c>
      <c r="K19" s="5">
        <f t="shared" si="12"/>
        <v>2000</v>
      </c>
      <c r="L19" s="5">
        <f t="shared" si="13"/>
        <v>2000</v>
      </c>
      <c r="M19" s="5">
        <f t="shared" si="14"/>
        <v>2000</v>
      </c>
      <c r="N19" s="5">
        <f t="shared" si="15"/>
        <v>-180</v>
      </c>
      <c r="O19" s="5">
        <f t="shared" si="16"/>
        <v>-180</v>
      </c>
      <c r="P19" s="5">
        <f t="shared" si="17"/>
        <v>-120</v>
      </c>
      <c r="Q19" s="8">
        <v>0</v>
      </c>
      <c r="R19" s="8">
        <v>0</v>
      </c>
      <c r="S19" s="8">
        <v>0</v>
      </c>
      <c r="T19" s="6">
        <f t="shared" si="7"/>
        <v>2686</v>
      </c>
      <c r="U19" s="6">
        <f t="shared" si="8"/>
        <v>-180</v>
      </c>
      <c r="V19" s="6">
        <f t="shared" si="8"/>
        <v>-180</v>
      </c>
      <c r="W19" s="6">
        <f t="shared" si="8"/>
        <v>-120</v>
      </c>
      <c r="X19" s="6"/>
      <c r="Y19" s="5"/>
      <c r="Z19" s="5"/>
      <c r="AA19" s="5"/>
      <c r="AB19" s="5"/>
      <c r="AD19" s="20"/>
    </row>
    <row r="20" spans="1:30" ht="16.5" customHeight="1">
      <c r="A20" s="13">
        <v>6</v>
      </c>
      <c r="B20" s="4">
        <f t="shared" si="9"/>
        <v>45049</v>
      </c>
      <c r="C20" s="10">
        <f t="shared" si="10"/>
        <v>842</v>
      </c>
      <c r="D20" s="9">
        <f t="shared" si="11"/>
        <v>1662</v>
      </c>
      <c r="E20" s="8">
        <f t="shared" si="1"/>
        <v>684</v>
      </c>
      <c r="F20" s="8">
        <f t="shared" si="2"/>
        <v>684</v>
      </c>
      <c r="G20" s="8">
        <f t="shared" si="3"/>
        <v>624</v>
      </c>
      <c r="H20" s="5">
        <f t="shared" si="4"/>
        <v>1820</v>
      </c>
      <c r="I20" s="5">
        <f t="shared" si="5"/>
        <v>1820</v>
      </c>
      <c r="J20" s="5">
        <f t="shared" si="6"/>
        <v>1880</v>
      </c>
      <c r="K20" s="5">
        <f t="shared" si="12"/>
        <v>2000</v>
      </c>
      <c r="L20" s="5">
        <f t="shared" si="13"/>
        <v>2000</v>
      </c>
      <c r="M20" s="5">
        <f t="shared" si="14"/>
        <v>2000</v>
      </c>
      <c r="N20" s="5">
        <f t="shared" si="15"/>
        <v>-180</v>
      </c>
      <c r="O20" s="5">
        <f t="shared" si="16"/>
        <v>-180</v>
      </c>
      <c r="P20" s="5">
        <f t="shared" si="17"/>
        <v>-120</v>
      </c>
      <c r="Q20" s="8">
        <v>0</v>
      </c>
      <c r="R20" s="8">
        <v>0</v>
      </c>
      <c r="S20" s="8">
        <v>0</v>
      </c>
      <c r="T20" s="6">
        <f t="shared" si="7"/>
        <v>2684</v>
      </c>
      <c r="U20" s="6">
        <f t="shared" si="8"/>
        <v>-180</v>
      </c>
      <c r="V20" s="6">
        <f t="shared" si="8"/>
        <v>-180</v>
      </c>
      <c r="W20" s="6">
        <f t="shared" si="8"/>
        <v>-120</v>
      </c>
      <c r="X20" s="6"/>
      <c r="Y20" s="5"/>
      <c r="Z20" s="5"/>
      <c r="AA20" s="5"/>
      <c r="AB20" s="17"/>
      <c r="AD20" s="20"/>
    </row>
    <row r="21" spans="1:30" ht="16.5" customHeight="1">
      <c r="A21" s="13">
        <v>7</v>
      </c>
      <c r="B21" s="4">
        <f t="shared" si="9"/>
        <v>45050</v>
      </c>
      <c r="C21" s="10">
        <f t="shared" si="10"/>
        <v>842</v>
      </c>
      <c r="D21" s="9">
        <f t="shared" si="11"/>
        <v>1660</v>
      </c>
      <c r="E21" s="8">
        <f t="shared" si="1"/>
        <v>682</v>
      </c>
      <c r="F21" s="8">
        <f t="shared" si="2"/>
        <v>682</v>
      </c>
      <c r="G21" s="8">
        <f t="shared" si="3"/>
        <v>622</v>
      </c>
      <c r="H21" s="5">
        <f t="shared" si="4"/>
        <v>1820</v>
      </c>
      <c r="I21" s="5">
        <f t="shared" si="5"/>
        <v>1820</v>
      </c>
      <c r="J21" s="5">
        <f t="shared" si="6"/>
        <v>1880</v>
      </c>
      <c r="K21" s="5">
        <f t="shared" si="12"/>
        <v>2000</v>
      </c>
      <c r="L21" s="5">
        <f t="shared" si="13"/>
        <v>2000</v>
      </c>
      <c r="M21" s="5">
        <f t="shared" si="14"/>
        <v>2000</v>
      </c>
      <c r="N21" s="5">
        <f t="shared" si="15"/>
        <v>-180</v>
      </c>
      <c r="O21" s="5">
        <f t="shared" si="16"/>
        <v>-180</v>
      </c>
      <c r="P21" s="5">
        <f t="shared" si="17"/>
        <v>-120</v>
      </c>
      <c r="Q21" s="8">
        <v>0</v>
      </c>
      <c r="R21" s="8">
        <v>0</v>
      </c>
      <c r="S21" s="8">
        <v>0</v>
      </c>
      <c r="T21" s="6">
        <f t="shared" si="7"/>
        <v>2682</v>
      </c>
      <c r="U21" s="7">
        <f t="shared" ref="U21:U37" si="18">U20+$X21*1000-Q21</f>
        <v>-180</v>
      </c>
      <c r="V21" s="7">
        <f t="shared" ref="V21:V37" si="19">V20+$X21*1000-R21</f>
        <v>-180</v>
      </c>
      <c r="W21" s="7">
        <f t="shared" ref="W21:W37" si="20">W20+$X21*1000-S21</f>
        <v>-120</v>
      </c>
      <c r="X21" s="6"/>
      <c r="Y21" s="5"/>
      <c r="Z21" s="5"/>
      <c r="AA21" s="5"/>
      <c r="AB21" s="17"/>
      <c r="AD21" s="20"/>
    </row>
    <row r="22" spans="1:30" ht="16.5" customHeight="1">
      <c r="A22" s="13">
        <v>8</v>
      </c>
      <c r="B22" s="4">
        <f t="shared" si="9"/>
        <v>45051</v>
      </c>
      <c r="C22" s="10">
        <f t="shared" si="10"/>
        <v>842</v>
      </c>
      <c r="D22" s="9">
        <f t="shared" si="11"/>
        <v>1658</v>
      </c>
      <c r="E22" s="8">
        <f t="shared" si="1"/>
        <v>680</v>
      </c>
      <c r="F22" s="8">
        <f t="shared" si="2"/>
        <v>680</v>
      </c>
      <c r="G22" s="8">
        <f t="shared" si="3"/>
        <v>620</v>
      </c>
      <c r="H22" s="5">
        <f t="shared" si="4"/>
        <v>1820</v>
      </c>
      <c r="I22" s="5">
        <f t="shared" si="5"/>
        <v>1820</v>
      </c>
      <c r="J22" s="5">
        <f t="shared" si="6"/>
        <v>1880</v>
      </c>
      <c r="K22" s="5">
        <f t="shared" si="12"/>
        <v>2000</v>
      </c>
      <c r="L22" s="5">
        <f t="shared" si="13"/>
        <v>2000</v>
      </c>
      <c r="M22" s="5">
        <f t="shared" si="14"/>
        <v>2000</v>
      </c>
      <c r="N22" s="5">
        <f t="shared" si="15"/>
        <v>-180</v>
      </c>
      <c r="O22" s="5">
        <f t="shared" si="16"/>
        <v>-180</v>
      </c>
      <c r="P22" s="5">
        <f t="shared" si="17"/>
        <v>-120</v>
      </c>
      <c r="Q22" s="8">
        <v>0</v>
      </c>
      <c r="R22" s="8">
        <v>0</v>
      </c>
      <c r="S22" s="8">
        <v>0</v>
      </c>
      <c r="T22" s="6">
        <f t="shared" si="7"/>
        <v>2680</v>
      </c>
      <c r="U22" s="7">
        <f t="shared" si="18"/>
        <v>-180</v>
      </c>
      <c r="V22" s="7">
        <f t="shared" si="19"/>
        <v>-180</v>
      </c>
      <c r="W22" s="7">
        <f t="shared" si="20"/>
        <v>-120</v>
      </c>
      <c r="X22" s="6"/>
      <c r="Y22" s="5"/>
      <c r="Z22" s="5"/>
      <c r="AA22" s="5"/>
      <c r="AB22" s="17"/>
      <c r="AD22" s="20"/>
    </row>
    <row r="23" spans="1:30" ht="16.5" customHeight="1">
      <c r="A23" s="13">
        <v>9</v>
      </c>
      <c r="B23" s="4">
        <f t="shared" si="9"/>
        <v>45052</v>
      </c>
      <c r="C23" s="10">
        <f t="shared" si="10"/>
        <v>842</v>
      </c>
      <c r="D23" s="9">
        <f t="shared" si="11"/>
        <v>1656</v>
      </c>
      <c r="E23" s="8">
        <f t="shared" si="1"/>
        <v>678</v>
      </c>
      <c r="F23" s="8">
        <f t="shared" si="2"/>
        <v>678</v>
      </c>
      <c r="G23" s="8">
        <f t="shared" si="3"/>
        <v>618</v>
      </c>
      <c r="H23" s="5">
        <f t="shared" si="4"/>
        <v>1820</v>
      </c>
      <c r="I23" s="5">
        <f t="shared" si="5"/>
        <v>1820</v>
      </c>
      <c r="J23" s="5">
        <f t="shared" si="6"/>
        <v>1880</v>
      </c>
      <c r="K23" s="5">
        <f t="shared" si="12"/>
        <v>2000</v>
      </c>
      <c r="L23" s="5">
        <f t="shared" si="13"/>
        <v>2000</v>
      </c>
      <c r="M23" s="5">
        <f t="shared" si="14"/>
        <v>2000</v>
      </c>
      <c r="N23" s="5">
        <f t="shared" si="15"/>
        <v>-180</v>
      </c>
      <c r="O23" s="5">
        <f t="shared" si="16"/>
        <v>-180</v>
      </c>
      <c r="P23" s="5">
        <f t="shared" si="17"/>
        <v>-120</v>
      </c>
      <c r="Q23" s="8">
        <v>0</v>
      </c>
      <c r="R23" s="8">
        <v>0</v>
      </c>
      <c r="S23" s="8">
        <v>0</v>
      </c>
      <c r="T23" s="6">
        <f t="shared" si="7"/>
        <v>2678</v>
      </c>
      <c r="U23" s="7">
        <f t="shared" si="18"/>
        <v>-180</v>
      </c>
      <c r="V23" s="7">
        <f t="shared" si="19"/>
        <v>-180</v>
      </c>
      <c r="W23" s="7">
        <f t="shared" si="20"/>
        <v>-120</v>
      </c>
      <c r="X23" s="6"/>
      <c r="Y23" s="5"/>
      <c r="Z23" s="5"/>
      <c r="AA23" s="5"/>
      <c r="AB23" s="17"/>
      <c r="AD23" s="20"/>
    </row>
    <row r="24" spans="1:30" ht="16.5" customHeight="1">
      <c r="A24" s="13">
        <v>10</v>
      </c>
      <c r="B24" s="4">
        <f t="shared" si="9"/>
        <v>45053</v>
      </c>
      <c r="C24" s="10">
        <f t="shared" si="10"/>
        <v>842</v>
      </c>
      <c r="D24" s="9">
        <f t="shared" si="11"/>
        <v>1654</v>
      </c>
      <c r="E24" s="8">
        <f t="shared" si="1"/>
        <v>676</v>
      </c>
      <c r="F24" s="8">
        <f t="shared" si="2"/>
        <v>676</v>
      </c>
      <c r="G24" s="8">
        <f t="shared" si="3"/>
        <v>616</v>
      </c>
      <c r="H24" s="5">
        <f t="shared" si="4"/>
        <v>1820</v>
      </c>
      <c r="I24" s="5">
        <f t="shared" si="5"/>
        <v>1820</v>
      </c>
      <c r="J24" s="5">
        <f t="shared" si="6"/>
        <v>1880</v>
      </c>
      <c r="K24" s="5">
        <f t="shared" si="12"/>
        <v>2000</v>
      </c>
      <c r="L24" s="5">
        <f t="shared" si="13"/>
        <v>2000</v>
      </c>
      <c r="M24" s="5">
        <f t="shared" si="14"/>
        <v>2000</v>
      </c>
      <c r="N24" s="5">
        <f t="shared" si="15"/>
        <v>-180</v>
      </c>
      <c r="O24" s="5">
        <f t="shared" si="16"/>
        <v>-180</v>
      </c>
      <c r="P24" s="5">
        <f t="shared" si="17"/>
        <v>-120</v>
      </c>
      <c r="Q24" s="8">
        <v>0</v>
      </c>
      <c r="R24" s="8">
        <v>0</v>
      </c>
      <c r="S24" s="8">
        <v>0</v>
      </c>
      <c r="T24" s="6">
        <f t="shared" si="7"/>
        <v>2676</v>
      </c>
      <c r="U24" s="7">
        <f t="shared" si="18"/>
        <v>-180</v>
      </c>
      <c r="V24" s="7">
        <f t="shared" si="19"/>
        <v>-180</v>
      </c>
      <c r="W24" s="7">
        <f t="shared" si="20"/>
        <v>-120</v>
      </c>
      <c r="X24" s="6"/>
      <c r="Y24" s="5"/>
      <c r="Z24" s="5"/>
      <c r="AA24" s="5"/>
      <c r="AB24" s="17"/>
      <c r="AD24" s="20"/>
    </row>
    <row r="25" spans="1:30" ht="16.5" customHeight="1">
      <c r="A25" s="13">
        <v>11</v>
      </c>
      <c r="B25" s="4">
        <f t="shared" si="9"/>
        <v>45054</v>
      </c>
      <c r="C25" s="10">
        <f t="shared" si="10"/>
        <v>842</v>
      </c>
      <c r="D25" s="9">
        <f t="shared" si="11"/>
        <v>1652</v>
      </c>
      <c r="E25" s="8">
        <f t="shared" si="1"/>
        <v>674</v>
      </c>
      <c r="F25" s="8">
        <f t="shared" si="2"/>
        <v>674</v>
      </c>
      <c r="G25" s="8">
        <f t="shared" si="3"/>
        <v>614</v>
      </c>
      <c r="H25" s="5">
        <f t="shared" si="4"/>
        <v>1820</v>
      </c>
      <c r="I25" s="5">
        <f t="shared" si="5"/>
        <v>1820</v>
      </c>
      <c r="J25" s="5">
        <f t="shared" si="6"/>
        <v>1880</v>
      </c>
      <c r="K25" s="5">
        <f t="shared" si="12"/>
        <v>2000</v>
      </c>
      <c r="L25" s="5">
        <f t="shared" si="13"/>
        <v>2000</v>
      </c>
      <c r="M25" s="5">
        <f t="shared" si="14"/>
        <v>2000</v>
      </c>
      <c r="N25" s="5">
        <f t="shared" si="15"/>
        <v>-180</v>
      </c>
      <c r="O25" s="5">
        <f t="shared" si="16"/>
        <v>-180</v>
      </c>
      <c r="P25" s="5">
        <f t="shared" si="17"/>
        <v>-120</v>
      </c>
      <c r="Q25" s="8">
        <v>0</v>
      </c>
      <c r="R25" s="8">
        <v>0</v>
      </c>
      <c r="S25" s="8">
        <v>0</v>
      </c>
      <c r="T25" s="6">
        <f t="shared" si="7"/>
        <v>2674</v>
      </c>
      <c r="U25" s="7">
        <f t="shared" si="18"/>
        <v>-180</v>
      </c>
      <c r="V25" s="7">
        <f t="shared" si="19"/>
        <v>-180</v>
      </c>
      <c r="W25" s="7">
        <f t="shared" si="20"/>
        <v>-120</v>
      </c>
      <c r="X25" s="6"/>
      <c r="Y25" s="5"/>
      <c r="Z25" s="5"/>
      <c r="AA25" s="5"/>
      <c r="AB25" s="17"/>
      <c r="AD25" s="20"/>
    </row>
    <row r="26" spans="1:30" ht="16.5" customHeight="1">
      <c r="A26" s="13">
        <v>12</v>
      </c>
      <c r="B26" s="4">
        <f t="shared" si="9"/>
        <v>45055</v>
      </c>
      <c r="C26" s="10">
        <f t="shared" si="10"/>
        <v>842</v>
      </c>
      <c r="D26" s="9">
        <f t="shared" si="11"/>
        <v>1650</v>
      </c>
      <c r="E26" s="8">
        <f t="shared" si="1"/>
        <v>672</v>
      </c>
      <c r="F26" s="8">
        <f t="shared" si="2"/>
        <v>672</v>
      </c>
      <c r="G26" s="8">
        <f t="shared" si="3"/>
        <v>612</v>
      </c>
      <c r="H26" s="5">
        <f t="shared" si="4"/>
        <v>1820</v>
      </c>
      <c r="I26" s="5">
        <f t="shared" si="5"/>
        <v>1820</v>
      </c>
      <c r="J26" s="5">
        <f t="shared" si="6"/>
        <v>1880</v>
      </c>
      <c r="K26" s="5">
        <f t="shared" si="12"/>
        <v>2000</v>
      </c>
      <c r="L26" s="5">
        <f t="shared" si="13"/>
        <v>2000</v>
      </c>
      <c r="M26" s="5">
        <f t="shared" si="14"/>
        <v>2000</v>
      </c>
      <c r="N26" s="5">
        <f t="shared" si="15"/>
        <v>-180</v>
      </c>
      <c r="O26" s="5">
        <f t="shared" si="16"/>
        <v>-180</v>
      </c>
      <c r="P26" s="5">
        <f t="shared" si="17"/>
        <v>-120</v>
      </c>
      <c r="Q26" s="8">
        <v>0</v>
      </c>
      <c r="R26" s="8">
        <v>0</v>
      </c>
      <c r="S26" s="8">
        <v>0</v>
      </c>
      <c r="T26" s="6">
        <f t="shared" si="7"/>
        <v>2672</v>
      </c>
      <c r="U26" s="7">
        <f t="shared" si="18"/>
        <v>-180</v>
      </c>
      <c r="V26" s="7">
        <f t="shared" si="19"/>
        <v>-180</v>
      </c>
      <c r="W26" s="7">
        <f t="shared" si="20"/>
        <v>-120</v>
      </c>
      <c r="X26" s="6"/>
      <c r="Y26" s="5"/>
      <c r="Z26" s="5"/>
      <c r="AA26" s="5"/>
      <c r="AB26" s="17"/>
      <c r="AD26" s="20"/>
    </row>
    <row r="27" spans="1:30" ht="16.5" customHeight="1">
      <c r="A27" s="13">
        <v>13</v>
      </c>
      <c r="B27" s="4">
        <f t="shared" si="9"/>
        <v>45056</v>
      </c>
      <c r="C27" s="10">
        <f t="shared" si="10"/>
        <v>842</v>
      </c>
      <c r="D27" s="9">
        <f t="shared" si="11"/>
        <v>1648</v>
      </c>
      <c r="E27" s="8">
        <f t="shared" si="1"/>
        <v>670</v>
      </c>
      <c r="F27" s="8">
        <f t="shared" si="2"/>
        <v>670</v>
      </c>
      <c r="G27" s="8">
        <f t="shared" si="3"/>
        <v>610</v>
      </c>
      <c r="H27" s="5">
        <f t="shared" si="4"/>
        <v>1820</v>
      </c>
      <c r="I27" s="5">
        <f t="shared" si="5"/>
        <v>1820</v>
      </c>
      <c r="J27" s="5">
        <f t="shared" si="6"/>
        <v>1880</v>
      </c>
      <c r="K27" s="5">
        <f t="shared" si="12"/>
        <v>2000</v>
      </c>
      <c r="L27" s="5">
        <f t="shared" si="13"/>
        <v>2000</v>
      </c>
      <c r="M27" s="5">
        <f t="shared" si="14"/>
        <v>2000</v>
      </c>
      <c r="N27" s="5">
        <f t="shared" si="15"/>
        <v>-180</v>
      </c>
      <c r="O27" s="5">
        <f t="shared" si="16"/>
        <v>-180</v>
      </c>
      <c r="P27" s="5">
        <f t="shared" si="17"/>
        <v>-120</v>
      </c>
      <c r="Q27" s="8">
        <v>0</v>
      </c>
      <c r="R27" s="8">
        <v>0</v>
      </c>
      <c r="S27" s="8">
        <v>0</v>
      </c>
      <c r="T27" s="6">
        <f t="shared" si="7"/>
        <v>2670</v>
      </c>
      <c r="U27" s="7">
        <f t="shared" si="18"/>
        <v>-180</v>
      </c>
      <c r="V27" s="7">
        <f t="shared" si="19"/>
        <v>-180</v>
      </c>
      <c r="W27" s="7">
        <f t="shared" si="20"/>
        <v>-120</v>
      </c>
      <c r="X27" s="6"/>
      <c r="Y27" s="5"/>
      <c r="Z27" s="5"/>
      <c r="AA27" s="5"/>
      <c r="AB27" s="17"/>
      <c r="AD27" s="20"/>
    </row>
    <row r="28" spans="1:30" ht="16.5" customHeight="1">
      <c r="A28" s="13">
        <v>14</v>
      </c>
      <c r="B28" s="4">
        <f t="shared" si="9"/>
        <v>45057</v>
      </c>
      <c r="C28" s="10">
        <f t="shared" si="10"/>
        <v>842</v>
      </c>
      <c r="D28" s="9">
        <f t="shared" si="11"/>
        <v>1646</v>
      </c>
      <c r="E28" s="8">
        <f t="shared" si="1"/>
        <v>668</v>
      </c>
      <c r="F28" s="8">
        <f t="shared" si="2"/>
        <v>668</v>
      </c>
      <c r="G28" s="8">
        <f t="shared" si="3"/>
        <v>608</v>
      </c>
      <c r="H28" s="5">
        <f t="shared" si="4"/>
        <v>1820</v>
      </c>
      <c r="I28" s="5">
        <f t="shared" si="5"/>
        <v>1820</v>
      </c>
      <c r="J28" s="5">
        <f t="shared" si="6"/>
        <v>1880</v>
      </c>
      <c r="K28" s="5">
        <f t="shared" si="12"/>
        <v>2000</v>
      </c>
      <c r="L28" s="5">
        <f t="shared" si="13"/>
        <v>2000</v>
      </c>
      <c r="M28" s="5">
        <f t="shared" si="14"/>
        <v>2000</v>
      </c>
      <c r="N28" s="5">
        <f t="shared" si="15"/>
        <v>-180</v>
      </c>
      <c r="O28" s="5">
        <f t="shared" si="16"/>
        <v>-180</v>
      </c>
      <c r="P28" s="5">
        <f t="shared" si="17"/>
        <v>-120</v>
      </c>
      <c r="Q28" s="8">
        <v>0</v>
      </c>
      <c r="R28" s="8">
        <v>0</v>
      </c>
      <c r="S28" s="8">
        <v>0</v>
      </c>
      <c r="T28" s="6">
        <f t="shared" si="7"/>
        <v>2668</v>
      </c>
      <c r="U28" s="7">
        <f t="shared" si="18"/>
        <v>-180</v>
      </c>
      <c r="V28" s="7">
        <f t="shared" si="19"/>
        <v>-180</v>
      </c>
      <c r="W28" s="7">
        <f t="shared" si="20"/>
        <v>-120</v>
      </c>
      <c r="X28" s="6"/>
      <c r="Y28" s="5"/>
      <c r="Z28" s="5"/>
      <c r="AA28" s="5"/>
      <c r="AB28" s="17"/>
      <c r="AD28" s="20"/>
    </row>
    <row r="29" spans="1:30" ht="16.5" customHeight="1">
      <c r="A29" s="13">
        <v>15</v>
      </c>
      <c r="B29" s="4">
        <f t="shared" si="9"/>
        <v>45058</v>
      </c>
      <c r="C29" s="10">
        <f t="shared" si="10"/>
        <v>842</v>
      </c>
      <c r="D29" s="9">
        <f t="shared" si="11"/>
        <v>1644</v>
      </c>
      <c r="E29" s="8">
        <f t="shared" si="1"/>
        <v>666</v>
      </c>
      <c r="F29" s="8">
        <f t="shared" si="2"/>
        <v>666</v>
      </c>
      <c r="G29" s="8">
        <f t="shared" si="3"/>
        <v>606</v>
      </c>
      <c r="H29" s="5">
        <f t="shared" si="4"/>
        <v>1820</v>
      </c>
      <c r="I29" s="5">
        <f t="shared" si="5"/>
        <v>1820</v>
      </c>
      <c r="J29" s="5">
        <f t="shared" si="6"/>
        <v>1880</v>
      </c>
      <c r="K29" s="5">
        <f t="shared" si="12"/>
        <v>2000</v>
      </c>
      <c r="L29" s="5">
        <f t="shared" si="13"/>
        <v>2000</v>
      </c>
      <c r="M29" s="5">
        <f t="shared" si="14"/>
        <v>2000</v>
      </c>
      <c r="N29" s="5">
        <f t="shared" si="15"/>
        <v>-180</v>
      </c>
      <c r="O29" s="5">
        <f t="shared" si="16"/>
        <v>-180</v>
      </c>
      <c r="P29" s="5">
        <f t="shared" si="17"/>
        <v>-120</v>
      </c>
      <c r="Q29" s="8">
        <v>0</v>
      </c>
      <c r="R29" s="8">
        <v>0</v>
      </c>
      <c r="S29" s="8">
        <v>0</v>
      </c>
      <c r="T29" s="6">
        <f t="shared" si="7"/>
        <v>2666</v>
      </c>
      <c r="U29" s="7">
        <f t="shared" si="18"/>
        <v>-180</v>
      </c>
      <c r="V29" s="7">
        <f t="shared" si="19"/>
        <v>-180</v>
      </c>
      <c r="W29" s="7">
        <f t="shared" si="20"/>
        <v>-120</v>
      </c>
      <c r="X29" s="6"/>
      <c r="Y29" s="5"/>
      <c r="Z29" s="5"/>
      <c r="AA29" s="5"/>
      <c r="AB29" s="17"/>
    </row>
    <row r="30" spans="1:30" ht="16.5" customHeight="1">
      <c r="A30" s="13">
        <v>16</v>
      </c>
      <c r="B30" s="4">
        <f t="shared" si="9"/>
        <v>45059</v>
      </c>
      <c r="C30" s="10">
        <f t="shared" si="10"/>
        <v>842</v>
      </c>
      <c r="D30" s="9">
        <f t="shared" si="11"/>
        <v>1642</v>
      </c>
      <c r="E30" s="8">
        <f t="shared" si="1"/>
        <v>664</v>
      </c>
      <c r="F30" s="8">
        <f t="shared" si="2"/>
        <v>664</v>
      </c>
      <c r="G30" s="8">
        <f t="shared" si="3"/>
        <v>604</v>
      </c>
      <c r="H30" s="5">
        <f t="shared" si="4"/>
        <v>1820</v>
      </c>
      <c r="I30" s="5">
        <f t="shared" si="5"/>
        <v>1820</v>
      </c>
      <c r="J30" s="5">
        <f t="shared" si="6"/>
        <v>1880</v>
      </c>
      <c r="K30" s="5">
        <f t="shared" si="12"/>
        <v>2000</v>
      </c>
      <c r="L30" s="5">
        <f t="shared" si="13"/>
        <v>2000</v>
      </c>
      <c r="M30" s="5">
        <f t="shared" si="14"/>
        <v>2000</v>
      </c>
      <c r="N30" s="5">
        <f t="shared" si="15"/>
        <v>-180</v>
      </c>
      <c r="O30" s="5">
        <f t="shared" si="16"/>
        <v>-180</v>
      </c>
      <c r="P30" s="5">
        <f t="shared" si="17"/>
        <v>-120</v>
      </c>
      <c r="Q30" s="8">
        <v>0</v>
      </c>
      <c r="R30" s="8">
        <v>0</v>
      </c>
      <c r="S30" s="8">
        <v>0</v>
      </c>
      <c r="T30" s="6">
        <f t="shared" si="7"/>
        <v>2664</v>
      </c>
      <c r="U30" s="7">
        <f t="shared" si="18"/>
        <v>-180</v>
      </c>
      <c r="V30" s="7">
        <f t="shared" si="19"/>
        <v>-180</v>
      </c>
      <c r="W30" s="7">
        <f t="shared" si="20"/>
        <v>-120</v>
      </c>
      <c r="X30" s="6"/>
      <c r="Y30" s="5"/>
      <c r="Z30" s="5"/>
      <c r="AA30" s="5"/>
      <c r="AB30" s="17"/>
    </row>
    <row r="31" spans="1:30" ht="16.5" customHeight="1">
      <c r="A31" s="13">
        <v>17</v>
      </c>
      <c r="B31" s="4">
        <f t="shared" si="9"/>
        <v>45060</v>
      </c>
      <c r="C31" s="10">
        <f t="shared" si="10"/>
        <v>842</v>
      </c>
      <c r="D31" s="9">
        <f t="shared" si="11"/>
        <v>1640</v>
      </c>
      <c r="E31" s="8">
        <f t="shared" si="1"/>
        <v>662</v>
      </c>
      <c r="F31" s="8">
        <f t="shared" si="2"/>
        <v>662</v>
      </c>
      <c r="G31" s="8">
        <f t="shared" si="3"/>
        <v>602</v>
      </c>
      <c r="H31" s="5">
        <f t="shared" si="4"/>
        <v>1820</v>
      </c>
      <c r="I31" s="5">
        <f t="shared" si="5"/>
        <v>1820</v>
      </c>
      <c r="J31" s="5">
        <f t="shared" si="6"/>
        <v>1880</v>
      </c>
      <c r="K31" s="5">
        <f t="shared" si="12"/>
        <v>2000</v>
      </c>
      <c r="L31" s="5">
        <f t="shared" si="13"/>
        <v>2000</v>
      </c>
      <c r="M31" s="5">
        <f t="shared" si="14"/>
        <v>2000</v>
      </c>
      <c r="N31" s="5">
        <f t="shared" si="15"/>
        <v>-180</v>
      </c>
      <c r="O31" s="5">
        <f t="shared" si="16"/>
        <v>-180</v>
      </c>
      <c r="P31" s="5">
        <f t="shared" si="17"/>
        <v>-120</v>
      </c>
      <c r="Q31" s="8">
        <v>0</v>
      </c>
      <c r="R31" s="8">
        <v>0</v>
      </c>
      <c r="S31" s="8">
        <v>0</v>
      </c>
      <c r="T31" s="6">
        <f t="shared" si="7"/>
        <v>2662</v>
      </c>
      <c r="U31" s="7">
        <f t="shared" si="18"/>
        <v>-180</v>
      </c>
      <c r="V31" s="7">
        <f t="shared" si="19"/>
        <v>-180</v>
      </c>
      <c r="W31" s="7">
        <f t="shared" si="20"/>
        <v>-120</v>
      </c>
      <c r="X31" s="6"/>
      <c r="Y31" s="5"/>
      <c r="Z31" s="5"/>
      <c r="AA31" s="5"/>
      <c r="AB31" s="17"/>
    </row>
    <row r="32" spans="1:30" ht="16.5" customHeight="1">
      <c r="A32" s="13">
        <v>18</v>
      </c>
      <c r="B32" s="4">
        <f t="shared" si="9"/>
        <v>45061</v>
      </c>
      <c r="C32" s="10">
        <f t="shared" si="10"/>
        <v>842</v>
      </c>
      <c r="D32" s="9">
        <f t="shared" si="11"/>
        <v>1638</v>
      </c>
      <c r="E32" s="8">
        <f t="shared" si="1"/>
        <v>660</v>
      </c>
      <c r="F32" s="8">
        <f t="shared" si="2"/>
        <v>660</v>
      </c>
      <c r="G32" s="8">
        <f t="shared" si="3"/>
        <v>600</v>
      </c>
      <c r="H32" s="5">
        <f t="shared" si="4"/>
        <v>1820</v>
      </c>
      <c r="I32" s="5">
        <f t="shared" si="5"/>
        <v>1820</v>
      </c>
      <c r="J32" s="5">
        <f t="shared" si="6"/>
        <v>1880</v>
      </c>
      <c r="K32" s="5">
        <f t="shared" si="12"/>
        <v>2000</v>
      </c>
      <c r="L32" s="5">
        <f t="shared" si="13"/>
        <v>2000</v>
      </c>
      <c r="M32" s="5">
        <f t="shared" si="14"/>
        <v>2000</v>
      </c>
      <c r="N32" s="5">
        <f t="shared" si="15"/>
        <v>-180</v>
      </c>
      <c r="O32" s="5">
        <f t="shared" si="16"/>
        <v>-180</v>
      </c>
      <c r="P32" s="5">
        <f t="shared" si="17"/>
        <v>-120</v>
      </c>
      <c r="Q32" s="8">
        <v>0</v>
      </c>
      <c r="R32" s="8">
        <v>0</v>
      </c>
      <c r="S32" s="8">
        <v>0</v>
      </c>
      <c r="T32" s="6">
        <f t="shared" si="7"/>
        <v>2660</v>
      </c>
      <c r="U32" s="7">
        <f t="shared" si="18"/>
        <v>-180</v>
      </c>
      <c r="V32" s="7">
        <f t="shared" si="19"/>
        <v>-180</v>
      </c>
      <c r="W32" s="7">
        <f t="shared" si="20"/>
        <v>-120</v>
      </c>
      <c r="X32" s="6"/>
      <c r="Y32" s="5"/>
      <c r="Z32" s="5"/>
      <c r="AA32" s="5"/>
      <c r="AB32" s="17"/>
    </row>
    <row r="33" spans="1:28" ht="16.5" customHeight="1">
      <c r="A33" s="13">
        <v>19</v>
      </c>
      <c r="B33" s="4">
        <f t="shared" si="9"/>
        <v>45062</v>
      </c>
      <c r="C33" s="10">
        <f t="shared" si="10"/>
        <v>842</v>
      </c>
      <c r="D33" s="9">
        <f t="shared" si="11"/>
        <v>1636</v>
      </c>
      <c r="E33" s="8">
        <f t="shared" si="1"/>
        <v>658</v>
      </c>
      <c r="F33" s="8">
        <f t="shared" si="2"/>
        <v>658</v>
      </c>
      <c r="G33" s="8">
        <f t="shared" si="3"/>
        <v>598</v>
      </c>
      <c r="H33" s="5">
        <f t="shared" si="4"/>
        <v>1820</v>
      </c>
      <c r="I33" s="5">
        <f t="shared" si="5"/>
        <v>1820</v>
      </c>
      <c r="J33" s="5">
        <f t="shared" si="6"/>
        <v>1880</v>
      </c>
      <c r="K33" s="5">
        <f t="shared" si="12"/>
        <v>2000</v>
      </c>
      <c r="L33" s="5">
        <f t="shared" si="13"/>
        <v>2000</v>
      </c>
      <c r="M33" s="5">
        <f t="shared" si="14"/>
        <v>2000</v>
      </c>
      <c r="N33" s="5">
        <f t="shared" si="15"/>
        <v>-180</v>
      </c>
      <c r="O33" s="5">
        <f t="shared" si="16"/>
        <v>-180</v>
      </c>
      <c r="P33" s="5">
        <f t="shared" si="17"/>
        <v>-120</v>
      </c>
      <c r="Q33" s="8">
        <v>0</v>
      </c>
      <c r="R33" s="8">
        <v>0</v>
      </c>
      <c r="S33" s="8">
        <v>0</v>
      </c>
      <c r="T33" s="6">
        <f t="shared" si="7"/>
        <v>2658</v>
      </c>
      <c r="U33" s="7">
        <f t="shared" si="18"/>
        <v>-180</v>
      </c>
      <c r="V33" s="7">
        <f t="shared" si="19"/>
        <v>-180</v>
      </c>
      <c r="W33" s="7">
        <f t="shared" si="20"/>
        <v>-120</v>
      </c>
      <c r="X33" s="6"/>
      <c r="Y33" s="5"/>
      <c r="Z33" s="5"/>
      <c r="AA33" s="5"/>
      <c r="AB33" s="17"/>
    </row>
    <row r="34" spans="1:28" ht="16.5" customHeight="1">
      <c r="A34" s="13">
        <v>20</v>
      </c>
      <c r="B34" s="4">
        <f t="shared" si="9"/>
        <v>45063</v>
      </c>
      <c r="C34" s="10">
        <f t="shared" si="10"/>
        <v>842</v>
      </c>
      <c r="D34" s="9">
        <f t="shared" si="11"/>
        <v>1634</v>
      </c>
      <c r="E34" s="8">
        <f t="shared" si="1"/>
        <v>656</v>
      </c>
      <c r="F34" s="8">
        <f t="shared" si="2"/>
        <v>656</v>
      </c>
      <c r="G34" s="8">
        <f t="shared" si="3"/>
        <v>596</v>
      </c>
      <c r="H34" s="5">
        <f t="shared" si="4"/>
        <v>1820</v>
      </c>
      <c r="I34" s="5">
        <f t="shared" si="5"/>
        <v>1820</v>
      </c>
      <c r="J34" s="5">
        <f t="shared" si="6"/>
        <v>1880</v>
      </c>
      <c r="K34" s="5">
        <f t="shared" si="12"/>
        <v>2000</v>
      </c>
      <c r="L34" s="5">
        <f t="shared" si="13"/>
        <v>2000</v>
      </c>
      <c r="M34" s="5">
        <f t="shared" si="14"/>
        <v>2000</v>
      </c>
      <c r="N34" s="5">
        <f t="shared" si="15"/>
        <v>-180</v>
      </c>
      <c r="O34" s="5">
        <f t="shared" si="16"/>
        <v>-180</v>
      </c>
      <c r="P34" s="5">
        <f t="shared" si="17"/>
        <v>-120</v>
      </c>
      <c r="Q34" s="8">
        <v>0</v>
      </c>
      <c r="R34" s="8">
        <v>0</v>
      </c>
      <c r="S34" s="8">
        <v>0</v>
      </c>
      <c r="T34" s="6">
        <f t="shared" si="7"/>
        <v>2656</v>
      </c>
      <c r="U34" s="7">
        <f t="shared" si="18"/>
        <v>-180</v>
      </c>
      <c r="V34" s="7">
        <f t="shared" si="19"/>
        <v>-180</v>
      </c>
      <c r="W34" s="7">
        <f t="shared" si="20"/>
        <v>-120</v>
      </c>
      <c r="X34" s="6"/>
      <c r="Y34" s="5"/>
      <c r="Z34" s="5"/>
      <c r="AA34" s="5"/>
      <c r="AB34" s="17"/>
    </row>
    <row r="35" spans="1:28" ht="16.5" customHeight="1">
      <c r="A35" s="13">
        <v>21</v>
      </c>
      <c r="B35" s="4">
        <f t="shared" si="9"/>
        <v>45064</v>
      </c>
      <c r="C35" s="10">
        <f t="shared" si="10"/>
        <v>842</v>
      </c>
      <c r="D35" s="9">
        <f t="shared" si="11"/>
        <v>1632</v>
      </c>
      <c r="E35" s="8">
        <f t="shared" si="1"/>
        <v>654</v>
      </c>
      <c r="F35" s="8">
        <f t="shared" si="2"/>
        <v>654</v>
      </c>
      <c r="G35" s="8">
        <f t="shared" si="3"/>
        <v>594</v>
      </c>
      <c r="H35" s="5">
        <f t="shared" si="4"/>
        <v>1820</v>
      </c>
      <c r="I35" s="5">
        <f t="shared" si="5"/>
        <v>1820</v>
      </c>
      <c r="J35" s="5">
        <f t="shared" si="6"/>
        <v>1880</v>
      </c>
      <c r="K35" s="5">
        <f t="shared" si="12"/>
        <v>2000</v>
      </c>
      <c r="L35" s="5">
        <f t="shared" si="13"/>
        <v>2000</v>
      </c>
      <c r="M35" s="5">
        <f t="shared" si="14"/>
        <v>2000</v>
      </c>
      <c r="N35" s="5">
        <f t="shared" si="15"/>
        <v>-180</v>
      </c>
      <c r="O35" s="5">
        <f t="shared" si="16"/>
        <v>-180</v>
      </c>
      <c r="P35" s="5">
        <f t="shared" si="17"/>
        <v>-120</v>
      </c>
      <c r="Q35" s="8">
        <v>0</v>
      </c>
      <c r="R35" s="8">
        <v>0</v>
      </c>
      <c r="S35" s="8">
        <v>0</v>
      </c>
      <c r="T35" s="6">
        <f t="shared" si="7"/>
        <v>2654</v>
      </c>
      <c r="U35" s="7">
        <f t="shared" si="18"/>
        <v>-180</v>
      </c>
      <c r="V35" s="7">
        <f t="shared" si="19"/>
        <v>-180</v>
      </c>
      <c r="W35" s="7">
        <f t="shared" si="20"/>
        <v>-120</v>
      </c>
      <c r="X35" s="6"/>
      <c r="Y35" s="5"/>
      <c r="Z35" s="5"/>
      <c r="AA35" s="5"/>
      <c r="AB35" s="17"/>
    </row>
    <row r="36" spans="1:28" ht="16.5" customHeight="1">
      <c r="A36" s="13">
        <v>22</v>
      </c>
      <c r="B36" s="4">
        <f t="shared" si="9"/>
        <v>45065</v>
      </c>
      <c r="C36" s="10">
        <f t="shared" si="10"/>
        <v>842</v>
      </c>
      <c r="D36" s="9">
        <f t="shared" si="11"/>
        <v>1630</v>
      </c>
      <c r="E36" s="8">
        <f t="shared" si="1"/>
        <v>652</v>
      </c>
      <c r="F36" s="8">
        <f t="shared" si="2"/>
        <v>652</v>
      </c>
      <c r="G36" s="8">
        <f t="shared" si="3"/>
        <v>592</v>
      </c>
      <c r="H36" s="5">
        <f t="shared" si="4"/>
        <v>1820</v>
      </c>
      <c r="I36" s="5">
        <f t="shared" si="5"/>
        <v>1820</v>
      </c>
      <c r="J36" s="5">
        <f t="shared" si="6"/>
        <v>1880</v>
      </c>
      <c r="K36" s="5">
        <f t="shared" si="12"/>
        <v>2000</v>
      </c>
      <c r="L36" s="5">
        <f t="shared" si="13"/>
        <v>2000</v>
      </c>
      <c r="M36" s="5">
        <f t="shared" si="14"/>
        <v>2000</v>
      </c>
      <c r="N36" s="5">
        <f t="shared" si="15"/>
        <v>-180</v>
      </c>
      <c r="O36" s="5">
        <f t="shared" si="16"/>
        <v>-180</v>
      </c>
      <c r="P36" s="5">
        <f t="shared" si="17"/>
        <v>-120</v>
      </c>
      <c r="Q36" s="8">
        <v>0</v>
      </c>
      <c r="R36" s="8">
        <v>0</v>
      </c>
      <c r="S36" s="8">
        <v>0</v>
      </c>
      <c r="T36" s="6">
        <f t="shared" si="7"/>
        <v>2652</v>
      </c>
      <c r="U36" s="7">
        <f t="shared" si="18"/>
        <v>-180</v>
      </c>
      <c r="V36" s="7">
        <f t="shared" si="19"/>
        <v>-180</v>
      </c>
      <c r="W36" s="7">
        <f t="shared" si="20"/>
        <v>-120</v>
      </c>
      <c r="X36" s="6"/>
      <c r="Y36" s="5"/>
      <c r="Z36" s="5"/>
      <c r="AA36" s="5"/>
      <c r="AB36" s="17"/>
    </row>
    <row r="37" spans="1:28" ht="16.5" customHeight="1">
      <c r="A37" s="13">
        <v>23</v>
      </c>
      <c r="B37" s="4">
        <f t="shared" si="9"/>
        <v>45066</v>
      </c>
      <c r="C37" s="10">
        <f t="shared" si="10"/>
        <v>842</v>
      </c>
      <c r="D37" s="9">
        <f t="shared" si="11"/>
        <v>1628</v>
      </c>
      <c r="E37" s="8">
        <f t="shared" si="1"/>
        <v>650</v>
      </c>
      <c r="F37" s="8">
        <f t="shared" si="2"/>
        <v>650</v>
      </c>
      <c r="G37" s="8">
        <f t="shared" si="3"/>
        <v>590</v>
      </c>
      <c r="H37" s="5">
        <f t="shared" si="4"/>
        <v>1820</v>
      </c>
      <c r="I37" s="5">
        <f t="shared" si="5"/>
        <v>1820</v>
      </c>
      <c r="J37" s="5">
        <f t="shared" si="6"/>
        <v>1880</v>
      </c>
      <c r="K37" s="5">
        <f t="shared" si="12"/>
        <v>2000</v>
      </c>
      <c r="L37" s="5">
        <f t="shared" si="13"/>
        <v>2000</v>
      </c>
      <c r="M37" s="5">
        <f t="shared" si="14"/>
        <v>2000</v>
      </c>
      <c r="N37" s="5">
        <f t="shared" si="15"/>
        <v>-180</v>
      </c>
      <c r="O37" s="5">
        <f t="shared" si="16"/>
        <v>-180</v>
      </c>
      <c r="P37" s="5">
        <f t="shared" si="17"/>
        <v>-120</v>
      </c>
      <c r="Q37" s="8">
        <v>0</v>
      </c>
      <c r="R37" s="8">
        <v>0</v>
      </c>
      <c r="S37" s="8">
        <v>0</v>
      </c>
      <c r="T37" s="6">
        <f t="shared" si="7"/>
        <v>2650</v>
      </c>
      <c r="U37" s="7">
        <f t="shared" si="18"/>
        <v>-180</v>
      </c>
      <c r="V37" s="7">
        <f t="shared" si="19"/>
        <v>-180</v>
      </c>
      <c r="W37" s="7">
        <f t="shared" si="20"/>
        <v>-120</v>
      </c>
      <c r="X37" s="6"/>
      <c r="Y37" s="5"/>
      <c r="Z37" s="5"/>
      <c r="AA37" s="5"/>
      <c r="AB37" s="17"/>
    </row>
    <row r="38" spans="1:28" ht="16.5" customHeight="1">
      <c r="A38" s="13">
        <v>24</v>
      </c>
      <c r="B38" s="4">
        <f t="shared" si="9"/>
        <v>45067</v>
      </c>
      <c r="C38" s="10">
        <f t="shared" si="10"/>
        <v>842</v>
      </c>
      <c r="D38" s="9">
        <f t="shared" si="11"/>
        <v>1626</v>
      </c>
      <c r="E38" s="8">
        <f t="shared" si="1"/>
        <v>648</v>
      </c>
      <c r="F38" s="8">
        <f t="shared" si="2"/>
        <v>648</v>
      </c>
      <c r="G38" s="8">
        <f t="shared" si="3"/>
        <v>588</v>
      </c>
      <c r="H38" s="5">
        <f t="shared" si="4"/>
        <v>1820</v>
      </c>
      <c r="I38" s="5">
        <f t="shared" si="5"/>
        <v>1820</v>
      </c>
      <c r="J38" s="5">
        <f t="shared" si="6"/>
        <v>1880</v>
      </c>
      <c r="K38" s="5">
        <f t="shared" si="12"/>
        <v>2000</v>
      </c>
      <c r="L38" s="5">
        <f t="shared" si="13"/>
        <v>2000</v>
      </c>
      <c r="M38" s="5">
        <f t="shared" si="14"/>
        <v>2000</v>
      </c>
      <c r="N38" s="5">
        <f t="shared" si="15"/>
        <v>-180</v>
      </c>
      <c r="O38" s="5">
        <f t="shared" si="16"/>
        <v>-180</v>
      </c>
      <c r="P38" s="5">
        <f t="shared" si="17"/>
        <v>-120</v>
      </c>
      <c r="Q38" s="19">
        <v>0</v>
      </c>
      <c r="R38" s="19">
        <v>0</v>
      </c>
      <c r="S38" s="19">
        <v>0</v>
      </c>
      <c r="T38" s="6">
        <f t="shared" si="7"/>
        <v>2568</v>
      </c>
      <c r="U38" s="7">
        <f>U37+0.08*1000-Q38</f>
        <v>-100</v>
      </c>
      <c r="V38" s="7">
        <f>V37+0.08*1000-R38</f>
        <v>-100</v>
      </c>
      <c r="W38" s="7">
        <f>W37+0.02*1000-S38</f>
        <v>-100</v>
      </c>
      <c r="X38" s="6"/>
      <c r="Y38" s="5"/>
      <c r="Z38" s="5"/>
      <c r="AA38" s="5"/>
      <c r="AB38" s="17"/>
    </row>
    <row r="39" spans="1:28" ht="16.5" customHeight="1">
      <c r="A39" s="13">
        <v>25</v>
      </c>
      <c r="B39" s="4">
        <f t="shared" si="9"/>
        <v>45068</v>
      </c>
      <c r="C39" s="10">
        <f t="shared" si="10"/>
        <v>842</v>
      </c>
      <c r="D39" s="9">
        <f t="shared" si="11"/>
        <v>1624</v>
      </c>
      <c r="E39" s="8">
        <f t="shared" si="1"/>
        <v>652</v>
      </c>
      <c r="F39" s="8">
        <f t="shared" si="2"/>
        <v>653</v>
      </c>
      <c r="G39" s="8">
        <f t="shared" si="3"/>
        <v>593</v>
      </c>
      <c r="H39" s="5">
        <f t="shared" si="4"/>
        <v>1814</v>
      </c>
      <c r="I39" s="5">
        <f t="shared" si="5"/>
        <v>1813</v>
      </c>
      <c r="J39" s="5">
        <f t="shared" si="6"/>
        <v>1873</v>
      </c>
      <c r="K39" s="5">
        <f t="shared" si="12"/>
        <v>2000</v>
      </c>
      <c r="L39" s="5">
        <f t="shared" si="13"/>
        <v>2000</v>
      </c>
      <c r="M39" s="5">
        <f t="shared" si="14"/>
        <v>2000</v>
      </c>
      <c r="N39" s="5">
        <f t="shared" si="15"/>
        <v>-186</v>
      </c>
      <c r="O39" s="5">
        <f t="shared" si="16"/>
        <v>-187</v>
      </c>
      <c r="P39" s="5">
        <f t="shared" si="17"/>
        <v>-127</v>
      </c>
      <c r="Q39" s="8">
        <v>6</v>
      </c>
      <c r="R39" s="8">
        <v>7</v>
      </c>
      <c r="S39" s="8">
        <v>7</v>
      </c>
      <c r="T39" s="6">
        <f t="shared" si="7"/>
        <v>2273</v>
      </c>
      <c r="U39" s="18">
        <f>U38+0.3*1000-Q39</f>
        <v>194</v>
      </c>
      <c r="V39" s="18">
        <f>V38+0.3*1000-R39</f>
        <v>193</v>
      </c>
      <c r="W39" s="18">
        <f>W38+0.3*1000-S39</f>
        <v>193</v>
      </c>
      <c r="X39" s="6"/>
      <c r="Y39" s="6"/>
      <c r="Z39" s="6"/>
      <c r="AA39" s="6"/>
      <c r="AB39" s="17">
        <v>8</v>
      </c>
    </row>
    <row r="40" spans="1:28" ht="16.5" customHeight="1">
      <c r="A40" s="13">
        <v>26</v>
      </c>
      <c r="B40" s="4">
        <f t="shared" si="9"/>
        <v>45069</v>
      </c>
      <c r="C40" s="10">
        <f t="shared" si="10"/>
        <v>842</v>
      </c>
      <c r="D40" s="9">
        <f t="shared" si="11"/>
        <v>1622</v>
      </c>
      <c r="E40" s="8">
        <f t="shared" si="1"/>
        <v>654</v>
      </c>
      <c r="F40" s="8">
        <f t="shared" si="2"/>
        <v>658</v>
      </c>
      <c r="G40" s="8">
        <f t="shared" si="3"/>
        <v>595</v>
      </c>
      <c r="H40" s="5">
        <f t="shared" si="4"/>
        <v>1810</v>
      </c>
      <c r="I40" s="5">
        <f t="shared" si="5"/>
        <v>1806</v>
      </c>
      <c r="J40" s="5">
        <f t="shared" si="6"/>
        <v>1869</v>
      </c>
      <c r="K40" s="5">
        <f t="shared" si="12"/>
        <v>2000</v>
      </c>
      <c r="L40" s="5">
        <f t="shared" si="13"/>
        <v>2000</v>
      </c>
      <c r="M40" s="5">
        <f t="shared" si="14"/>
        <v>2000</v>
      </c>
      <c r="N40" s="5">
        <f t="shared" si="15"/>
        <v>-190</v>
      </c>
      <c r="O40" s="5">
        <f t="shared" si="16"/>
        <v>-194</v>
      </c>
      <c r="P40" s="5">
        <f t="shared" si="17"/>
        <v>-131</v>
      </c>
      <c r="Q40" s="8">
        <v>4</v>
      </c>
      <c r="R40" s="8">
        <v>7</v>
      </c>
      <c r="S40" s="8">
        <v>4</v>
      </c>
      <c r="T40" s="6">
        <f t="shared" si="7"/>
        <v>2278</v>
      </c>
      <c r="U40" s="7">
        <f t="shared" ref="U40:U103" si="21">U39+$X40*1000-Q40</f>
        <v>190</v>
      </c>
      <c r="V40" s="7">
        <f t="shared" ref="V40:V103" si="22">V39+$X40*1000-R40</f>
        <v>186</v>
      </c>
      <c r="W40" s="7">
        <f t="shared" ref="W40:W103" si="23">W39+$X40*1000-S40</f>
        <v>189</v>
      </c>
      <c r="X40" s="6"/>
      <c r="Y40" s="5"/>
      <c r="Z40" s="5"/>
      <c r="AA40" s="5"/>
      <c r="AB40" s="17"/>
    </row>
    <row r="41" spans="1:28" ht="16.5" customHeight="1">
      <c r="A41" s="13">
        <v>27</v>
      </c>
      <c r="B41" s="4">
        <f t="shared" si="9"/>
        <v>45070</v>
      </c>
      <c r="C41" s="10">
        <f t="shared" si="10"/>
        <v>842</v>
      </c>
      <c r="D41" s="9">
        <f t="shared" si="11"/>
        <v>1620</v>
      </c>
      <c r="E41" s="8">
        <f t="shared" si="1"/>
        <v>655</v>
      </c>
      <c r="F41" s="8">
        <f t="shared" si="2"/>
        <v>661</v>
      </c>
      <c r="G41" s="8">
        <f t="shared" si="3"/>
        <v>596</v>
      </c>
      <c r="H41" s="5">
        <f t="shared" si="4"/>
        <v>1807</v>
      </c>
      <c r="I41" s="5">
        <f t="shared" si="5"/>
        <v>1801</v>
      </c>
      <c r="J41" s="5">
        <f t="shared" si="6"/>
        <v>1866</v>
      </c>
      <c r="K41" s="5">
        <f t="shared" si="12"/>
        <v>2000</v>
      </c>
      <c r="L41" s="5">
        <f t="shared" si="13"/>
        <v>2000</v>
      </c>
      <c r="M41" s="5">
        <f t="shared" si="14"/>
        <v>2000</v>
      </c>
      <c r="N41" s="5">
        <f t="shared" si="15"/>
        <v>-193</v>
      </c>
      <c r="O41" s="5">
        <f t="shared" si="16"/>
        <v>-199</v>
      </c>
      <c r="P41" s="5">
        <f t="shared" si="17"/>
        <v>-134</v>
      </c>
      <c r="Q41" s="8">
        <v>3</v>
      </c>
      <c r="R41" s="8">
        <v>5</v>
      </c>
      <c r="S41" s="8">
        <v>3</v>
      </c>
      <c r="T41" s="6">
        <f t="shared" si="7"/>
        <v>2281</v>
      </c>
      <c r="U41" s="7">
        <f t="shared" si="21"/>
        <v>187</v>
      </c>
      <c r="V41" s="7">
        <f t="shared" si="22"/>
        <v>181</v>
      </c>
      <c r="W41" s="7">
        <f t="shared" si="23"/>
        <v>186</v>
      </c>
      <c r="X41" s="6"/>
      <c r="Y41" s="5"/>
      <c r="Z41" s="5"/>
      <c r="AA41" s="5"/>
      <c r="AB41" s="17"/>
    </row>
    <row r="42" spans="1:28" ht="16.5" customHeight="1">
      <c r="A42" s="13">
        <v>28</v>
      </c>
      <c r="B42" s="4">
        <f t="shared" si="9"/>
        <v>45071</v>
      </c>
      <c r="C42" s="10">
        <f t="shared" si="10"/>
        <v>842</v>
      </c>
      <c r="D42" s="9">
        <f t="shared" si="11"/>
        <v>1618</v>
      </c>
      <c r="E42" s="8">
        <f t="shared" si="1"/>
        <v>655</v>
      </c>
      <c r="F42" s="8">
        <f t="shared" si="2"/>
        <v>664</v>
      </c>
      <c r="G42" s="8">
        <f t="shared" si="3"/>
        <v>596</v>
      </c>
      <c r="H42" s="5">
        <f t="shared" si="4"/>
        <v>1805</v>
      </c>
      <c r="I42" s="5">
        <f t="shared" si="5"/>
        <v>1796</v>
      </c>
      <c r="J42" s="5">
        <f t="shared" si="6"/>
        <v>1864</v>
      </c>
      <c r="K42" s="5">
        <f t="shared" si="12"/>
        <v>2000</v>
      </c>
      <c r="L42" s="5">
        <f t="shared" si="13"/>
        <v>2000</v>
      </c>
      <c r="M42" s="5">
        <f t="shared" si="14"/>
        <v>2000</v>
      </c>
      <c r="N42" s="5">
        <f t="shared" si="15"/>
        <v>-195</v>
      </c>
      <c r="O42" s="5">
        <f t="shared" si="16"/>
        <v>-204</v>
      </c>
      <c r="P42" s="5">
        <f t="shared" si="17"/>
        <v>-136</v>
      </c>
      <c r="Q42" s="8">
        <v>2</v>
      </c>
      <c r="R42" s="8">
        <v>5</v>
      </c>
      <c r="S42" s="8">
        <v>2</v>
      </c>
      <c r="T42" s="6">
        <f t="shared" si="7"/>
        <v>2284</v>
      </c>
      <c r="U42" s="7">
        <f t="shared" si="21"/>
        <v>185</v>
      </c>
      <c r="V42" s="7">
        <f t="shared" si="22"/>
        <v>176</v>
      </c>
      <c r="W42" s="7">
        <f t="shared" si="23"/>
        <v>184</v>
      </c>
      <c r="X42" s="6"/>
      <c r="Y42" s="5"/>
      <c r="Z42" s="5"/>
      <c r="AA42" s="5"/>
      <c r="AB42" s="17"/>
    </row>
    <row r="43" spans="1:28" ht="16.5" customHeight="1">
      <c r="A43" s="13">
        <v>29</v>
      </c>
      <c r="B43" s="4">
        <f t="shared" si="9"/>
        <v>45072</v>
      </c>
      <c r="C43" s="10">
        <f t="shared" si="10"/>
        <v>842</v>
      </c>
      <c r="D43" s="9">
        <f t="shared" si="11"/>
        <v>1616</v>
      </c>
      <c r="E43" s="8">
        <f t="shared" si="1"/>
        <v>659</v>
      </c>
      <c r="F43" s="8">
        <f t="shared" si="2"/>
        <v>669</v>
      </c>
      <c r="G43" s="8">
        <f t="shared" si="3"/>
        <v>601</v>
      </c>
      <c r="H43" s="5">
        <f t="shared" si="4"/>
        <v>1799</v>
      </c>
      <c r="I43" s="5">
        <f t="shared" si="5"/>
        <v>1789</v>
      </c>
      <c r="J43" s="5">
        <f t="shared" si="6"/>
        <v>1857</v>
      </c>
      <c r="K43" s="5">
        <f t="shared" si="12"/>
        <v>2000</v>
      </c>
      <c r="L43" s="5">
        <f t="shared" si="13"/>
        <v>2000</v>
      </c>
      <c r="M43" s="5">
        <f t="shared" si="14"/>
        <v>2000</v>
      </c>
      <c r="N43" s="5">
        <f t="shared" si="15"/>
        <v>-201</v>
      </c>
      <c r="O43" s="5">
        <f t="shared" si="16"/>
        <v>-211</v>
      </c>
      <c r="P43" s="5">
        <f t="shared" si="17"/>
        <v>-143</v>
      </c>
      <c r="Q43" s="8">
        <v>6</v>
      </c>
      <c r="R43" s="8">
        <v>7</v>
      </c>
      <c r="S43" s="8">
        <v>7</v>
      </c>
      <c r="T43" s="6">
        <f t="shared" si="7"/>
        <v>1989</v>
      </c>
      <c r="U43" s="7">
        <f t="shared" si="21"/>
        <v>479</v>
      </c>
      <c r="V43" s="7">
        <f t="shared" si="22"/>
        <v>469</v>
      </c>
      <c r="W43" s="7">
        <f t="shared" si="23"/>
        <v>477</v>
      </c>
      <c r="X43" s="15">
        <v>0.3</v>
      </c>
      <c r="Y43" s="5"/>
      <c r="Z43" s="5"/>
      <c r="AA43" s="5"/>
      <c r="AB43" s="17">
        <f>+AB39-1</f>
        <v>7</v>
      </c>
    </row>
    <row r="44" spans="1:28" ht="16.5" customHeight="1">
      <c r="A44" s="13">
        <v>30</v>
      </c>
      <c r="B44" s="4">
        <f t="shared" si="9"/>
        <v>45073</v>
      </c>
      <c r="C44" s="10">
        <f t="shared" si="10"/>
        <v>842</v>
      </c>
      <c r="D44" s="9">
        <f t="shared" si="11"/>
        <v>1614</v>
      </c>
      <c r="E44" s="8">
        <f t="shared" si="1"/>
        <v>660</v>
      </c>
      <c r="F44" s="8">
        <f t="shared" si="2"/>
        <v>670</v>
      </c>
      <c r="G44" s="8">
        <f t="shared" si="3"/>
        <v>602</v>
      </c>
      <c r="H44" s="5">
        <f t="shared" si="4"/>
        <v>1796</v>
      </c>
      <c r="I44" s="5">
        <f t="shared" si="5"/>
        <v>1786</v>
      </c>
      <c r="J44" s="5">
        <f t="shared" si="6"/>
        <v>1854</v>
      </c>
      <c r="K44" s="5">
        <f t="shared" si="12"/>
        <v>2000</v>
      </c>
      <c r="L44" s="5">
        <f t="shared" si="13"/>
        <v>2000</v>
      </c>
      <c r="M44" s="5">
        <f t="shared" si="14"/>
        <v>2000</v>
      </c>
      <c r="N44" s="5">
        <f t="shared" si="15"/>
        <v>-204</v>
      </c>
      <c r="O44" s="5">
        <f t="shared" si="16"/>
        <v>-214</v>
      </c>
      <c r="P44" s="5">
        <f t="shared" si="17"/>
        <v>-146</v>
      </c>
      <c r="Q44" s="8">
        <v>3</v>
      </c>
      <c r="R44" s="8">
        <v>3</v>
      </c>
      <c r="S44" s="8">
        <v>3</v>
      </c>
      <c r="T44" s="6">
        <f t="shared" si="7"/>
        <v>1990</v>
      </c>
      <c r="U44" s="7">
        <f t="shared" si="21"/>
        <v>476</v>
      </c>
      <c r="V44" s="7">
        <f t="shared" si="22"/>
        <v>466</v>
      </c>
      <c r="W44" s="7">
        <f t="shared" si="23"/>
        <v>474</v>
      </c>
      <c r="X44" s="6"/>
      <c r="Y44" s="5"/>
      <c r="Z44" s="5"/>
      <c r="AA44" s="5"/>
      <c r="AB44" s="17"/>
    </row>
    <row r="45" spans="1:28" ht="15">
      <c r="A45" s="13">
        <v>31</v>
      </c>
      <c r="B45" s="4">
        <f t="shared" si="9"/>
        <v>45074</v>
      </c>
      <c r="C45" s="10">
        <f t="shared" si="10"/>
        <v>842</v>
      </c>
      <c r="D45" s="9">
        <f t="shared" si="11"/>
        <v>1612</v>
      </c>
      <c r="E45" s="8">
        <f t="shared" si="1"/>
        <v>660</v>
      </c>
      <c r="F45" s="8">
        <f t="shared" si="2"/>
        <v>670</v>
      </c>
      <c r="G45" s="8">
        <f t="shared" si="3"/>
        <v>602</v>
      </c>
      <c r="H45" s="5">
        <f t="shared" si="4"/>
        <v>1794</v>
      </c>
      <c r="I45" s="5">
        <f t="shared" si="5"/>
        <v>1784</v>
      </c>
      <c r="J45" s="5">
        <f t="shared" si="6"/>
        <v>1852</v>
      </c>
      <c r="K45" s="5">
        <f t="shared" si="12"/>
        <v>2000</v>
      </c>
      <c r="L45" s="5">
        <f t="shared" si="13"/>
        <v>2000</v>
      </c>
      <c r="M45" s="5">
        <f t="shared" si="14"/>
        <v>2000</v>
      </c>
      <c r="N45" s="5">
        <f t="shared" si="15"/>
        <v>-206</v>
      </c>
      <c r="O45" s="5">
        <f t="shared" si="16"/>
        <v>-216</v>
      </c>
      <c r="P45" s="5">
        <f t="shared" si="17"/>
        <v>-148</v>
      </c>
      <c r="Q45" s="8">
        <v>2</v>
      </c>
      <c r="R45" s="8">
        <v>2</v>
      </c>
      <c r="S45" s="8">
        <v>2</v>
      </c>
      <c r="T45" s="6">
        <f t="shared" si="7"/>
        <v>1990</v>
      </c>
      <c r="U45" s="7">
        <f t="shared" si="21"/>
        <v>474</v>
      </c>
      <c r="V45" s="7">
        <f t="shared" si="22"/>
        <v>464</v>
      </c>
      <c r="W45" s="7">
        <f t="shared" si="23"/>
        <v>472</v>
      </c>
      <c r="X45" s="6"/>
      <c r="Y45" s="5"/>
      <c r="Z45" s="5"/>
      <c r="AA45" s="5"/>
      <c r="AB45" s="17"/>
    </row>
    <row r="46" spans="1:28" ht="15" customHeight="1">
      <c r="A46" s="13">
        <v>32</v>
      </c>
      <c r="B46" s="4">
        <f t="shared" si="9"/>
        <v>45075</v>
      </c>
      <c r="C46" s="10">
        <f t="shared" si="10"/>
        <v>842</v>
      </c>
      <c r="D46" s="9">
        <f t="shared" si="11"/>
        <v>1610</v>
      </c>
      <c r="E46" s="8">
        <f t="shared" si="1"/>
        <v>662</v>
      </c>
      <c r="F46" s="8">
        <f t="shared" si="2"/>
        <v>672</v>
      </c>
      <c r="G46" s="8">
        <f t="shared" si="3"/>
        <v>604</v>
      </c>
      <c r="H46" s="5">
        <f t="shared" si="4"/>
        <v>1790</v>
      </c>
      <c r="I46" s="5">
        <f t="shared" si="5"/>
        <v>1780</v>
      </c>
      <c r="J46" s="5">
        <f t="shared" si="6"/>
        <v>1848</v>
      </c>
      <c r="K46" s="5">
        <f t="shared" si="12"/>
        <v>2000</v>
      </c>
      <c r="L46" s="5">
        <f t="shared" si="13"/>
        <v>2000</v>
      </c>
      <c r="M46" s="5">
        <f t="shared" si="14"/>
        <v>2000</v>
      </c>
      <c r="N46" s="5">
        <f t="shared" si="15"/>
        <v>-210</v>
      </c>
      <c r="O46" s="5">
        <f t="shared" si="16"/>
        <v>-220</v>
      </c>
      <c r="P46" s="5">
        <f t="shared" si="17"/>
        <v>-152</v>
      </c>
      <c r="Q46" s="8">
        <v>4</v>
      </c>
      <c r="R46" s="8">
        <v>4</v>
      </c>
      <c r="S46" s="8">
        <v>4</v>
      </c>
      <c r="T46" s="6">
        <f t="shared" si="7"/>
        <v>1992</v>
      </c>
      <c r="U46" s="7">
        <f t="shared" si="21"/>
        <v>470</v>
      </c>
      <c r="V46" s="7">
        <f t="shared" si="22"/>
        <v>460</v>
      </c>
      <c r="W46" s="7">
        <f t="shared" si="23"/>
        <v>468</v>
      </c>
      <c r="X46" s="6"/>
      <c r="Y46" s="5"/>
      <c r="Z46" s="5"/>
      <c r="AA46" s="5"/>
      <c r="AB46" s="17"/>
    </row>
    <row r="47" spans="1:28" ht="15" customHeight="1">
      <c r="A47" s="13">
        <v>33</v>
      </c>
      <c r="B47" s="4">
        <f t="shared" si="9"/>
        <v>45076</v>
      </c>
      <c r="C47" s="10">
        <f t="shared" si="10"/>
        <v>842</v>
      </c>
      <c r="D47" s="9">
        <f t="shared" ref="D47:D78" si="24">D46-2</f>
        <v>1608</v>
      </c>
      <c r="E47" s="8">
        <f t="shared" si="1"/>
        <v>667</v>
      </c>
      <c r="F47" s="8">
        <f t="shared" si="2"/>
        <v>677</v>
      </c>
      <c r="G47" s="8">
        <f t="shared" si="3"/>
        <v>609</v>
      </c>
      <c r="H47" s="5">
        <f t="shared" si="4"/>
        <v>1783</v>
      </c>
      <c r="I47" s="5">
        <f t="shared" si="5"/>
        <v>1773</v>
      </c>
      <c r="J47" s="5">
        <f t="shared" si="6"/>
        <v>1841</v>
      </c>
      <c r="K47" s="5">
        <f t="shared" si="12"/>
        <v>2000</v>
      </c>
      <c r="L47" s="5">
        <f t="shared" si="13"/>
        <v>2000</v>
      </c>
      <c r="M47" s="5">
        <f t="shared" si="14"/>
        <v>2000</v>
      </c>
      <c r="N47" s="5">
        <f t="shared" si="15"/>
        <v>-217</v>
      </c>
      <c r="O47" s="5">
        <f t="shared" si="16"/>
        <v>-227</v>
      </c>
      <c r="P47" s="5">
        <f t="shared" si="17"/>
        <v>-159</v>
      </c>
      <c r="Q47" s="8">
        <v>7</v>
      </c>
      <c r="R47" s="8">
        <v>7</v>
      </c>
      <c r="S47" s="8">
        <v>7</v>
      </c>
      <c r="T47" s="6">
        <f t="shared" si="7"/>
        <v>1697</v>
      </c>
      <c r="U47" s="7">
        <f t="shared" si="21"/>
        <v>763</v>
      </c>
      <c r="V47" s="7">
        <f t="shared" si="22"/>
        <v>753</v>
      </c>
      <c r="W47" s="7">
        <f t="shared" si="23"/>
        <v>761</v>
      </c>
      <c r="X47" s="15">
        <v>0.3</v>
      </c>
      <c r="Y47" s="5"/>
      <c r="Z47" s="5"/>
      <c r="AA47" s="5"/>
      <c r="AB47" s="17">
        <f>+AB43-1</f>
        <v>6</v>
      </c>
    </row>
    <row r="48" spans="1:28" ht="15" customHeight="1">
      <c r="A48" s="13">
        <v>34</v>
      </c>
      <c r="B48" s="4">
        <f t="shared" si="9"/>
        <v>45077</v>
      </c>
      <c r="C48" s="10">
        <f t="shared" si="10"/>
        <v>842</v>
      </c>
      <c r="D48" s="9">
        <f t="shared" si="24"/>
        <v>1606</v>
      </c>
      <c r="E48" s="8">
        <f t="shared" si="1"/>
        <v>670</v>
      </c>
      <c r="F48" s="8">
        <f t="shared" si="2"/>
        <v>680</v>
      </c>
      <c r="G48" s="8">
        <f t="shared" si="3"/>
        <v>612</v>
      </c>
      <c r="H48" s="5">
        <f t="shared" si="4"/>
        <v>1778</v>
      </c>
      <c r="I48" s="5">
        <f t="shared" si="5"/>
        <v>1768</v>
      </c>
      <c r="J48" s="5">
        <f t="shared" si="6"/>
        <v>1836</v>
      </c>
      <c r="K48" s="5">
        <f t="shared" si="12"/>
        <v>2000</v>
      </c>
      <c r="L48" s="5">
        <f t="shared" si="13"/>
        <v>2000</v>
      </c>
      <c r="M48" s="5">
        <f t="shared" si="14"/>
        <v>2000</v>
      </c>
      <c r="N48" s="5">
        <f t="shared" si="15"/>
        <v>-222</v>
      </c>
      <c r="O48" s="5">
        <f t="shared" si="16"/>
        <v>-232</v>
      </c>
      <c r="P48" s="5">
        <f t="shared" si="17"/>
        <v>-164</v>
      </c>
      <c r="Q48" s="8">
        <v>5</v>
      </c>
      <c r="R48" s="8">
        <v>5</v>
      </c>
      <c r="S48" s="8">
        <v>5</v>
      </c>
      <c r="T48" s="6">
        <f t="shared" si="7"/>
        <v>1700</v>
      </c>
      <c r="U48" s="7">
        <f t="shared" si="21"/>
        <v>758</v>
      </c>
      <c r="V48" s="7">
        <f t="shared" si="22"/>
        <v>748</v>
      </c>
      <c r="W48" s="7">
        <f t="shared" si="23"/>
        <v>756</v>
      </c>
      <c r="X48" s="6"/>
      <c r="Y48" s="5"/>
      <c r="Z48" s="5"/>
      <c r="AA48" s="5"/>
      <c r="AB48" s="17"/>
    </row>
    <row r="49" spans="1:28" ht="15" customHeight="1">
      <c r="A49" s="13">
        <v>35</v>
      </c>
      <c r="B49" s="4">
        <f t="shared" si="9"/>
        <v>45078</v>
      </c>
      <c r="C49" s="10">
        <f t="shared" si="10"/>
        <v>842</v>
      </c>
      <c r="D49" s="9">
        <f t="shared" si="24"/>
        <v>1604</v>
      </c>
      <c r="E49" s="8">
        <f t="shared" si="1"/>
        <v>673</v>
      </c>
      <c r="F49" s="8">
        <f t="shared" si="2"/>
        <v>683</v>
      </c>
      <c r="G49" s="8">
        <f t="shared" si="3"/>
        <v>615</v>
      </c>
      <c r="H49" s="5">
        <f t="shared" si="4"/>
        <v>1773</v>
      </c>
      <c r="I49" s="5">
        <f t="shared" si="5"/>
        <v>1763</v>
      </c>
      <c r="J49" s="5">
        <f t="shared" si="6"/>
        <v>1831</v>
      </c>
      <c r="K49" s="5">
        <f t="shared" si="12"/>
        <v>2000</v>
      </c>
      <c r="L49" s="5">
        <f t="shared" si="13"/>
        <v>2000</v>
      </c>
      <c r="M49" s="5">
        <f t="shared" si="14"/>
        <v>2000</v>
      </c>
      <c r="N49" s="5">
        <f t="shared" si="15"/>
        <v>-227</v>
      </c>
      <c r="O49" s="5">
        <f t="shared" si="16"/>
        <v>-237</v>
      </c>
      <c r="P49" s="5">
        <f t="shared" si="17"/>
        <v>-169</v>
      </c>
      <c r="Q49" s="8">
        <v>5</v>
      </c>
      <c r="R49" s="8">
        <v>5</v>
      </c>
      <c r="S49" s="8">
        <v>5</v>
      </c>
      <c r="T49" s="6">
        <f t="shared" si="7"/>
        <v>1703</v>
      </c>
      <c r="U49" s="7">
        <f t="shared" si="21"/>
        <v>753</v>
      </c>
      <c r="V49" s="7">
        <f t="shared" si="22"/>
        <v>743</v>
      </c>
      <c r="W49" s="7">
        <f t="shared" si="23"/>
        <v>751</v>
      </c>
      <c r="X49" s="6"/>
      <c r="Y49" s="5"/>
      <c r="Z49" s="5"/>
      <c r="AA49" s="5"/>
      <c r="AB49" s="17"/>
    </row>
    <row r="50" spans="1:28" ht="15" customHeight="1">
      <c r="A50" s="13">
        <v>36</v>
      </c>
      <c r="B50" s="4">
        <f t="shared" si="9"/>
        <v>45079</v>
      </c>
      <c r="C50" s="10">
        <f t="shared" si="10"/>
        <v>842</v>
      </c>
      <c r="D50" s="9">
        <f t="shared" si="24"/>
        <v>1602</v>
      </c>
      <c r="E50" s="8">
        <f t="shared" si="1"/>
        <v>675</v>
      </c>
      <c r="F50" s="8">
        <f t="shared" si="2"/>
        <v>685</v>
      </c>
      <c r="G50" s="8">
        <f t="shared" si="3"/>
        <v>617</v>
      </c>
      <c r="H50" s="5">
        <f t="shared" si="4"/>
        <v>1769</v>
      </c>
      <c r="I50" s="5">
        <f t="shared" si="5"/>
        <v>1759</v>
      </c>
      <c r="J50" s="5">
        <f t="shared" si="6"/>
        <v>1827</v>
      </c>
      <c r="K50" s="5">
        <f t="shared" si="12"/>
        <v>2000</v>
      </c>
      <c r="L50" s="5">
        <f t="shared" si="13"/>
        <v>2000</v>
      </c>
      <c r="M50" s="5">
        <f t="shared" si="14"/>
        <v>2000</v>
      </c>
      <c r="N50" s="5">
        <f t="shared" si="15"/>
        <v>-231</v>
      </c>
      <c r="O50" s="5">
        <f t="shared" si="16"/>
        <v>-241</v>
      </c>
      <c r="P50" s="5">
        <f t="shared" si="17"/>
        <v>-173</v>
      </c>
      <c r="Q50" s="8">
        <v>4</v>
      </c>
      <c r="R50" s="8">
        <v>4</v>
      </c>
      <c r="S50" s="8">
        <v>4</v>
      </c>
      <c r="T50" s="6">
        <f t="shared" si="7"/>
        <v>1705</v>
      </c>
      <c r="U50" s="7">
        <f t="shared" si="21"/>
        <v>749</v>
      </c>
      <c r="V50" s="7">
        <f t="shared" si="22"/>
        <v>739</v>
      </c>
      <c r="W50" s="7">
        <f t="shared" si="23"/>
        <v>747</v>
      </c>
      <c r="X50" s="6"/>
      <c r="Y50" s="5"/>
      <c r="Z50" s="5"/>
      <c r="AA50" s="5"/>
      <c r="AB50" s="17"/>
    </row>
    <row r="51" spans="1:28" ht="15" customHeight="1">
      <c r="A51" s="13">
        <v>37</v>
      </c>
      <c r="B51" s="4">
        <f t="shared" si="9"/>
        <v>45080</v>
      </c>
      <c r="C51" s="10">
        <f t="shared" si="10"/>
        <v>842</v>
      </c>
      <c r="D51" s="9">
        <f t="shared" si="24"/>
        <v>1600</v>
      </c>
      <c r="E51" s="8">
        <f t="shared" si="1"/>
        <v>676</v>
      </c>
      <c r="F51" s="8">
        <f t="shared" si="2"/>
        <v>686</v>
      </c>
      <c r="G51" s="8">
        <f t="shared" si="3"/>
        <v>618</v>
      </c>
      <c r="H51" s="5">
        <f t="shared" si="4"/>
        <v>1766</v>
      </c>
      <c r="I51" s="5">
        <f t="shared" si="5"/>
        <v>1756</v>
      </c>
      <c r="J51" s="5">
        <f t="shared" si="6"/>
        <v>1824</v>
      </c>
      <c r="K51" s="5">
        <f t="shared" si="12"/>
        <v>2000</v>
      </c>
      <c r="L51" s="5">
        <f t="shared" si="13"/>
        <v>2000</v>
      </c>
      <c r="M51" s="5">
        <f t="shared" si="14"/>
        <v>2000</v>
      </c>
      <c r="N51" s="5">
        <f t="shared" si="15"/>
        <v>-234</v>
      </c>
      <c r="O51" s="5">
        <f t="shared" si="16"/>
        <v>-244</v>
      </c>
      <c r="P51" s="5">
        <f t="shared" si="17"/>
        <v>-176</v>
      </c>
      <c r="Q51" s="8">
        <v>3</v>
      </c>
      <c r="R51" s="8">
        <v>3</v>
      </c>
      <c r="S51" s="8">
        <v>3</v>
      </c>
      <c r="T51" s="6">
        <f t="shared" si="7"/>
        <v>1706</v>
      </c>
      <c r="U51" s="7">
        <f t="shared" si="21"/>
        <v>746</v>
      </c>
      <c r="V51" s="7">
        <f t="shared" si="22"/>
        <v>736</v>
      </c>
      <c r="W51" s="7">
        <f t="shared" si="23"/>
        <v>744</v>
      </c>
      <c r="X51" s="6"/>
      <c r="Y51" s="5"/>
      <c r="Z51" s="5"/>
      <c r="AA51" s="5"/>
      <c r="AB51" s="17"/>
    </row>
    <row r="52" spans="1:28" ht="15" customHeight="1">
      <c r="A52" s="13">
        <v>38</v>
      </c>
      <c r="B52" s="4">
        <f t="shared" si="9"/>
        <v>45081</v>
      </c>
      <c r="C52" s="10">
        <f t="shared" si="10"/>
        <v>842</v>
      </c>
      <c r="D52" s="9">
        <f t="shared" si="24"/>
        <v>1598</v>
      </c>
      <c r="E52" s="8">
        <f t="shared" si="1"/>
        <v>679</v>
      </c>
      <c r="F52" s="8">
        <f t="shared" si="2"/>
        <v>688</v>
      </c>
      <c r="G52" s="8">
        <f t="shared" si="3"/>
        <v>621</v>
      </c>
      <c r="H52" s="5">
        <f t="shared" si="4"/>
        <v>1761</v>
      </c>
      <c r="I52" s="5">
        <f t="shared" si="5"/>
        <v>1752</v>
      </c>
      <c r="J52" s="5">
        <f t="shared" si="6"/>
        <v>1819</v>
      </c>
      <c r="K52" s="5">
        <f t="shared" si="12"/>
        <v>2000</v>
      </c>
      <c r="L52" s="5">
        <f t="shared" si="13"/>
        <v>2000</v>
      </c>
      <c r="M52" s="5">
        <f t="shared" si="14"/>
        <v>2000</v>
      </c>
      <c r="N52" s="5">
        <f t="shared" si="15"/>
        <v>-239</v>
      </c>
      <c r="O52" s="5">
        <f t="shared" si="16"/>
        <v>-248</v>
      </c>
      <c r="P52" s="5">
        <f t="shared" si="17"/>
        <v>-181</v>
      </c>
      <c r="Q52" s="8">
        <v>5</v>
      </c>
      <c r="R52" s="8">
        <v>4</v>
      </c>
      <c r="S52" s="8">
        <v>5</v>
      </c>
      <c r="T52" s="6">
        <f t="shared" si="7"/>
        <v>1708</v>
      </c>
      <c r="U52" s="7">
        <f t="shared" si="21"/>
        <v>741</v>
      </c>
      <c r="V52" s="7">
        <f t="shared" si="22"/>
        <v>732</v>
      </c>
      <c r="W52" s="7">
        <f t="shared" si="23"/>
        <v>739</v>
      </c>
      <c r="X52" s="6"/>
      <c r="Y52" s="5"/>
      <c r="Z52" s="5"/>
      <c r="AA52" s="5"/>
      <c r="AB52" s="5"/>
    </row>
    <row r="53" spans="1:28" ht="15" customHeight="1">
      <c r="A53" s="13">
        <v>39</v>
      </c>
      <c r="B53" s="4">
        <f t="shared" si="9"/>
        <v>45082</v>
      </c>
      <c r="C53" s="10">
        <f t="shared" si="10"/>
        <v>842</v>
      </c>
      <c r="D53" s="9">
        <f t="shared" si="24"/>
        <v>1596</v>
      </c>
      <c r="E53" s="8">
        <f t="shared" si="1"/>
        <v>681</v>
      </c>
      <c r="F53" s="8">
        <f t="shared" si="2"/>
        <v>693</v>
      </c>
      <c r="G53" s="8">
        <f t="shared" si="3"/>
        <v>623</v>
      </c>
      <c r="H53" s="5">
        <f t="shared" si="4"/>
        <v>1757</v>
      </c>
      <c r="I53" s="5">
        <f t="shared" si="5"/>
        <v>1745</v>
      </c>
      <c r="J53" s="5">
        <f t="shared" si="6"/>
        <v>1815</v>
      </c>
      <c r="K53" s="5">
        <f t="shared" si="12"/>
        <v>2000</v>
      </c>
      <c r="L53" s="5">
        <f t="shared" si="13"/>
        <v>2000</v>
      </c>
      <c r="M53" s="5">
        <f t="shared" si="14"/>
        <v>2000</v>
      </c>
      <c r="N53" s="5">
        <f t="shared" si="15"/>
        <v>-243</v>
      </c>
      <c r="O53" s="5">
        <f t="shared" si="16"/>
        <v>-255</v>
      </c>
      <c r="P53" s="5">
        <f t="shared" si="17"/>
        <v>-185</v>
      </c>
      <c r="Q53" s="8">
        <v>4</v>
      </c>
      <c r="R53" s="8">
        <v>7</v>
      </c>
      <c r="S53" s="8">
        <v>4</v>
      </c>
      <c r="T53" s="6">
        <f t="shared" si="7"/>
        <v>1713</v>
      </c>
      <c r="U53" s="7">
        <f t="shared" si="21"/>
        <v>737</v>
      </c>
      <c r="V53" s="7">
        <f t="shared" si="22"/>
        <v>725</v>
      </c>
      <c r="W53" s="7">
        <f t="shared" si="23"/>
        <v>735</v>
      </c>
      <c r="X53" s="6"/>
      <c r="Y53" s="5"/>
      <c r="Z53" s="5"/>
      <c r="AA53" s="5"/>
      <c r="AB53" s="5"/>
    </row>
    <row r="54" spans="1:28" ht="15" customHeight="1">
      <c r="A54" s="13">
        <v>40</v>
      </c>
      <c r="B54" s="4">
        <f t="shared" si="9"/>
        <v>45083</v>
      </c>
      <c r="C54" s="10">
        <f t="shared" si="10"/>
        <v>842</v>
      </c>
      <c r="D54" s="9">
        <f t="shared" si="24"/>
        <v>1594</v>
      </c>
      <c r="E54" s="8">
        <f t="shared" si="1"/>
        <v>682</v>
      </c>
      <c r="F54" s="8">
        <f t="shared" si="2"/>
        <v>696</v>
      </c>
      <c r="G54" s="8">
        <f t="shared" si="3"/>
        <v>624</v>
      </c>
      <c r="H54" s="5">
        <f t="shared" si="4"/>
        <v>1754</v>
      </c>
      <c r="I54" s="5">
        <f t="shared" si="5"/>
        <v>1740</v>
      </c>
      <c r="J54" s="5">
        <f t="shared" si="6"/>
        <v>1812</v>
      </c>
      <c r="K54" s="5">
        <f t="shared" si="12"/>
        <v>2000</v>
      </c>
      <c r="L54" s="5">
        <f t="shared" si="13"/>
        <v>2000</v>
      </c>
      <c r="M54" s="5">
        <f t="shared" si="14"/>
        <v>2000</v>
      </c>
      <c r="N54" s="5">
        <f t="shared" si="15"/>
        <v>-246</v>
      </c>
      <c r="O54" s="5">
        <f t="shared" si="16"/>
        <v>-260</v>
      </c>
      <c r="P54" s="5">
        <f t="shared" si="17"/>
        <v>-188</v>
      </c>
      <c r="Q54" s="8">
        <v>3</v>
      </c>
      <c r="R54" s="8">
        <v>5</v>
      </c>
      <c r="S54" s="8">
        <v>3</v>
      </c>
      <c r="T54" s="6">
        <f t="shared" si="7"/>
        <v>1716</v>
      </c>
      <c r="U54" s="7">
        <f t="shared" si="21"/>
        <v>734</v>
      </c>
      <c r="V54" s="7">
        <f t="shared" si="22"/>
        <v>720</v>
      </c>
      <c r="W54" s="7">
        <f t="shared" si="23"/>
        <v>732</v>
      </c>
      <c r="X54" s="6"/>
      <c r="Y54" s="5"/>
      <c r="Z54" s="5"/>
      <c r="AA54" s="5"/>
      <c r="AB54" s="5"/>
    </row>
    <row r="55" spans="1:28" ht="15" customHeight="1">
      <c r="A55" s="13">
        <v>41</v>
      </c>
      <c r="B55" s="4">
        <f t="shared" si="9"/>
        <v>45084</v>
      </c>
      <c r="C55" s="10">
        <f t="shared" si="10"/>
        <v>842</v>
      </c>
      <c r="D55" s="9">
        <f t="shared" si="24"/>
        <v>1592</v>
      </c>
      <c r="E55" s="8">
        <f t="shared" si="1"/>
        <v>682</v>
      </c>
      <c r="F55" s="8">
        <f t="shared" si="2"/>
        <v>699</v>
      </c>
      <c r="G55" s="8">
        <f t="shared" si="3"/>
        <v>624</v>
      </c>
      <c r="H55" s="5">
        <f t="shared" si="4"/>
        <v>1752</v>
      </c>
      <c r="I55" s="5">
        <f t="shared" si="5"/>
        <v>1735</v>
      </c>
      <c r="J55" s="5">
        <f t="shared" si="6"/>
        <v>1810</v>
      </c>
      <c r="K55" s="5">
        <f t="shared" si="12"/>
        <v>2000</v>
      </c>
      <c r="L55" s="5">
        <f t="shared" si="13"/>
        <v>2000</v>
      </c>
      <c r="M55" s="5">
        <f t="shared" si="14"/>
        <v>2000</v>
      </c>
      <c r="N55" s="5">
        <f t="shared" si="15"/>
        <v>-248</v>
      </c>
      <c r="O55" s="5">
        <f t="shared" si="16"/>
        <v>-265</v>
      </c>
      <c r="P55" s="5">
        <f t="shared" si="17"/>
        <v>-190</v>
      </c>
      <c r="Q55" s="8">
        <v>2</v>
      </c>
      <c r="R55" s="8">
        <v>5</v>
      </c>
      <c r="S55" s="8">
        <v>2</v>
      </c>
      <c r="T55" s="6">
        <f t="shared" si="7"/>
        <v>1719</v>
      </c>
      <c r="U55" s="7">
        <f t="shared" si="21"/>
        <v>732</v>
      </c>
      <c r="V55" s="7">
        <f t="shared" si="22"/>
        <v>715</v>
      </c>
      <c r="W55" s="7">
        <f t="shared" si="23"/>
        <v>730</v>
      </c>
      <c r="X55" s="6"/>
      <c r="Y55" s="5"/>
      <c r="Z55" s="5"/>
      <c r="AA55" s="5"/>
      <c r="AB55" s="5"/>
    </row>
    <row r="56" spans="1:28" ht="15" customHeight="1">
      <c r="A56" s="13">
        <v>42</v>
      </c>
      <c r="B56" s="4">
        <f t="shared" si="9"/>
        <v>45085</v>
      </c>
      <c r="C56" s="10">
        <f t="shared" si="10"/>
        <v>842</v>
      </c>
      <c r="D56" s="9">
        <f t="shared" si="24"/>
        <v>1590</v>
      </c>
      <c r="E56" s="8">
        <f t="shared" si="1"/>
        <v>684</v>
      </c>
      <c r="F56" s="8">
        <f t="shared" si="2"/>
        <v>701</v>
      </c>
      <c r="G56" s="8">
        <f t="shared" si="3"/>
        <v>626</v>
      </c>
      <c r="H56" s="5">
        <f t="shared" si="4"/>
        <v>1748</v>
      </c>
      <c r="I56" s="5">
        <f t="shared" si="5"/>
        <v>1731</v>
      </c>
      <c r="J56" s="5">
        <f t="shared" si="6"/>
        <v>1806</v>
      </c>
      <c r="K56" s="5">
        <f t="shared" si="12"/>
        <v>2000</v>
      </c>
      <c r="L56" s="5">
        <f t="shared" si="13"/>
        <v>2000</v>
      </c>
      <c r="M56" s="5">
        <f t="shared" si="14"/>
        <v>2000</v>
      </c>
      <c r="N56" s="5">
        <f t="shared" si="15"/>
        <v>-252</v>
      </c>
      <c r="O56" s="5">
        <f t="shared" si="16"/>
        <v>-269</v>
      </c>
      <c r="P56" s="5">
        <f t="shared" si="17"/>
        <v>-194</v>
      </c>
      <c r="Q56" s="8">
        <v>4</v>
      </c>
      <c r="R56" s="8">
        <v>4</v>
      </c>
      <c r="S56" s="8">
        <v>4</v>
      </c>
      <c r="T56" s="6">
        <f t="shared" si="7"/>
        <v>1721</v>
      </c>
      <c r="U56" s="7">
        <f t="shared" si="21"/>
        <v>728</v>
      </c>
      <c r="V56" s="7">
        <f t="shared" si="22"/>
        <v>711</v>
      </c>
      <c r="W56" s="7">
        <f t="shared" si="23"/>
        <v>726</v>
      </c>
      <c r="X56" s="6"/>
      <c r="Y56" s="5"/>
      <c r="Z56" s="5"/>
      <c r="AA56" s="5"/>
      <c r="AB56" s="5"/>
    </row>
    <row r="57" spans="1:28" ht="15" customHeight="1">
      <c r="A57" s="13">
        <v>43</v>
      </c>
      <c r="B57" s="4">
        <f t="shared" si="9"/>
        <v>45086</v>
      </c>
      <c r="C57" s="10">
        <f t="shared" si="10"/>
        <v>842</v>
      </c>
      <c r="D57" s="9">
        <f t="shared" si="24"/>
        <v>1588</v>
      </c>
      <c r="E57" s="8">
        <f t="shared" si="1"/>
        <v>685</v>
      </c>
      <c r="F57" s="8">
        <f t="shared" si="2"/>
        <v>702</v>
      </c>
      <c r="G57" s="8">
        <f t="shared" si="3"/>
        <v>627</v>
      </c>
      <c r="H57" s="5">
        <f t="shared" si="4"/>
        <v>1745</v>
      </c>
      <c r="I57" s="5">
        <f t="shared" si="5"/>
        <v>1728</v>
      </c>
      <c r="J57" s="5">
        <f t="shared" si="6"/>
        <v>1803</v>
      </c>
      <c r="K57" s="5">
        <f t="shared" si="12"/>
        <v>2000</v>
      </c>
      <c r="L57" s="5">
        <f t="shared" si="13"/>
        <v>2000</v>
      </c>
      <c r="M57" s="5">
        <f t="shared" si="14"/>
        <v>2000</v>
      </c>
      <c r="N57" s="5">
        <f t="shared" si="15"/>
        <v>-255</v>
      </c>
      <c r="O57" s="5">
        <f t="shared" si="16"/>
        <v>-272</v>
      </c>
      <c r="P57" s="5">
        <f t="shared" si="17"/>
        <v>-197</v>
      </c>
      <c r="Q57" s="8">
        <v>3</v>
      </c>
      <c r="R57" s="8">
        <v>3</v>
      </c>
      <c r="S57" s="8">
        <v>3</v>
      </c>
      <c r="T57" s="6">
        <f t="shared" si="7"/>
        <v>1722</v>
      </c>
      <c r="U57" s="7">
        <f t="shared" si="21"/>
        <v>725</v>
      </c>
      <c r="V57" s="7">
        <f t="shared" si="22"/>
        <v>708</v>
      </c>
      <c r="W57" s="7">
        <f t="shared" si="23"/>
        <v>723</v>
      </c>
      <c r="X57" s="6"/>
      <c r="Y57" s="5"/>
      <c r="Z57" s="5"/>
      <c r="AA57" s="5"/>
      <c r="AB57" s="5"/>
    </row>
    <row r="58" spans="1:28" ht="15" customHeight="1">
      <c r="A58" s="13">
        <v>44</v>
      </c>
      <c r="B58" s="4">
        <f t="shared" si="9"/>
        <v>45087</v>
      </c>
      <c r="C58" s="10">
        <f t="shared" si="10"/>
        <v>842</v>
      </c>
      <c r="D58" s="9">
        <f t="shared" si="24"/>
        <v>1586</v>
      </c>
      <c r="E58" s="8">
        <f t="shared" si="1"/>
        <v>685</v>
      </c>
      <c r="F58" s="8">
        <f t="shared" si="2"/>
        <v>702</v>
      </c>
      <c r="G58" s="8">
        <f t="shared" si="3"/>
        <v>627</v>
      </c>
      <c r="H58" s="5">
        <f t="shared" si="4"/>
        <v>1743</v>
      </c>
      <c r="I58" s="5">
        <f t="shared" si="5"/>
        <v>1726</v>
      </c>
      <c r="J58" s="5">
        <f t="shared" si="6"/>
        <v>1801</v>
      </c>
      <c r="K58" s="5">
        <f t="shared" si="12"/>
        <v>2000</v>
      </c>
      <c r="L58" s="5">
        <f t="shared" si="13"/>
        <v>2000</v>
      </c>
      <c r="M58" s="5">
        <f t="shared" si="14"/>
        <v>2000</v>
      </c>
      <c r="N58" s="5">
        <f t="shared" si="15"/>
        <v>-257</v>
      </c>
      <c r="O58" s="5">
        <f t="shared" si="16"/>
        <v>-274</v>
      </c>
      <c r="P58" s="5">
        <f t="shared" si="17"/>
        <v>-199</v>
      </c>
      <c r="Q58" s="8">
        <v>2</v>
      </c>
      <c r="R58" s="8">
        <v>2</v>
      </c>
      <c r="S58" s="8">
        <v>2</v>
      </c>
      <c r="T58" s="6">
        <f t="shared" si="7"/>
        <v>1722</v>
      </c>
      <c r="U58" s="7">
        <f t="shared" si="21"/>
        <v>723</v>
      </c>
      <c r="V58" s="7">
        <f t="shared" si="22"/>
        <v>706</v>
      </c>
      <c r="W58" s="7">
        <f t="shared" si="23"/>
        <v>721</v>
      </c>
      <c r="X58" s="6"/>
      <c r="Y58" s="5"/>
      <c r="Z58" s="5"/>
      <c r="AA58" s="5"/>
      <c r="AB58" s="5"/>
    </row>
    <row r="59" spans="1:28" ht="15" customHeight="1">
      <c r="A59" s="13">
        <v>45</v>
      </c>
      <c r="B59" s="4">
        <f t="shared" si="9"/>
        <v>45088</v>
      </c>
      <c r="C59" s="10">
        <f t="shared" si="10"/>
        <v>842</v>
      </c>
      <c r="D59" s="9">
        <f t="shared" si="24"/>
        <v>1584</v>
      </c>
      <c r="E59" s="8">
        <f t="shared" si="1"/>
        <v>687</v>
      </c>
      <c r="F59" s="8">
        <f t="shared" si="2"/>
        <v>704</v>
      </c>
      <c r="G59" s="8">
        <f t="shared" si="3"/>
        <v>629</v>
      </c>
      <c r="H59" s="5">
        <f t="shared" si="4"/>
        <v>1739</v>
      </c>
      <c r="I59" s="5">
        <f t="shared" si="5"/>
        <v>1722</v>
      </c>
      <c r="J59" s="5">
        <f t="shared" si="6"/>
        <v>1797</v>
      </c>
      <c r="K59" s="5">
        <f t="shared" si="12"/>
        <v>2000</v>
      </c>
      <c r="L59" s="5">
        <f t="shared" si="13"/>
        <v>2000</v>
      </c>
      <c r="M59" s="5">
        <f t="shared" si="14"/>
        <v>2000</v>
      </c>
      <c r="N59" s="5">
        <f t="shared" si="15"/>
        <v>-261</v>
      </c>
      <c r="O59" s="5">
        <f t="shared" si="16"/>
        <v>-278</v>
      </c>
      <c r="P59" s="5">
        <f t="shared" si="17"/>
        <v>-203</v>
      </c>
      <c r="Q59" s="8">
        <v>4</v>
      </c>
      <c r="R59" s="8">
        <v>4</v>
      </c>
      <c r="S59" s="8">
        <v>4</v>
      </c>
      <c r="T59" s="6">
        <f t="shared" si="7"/>
        <v>1724</v>
      </c>
      <c r="U59" s="7">
        <f t="shared" si="21"/>
        <v>719</v>
      </c>
      <c r="V59" s="7">
        <f t="shared" si="22"/>
        <v>702</v>
      </c>
      <c r="W59" s="7">
        <f t="shared" si="23"/>
        <v>717</v>
      </c>
      <c r="X59" s="6"/>
      <c r="Y59" s="5"/>
      <c r="Z59" s="5"/>
      <c r="AA59" s="5"/>
      <c r="AB59" s="5"/>
    </row>
    <row r="60" spans="1:28" ht="15" customHeight="1">
      <c r="A60" s="13">
        <v>46</v>
      </c>
      <c r="B60" s="4">
        <f t="shared" si="9"/>
        <v>45089</v>
      </c>
      <c r="C60" s="10">
        <f t="shared" si="10"/>
        <v>842</v>
      </c>
      <c r="D60" s="9">
        <f t="shared" si="24"/>
        <v>1582</v>
      </c>
      <c r="E60" s="8">
        <f t="shared" si="1"/>
        <v>692</v>
      </c>
      <c r="F60" s="8">
        <f t="shared" si="2"/>
        <v>709</v>
      </c>
      <c r="G60" s="8">
        <f t="shared" si="3"/>
        <v>634</v>
      </c>
      <c r="H60" s="5">
        <f t="shared" si="4"/>
        <v>1732</v>
      </c>
      <c r="I60" s="5">
        <f t="shared" si="5"/>
        <v>1715</v>
      </c>
      <c r="J60" s="5">
        <f t="shared" si="6"/>
        <v>1790</v>
      </c>
      <c r="K60" s="5">
        <f t="shared" si="12"/>
        <v>2000</v>
      </c>
      <c r="L60" s="5">
        <f t="shared" si="13"/>
        <v>2000</v>
      </c>
      <c r="M60" s="5">
        <f t="shared" si="14"/>
        <v>2000</v>
      </c>
      <c r="N60" s="5">
        <f t="shared" si="15"/>
        <v>-268</v>
      </c>
      <c r="O60" s="5">
        <f t="shared" si="16"/>
        <v>-285</v>
      </c>
      <c r="P60" s="5">
        <f t="shared" si="17"/>
        <v>-210</v>
      </c>
      <c r="Q60" s="8">
        <v>7</v>
      </c>
      <c r="R60" s="8">
        <v>7</v>
      </c>
      <c r="S60" s="8">
        <v>7</v>
      </c>
      <c r="T60" s="6">
        <f t="shared" si="7"/>
        <v>1729</v>
      </c>
      <c r="U60" s="7">
        <f t="shared" si="21"/>
        <v>712</v>
      </c>
      <c r="V60" s="7">
        <f t="shared" si="22"/>
        <v>695</v>
      </c>
      <c r="W60" s="7">
        <f t="shared" si="23"/>
        <v>710</v>
      </c>
      <c r="X60" s="6"/>
      <c r="Y60" s="5"/>
      <c r="Z60" s="5"/>
      <c r="AA60" s="5"/>
      <c r="AB60" s="5"/>
    </row>
    <row r="61" spans="1:28" ht="15" customHeight="1">
      <c r="A61" s="13">
        <v>47</v>
      </c>
      <c r="B61" s="4">
        <f t="shared" si="9"/>
        <v>45090</v>
      </c>
      <c r="C61" s="10">
        <f t="shared" si="10"/>
        <v>842</v>
      </c>
      <c r="D61" s="9">
        <f t="shared" si="24"/>
        <v>1580</v>
      </c>
      <c r="E61" s="8">
        <f t="shared" si="1"/>
        <v>695</v>
      </c>
      <c r="F61" s="8">
        <f t="shared" si="2"/>
        <v>712</v>
      </c>
      <c r="G61" s="8">
        <f t="shared" si="3"/>
        <v>637</v>
      </c>
      <c r="H61" s="5">
        <f t="shared" si="4"/>
        <v>1727</v>
      </c>
      <c r="I61" s="5">
        <f t="shared" si="5"/>
        <v>1710</v>
      </c>
      <c r="J61" s="5">
        <f t="shared" si="6"/>
        <v>1785</v>
      </c>
      <c r="K61" s="5">
        <f t="shared" si="12"/>
        <v>2000</v>
      </c>
      <c r="L61" s="5">
        <f t="shared" si="13"/>
        <v>2000</v>
      </c>
      <c r="M61" s="5">
        <f t="shared" si="14"/>
        <v>2000</v>
      </c>
      <c r="N61" s="5">
        <f t="shared" si="15"/>
        <v>-273</v>
      </c>
      <c r="O61" s="5">
        <f t="shared" si="16"/>
        <v>-290</v>
      </c>
      <c r="P61" s="5">
        <f t="shared" si="17"/>
        <v>-215</v>
      </c>
      <c r="Q61" s="8">
        <v>5</v>
      </c>
      <c r="R61" s="8">
        <v>5</v>
      </c>
      <c r="S61" s="8">
        <v>5</v>
      </c>
      <c r="T61" s="6">
        <f t="shared" si="7"/>
        <v>1732</v>
      </c>
      <c r="U61" s="7">
        <f t="shared" si="21"/>
        <v>707</v>
      </c>
      <c r="V61" s="7">
        <f t="shared" si="22"/>
        <v>690</v>
      </c>
      <c r="W61" s="7">
        <f t="shared" si="23"/>
        <v>705</v>
      </c>
      <c r="X61" s="6"/>
      <c r="Y61" s="5"/>
      <c r="Z61" s="5"/>
      <c r="AA61" s="5"/>
      <c r="AB61" s="5"/>
    </row>
    <row r="62" spans="1:28" ht="15" customHeight="1">
      <c r="A62" s="13">
        <v>48</v>
      </c>
      <c r="B62" s="4">
        <f t="shared" si="9"/>
        <v>45091</v>
      </c>
      <c r="C62" s="10">
        <f t="shared" si="10"/>
        <v>842</v>
      </c>
      <c r="D62" s="9">
        <f t="shared" si="24"/>
        <v>1578</v>
      </c>
      <c r="E62" s="8">
        <f t="shared" si="1"/>
        <v>698</v>
      </c>
      <c r="F62" s="8">
        <f t="shared" si="2"/>
        <v>715</v>
      </c>
      <c r="G62" s="8">
        <f t="shared" si="3"/>
        <v>640</v>
      </c>
      <c r="H62" s="5">
        <f t="shared" si="4"/>
        <v>1722</v>
      </c>
      <c r="I62" s="5">
        <f t="shared" si="5"/>
        <v>1705</v>
      </c>
      <c r="J62" s="5">
        <f t="shared" si="6"/>
        <v>1780</v>
      </c>
      <c r="K62" s="5">
        <f t="shared" si="12"/>
        <v>2000</v>
      </c>
      <c r="L62" s="5">
        <f t="shared" si="13"/>
        <v>2000</v>
      </c>
      <c r="M62" s="5">
        <f t="shared" si="14"/>
        <v>2000</v>
      </c>
      <c r="N62" s="5">
        <f t="shared" si="15"/>
        <v>-278</v>
      </c>
      <c r="O62" s="5">
        <f t="shared" si="16"/>
        <v>-295</v>
      </c>
      <c r="P62" s="5">
        <f t="shared" si="17"/>
        <v>-220</v>
      </c>
      <c r="Q62" s="8">
        <v>5</v>
      </c>
      <c r="R62" s="8">
        <v>5</v>
      </c>
      <c r="S62" s="8">
        <v>5</v>
      </c>
      <c r="T62" s="6">
        <f t="shared" si="7"/>
        <v>1735</v>
      </c>
      <c r="U62" s="7">
        <f t="shared" si="21"/>
        <v>702</v>
      </c>
      <c r="V62" s="7">
        <f t="shared" si="22"/>
        <v>685</v>
      </c>
      <c r="W62" s="7">
        <f t="shared" si="23"/>
        <v>700</v>
      </c>
      <c r="X62" s="6"/>
      <c r="Y62" s="5"/>
      <c r="Z62" s="5"/>
      <c r="AA62" s="5"/>
      <c r="AB62" s="5"/>
    </row>
    <row r="63" spans="1:28" ht="15" customHeight="1">
      <c r="A63" s="13">
        <v>49</v>
      </c>
      <c r="B63" s="4">
        <f t="shared" si="9"/>
        <v>45092</v>
      </c>
      <c r="C63" s="10">
        <f t="shared" si="10"/>
        <v>842</v>
      </c>
      <c r="D63" s="9">
        <f t="shared" si="24"/>
        <v>1576</v>
      </c>
      <c r="E63" s="8">
        <f t="shared" si="1"/>
        <v>700</v>
      </c>
      <c r="F63" s="8">
        <f t="shared" si="2"/>
        <v>717</v>
      </c>
      <c r="G63" s="8">
        <f t="shared" si="3"/>
        <v>642</v>
      </c>
      <c r="H63" s="5">
        <f t="shared" si="4"/>
        <v>1718</v>
      </c>
      <c r="I63" s="5">
        <f t="shared" si="5"/>
        <v>1701</v>
      </c>
      <c r="J63" s="5">
        <f t="shared" si="6"/>
        <v>1776</v>
      </c>
      <c r="K63" s="5">
        <f t="shared" si="12"/>
        <v>2000</v>
      </c>
      <c r="L63" s="5">
        <f t="shared" si="13"/>
        <v>2000</v>
      </c>
      <c r="M63" s="5">
        <f t="shared" si="14"/>
        <v>2000</v>
      </c>
      <c r="N63" s="5">
        <f t="shared" si="15"/>
        <v>-282</v>
      </c>
      <c r="O63" s="5">
        <f t="shared" si="16"/>
        <v>-299</v>
      </c>
      <c r="P63" s="5">
        <f t="shared" si="17"/>
        <v>-224</v>
      </c>
      <c r="Q63" s="8">
        <v>4</v>
      </c>
      <c r="R63" s="8">
        <v>4</v>
      </c>
      <c r="S63" s="8">
        <v>4</v>
      </c>
      <c r="T63" s="6">
        <f t="shared" si="7"/>
        <v>1737</v>
      </c>
      <c r="U63" s="7">
        <f t="shared" si="21"/>
        <v>698</v>
      </c>
      <c r="V63" s="7">
        <f t="shared" si="22"/>
        <v>681</v>
      </c>
      <c r="W63" s="7">
        <f t="shared" si="23"/>
        <v>696</v>
      </c>
      <c r="X63" s="6"/>
      <c r="Y63" s="5"/>
      <c r="Z63" s="5"/>
      <c r="AA63" s="5"/>
      <c r="AB63" s="5"/>
    </row>
    <row r="64" spans="1:28" ht="15" customHeight="1">
      <c r="A64" s="13">
        <v>50</v>
      </c>
      <c r="B64" s="4">
        <f t="shared" si="9"/>
        <v>45093</v>
      </c>
      <c r="C64" s="10">
        <f t="shared" si="10"/>
        <v>842</v>
      </c>
      <c r="D64" s="9">
        <f t="shared" si="24"/>
        <v>1574</v>
      </c>
      <c r="E64" s="8">
        <f t="shared" si="1"/>
        <v>699</v>
      </c>
      <c r="F64" s="8">
        <f t="shared" si="2"/>
        <v>716</v>
      </c>
      <c r="G64" s="8">
        <f t="shared" si="3"/>
        <v>641</v>
      </c>
      <c r="H64" s="5">
        <f t="shared" si="4"/>
        <v>1717</v>
      </c>
      <c r="I64" s="5">
        <f t="shared" si="5"/>
        <v>1700</v>
      </c>
      <c r="J64" s="5">
        <f t="shared" si="6"/>
        <v>1775</v>
      </c>
      <c r="K64" s="5">
        <f t="shared" si="12"/>
        <v>2000</v>
      </c>
      <c r="L64" s="5">
        <f t="shared" si="13"/>
        <v>2000</v>
      </c>
      <c r="M64" s="5">
        <f t="shared" si="14"/>
        <v>2000</v>
      </c>
      <c r="N64" s="5">
        <f t="shared" si="15"/>
        <v>-283</v>
      </c>
      <c r="O64" s="5">
        <f t="shared" si="16"/>
        <v>-300</v>
      </c>
      <c r="P64" s="5">
        <f t="shared" si="17"/>
        <v>-225</v>
      </c>
      <c r="Q64" s="8">
        <v>1</v>
      </c>
      <c r="R64" s="8">
        <v>1</v>
      </c>
      <c r="S64" s="8">
        <v>1</v>
      </c>
      <c r="T64" s="6">
        <f t="shared" si="7"/>
        <v>1736</v>
      </c>
      <c r="U64" s="7">
        <f t="shared" si="21"/>
        <v>697</v>
      </c>
      <c r="V64" s="7">
        <f t="shared" si="22"/>
        <v>680</v>
      </c>
      <c r="W64" s="7">
        <f t="shared" si="23"/>
        <v>695</v>
      </c>
      <c r="X64" s="6"/>
      <c r="Y64" s="5"/>
      <c r="Z64" s="5"/>
      <c r="AA64" s="5"/>
      <c r="AB64" s="5"/>
    </row>
    <row r="65" spans="1:28" ht="15" customHeight="1">
      <c r="A65" s="13">
        <v>51</v>
      </c>
      <c r="B65" s="4">
        <f t="shared" si="9"/>
        <v>45094</v>
      </c>
      <c r="C65" s="10">
        <f t="shared" si="10"/>
        <v>842</v>
      </c>
      <c r="D65" s="9">
        <f t="shared" si="24"/>
        <v>1572</v>
      </c>
      <c r="E65" s="8">
        <f t="shared" si="1"/>
        <v>698</v>
      </c>
      <c r="F65" s="8">
        <f t="shared" si="2"/>
        <v>715</v>
      </c>
      <c r="G65" s="8">
        <f t="shared" si="3"/>
        <v>640</v>
      </c>
      <c r="H65" s="5">
        <f t="shared" si="4"/>
        <v>1716</v>
      </c>
      <c r="I65" s="5">
        <f t="shared" si="5"/>
        <v>1699</v>
      </c>
      <c r="J65" s="5">
        <f t="shared" si="6"/>
        <v>1774</v>
      </c>
      <c r="K65" s="5">
        <f t="shared" si="12"/>
        <v>2000</v>
      </c>
      <c r="L65" s="5">
        <f t="shared" si="13"/>
        <v>2000</v>
      </c>
      <c r="M65" s="5">
        <f t="shared" si="14"/>
        <v>2000</v>
      </c>
      <c r="N65" s="5">
        <f t="shared" si="15"/>
        <v>-284</v>
      </c>
      <c r="O65" s="5">
        <f t="shared" si="16"/>
        <v>-301</v>
      </c>
      <c r="P65" s="5">
        <f t="shared" si="17"/>
        <v>-226</v>
      </c>
      <c r="Q65" s="8">
        <v>1</v>
      </c>
      <c r="R65" s="8">
        <v>1</v>
      </c>
      <c r="S65" s="8">
        <v>1</v>
      </c>
      <c r="T65" s="6">
        <f t="shared" si="7"/>
        <v>1735</v>
      </c>
      <c r="U65" s="7">
        <f t="shared" si="21"/>
        <v>696</v>
      </c>
      <c r="V65" s="7">
        <f t="shared" si="22"/>
        <v>679</v>
      </c>
      <c r="W65" s="7">
        <f t="shared" si="23"/>
        <v>694</v>
      </c>
      <c r="X65" s="6"/>
      <c r="Y65" s="5"/>
      <c r="Z65" s="5"/>
      <c r="AA65" s="5"/>
      <c r="AB65" s="5"/>
    </row>
    <row r="66" spans="1:28" ht="15" customHeight="1">
      <c r="A66" s="13">
        <v>52</v>
      </c>
      <c r="B66" s="4">
        <f t="shared" si="9"/>
        <v>45095</v>
      </c>
      <c r="C66" s="10">
        <f t="shared" si="10"/>
        <v>842</v>
      </c>
      <c r="D66" s="9">
        <f t="shared" si="24"/>
        <v>1570</v>
      </c>
      <c r="E66" s="8">
        <f t="shared" si="1"/>
        <v>696</v>
      </c>
      <c r="F66" s="8">
        <f t="shared" si="2"/>
        <v>713</v>
      </c>
      <c r="G66" s="8">
        <f t="shared" si="3"/>
        <v>640</v>
      </c>
      <c r="H66" s="5">
        <f t="shared" si="4"/>
        <v>1716</v>
      </c>
      <c r="I66" s="5">
        <f t="shared" si="5"/>
        <v>1699</v>
      </c>
      <c r="J66" s="5">
        <f t="shared" si="6"/>
        <v>1772</v>
      </c>
      <c r="K66" s="5">
        <f t="shared" si="12"/>
        <v>2000</v>
      </c>
      <c r="L66" s="5">
        <f t="shared" si="13"/>
        <v>2000</v>
      </c>
      <c r="M66" s="5">
        <f t="shared" si="14"/>
        <v>2000</v>
      </c>
      <c r="N66" s="5">
        <f t="shared" si="15"/>
        <v>-284</v>
      </c>
      <c r="O66" s="5">
        <f t="shared" si="16"/>
        <v>-301</v>
      </c>
      <c r="P66" s="5">
        <f t="shared" si="17"/>
        <v>-228</v>
      </c>
      <c r="Q66" s="8">
        <v>0</v>
      </c>
      <c r="R66" s="8">
        <v>0</v>
      </c>
      <c r="S66" s="8">
        <v>2</v>
      </c>
      <c r="T66" s="6">
        <f t="shared" si="7"/>
        <v>1733</v>
      </c>
      <c r="U66" s="7">
        <f t="shared" si="21"/>
        <v>696</v>
      </c>
      <c r="V66" s="7">
        <f t="shared" si="22"/>
        <v>679</v>
      </c>
      <c r="W66" s="7">
        <f t="shared" si="23"/>
        <v>692</v>
      </c>
      <c r="X66" s="6"/>
      <c r="Y66" s="5"/>
      <c r="Z66" s="5"/>
      <c r="AA66" s="5"/>
      <c r="AB66" s="5"/>
    </row>
    <row r="67" spans="1:28" ht="15" customHeight="1">
      <c r="A67" s="13">
        <v>53</v>
      </c>
      <c r="B67" s="4">
        <f t="shared" si="9"/>
        <v>45096</v>
      </c>
      <c r="C67" s="10">
        <f t="shared" si="10"/>
        <v>842</v>
      </c>
      <c r="D67" s="9">
        <f t="shared" si="24"/>
        <v>1568</v>
      </c>
      <c r="E67" s="8">
        <f t="shared" si="1"/>
        <v>695</v>
      </c>
      <c r="F67" s="8">
        <f t="shared" si="2"/>
        <v>712</v>
      </c>
      <c r="G67" s="8">
        <f t="shared" si="3"/>
        <v>638</v>
      </c>
      <c r="H67" s="5">
        <f t="shared" si="4"/>
        <v>1715</v>
      </c>
      <c r="I67" s="5">
        <f t="shared" si="5"/>
        <v>1698</v>
      </c>
      <c r="J67" s="5">
        <f t="shared" si="6"/>
        <v>1772</v>
      </c>
      <c r="K67" s="5">
        <f t="shared" si="12"/>
        <v>2000</v>
      </c>
      <c r="L67" s="5">
        <f t="shared" si="13"/>
        <v>2000</v>
      </c>
      <c r="M67" s="5">
        <f t="shared" si="14"/>
        <v>2000</v>
      </c>
      <c r="N67" s="5">
        <f t="shared" si="15"/>
        <v>-285</v>
      </c>
      <c r="O67" s="5">
        <f t="shared" si="16"/>
        <v>-302</v>
      </c>
      <c r="P67" s="5">
        <f t="shared" si="17"/>
        <v>-228</v>
      </c>
      <c r="Q67" s="8">
        <v>1</v>
      </c>
      <c r="R67" s="8">
        <v>1</v>
      </c>
      <c r="S67" s="8">
        <v>0</v>
      </c>
      <c r="T67" s="6">
        <f t="shared" si="7"/>
        <v>1732</v>
      </c>
      <c r="U67" s="7">
        <f t="shared" si="21"/>
        <v>695</v>
      </c>
      <c r="V67" s="7">
        <f t="shared" si="22"/>
        <v>678</v>
      </c>
      <c r="W67" s="7">
        <f t="shared" si="23"/>
        <v>692</v>
      </c>
      <c r="X67" s="6"/>
      <c r="Y67" s="5"/>
      <c r="Z67" s="5"/>
      <c r="AA67" s="5"/>
      <c r="AB67" s="5"/>
    </row>
    <row r="68" spans="1:28" ht="15" customHeight="1">
      <c r="A68" s="13">
        <v>54</v>
      </c>
      <c r="B68" s="4">
        <f t="shared" si="9"/>
        <v>45097</v>
      </c>
      <c r="C68" s="10">
        <f t="shared" si="10"/>
        <v>842</v>
      </c>
      <c r="D68" s="9">
        <f t="shared" si="24"/>
        <v>1566</v>
      </c>
      <c r="E68" s="8">
        <f t="shared" si="1"/>
        <v>693</v>
      </c>
      <c r="F68" s="8">
        <f t="shared" si="2"/>
        <v>710</v>
      </c>
      <c r="G68" s="8">
        <f t="shared" si="3"/>
        <v>638</v>
      </c>
      <c r="H68" s="5">
        <f t="shared" si="4"/>
        <v>1715</v>
      </c>
      <c r="I68" s="5">
        <f t="shared" si="5"/>
        <v>1698</v>
      </c>
      <c r="J68" s="5">
        <f t="shared" si="6"/>
        <v>1770</v>
      </c>
      <c r="K68" s="5">
        <f t="shared" si="12"/>
        <v>2000</v>
      </c>
      <c r="L68" s="5">
        <f t="shared" si="13"/>
        <v>2000</v>
      </c>
      <c r="M68" s="5">
        <f t="shared" si="14"/>
        <v>2000</v>
      </c>
      <c r="N68" s="5">
        <f t="shared" si="15"/>
        <v>-285</v>
      </c>
      <c r="O68" s="5">
        <f t="shared" si="16"/>
        <v>-302</v>
      </c>
      <c r="P68" s="5">
        <f t="shared" si="17"/>
        <v>-230</v>
      </c>
      <c r="Q68" s="8">
        <v>0</v>
      </c>
      <c r="R68" s="8">
        <v>0</v>
      </c>
      <c r="S68" s="8">
        <v>2</v>
      </c>
      <c r="T68" s="6">
        <f t="shared" si="7"/>
        <v>1730</v>
      </c>
      <c r="U68" s="7">
        <f t="shared" si="21"/>
        <v>695</v>
      </c>
      <c r="V68" s="7">
        <f t="shared" si="22"/>
        <v>678</v>
      </c>
      <c r="W68" s="7">
        <f t="shared" si="23"/>
        <v>690</v>
      </c>
      <c r="X68" s="6"/>
      <c r="Y68" s="5"/>
      <c r="Z68" s="5"/>
      <c r="AA68" s="5"/>
      <c r="AB68" s="5"/>
    </row>
    <row r="69" spans="1:28" ht="15" customHeight="1">
      <c r="A69" s="13">
        <v>55</v>
      </c>
      <c r="B69" s="4">
        <f t="shared" si="9"/>
        <v>45098</v>
      </c>
      <c r="C69" s="10">
        <f t="shared" si="10"/>
        <v>842</v>
      </c>
      <c r="D69" s="9">
        <f t="shared" si="24"/>
        <v>1564</v>
      </c>
      <c r="E69" s="8">
        <f t="shared" si="1"/>
        <v>692</v>
      </c>
      <c r="F69" s="8">
        <f t="shared" si="2"/>
        <v>709</v>
      </c>
      <c r="G69" s="8">
        <f t="shared" si="3"/>
        <v>637</v>
      </c>
      <c r="H69" s="5">
        <f t="shared" si="4"/>
        <v>1714</v>
      </c>
      <c r="I69" s="5">
        <f t="shared" si="5"/>
        <v>1697</v>
      </c>
      <c r="J69" s="5">
        <f t="shared" si="6"/>
        <v>1769</v>
      </c>
      <c r="K69" s="5">
        <f t="shared" si="12"/>
        <v>2000</v>
      </c>
      <c r="L69" s="5">
        <f t="shared" si="13"/>
        <v>2000</v>
      </c>
      <c r="M69" s="5">
        <f t="shared" si="14"/>
        <v>2000</v>
      </c>
      <c r="N69" s="5">
        <f t="shared" si="15"/>
        <v>-286</v>
      </c>
      <c r="O69" s="5">
        <f t="shared" si="16"/>
        <v>-303</v>
      </c>
      <c r="P69" s="5">
        <f t="shared" si="17"/>
        <v>-231</v>
      </c>
      <c r="Q69" s="8">
        <v>1</v>
      </c>
      <c r="R69" s="8">
        <v>1</v>
      </c>
      <c r="S69" s="8">
        <v>1</v>
      </c>
      <c r="T69" s="6">
        <f t="shared" si="7"/>
        <v>1729</v>
      </c>
      <c r="U69" s="7">
        <f t="shared" si="21"/>
        <v>694</v>
      </c>
      <c r="V69" s="7">
        <f t="shared" si="22"/>
        <v>677</v>
      </c>
      <c r="W69" s="7">
        <f t="shared" si="23"/>
        <v>689</v>
      </c>
      <c r="X69" s="6"/>
      <c r="Y69" s="5"/>
      <c r="Z69" s="5"/>
      <c r="AA69" s="5"/>
      <c r="AB69" s="5"/>
    </row>
    <row r="70" spans="1:28" ht="15" customHeight="1">
      <c r="A70" s="13">
        <v>56</v>
      </c>
      <c r="B70" s="4">
        <f t="shared" si="9"/>
        <v>45099</v>
      </c>
      <c r="C70" s="10">
        <f t="shared" si="10"/>
        <v>842</v>
      </c>
      <c r="D70" s="9">
        <f t="shared" si="24"/>
        <v>1562</v>
      </c>
      <c r="E70" s="8">
        <f t="shared" si="1"/>
        <v>690</v>
      </c>
      <c r="F70" s="8">
        <f t="shared" si="2"/>
        <v>707</v>
      </c>
      <c r="G70" s="8">
        <f t="shared" si="3"/>
        <v>635</v>
      </c>
      <c r="H70" s="5">
        <f t="shared" si="4"/>
        <v>1714</v>
      </c>
      <c r="I70" s="5">
        <f t="shared" si="5"/>
        <v>1697</v>
      </c>
      <c r="J70" s="5">
        <f t="shared" si="6"/>
        <v>1769</v>
      </c>
      <c r="K70" s="5">
        <f t="shared" si="12"/>
        <v>2000</v>
      </c>
      <c r="L70" s="5">
        <f t="shared" si="13"/>
        <v>2000</v>
      </c>
      <c r="M70" s="5">
        <f t="shared" si="14"/>
        <v>2000</v>
      </c>
      <c r="N70" s="5">
        <f t="shared" si="15"/>
        <v>-286</v>
      </c>
      <c r="O70" s="5">
        <f t="shared" si="16"/>
        <v>-303</v>
      </c>
      <c r="P70" s="5">
        <f t="shared" si="17"/>
        <v>-231</v>
      </c>
      <c r="Q70" s="8">
        <v>0</v>
      </c>
      <c r="R70" s="8">
        <v>0</v>
      </c>
      <c r="S70" s="8">
        <v>0</v>
      </c>
      <c r="T70" s="6">
        <f t="shared" si="7"/>
        <v>1727</v>
      </c>
      <c r="U70" s="7">
        <f t="shared" si="21"/>
        <v>694</v>
      </c>
      <c r="V70" s="7">
        <f t="shared" si="22"/>
        <v>677</v>
      </c>
      <c r="W70" s="7">
        <f t="shared" si="23"/>
        <v>689</v>
      </c>
      <c r="X70" s="6"/>
      <c r="Y70" s="5"/>
      <c r="Z70" s="5"/>
      <c r="AA70" s="5"/>
      <c r="AB70" s="5"/>
    </row>
    <row r="71" spans="1:28" ht="15" customHeight="1">
      <c r="A71" s="13">
        <v>57</v>
      </c>
      <c r="B71" s="4">
        <f t="shared" si="9"/>
        <v>45100</v>
      </c>
      <c r="C71" s="10">
        <f t="shared" si="10"/>
        <v>842</v>
      </c>
      <c r="D71" s="9">
        <f t="shared" si="24"/>
        <v>1560</v>
      </c>
      <c r="E71" s="8">
        <f t="shared" si="1"/>
        <v>688</v>
      </c>
      <c r="F71" s="8">
        <f t="shared" si="2"/>
        <v>705</v>
      </c>
      <c r="G71" s="8">
        <f t="shared" si="3"/>
        <v>633</v>
      </c>
      <c r="H71" s="5">
        <f t="shared" si="4"/>
        <v>1714</v>
      </c>
      <c r="I71" s="5">
        <f t="shared" si="5"/>
        <v>1697</v>
      </c>
      <c r="J71" s="5">
        <f t="shared" si="6"/>
        <v>1769</v>
      </c>
      <c r="K71" s="5">
        <f t="shared" si="12"/>
        <v>2000</v>
      </c>
      <c r="L71" s="5">
        <f t="shared" si="13"/>
        <v>2000</v>
      </c>
      <c r="M71" s="5">
        <f t="shared" si="14"/>
        <v>2000</v>
      </c>
      <c r="N71" s="5">
        <f t="shared" si="15"/>
        <v>-286</v>
      </c>
      <c r="O71" s="5">
        <f t="shared" si="16"/>
        <v>-303</v>
      </c>
      <c r="P71" s="5">
        <f t="shared" si="17"/>
        <v>-231</v>
      </c>
      <c r="Q71" s="8">
        <v>0</v>
      </c>
      <c r="R71" s="8">
        <v>0</v>
      </c>
      <c r="S71" s="8">
        <v>0</v>
      </c>
      <c r="T71" s="6">
        <f t="shared" si="7"/>
        <v>1725</v>
      </c>
      <c r="U71" s="7">
        <f t="shared" si="21"/>
        <v>694</v>
      </c>
      <c r="V71" s="7">
        <f t="shared" si="22"/>
        <v>677</v>
      </c>
      <c r="W71" s="7">
        <f t="shared" si="23"/>
        <v>689</v>
      </c>
      <c r="X71" s="6"/>
      <c r="Y71" s="5"/>
      <c r="Z71" s="5"/>
      <c r="AA71" s="5"/>
      <c r="AB71" s="5"/>
    </row>
    <row r="72" spans="1:28" ht="15" customHeight="1">
      <c r="A72" s="13">
        <v>58</v>
      </c>
      <c r="B72" s="4">
        <f t="shared" si="9"/>
        <v>45101</v>
      </c>
      <c r="C72" s="10">
        <f t="shared" si="10"/>
        <v>842</v>
      </c>
      <c r="D72" s="9">
        <f t="shared" si="24"/>
        <v>1558</v>
      </c>
      <c r="E72" s="8">
        <f t="shared" si="1"/>
        <v>686</v>
      </c>
      <c r="F72" s="8">
        <f t="shared" si="2"/>
        <v>703</v>
      </c>
      <c r="G72" s="8">
        <f t="shared" si="3"/>
        <v>631</v>
      </c>
      <c r="H72" s="5">
        <f t="shared" si="4"/>
        <v>1714</v>
      </c>
      <c r="I72" s="5">
        <f t="shared" si="5"/>
        <v>1697</v>
      </c>
      <c r="J72" s="5">
        <f t="shared" si="6"/>
        <v>1769</v>
      </c>
      <c r="K72" s="5">
        <f t="shared" si="12"/>
        <v>2000</v>
      </c>
      <c r="L72" s="5">
        <f t="shared" si="13"/>
        <v>2000</v>
      </c>
      <c r="M72" s="5">
        <f t="shared" si="14"/>
        <v>2000</v>
      </c>
      <c r="N72" s="5">
        <f t="shared" si="15"/>
        <v>-286</v>
      </c>
      <c r="O72" s="5">
        <f t="shared" si="16"/>
        <v>-303</v>
      </c>
      <c r="P72" s="5">
        <f t="shared" si="17"/>
        <v>-231</v>
      </c>
      <c r="Q72" s="8">
        <v>0</v>
      </c>
      <c r="R72" s="8">
        <v>0</v>
      </c>
      <c r="S72" s="8">
        <v>0</v>
      </c>
      <c r="T72" s="6">
        <f t="shared" si="7"/>
        <v>1723</v>
      </c>
      <c r="U72" s="7">
        <f t="shared" si="21"/>
        <v>694</v>
      </c>
      <c r="V72" s="7">
        <f t="shared" si="22"/>
        <v>677</v>
      </c>
      <c r="W72" s="7">
        <f t="shared" si="23"/>
        <v>689</v>
      </c>
      <c r="X72" s="6"/>
      <c r="Y72" s="5"/>
      <c r="Z72" s="5"/>
      <c r="AA72" s="5"/>
      <c r="AB72" s="5"/>
    </row>
    <row r="73" spans="1:28" ht="15" customHeight="1">
      <c r="A73" s="13">
        <v>59</v>
      </c>
      <c r="B73" s="4">
        <f t="shared" si="9"/>
        <v>45102</v>
      </c>
      <c r="C73" s="10">
        <f t="shared" si="10"/>
        <v>842</v>
      </c>
      <c r="D73" s="9">
        <f t="shared" si="24"/>
        <v>1556</v>
      </c>
      <c r="E73" s="8">
        <f t="shared" si="1"/>
        <v>684</v>
      </c>
      <c r="F73" s="8">
        <f t="shared" si="2"/>
        <v>701</v>
      </c>
      <c r="G73" s="8">
        <f t="shared" si="3"/>
        <v>629</v>
      </c>
      <c r="H73" s="5">
        <f t="shared" si="4"/>
        <v>1714</v>
      </c>
      <c r="I73" s="5">
        <f t="shared" si="5"/>
        <v>1697</v>
      </c>
      <c r="J73" s="5">
        <f t="shared" si="6"/>
        <v>1769</v>
      </c>
      <c r="K73" s="5">
        <f t="shared" si="12"/>
        <v>2000</v>
      </c>
      <c r="L73" s="5">
        <f t="shared" si="13"/>
        <v>2000</v>
      </c>
      <c r="M73" s="5">
        <f t="shared" si="14"/>
        <v>2000</v>
      </c>
      <c r="N73" s="5">
        <f t="shared" si="15"/>
        <v>-286</v>
      </c>
      <c r="O73" s="5">
        <f t="shared" si="16"/>
        <v>-303</v>
      </c>
      <c r="P73" s="5">
        <f t="shared" si="17"/>
        <v>-231</v>
      </c>
      <c r="Q73" s="8">
        <v>0</v>
      </c>
      <c r="R73" s="8">
        <v>0</v>
      </c>
      <c r="S73" s="8">
        <v>0</v>
      </c>
      <c r="T73" s="6">
        <f t="shared" si="7"/>
        <v>1721</v>
      </c>
      <c r="U73" s="7">
        <f t="shared" si="21"/>
        <v>694</v>
      </c>
      <c r="V73" s="7">
        <f t="shared" si="22"/>
        <v>677</v>
      </c>
      <c r="W73" s="7">
        <f t="shared" si="23"/>
        <v>689</v>
      </c>
      <c r="X73" s="6"/>
      <c r="Y73" s="5"/>
      <c r="Z73" s="5"/>
      <c r="AA73" s="5"/>
      <c r="AB73" s="5"/>
    </row>
    <row r="74" spans="1:28" ht="15" customHeight="1">
      <c r="A74" s="13">
        <v>60</v>
      </c>
      <c r="B74" s="4">
        <f t="shared" si="9"/>
        <v>45103</v>
      </c>
      <c r="C74" s="10">
        <f t="shared" si="10"/>
        <v>842</v>
      </c>
      <c r="D74" s="9">
        <f t="shared" si="24"/>
        <v>1554</v>
      </c>
      <c r="E74" s="8">
        <f t="shared" si="1"/>
        <v>682</v>
      </c>
      <c r="F74" s="8">
        <f t="shared" si="2"/>
        <v>699</v>
      </c>
      <c r="G74" s="8">
        <f t="shared" si="3"/>
        <v>627</v>
      </c>
      <c r="H74" s="5">
        <f t="shared" si="4"/>
        <v>1714</v>
      </c>
      <c r="I74" s="5">
        <f t="shared" si="5"/>
        <v>1697</v>
      </c>
      <c r="J74" s="5">
        <f t="shared" si="6"/>
        <v>1769</v>
      </c>
      <c r="K74" s="5">
        <f t="shared" si="12"/>
        <v>2000</v>
      </c>
      <c r="L74" s="5">
        <f t="shared" si="13"/>
        <v>2000</v>
      </c>
      <c r="M74" s="5">
        <f t="shared" si="14"/>
        <v>2000</v>
      </c>
      <c r="N74" s="5">
        <f t="shared" si="15"/>
        <v>-286</v>
      </c>
      <c r="O74" s="5">
        <f t="shared" si="16"/>
        <v>-303</v>
      </c>
      <c r="P74" s="5">
        <f t="shared" si="17"/>
        <v>-231</v>
      </c>
      <c r="Q74" s="8">
        <v>0</v>
      </c>
      <c r="R74" s="8">
        <v>0</v>
      </c>
      <c r="S74" s="8">
        <v>0</v>
      </c>
      <c r="T74" s="6">
        <f t="shared" si="7"/>
        <v>1719</v>
      </c>
      <c r="U74" s="7">
        <f t="shared" si="21"/>
        <v>694</v>
      </c>
      <c r="V74" s="7">
        <f t="shared" si="22"/>
        <v>677</v>
      </c>
      <c r="W74" s="7">
        <f t="shared" si="23"/>
        <v>689</v>
      </c>
      <c r="X74" s="6"/>
      <c r="Y74" s="5"/>
      <c r="Z74" s="5"/>
      <c r="AA74" s="5"/>
      <c r="AB74" s="5"/>
    </row>
    <row r="75" spans="1:28" ht="15" customHeight="1">
      <c r="A75" s="13">
        <v>61</v>
      </c>
      <c r="B75" s="4">
        <f t="shared" si="9"/>
        <v>45104</v>
      </c>
      <c r="C75" s="10">
        <f t="shared" si="10"/>
        <v>842</v>
      </c>
      <c r="D75" s="9">
        <f t="shared" si="24"/>
        <v>1552</v>
      </c>
      <c r="E75" s="8">
        <f t="shared" si="1"/>
        <v>680</v>
      </c>
      <c r="F75" s="8">
        <f t="shared" si="2"/>
        <v>697</v>
      </c>
      <c r="G75" s="8">
        <f t="shared" si="3"/>
        <v>625</v>
      </c>
      <c r="H75" s="5">
        <f t="shared" si="4"/>
        <v>1714</v>
      </c>
      <c r="I75" s="5">
        <f t="shared" si="5"/>
        <v>1697</v>
      </c>
      <c r="J75" s="5">
        <f t="shared" si="6"/>
        <v>1769</v>
      </c>
      <c r="K75" s="5">
        <f t="shared" si="12"/>
        <v>2000</v>
      </c>
      <c r="L75" s="5">
        <f t="shared" si="13"/>
        <v>2000</v>
      </c>
      <c r="M75" s="5">
        <f t="shared" si="14"/>
        <v>2000</v>
      </c>
      <c r="N75" s="5">
        <f t="shared" si="15"/>
        <v>-286</v>
      </c>
      <c r="O75" s="5">
        <f t="shared" si="16"/>
        <v>-303</v>
      </c>
      <c r="P75" s="5">
        <f t="shared" si="17"/>
        <v>-231</v>
      </c>
      <c r="Q75" s="8">
        <v>0</v>
      </c>
      <c r="R75" s="8">
        <v>0</v>
      </c>
      <c r="S75" s="8">
        <v>0</v>
      </c>
      <c r="T75" s="6">
        <f t="shared" si="7"/>
        <v>1717</v>
      </c>
      <c r="U75" s="7">
        <f t="shared" si="21"/>
        <v>694</v>
      </c>
      <c r="V75" s="7">
        <f t="shared" si="22"/>
        <v>677</v>
      </c>
      <c r="W75" s="7">
        <f t="shared" si="23"/>
        <v>689</v>
      </c>
      <c r="X75" s="6"/>
      <c r="Y75" s="5"/>
      <c r="Z75" s="5"/>
      <c r="AA75" s="5"/>
      <c r="AB75" s="5"/>
    </row>
    <row r="76" spans="1:28" ht="15">
      <c r="A76" s="13">
        <v>62</v>
      </c>
      <c r="B76" s="4">
        <f t="shared" si="9"/>
        <v>45105</v>
      </c>
      <c r="C76" s="10">
        <f t="shared" si="10"/>
        <v>842</v>
      </c>
      <c r="D76" s="9">
        <f t="shared" si="24"/>
        <v>1550</v>
      </c>
      <c r="E76" s="8">
        <f t="shared" si="1"/>
        <v>678</v>
      </c>
      <c r="F76" s="8">
        <f t="shared" si="2"/>
        <v>695</v>
      </c>
      <c r="G76" s="8">
        <f t="shared" si="3"/>
        <v>623</v>
      </c>
      <c r="H76" s="5">
        <f t="shared" si="4"/>
        <v>1714</v>
      </c>
      <c r="I76" s="5">
        <f t="shared" si="5"/>
        <v>1697</v>
      </c>
      <c r="J76" s="5">
        <f t="shared" si="6"/>
        <v>1769</v>
      </c>
      <c r="K76" s="5">
        <f t="shared" si="12"/>
        <v>2000</v>
      </c>
      <c r="L76" s="5">
        <f t="shared" si="13"/>
        <v>2000</v>
      </c>
      <c r="M76" s="5">
        <f t="shared" si="14"/>
        <v>2000</v>
      </c>
      <c r="N76" s="5">
        <f t="shared" si="15"/>
        <v>-286</v>
      </c>
      <c r="O76" s="5">
        <f t="shared" si="16"/>
        <v>-303</v>
      </c>
      <c r="P76" s="5">
        <f t="shared" si="17"/>
        <v>-231</v>
      </c>
      <c r="Q76" s="8">
        <v>0</v>
      </c>
      <c r="R76" s="8">
        <v>0</v>
      </c>
      <c r="S76" s="8">
        <v>0</v>
      </c>
      <c r="T76" s="6">
        <f t="shared" si="7"/>
        <v>1715</v>
      </c>
      <c r="U76" s="7">
        <f t="shared" si="21"/>
        <v>694</v>
      </c>
      <c r="V76" s="7">
        <f t="shared" si="22"/>
        <v>677</v>
      </c>
      <c r="W76" s="7">
        <f t="shared" si="23"/>
        <v>689</v>
      </c>
      <c r="X76" s="6"/>
      <c r="Y76" s="5"/>
      <c r="Z76" s="5"/>
      <c r="AA76" s="5"/>
      <c r="AB76" s="5"/>
    </row>
    <row r="77" spans="1:28" ht="15" customHeight="1">
      <c r="A77" s="13">
        <v>63</v>
      </c>
      <c r="B77" s="4">
        <f t="shared" si="9"/>
        <v>45106</v>
      </c>
      <c r="C77" s="10">
        <f t="shared" si="10"/>
        <v>842</v>
      </c>
      <c r="D77" s="9">
        <f t="shared" si="24"/>
        <v>1548</v>
      </c>
      <c r="E77" s="8">
        <f t="shared" si="1"/>
        <v>676</v>
      </c>
      <c r="F77" s="8">
        <f t="shared" si="2"/>
        <v>693</v>
      </c>
      <c r="G77" s="8">
        <f t="shared" si="3"/>
        <v>621</v>
      </c>
      <c r="H77" s="5">
        <f t="shared" si="4"/>
        <v>1714</v>
      </c>
      <c r="I77" s="5">
        <f t="shared" si="5"/>
        <v>1697</v>
      </c>
      <c r="J77" s="5">
        <f t="shared" si="6"/>
        <v>1769</v>
      </c>
      <c r="K77" s="5">
        <f t="shared" si="12"/>
        <v>2000</v>
      </c>
      <c r="L77" s="5">
        <f t="shared" si="13"/>
        <v>2000</v>
      </c>
      <c r="M77" s="5">
        <f t="shared" si="14"/>
        <v>2000</v>
      </c>
      <c r="N77" s="5">
        <f t="shared" si="15"/>
        <v>-286</v>
      </c>
      <c r="O77" s="5">
        <f t="shared" si="16"/>
        <v>-303</v>
      </c>
      <c r="P77" s="5">
        <f t="shared" si="17"/>
        <v>-231</v>
      </c>
      <c r="Q77" s="8">
        <v>0</v>
      </c>
      <c r="R77" s="8">
        <v>0</v>
      </c>
      <c r="S77" s="8">
        <v>0</v>
      </c>
      <c r="T77" s="6">
        <f t="shared" si="7"/>
        <v>1713</v>
      </c>
      <c r="U77" s="7">
        <f t="shared" si="21"/>
        <v>694</v>
      </c>
      <c r="V77" s="7">
        <f t="shared" si="22"/>
        <v>677</v>
      </c>
      <c r="W77" s="7">
        <f t="shared" si="23"/>
        <v>689</v>
      </c>
      <c r="X77" s="6"/>
      <c r="Y77" s="5"/>
      <c r="Z77" s="5"/>
      <c r="AA77" s="5"/>
      <c r="AB77" s="5"/>
    </row>
    <row r="78" spans="1:28" ht="15" customHeight="1">
      <c r="A78" s="13">
        <v>64</v>
      </c>
      <c r="B78" s="4">
        <f t="shared" si="9"/>
        <v>45107</v>
      </c>
      <c r="C78" s="10">
        <f t="shared" si="10"/>
        <v>842</v>
      </c>
      <c r="D78" s="9">
        <f t="shared" si="24"/>
        <v>1546</v>
      </c>
      <c r="E78" s="8">
        <f t="shared" ref="E78:E141" si="25">C78+D78-H78</f>
        <v>674</v>
      </c>
      <c r="F78" s="8">
        <f t="shared" ref="F78:F141" si="26">C78+D78-I78</f>
        <v>691</v>
      </c>
      <c r="G78" s="8">
        <f t="shared" ref="G78:G141" si="27">D78+C78-J78</f>
        <v>619</v>
      </c>
      <c r="H78" s="5">
        <f t="shared" ref="H78:H141" si="28">K78+N78</f>
        <v>1714</v>
      </c>
      <c r="I78" s="5">
        <f t="shared" ref="I78:I141" si="29">L78+O78</f>
        <v>1697</v>
      </c>
      <c r="J78" s="5">
        <f t="shared" ref="J78:J141" si="30">M78+P78</f>
        <v>1769</v>
      </c>
      <c r="K78" s="5">
        <f t="shared" si="12"/>
        <v>2000</v>
      </c>
      <c r="L78" s="5">
        <f t="shared" si="13"/>
        <v>2000</v>
      </c>
      <c r="M78" s="5">
        <f t="shared" si="14"/>
        <v>2000</v>
      </c>
      <c r="N78" s="5">
        <f t="shared" si="15"/>
        <v>-286</v>
      </c>
      <c r="O78" s="5">
        <f t="shared" si="16"/>
        <v>-303</v>
      </c>
      <c r="P78" s="5">
        <f t="shared" si="17"/>
        <v>-231</v>
      </c>
      <c r="Q78" s="8">
        <v>0</v>
      </c>
      <c r="R78" s="8">
        <v>0</v>
      </c>
      <c r="S78" s="8">
        <v>0</v>
      </c>
      <c r="T78" s="6">
        <f t="shared" ref="T78:T141" si="31">D78+C78-V78</f>
        <v>1711</v>
      </c>
      <c r="U78" s="7">
        <f t="shared" si="21"/>
        <v>694</v>
      </c>
      <c r="V78" s="7">
        <f t="shared" si="22"/>
        <v>677</v>
      </c>
      <c r="W78" s="7">
        <f t="shared" si="23"/>
        <v>689</v>
      </c>
      <c r="X78" s="6"/>
      <c r="Y78" s="5"/>
      <c r="Z78" s="5"/>
      <c r="AA78" s="5"/>
      <c r="AB78" s="5"/>
    </row>
    <row r="79" spans="1:28" ht="15" customHeight="1">
      <c r="A79" s="13">
        <v>65</v>
      </c>
      <c r="B79" s="4">
        <f t="shared" ref="B79:B142" si="32">B78+1</f>
        <v>45108</v>
      </c>
      <c r="C79" s="10">
        <f t="shared" ref="C79:C142" si="33">C78</f>
        <v>842</v>
      </c>
      <c r="D79" s="9">
        <f t="shared" ref="D79:D110" si="34">D78-2</f>
        <v>1544</v>
      </c>
      <c r="E79" s="8">
        <f t="shared" si="25"/>
        <v>672</v>
      </c>
      <c r="F79" s="8">
        <f t="shared" si="26"/>
        <v>689</v>
      </c>
      <c r="G79" s="8">
        <f t="shared" si="27"/>
        <v>617</v>
      </c>
      <c r="H79" s="5">
        <f t="shared" si="28"/>
        <v>1714</v>
      </c>
      <c r="I79" s="5">
        <f t="shared" si="29"/>
        <v>1697</v>
      </c>
      <c r="J79" s="5">
        <f t="shared" si="30"/>
        <v>1769</v>
      </c>
      <c r="K79" s="5">
        <f t="shared" ref="K79:K142" si="35">K78</f>
        <v>2000</v>
      </c>
      <c r="L79" s="5">
        <f t="shared" ref="L79:L142" si="36">L78</f>
        <v>2000</v>
      </c>
      <c r="M79" s="5">
        <f t="shared" ref="M79:M142" si="37">M78</f>
        <v>2000</v>
      </c>
      <c r="N79" s="5">
        <f t="shared" ref="N79:N142" si="38">N78-Q79</f>
        <v>-286</v>
      </c>
      <c r="O79" s="5">
        <f t="shared" ref="O79:O142" si="39">O78-R79</f>
        <v>-303</v>
      </c>
      <c r="P79" s="5">
        <f t="shared" ref="P79:P142" si="40">P78-S79</f>
        <v>-231</v>
      </c>
      <c r="Q79" s="8">
        <v>0</v>
      </c>
      <c r="R79" s="8">
        <v>0</v>
      </c>
      <c r="S79" s="8">
        <v>0</v>
      </c>
      <c r="T79" s="6">
        <f t="shared" si="31"/>
        <v>1709</v>
      </c>
      <c r="U79" s="7">
        <f t="shared" si="21"/>
        <v>694</v>
      </c>
      <c r="V79" s="7">
        <f t="shared" si="22"/>
        <v>677</v>
      </c>
      <c r="W79" s="7">
        <f t="shared" si="23"/>
        <v>689</v>
      </c>
      <c r="X79" s="6"/>
      <c r="Y79" s="5"/>
      <c r="Z79" s="5"/>
      <c r="AA79" s="5"/>
      <c r="AB79" s="5"/>
    </row>
    <row r="80" spans="1:28" ht="15" customHeight="1">
      <c r="A80" s="13">
        <v>66</v>
      </c>
      <c r="B80" s="4">
        <f t="shared" si="32"/>
        <v>45109</v>
      </c>
      <c r="C80" s="10">
        <f t="shared" si="33"/>
        <v>842</v>
      </c>
      <c r="D80" s="9">
        <f t="shared" si="34"/>
        <v>1542</v>
      </c>
      <c r="E80" s="8">
        <f t="shared" si="25"/>
        <v>670</v>
      </c>
      <c r="F80" s="8">
        <f t="shared" si="26"/>
        <v>687</v>
      </c>
      <c r="G80" s="8">
        <f t="shared" si="27"/>
        <v>615</v>
      </c>
      <c r="H80" s="5">
        <f t="shared" si="28"/>
        <v>1714</v>
      </c>
      <c r="I80" s="5">
        <f t="shared" si="29"/>
        <v>1697</v>
      </c>
      <c r="J80" s="5">
        <f t="shared" si="30"/>
        <v>1769</v>
      </c>
      <c r="K80" s="5">
        <f t="shared" si="35"/>
        <v>2000</v>
      </c>
      <c r="L80" s="5">
        <f t="shared" si="36"/>
        <v>2000</v>
      </c>
      <c r="M80" s="5">
        <f t="shared" si="37"/>
        <v>2000</v>
      </c>
      <c r="N80" s="5">
        <f t="shared" si="38"/>
        <v>-286</v>
      </c>
      <c r="O80" s="5">
        <f t="shared" si="39"/>
        <v>-303</v>
      </c>
      <c r="P80" s="5">
        <f t="shared" si="40"/>
        <v>-231</v>
      </c>
      <c r="Q80" s="8">
        <v>0</v>
      </c>
      <c r="R80" s="8">
        <v>0</v>
      </c>
      <c r="S80" s="8">
        <v>0</v>
      </c>
      <c r="T80" s="6">
        <f t="shared" si="31"/>
        <v>1707</v>
      </c>
      <c r="U80" s="7">
        <f t="shared" si="21"/>
        <v>694</v>
      </c>
      <c r="V80" s="7">
        <f t="shared" si="22"/>
        <v>677</v>
      </c>
      <c r="W80" s="7">
        <f t="shared" si="23"/>
        <v>689</v>
      </c>
      <c r="X80" s="6"/>
      <c r="Y80" s="5"/>
      <c r="Z80" s="5"/>
      <c r="AA80" s="5"/>
      <c r="AB80" s="5"/>
    </row>
    <row r="81" spans="1:28" ht="15" customHeight="1">
      <c r="A81" s="13">
        <v>67</v>
      </c>
      <c r="B81" s="4">
        <f t="shared" si="32"/>
        <v>45110</v>
      </c>
      <c r="C81" s="10">
        <f t="shared" si="33"/>
        <v>842</v>
      </c>
      <c r="D81" s="9">
        <f t="shared" si="34"/>
        <v>1540</v>
      </c>
      <c r="E81" s="8">
        <f t="shared" si="25"/>
        <v>668</v>
      </c>
      <c r="F81" s="8">
        <f t="shared" si="26"/>
        <v>685</v>
      </c>
      <c r="G81" s="8">
        <f t="shared" si="27"/>
        <v>613</v>
      </c>
      <c r="H81" s="5">
        <f t="shared" si="28"/>
        <v>1714</v>
      </c>
      <c r="I81" s="5">
        <f t="shared" si="29"/>
        <v>1697</v>
      </c>
      <c r="J81" s="5">
        <f t="shared" si="30"/>
        <v>1769</v>
      </c>
      <c r="K81" s="5">
        <f t="shared" si="35"/>
        <v>2000</v>
      </c>
      <c r="L81" s="5">
        <f t="shared" si="36"/>
        <v>2000</v>
      </c>
      <c r="M81" s="5">
        <f t="shared" si="37"/>
        <v>2000</v>
      </c>
      <c r="N81" s="5">
        <f t="shared" si="38"/>
        <v>-286</v>
      </c>
      <c r="O81" s="5">
        <f t="shared" si="39"/>
        <v>-303</v>
      </c>
      <c r="P81" s="5">
        <f t="shared" si="40"/>
        <v>-231</v>
      </c>
      <c r="Q81" s="8">
        <v>0</v>
      </c>
      <c r="R81" s="8">
        <v>0</v>
      </c>
      <c r="S81" s="8">
        <v>0</v>
      </c>
      <c r="T81" s="6">
        <f t="shared" si="31"/>
        <v>1705</v>
      </c>
      <c r="U81" s="7">
        <f t="shared" si="21"/>
        <v>694</v>
      </c>
      <c r="V81" s="7">
        <f t="shared" si="22"/>
        <v>677</v>
      </c>
      <c r="W81" s="7">
        <f t="shared" si="23"/>
        <v>689</v>
      </c>
      <c r="X81" s="6"/>
      <c r="Y81" s="5"/>
      <c r="Z81" s="5"/>
      <c r="AA81" s="5"/>
      <c r="AB81" s="5"/>
    </row>
    <row r="82" spans="1:28" ht="15" customHeight="1">
      <c r="A82" s="13">
        <v>68</v>
      </c>
      <c r="B82" s="4">
        <f t="shared" si="32"/>
        <v>45111</v>
      </c>
      <c r="C82" s="10">
        <f t="shared" si="33"/>
        <v>842</v>
      </c>
      <c r="D82" s="9">
        <f t="shared" si="34"/>
        <v>1538</v>
      </c>
      <c r="E82" s="8">
        <f t="shared" si="25"/>
        <v>666</v>
      </c>
      <c r="F82" s="8">
        <f t="shared" si="26"/>
        <v>683</v>
      </c>
      <c r="G82" s="8">
        <f t="shared" si="27"/>
        <v>611</v>
      </c>
      <c r="H82" s="5">
        <f t="shared" si="28"/>
        <v>1714</v>
      </c>
      <c r="I82" s="5">
        <f t="shared" si="29"/>
        <v>1697</v>
      </c>
      <c r="J82" s="5">
        <f t="shared" si="30"/>
        <v>1769</v>
      </c>
      <c r="K82" s="5">
        <f t="shared" si="35"/>
        <v>2000</v>
      </c>
      <c r="L82" s="5">
        <f t="shared" si="36"/>
        <v>2000</v>
      </c>
      <c r="M82" s="5">
        <f t="shared" si="37"/>
        <v>2000</v>
      </c>
      <c r="N82" s="5">
        <f t="shared" si="38"/>
        <v>-286</v>
      </c>
      <c r="O82" s="5">
        <f t="shared" si="39"/>
        <v>-303</v>
      </c>
      <c r="P82" s="5">
        <f t="shared" si="40"/>
        <v>-231</v>
      </c>
      <c r="Q82" s="8">
        <v>0</v>
      </c>
      <c r="R82" s="8">
        <v>0</v>
      </c>
      <c r="S82" s="8">
        <v>0</v>
      </c>
      <c r="T82" s="6">
        <f t="shared" si="31"/>
        <v>1703</v>
      </c>
      <c r="U82" s="7">
        <f t="shared" si="21"/>
        <v>694</v>
      </c>
      <c r="V82" s="7">
        <f t="shared" si="22"/>
        <v>677</v>
      </c>
      <c r="W82" s="7">
        <f t="shared" si="23"/>
        <v>689</v>
      </c>
      <c r="X82" s="6"/>
      <c r="Y82" s="5"/>
      <c r="Z82" s="5"/>
      <c r="AA82" s="5"/>
      <c r="AB82" s="5"/>
    </row>
    <row r="83" spans="1:28" ht="15" customHeight="1">
      <c r="A83" s="13">
        <v>69</v>
      </c>
      <c r="B83" s="4">
        <f t="shared" si="32"/>
        <v>45112</v>
      </c>
      <c r="C83" s="10">
        <f t="shared" si="33"/>
        <v>842</v>
      </c>
      <c r="D83" s="9">
        <f t="shared" si="34"/>
        <v>1536</v>
      </c>
      <c r="E83" s="8">
        <f t="shared" si="25"/>
        <v>664</v>
      </c>
      <c r="F83" s="8">
        <f t="shared" si="26"/>
        <v>681</v>
      </c>
      <c r="G83" s="8">
        <f t="shared" si="27"/>
        <v>609</v>
      </c>
      <c r="H83" s="5">
        <f t="shared" si="28"/>
        <v>1714</v>
      </c>
      <c r="I83" s="5">
        <f t="shared" si="29"/>
        <v>1697</v>
      </c>
      <c r="J83" s="5">
        <f t="shared" si="30"/>
        <v>1769</v>
      </c>
      <c r="K83" s="5">
        <f t="shared" si="35"/>
        <v>2000</v>
      </c>
      <c r="L83" s="5">
        <f t="shared" si="36"/>
        <v>2000</v>
      </c>
      <c r="M83" s="5">
        <f t="shared" si="37"/>
        <v>2000</v>
      </c>
      <c r="N83" s="5">
        <f t="shared" si="38"/>
        <v>-286</v>
      </c>
      <c r="O83" s="5">
        <f t="shared" si="39"/>
        <v>-303</v>
      </c>
      <c r="P83" s="5">
        <f t="shared" si="40"/>
        <v>-231</v>
      </c>
      <c r="Q83" s="8">
        <v>0</v>
      </c>
      <c r="R83" s="8">
        <v>0</v>
      </c>
      <c r="S83" s="8">
        <v>0</v>
      </c>
      <c r="T83" s="6">
        <f t="shared" si="31"/>
        <v>1701</v>
      </c>
      <c r="U83" s="7">
        <f t="shared" si="21"/>
        <v>694</v>
      </c>
      <c r="V83" s="7">
        <f t="shared" si="22"/>
        <v>677</v>
      </c>
      <c r="W83" s="7">
        <f t="shared" si="23"/>
        <v>689</v>
      </c>
      <c r="X83" s="6"/>
      <c r="Y83" s="5"/>
      <c r="Z83" s="5"/>
      <c r="AA83" s="5"/>
      <c r="AB83" s="5"/>
    </row>
    <row r="84" spans="1:28" ht="15" customHeight="1">
      <c r="A84" s="13">
        <v>70</v>
      </c>
      <c r="B84" s="4">
        <f t="shared" si="32"/>
        <v>45113</v>
      </c>
      <c r="C84" s="10">
        <f t="shared" si="33"/>
        <v>842</v>
      </c>
      <c r="D84" s="9">
        <f t="shared" si="34"/>
        <v>1534</v>
      </c>
      <c r="E84" s="8">
        <f t="shared" si="25"/>
        <v>662</v>
      </c>
      <c r="F84" s="8">
        <f t="shared" si="26"/>
        <v>679</v>
      </c>
      <c r="G84" s="8">
        <f t="shared" si="27"/>
        <v>607</v>
      </c>
      <c r="H84" s="5">
        <f t="shared" si="28"/>
        <v>1714</v>
      </c>
      <c r="I84" s="5">
        <f t="shared" si="29"/>
        <v>1697</v>
      </c>
      <c r="J84" s="5">
        <f t="shared" si="30"/>
        <v>1769</v>
      </c>
      <c r="K84" s="5">
        <f t="shared" si="35"/>
        <v>2000</v>
      </c>
      <c r="L84" s="5">
        <f t="shared" si="36"/>
        <v>2000</v>
      </c>
      <c r="M84" s="5">
        <f t="shared" si="37"/>
        <v>2000</v>
      </c>
      <c r="N84" s="5">
        <f t="shared" si="38"/>
        <v>-286</v>
      </c>
      <c r="O84" s="5">
        <f t="shared" si="39"/>
        <v>-303</v>
      </c>
      <c r="P84" s="5">
        <f t="shared" si="40"/>
        <v>-231</v>
      </c>
      <c r="Q84" s="8">
        <v>0</v>
      </c>
      <c r="R84" s="8">
        <v>0</v>
      </c>
      <c r="S84" s="8">
        <v>0</v>
      </c>
      <c r="T84" s="6">
        <f t="shared" si="31"/>
        <v>1699</v>
      </c>
      <c r="U84" s="7">
        <f t="shared" si="21"/>
        <v>694</v>
      </c>
      <c r="V84" s="7">
        <f t="shared" si="22"/>
        <v>677</v>
      </c>
      <c r="W84" s="7">
        <f t="shared" si="23"/>
        <v>689</v>
      </c>
      <c r="X84" s="6"/>
      <c r="Y84" s="5"/>
      <c r="Z84" s="5"/>
      <c r="AA84" s="5"/>
      <c r="AB84" s="5"/>
    </row>
    <row r="85" spans="1:28" ht="15" customHeight="1">
      <c r="A85" s="13">
        <v>71</v>
      </c>
      <c r="B85" s="4">
        <f t="shared" si="32"/>
        <v>45114</v>
      </c>
      <c r="C85" s="10">
        <f t="shared" si="33"/>
        <v>842</v>
      </c>
      <c r="D85" s="9">
        <f t="shared" si="34"/>
        <v>1532</v>
      </c>
      <c r="E85" s="8">
        <f t="shared" si="25"/>
        <v>660</v>
      </c>
      <c r="F85" s="8">
        <f t="shared" si="26"/>
        <v>677</v>
      </c>
      <c r="G85" s="8">
        <f t="shared" si="27"/>
        <v>605</v>
      </c>
      <c r="H85" s="5">
        <f t="shared" si="28"/>
        <v>1714</v>
      </c>
      <c r="I85" s="5">
        <f t="shared" si="29"/>
        <v>1697</v>
      </c>
      <c r="J85" s="5">
        <f t="shared" si="30"/>
        <v>1769</v>
      </c>
      <c r="K85" s="5">
        <f t="shared" si="35"/>
        <v>2000</v>
      </c>
      <c r="L85" s="5">
        <f t="shared" si="36"/>
        <v>2000</v>
      </c>
      <c r="M85" s="5">
        <f t="shared" si="37"/>
        <v>2000</v>
      </c>
      <c r="N85" s="5">
        <f t="shared" si="38"/>
        <v>-286</v>
      </c>
      <c r="O85" s="5">
        <f t="shared" si="39"/>
        <v>-303</v>
      </c>
      <c r="P85" s="5">
        <f t="shared" si="40"/>
        <v>-231</v>
      </c>
      <c r="Q85" s="8">
        <v>0</v>
      </c>
      <c r="R85" s="8">
        <v>0</v>
      </c>
      <c r="S85" s="8">
        <v>0</v>
      </c>
      <c r="T85" s="6">
        <f t="shared" si="31"/>
        <v>1697</v>
      </c>
      <c r="U85" s="7">
        <f t="shared" si="21"/>
        <v>694</v>
      </c>
      <c r="V85" s="7">
        <f t="shared" si="22"/>
        <v>677</v>
      </c>
      <c r="W85" s="7">
        <f t="shared" si="23"/>
        <v>689</v>
      </c>
      <c r="X85" s="6"/>
      <c r="Y85" s="5"/>
      <c r="Z85" s="5"/>
      <c r="AA85" s="5"/>
      <c r="AB85" s="5"/>
    </row>
    <row r="86" spans="1:28" ht="15" customHeight="1">
      <c r="A86" s="13">
        <v>72</v>
      </c>
      <c r="B86" s="4">
        <f t="shared" si="32"/>
        <v>45115</v>
      </c>
      <c r="C86" s="10">
        <f t="shared" si="33"/>
        <v>842</v>
      </c>
      <c r="D86" s="9">
        <f t="shared" si="34"/>
        <v>1530</v>
      </c>
      <c r="E86" s="8">
        <f t="shared" si="25"/>
        <v>658</v>
      </c>
      <c r="F86" s="8">
        <f t="shared" si="26"/>
        <v>675</v>
      </c>
      <c r="G86" s="8">
        <f t="shared" si="27"/>
        <v>603</v>
      </c>
      <c r="H86" s="5">
        <f t="shared" si="28"/>
        <v>1714</v>
      </c>
      <c r="I86" s="5">
        <f t="shared" si="29"/>
        <v>1697</v>
      </c>
      <c r="J86" s="5">
        <f t="shared" si="30"/>
        <v>1769</v>
      </c>
      <c r="K86" s="5">
        <f t="shared" si="35"/>
        <v>2000</v>
      </c>
      <c r="L86" s="5">
        <f t="shared" si="36"/>
        <v>2000</v>
      </c>
      <c r="M86" s="5">
        <f t="shared" si="37"/>
        <v>2000</v>
      </c>
      <c r="N86" s="5">
        <f t="shared" si="38"/>
        <v>-286</v>
      </c>
      <c r="O86" s="5">
        <f t="shared" si="39"/>
        <v>-303</v>
      </c>
      <c r="P86" s="5">
        <f t="shared" si="40"/>
        <v>-231</v>
      </c>
      <c r="Q86" s="8">
        <v>0</v>
      </c>
      <c r="R86" s="8">
        <v>0</v>
      </c>
      <c r="S86" s="8">
        <v>0</v>
      </c>
      <c r="T86" s="6">
        <f t="shared" si="31"/>
        <v>1695</v>
      </c>
      <c r="U86" s="7">
        <f t="shared" si="21"/>
        <v>694</v>
      </c>
      <c r="V86" s="7">
        <f t="shared" si="22"/>
        <v>677</v>
      </c>
      <c r="W86" s="7">
        <f t="shared" si="23"/>
        <v>689</v>
      </c>
      <c r="X86" s="6"/>
      <c r="Y86" s="5"/>
      <c r="Z86" s="5"/>
      <c r="AA86" s="5"/>
      <c r="AB86" s="5"/>
    </row>
    <row r="87" spans="1:28" ht="15" customHeight="1">
      <c r="A87" s="13">
        <v>73</v>
      </c>
      <c r="B87" s="4">
        <f t="shared" si="32"/>
        <v>45116</v>
      </c>
      <c r="C87" s="10">
        <f t="shared" si="33"/>
        <v>842</v>
      </c>
      <c r="D87" s="9">
        <f t="shared" si="34"/>
        <v>1528</v>
      </c>
      <c r="E87" s="8">
        <f t="shared" si="25"/>
        <v>656</v>
      </c>
      <c r="F87" s="8">
        <f t="shared" si="26"/>
        <v>673</v>
      </c>
      <c r="G87" s="8">
        <f t="shared" si="27"/>
        <v>601</v>
      </c>
      <c r="H87" s="5">
        <f t="shared" si="28"/>
        <v>1714</v>
      </c>
      <c r="I87" s="5">
        <f t="shared" si="29"/>
        <v>1697</v>
      </c>
      <c r="J87" s="5">
        <f t="shared" si="30"/>
        <v>1769</v>
      </c>
      <c r="K87" s="5">
        <f t="shared" si="35"/>
        <v>2000</v>
      </c>
      <c r="L87" s="5">
        <f t="shared" si="36"/>
        <v>2000</v>
      </c>
      <c r="M87" s="5">
        <f t="shared" si="37"/>
        <v>2000</v>
      </c>
      <c r="N87" s="5">
        <f t="shared" si="38"/>
        <v>-286</v>
      </c>
      <c r="O87" s="5">
        <f t="shared" si="39"/>
        <v>-303</v>
      </c>
      <c r="P87" s="5">
        <f t="shared" si="40"/>
        <v>-231</v>
      </c>
      <c r="Q87" s="8">
        <v>0</v>
      </c>
      <c r="R87" s="8">
        <v>0</v>
      </c>
      <c r="S87" s="8">
        <v>0</v>
      </c>
      <c r="T87" s="6">
        <f t="shared" si="31"/>
        <v>1693</v>
      </c>
      <c r="U87" s="7">
        <f t="shared" si="21"/>
        <v>694</v>
      </c>
      <c r="V87" s="7">
        <f t="shared" si="22"/>
        <v>677</v>
      </c>
      <c r="W87" s="7">
        <f t="shared" si="23"/>
        <v>689</v>
      </c>
      <c r="X87" s="6"/>
      <c r="Y87" s="5"/>
      <c r="Z87" s="5"/>
      <c r="AA87" s="5"/>
      <c r="AB87" s="5"/>
    </row>
    <row r="88" spans="1:28" ht="15" customHeight="1">
      <c r="A88" s="13">
        <v>74</v>
      </c>
      <c r="B88" s="4">
        <f t="shared" si="32"/>
        <v>45117</v>
      </c>
      <c r="C88" s="10">
        <f t="shared" si="33"/>
        <v>842</v>
      </c>
      <c r="D88" s="9">
        <f t="shared" si="34"/>
        <v>1526</v>
      </c>
      <c r="E88" s="8">
        <f t="shared" si="25"/>
        <v>654</v>
      </c>
      <c r="F88" s="8">
        <f t="shared" si="26"/>
        <v>671</v>
      </c>
      <c r="G88" s="8">
        <f t="shared" si="27"/>
        <v>599</v>
      </c>
      <c r="H88" s="5">
        <f t="shared" si="28"/>
        <v>1714</v>
      </c>
      <c r="I88" s="5">
        <f t="shared" si="29"/>
        <v>1697</v>
      </c>
      <c r="J88" s="5">
        <f t="shared" si="30"/>
        <v>1769</v>
      </c>
      <c r="K88" s="5">
        <f t="shared" si="35"/>
        <v>2000</v>
      </c>
      <c r="L88" s="5">
        <f t="shared" si="36"/>
        <v>2000</v>
      </c>
      <c r="M88" s="5">
        <f t="shared" si="37"/>
        <v>2000</v>
      </c>
      <c r="N88" s="5">
        <f t="shared" si="38"/>
        <v>-286</v>
      </c>
      <c r="O88" s="5">
        <f t="shared" si="39"/>
        <v>-303</v>
      </c>
      <c r="P88" s="5">
        <f t="shared" si="40"/>
        <v>-231</v>
      </c>
      <c r="Q88" s="8">
        <v>0</v>
      </c>
      <c r="R88" s="8">
        <v>0</v>
      </c>
      <c r="S88" s="8">
        <v>0</v>
      </c>
      <c r="T88" s="6">
        <f t="shared" si="31"/>
        <v>1691</v>
      </c>
      <c r="U88" s="7">
        <f t="shared" si="21"/>
        <v>694</v>
      </c>
      <c r="V88" s="7">
        <f t="shared" si="22"/>
        <v>677</v>
      </c>
      <c r="W88" s="7">
        <f t="shared" si="23"/>
        <v>689</v>
      </c>
      <c r="X88" s="6"/>
      <c r="Y88" s="5"/>
      <c r="Z88" s="5"/>
      <c r="AA88" s="5"/>
      <c r="AB88" s="5"/>
    </row>
    <row r="89" spans="1:28" ht="15" customHeight="1">
      <c r="A89" s="13">
        <v>75</v>
      </c>
      <c r="B89" s="4">
        <f t="shared" si="32"/>
        <v>45118</v>
      </c>
      <c r="C89" s="10">
        <f t="shared" si="33"/>
        <v>842</v>
      </c>
      <c r="D89" s="9">
        <f t="shared" si="34"/>
        <v>1524</v>
      </c>
      <c r="E89" s="8">
        <f t="shared" si="25"/>
        <v>652</v>
      </c>
      <c r="F89" s="8">
        <f t="shared" si="26"/>
        <v>669</v>
      </c>
      <c r="G89" s="8">
        <f t="shared" si="27"/>
        <v>597</v>
      </c>
      <c r="H89" s="5">
        <f t="shared" si="28"/>
        <v>1714</v>
      </c>
      <c r="I89" s="5">
        <f t="shared" si="29"/>
        <v>1697</v>
      </c>
      <c r="J89" s="5">
        <f t="shared" si="30"/>
        <v>1769</v>
      </c>
      <c r="K89" s="5">
        <f t="shared" si="35"/>
        <v>2000</v>
      </c>
      <c r="L89" s="5">
        <f t="shared" si="36"/>
        <v>2000</v>
      </c>
      <c r="M89" s="5">
        <f t="shared" si="37"/>
        <v>2000</v>
      </c>
      <c r="N89" s="5">
        <f t="shared" si="38"/>
        <v>-286</v>
      </c>
      <c r="O89" s="5">
        <f t="shared" si="39"/>
        <v>-303</v>
      </c>
      <c r="P89" s="5">
        <f t="shared" si="40"/>
        <v>-231</v>
      </c>
      <c r="Q89" s="8">
        <v>0</v>
      </c>
      <c r="R89" s="8">
        <v>0</v>
      </c>
      <c r="S89" s="8">
        <v>0</v>
      </c>
      <c r="T89" s="6">
        <f t="shared" si="31"/>
        <v>1689</v>
      </c>
      <c r="U89" s="7">
        <f t="shared" si="21"/>
        <v>694</v>
      </c>
      <c r="V89" s="7">
        <f t="shared" si="22"/>
        <v>677</v>
      </c>
      <c r="W89" s="7">
        <f t="shared" si="23"/>
        <v>689</v>
      </c>
      <c r="X89" s="6"/>
      <c r="Y89" s="5"/>
      <c r="Z89" s="5"/>
      <c r="AA89" s="5"/>
      <c r="AB89" s="5"/>
    </row>
    <row r="90" spans="1:28" ht="15" customHeight="1">
      <c r="A90" s="13">
        <v>76</v>
      </c>
      <c r="B90" s="4">
        <f t="shared" si="32"/>
        <v>45119</v>
      </c>
      <c r="C90" s="10">
        <f t="shared" si="33"/>
        <v>842</v>
      </c>
      <c r="D90" s="9">
        <f t="shared" si="34"/>
        <v>1522</v>
      </c>
      <c r="E90" s="8">
        <f t="shared" si="25"/>
        <v>650</v>
      </c>
      <c r="F90" s="8">
        <f t="shared" si="26"/>
        <v>667</v>
      </c>
      <c r="G90" s="8">
        <f t="shared" si="27"/>
        <v>595</v>
      </c>
      <c r="H90" s="5">
        <f t="shared" si="28"/>
        <v>1714</v>
      </c>
      <c r="I90" s="5">
        <f t="shared" si="29"/>
        <v>1697</v>
      </c>
      <c r="J90" s="5">
        <f t="shared" si="30"/>
        <v>1769</v>
      </c>
      <c r="K90" s="5">
        <f t="shared" si="35"/>
        <v>2000</v>
      </c>
      <c r="L90" s="5">
        <f t="shared" si="36"/>
        <v>2000</v>
      </c>
      <c r="M90" s="5">
        <f t="shared" si="37"/>
        <v>2000</v>
      </c>
      <c r="N90" s="5">
        <f t="shared" si="38"/>
        <v>-286</v>
      </c>
      <c r="O90" s="5">
        <f t="shared" si="39"/>
        <v>-303</v>
      </c>
      <c r="P90" s="5">
        <f t="shared" si="40"/>
        <v>-231</v>
      </c>
      <c r="Q90" s="8">
        <v>0</v>
      </c>
      <c r="R90" s="8">
        <v>0</v>
      </c>
      <c r="S90" s="8">
        <v>0</v>
      </c>
      <c r="T90" s="6">
        <f t="shared" si="31"/>
        <v>1687</v>
      </c>
      <c r="U90" s="7">
        <f t="shared" si="21"/>
        <v>694</v>
      </c>
      <c r="V90" s="7">
        <f t="shared" si="22"/>
        <v>677</v>
      </c>
      <c r="W90" s="7">
        <f t="shared" si="23"/>
        <v>689</v>
      </c>
      <c r="X90" s="6"/>
      <c r="Y90" s="5"/>
      <c r="Z90" s="5"/>
      <c r="AA90" s="5"/>
      <c r="AB90" s="5"/>
    </row>
    <row r="91" spans="1:28" ht="15" customHeight="1">
      <c r="A91" s="13">
        <v>77</v>
      </c>
      <c r="B91" s="4">
        <f t="shared" si="32"/>
        <v>45120</v>
      </c>
      <c r="C91" s="10">
        <f t="shared" si="33"/>
        <v>842</v>
      </c>
      <c r="D91" s="9">
        <f t="shared" si="34"/>
        <v>1520</v>
      </c>
      <c r="E91" s="8">
        <f t="shared" si="25"/>
        <v>648</v>
      </c>
      <c r="F91" s="8">
        <f t="shared" si="26"/>
        <v>665</v>
      </c>
      <c r="G91" s="8">
        <f t="shared" si="27"/>
        <v>593</v>
      </c>
      <c r="H91" s="5">
        <f t="shared" si="28"/>
        <v>1714</v>
      </c>
      <c r="I91" s="5">
        <f t="shared" si="29"/>
        <v>1697</v>
      </c>
      <c r="J91" s="5">
        <f t="shared" si="30"/>
        <v>1769</v>
      </c>
      <c r="K91" s="5">
        <f t="shared" si="35"/>
        <v>2000</v>
      </c>
      <c r="L91" s="5">
        <f t="shared" si="36"/>
        <v>2000</v>
      </c>
      <c r="M91" s="5">
        <f t="shared" si="37"/>
        <v>2000</v>
      </c>
      <c r="N91" s="5">
        <f t="shared" si="38"/>
        <v>-286</v>
      </c>
      <c r="O91" s="5">
        <f t="shared" si="39"/>
        <v>-303</v>
      </c>
      <c r="P91" s="5">
        <f t="shared" si="40"/>
        <v>-231</v>
      </c>
      <c r="Q91" s="8">
        <v>0</v>
      </c>
      <c r="R91" s="8">
        <v>0</v>
      </c>
      <c r="S91" s="8">
        <v>0</v>
      </c>
      <c r="T91" s="6">
        <f t="shared" si="31"/>
        <v>1685</v>
      </c>
      <c r="U91" s="7">
        <f t="shared" si="21"/>
        <v>694</v>
      </c>
      <c r="V91" s="7">
        <f t="shared" si="22"/>
        <v>677</v>
      </c>
      <c r="W91" s="7">
        <f t="shared" si="23"/>
        <v>689</v>
      </c>
      <c r="X91" s="6"/>
      <c r="Y91" s="5"/>
      <c r="Z91" s="5"/>
      <c r="AA91" s="5"/>
      <c r="AB91" s="5"/>
    </row>
    <row r="92" spans="1:28" ht="15" customHeight="1">
      <c r="A92" s="13">
        <v>78</v>
      </c>
      <c r="B92" s="4">
        <f t="shared" si="32"/>
        <v>45121</v>
      </c>
      <c r="C92" s="10">
        <f t="shared" si="33"/>
        <v>842</v>
      </c>
      <c r="D92" s="9">
        <f t="shared" si="34"/>
        <v>1518</v>
      </c>
      <c r="E92" s="8">
        <f t="shared" si="25"/>
        <v>646</v>
      </c>
      <c r="F92" s="8">
        <f t="shared" si="26"/>
        <v>663</v>
      </c>
      <c r="G92" s="8">
        <f t="shared" si="27"/>
        <v>591</v>
      </c>
      <c r="H92" s="5">
        <f t="shared" si="28"/>
        <v>1714</v>
      </c>
      <c r="I92" s="5">
        <f t="shared" si="29"/>
        <v>1697</v>
      </c>
      <c r="J92" s="5">
        <f t="shared" si="30"/>
        <v>1769</v>
      </c>
      <c r="K92" s="5">
        <f t="shared" si="35"/>
        <v>2000</v>
      </c>
      <c r="L92" s="5">
        <f t="shared" si="36"/>
        <v>2000</v>
      </c>
      <c r="M92" s="5">
        <f t="shared" si="37"/>
        <v>2000</v>
      </c>
      <c r="N92" s="5">
        <f t="shared" si="38"/>
        <v>-286</v>
      </c>
      <c r="O92" s="5">
        <f t="shared" si="39"/>
        <v>-303</v>
      </c>
      <c r="P92" s="5">
        <f t="shared" si="40"/>
        <v>-231</v>
      </c>
      <c r="Q92" s="8">
        <v>0</v>
      </c>
      <c r="R92" s="8">
        <v>0</v>
      </c>
      <c r="S92" s="8">
        <v>0</v>
      </c>
      <c r="T92" s="6">
        <f t="shared" si="31"/>
        <v>1683</v>
      </c>
      <c r="U92" s="7">
        <f t="shared" si="21"/>
        <v>694</v>
      </c>
      <c r="V92" s="7">
        <f t="shared" si="22"/>
        <v>677</v>
      </c>
      <c r="W92" s="7">
        <f t="shared" si="23"/>
        <v>689</v>
      </c>
      <c r="X92" s="6"/>
      <c r="Y92" s="5"/>
      <c r="Z92" s="5"/>
      <c r="AA92" s="5"/>
      <c r="AB92" s="5"/>
    </row>
    <row r="93" spans="1:28" ht="15" customHeight="1">
      <c r="A93" s="13">
        <v>79</v>
      </c>
      <c r="B93" s="4">
        <f t="shared" si="32"/>
        <v>45122</v>
      </c>
      <c r="C93" s="10">
        <f t="shared" si="33"/>
        <v>842</v>
      </c>
      <c r="D93" s="9">
        <f t="shared" si="34"/>
        <v>1516</v>
      </c>
      <c r="E93" s="8">
        <f t="shared" si="25"/>
        <v>644</v>
      </c>
      <c r="F93" s="8">
        <f t="shared" si="26"/>
        <v>661</v>
      </c>
      <c r="G93" s="8">
        <f t="shared" si="27"/>
        <v>589</v>
      </c>
      <c r="H93" s="5">
        <f t="shared" si="28"/>
        <v>1714</v>
      </c>
      <c r="I93" s="5">
        <f t="shared" si="29"/>
        <v>1697</v>
      </c>
      <c r="J93" s="5">
        <f t="shared" si="30"/>
        <v>1769</v>
      </c>
      <c r="K93" s="5">
        <f t="shared" si="35"/>
        <v>2000</v>
      </c>
      <c r="L93" s="5">
        <f t="shared" si="36"/>
        <v>2000</v>
      </c>
      <c r="M93" s="5">
        <f t="shared" si="37"/>
        <v>2000</v>
      </c>
      <c r="N93" s="5">
        <f t="shared" si="38"/>
        <v>-286</v>
      </c>
      <c r="O93" s="5">
        <f t="shared" si="39"/>
        <v>-303</v>
      </c>
      <c r="P93" s="5">
        <f t="shared" si="40"/>
        <v>-231</v>
      </c>
      <c r="Q93" s="8">
        <v>0</v>
      </c>
      <c r="R93" s="8">
        <v>0</v>
      </c>
      <c r="S93" s="8">
        <v>0</v>
      </c>
      <c r="T93" s="6">
        <f t="shared" si="31"/>
        <v>1681</v>
      </c>
      <c r="U93" s="7">
        <f t="shared" si="21"/>
        <v>694</v>
      </c>
      <c r="V93" s="7">
        <f t="shared" si="22"/>
        <v>677</v>
      </c>
      <c r="W93" s="7">
        <f t="shared" si="23"/>
        <v>689</v>
      </c>
      <c r="X93" s="6"/>
      <c r="Y93" s="5"/>
      <c r="Z93" s="5"/>
      <c r="AA93" s="5"/>
      <c r="AB93" s="5"/>
    </row>
    <row r="94" spans="1:28" ht="15" customHeight="1">
      <c r="A94" s="13">
        <v>80</v>
      </c>
      <c r="B94" s="4">
        <f t="shared" si="32"/>
        <v>45123</v>
      </c>
      <c r="C94" s="10">
        <f t="shared" si="33"/>
        <v>842</v>
      </c>
      <c r="D94" s="9">
        <f t="shared" si="34"/>
        <v>1514</v>
      </c>
      <c r="E94" s="8">
        <f t="shared" si="25"/>
        <v>642</v>
      </c>
      <c r="F94" s="8">
        <f t="shared" si="26"/>
        <v>659</v>
      </c>
      <c r="G94" s="8">
        <f t="shared" si="27"/>
        <v>587</v>
      </c>
      <c r="H94" s="5">
        <f t="shared" si="28"/>
        <v>1714</v>
      </c>
      <c r="I94" s="5">
        <f t="shared" si="29"/>
        <v>1697</v>
      </c>
      <c r="J94" s="5">
        <f t="shared" si="30"/>
        <v>1769</v>
      </c>
      <c r="K94" s="5">
        <f t="shared" si="35"/>
        <v>2000</v>
      </c>
      <c r="L94" s="5">
        <f t="shared" si="36"/>
        <v>2000</v>
      </c>
      <c r="M94" s="5">
        <f t="shared" si="37"/>
        <v>2000</v>
      </c>
      <c r="N94" s="5">
        <f t="shared" si="38"/>
        <v>-286</v>
      </c>
      <c r="O94" s="5">
        <f t="shared" si="39"/>
        <v>-303</v>
      </c>
      <c r="P94" s="5">
        <f t="shared" si="40"/>
        <v>-231</v>
      </c>
      <c r="Q94" s="8">
        <v>0</v>
      </c>
      <c r="R94" s="8">
        <v>0</v>
      </c>
      <c r="S94" s="8">
        <v>0</v>
      </c>
      <c r="T94" s="6">
        <f t="shared" si="31"/>
        <v>1679</v>
      </c>
      <c r="U94" s="7">
        <f t="shared" si="21"/>
        <v>694</v>
      </c>
      <c r="V94" s="7">
        <f t="shared" si="22"/>
        <v>677</v>
      </c>
      <c r="W94" s="7">
        <f t="shared" si="23"/>
        <v>689</v>
      </c>
      <c r="X94" s="6"/>
      <c r="Y94" s="5"/>
      <c r="Z94" s="5"/>
      <c r="AA94" s="5"/>
      <c r="AB94" s="5"/>
    </row>
    <row r="95" spans="1:28" ht="15" customHeight="1">
      <c r="A95" s="13">
        <v>81</v>
      </c>
      <c r="B95" s="4">
        <f t="shared" si="32"/>
        <v>45124</v>
      </c>
      <c r="C95" s="10">
        <f t="shared" si="33"/>
        <v>842</v>
      </c>
      <c r="D95" s="9">
        <f t="shared" si="34"/>
        <v>1512</v>
      </c>
      <c r="E95" s="8">
        <f t="shared" si="25"/>
        <v>640</v>
      </c>
      <c r="F95" s="8">
        <f t="shared" si="26"/>
        <v>657</v>
      </c>
      <c r="G95" s="8">
        <f t="shared" si="27"/>
        <v>585</v>
      </c>
      <c r="H95" s="5">
        <f t="shared" si="28"/>
        <v>1714</v>
      </c>
      <c r="I95" s="5">
        <f t="shared" si="29"/>
        <v>1697</v>
      </c>
      <c r="J95" s="5">
        <f t="shared" si="30"/>
        <v>1769</v>
      </c>
      <c r="K95" s="5">
        <f t="shared" si="35"/>
        <v>2000</v>
      </c>
      <c r="L95" s="5">
        <f t="shared" si="36"/>
        <v>2000</v>
      </c>
      <c r="M95" s="5">
        <f t="shared" si="37"/>
        <v>2000</v>
      </c>
      <c r="N95" s="5">
        <f t="shared" si="38"/>
        <v>-286</v>
      </c>
      <c r="O95" s="5">
        <f t="shared" si="39"/>
        <v>-303</v>
      </c>
      <c r="P95" s="5">
        <f t="shared" si="40"/>
        <v>-231</v>
      </c>
      <c r="Q95" s="8">
        <v>0</v>
      </c>
      <c r="R95" s="8">
        <v>0</v>
      </c>
      <c r="S95" s="8">
        <v>0</v>
      </c>
      <c r="T95" s="6">
        <f t="shared" si="31"/>
        <v>1677</v>
      </c>
      <c r="U95" s="7">
        <f t="shared" si="21"/>
        <v>694</v>
      </c>
      <c r="V95" s="7">
        <f t="shared" si="22"/>
        <v>677</v>
      </c>
      <c r="W95" s="7">
        <f t="shared" si="23"/>
        <v>689</v>
      </c>
      <c r="X95" s="6"/>
      <c r="Y95" s="5"/>
      <c r="Z95" s="5"/>
      <c r="AA95" s="5"/>
      <c r="AB95" s="5"/>
    </row>
    <row r="96" spans="1:28" ht="15" customHeight="1">
      <c r="A96" s="13">
        <v>82</v>
      </c>
      <c r="B96" s="4">
        <f t="shared" si="32"/>
        <v>45125</v>
      </c>
      <c r="C96" s="10">
        <f t="shared" si="33"/>
        <v>842</v>
      </c>
      <c r="D96" s="9">
        <f t="shared" si="34"/>
        <v>1510</v>
      </c>
      <c r="E96" s="8">
        <f t="shared" si="25"/>
        <v>638</v>
      </c>
      <c r="F96" s="8">
        <f t="shared" si="26"/>
        <v>655</v>
      </c>
      <c r="G96" s="8">
        <f t="shared" si="27"/>
        <v>583</v>
      </c>
      <c r="H96" s="5">
        <f t="shared" si="28"/>
        <v>1714</v>
      </c>
      <c r="I96" s="5">
        <f t="shared" si="29"/>
        <v>1697</v>
      </c>
      <c r="J96" s="5">
        <f t="shared" si="30"/>
        <v>1769</v>
      </c>
      <c r="K96" s="5">
        <f t="shared" si="35"/>
        <v>2000</v>
      </c>
      <c r="L96" s="5">
        <f t="shared" si="36"/>
        <v>2000</v>
      </c>
      <c r="M96" s="5">
        <f t="shared" si="37"/>
        <v>2000</v>
      </c>
      <c r="N96" s="5">
        <f t="shared" si="38"/>
        <v>-286</v>
      </c>
      <c r="O96" s="5">
        <f t="shared" si="39"/>
        <v>-303</v>
      </c>
      <c r="P96" s="5">
        <f t="shared" si="40"/>
        <v>-231</v>
      </c>
      <c r="Q96" s="8">
        <v>0</v>
      </c>
      <c r="R96" s="8">
        <v>0</v>
      </c>
      <c r="S96" s="8">
        <v>0</v>
      </c>
      <c r="T96" s="6">
        <f t="shared" si="31"/>
        <v>1675</v>
      </c>
      <c r="U96" s="7">
        <f t="shared" si="21"/>
        <v>694</v>
      </c>
      <c r="V96" s="7">
        <f t="shared" si="22"/>
        <v>677</v>
      </c>
      <c r="W96" s="7">
        <f t="shared" si="23"/>
        <v>689</v>
      </c>
      <c r="X96" s="6"/>
      <c r="Y96" s="5"/>
      <c r="Z96" s="5"/>
      <c r="AA96" s="5"/>
      <c r="AB96" s="5"/>
    </row>
    <row r="97" spans="1:28" ht="15" customHeight="1">
      <c r="A97" s="13">
        <v>83</v>
      </c>
      <c r="B97" s="4">
        <f t="shared" si="32"/>
        <v>45126</v>
      </c>
      <c r="C97" s="10">
        <f t="shared" si="33"/>
        <v>842</v>
      </c>
      <c r="D97" s="9">
        <f t="shared" si="34"/>
        <v>1508</v>
      </c>
      <c r="E97" s="8">
        <f t="shared" si="25"/>
        <v>636</v>
      </c>
      <c r="F97" s="8">
        <f t="shared" si="26"/>
        <v>653</v>
      </c>
      <c r="G97" s="8">
        <f t="shared" si="27"/>
        <v>581</v>
      </c>
      <c r="H97" s="5">
        <f t="shared" si="28"/>
        <v>1714</v>
      </c>
      <c r="I97" s="5">
        <f t="shared" si="29"/>
        <v>1697</v>
      </c>
      <c r="J97" s="5">
        <f t="shared" si="30"/>
        <v>1769</v>
      </c>
      <c r="K97" s="5">
        <f t="shared" si="35"/>
        <v>2000</v>
      </c>
      <c r="L97" s="5">
        <f t="shared" si="36"/>
        <v>2000</v>
      </c>
      <c r="M97" s="5">
        <f t="shared" si="37"/>
        <v>2000</v>
      </c>
      <c r="N97" s="5">
        <f t="shared" si="38"/>
        <v>-286</v>
      </c>
      <c r="O97" s="5">
        <f t="shared" si="39"/>
        <v>-303</v>
      </c>
      <c r="P97" s="5">
        <f t="shared" si="40"/>
        <v>-231</v>
      </c>
      <c r="Q97" s="8">
        <v>0</v>
      </c>
      <c r="R97" s="8">
        <v>0</v>
      </c>
      <c r="S97" s="8">
        <v>0</v>
      </c>
      <c r="T97" s="6">
        <f t="shared" si="31"/>
        <v>1673</v>
      </c>
      <c r="U97" s="7">
        <f t="shared" si="21"/>
        <v>694</v>
      </c>
      <c r="V97" s="7">
        <f t="shared" si="22"/>
        <v>677</v>
      </c>
      <c r="W97" s="7">
        <f t="shared" si="23"/>
        <v>689</v>
      </c>
      <c r="X97" s="6"/>
      <c r="Y97" s="5"/>
      <c r="Z97" s="5"/>
      <c r="AA97" s="5"/>
      <c r="AB97" s="5"/>
    </row>
    <row r="98" spans="1:28" ht="15" customHeight="1">
      <c r="A98" s="13">
        <v>84</v>
      </c>
      <c r="B98" s="4">
        <f t="shared" si="32"/>
        <v>45127</v>
      </c>
      <c r="C98" s="10">
        <f t="shared" si="33"/>
        <v>842</v>
      </c>
      <c r="D98" s="9">
        <f t="shared" si="34"/>
        <v>1506</v>
      </c>
      <c r="E98" s="8">
        <f t="shared" si="25"/>
        <v>634</v>
      </c>
      <c r="F98" s="8">
        <f t="shared" si="26"/>
        <v>651</v>
      </c>
      <c r="G98" s="8">
        <f t="shared" si="27"/>
        <v>579</v>
      </c>
      <c r="H98" s="5">
        <f t="shared" si="28"/>
        <v>1714</v>
      </c>
      <c r="I98" s="5">
        <f t="shared" si="29"/>
        <v>1697</v>
      </c>
      <c r="J98" s="5">
        <f t="shared" si="30"/>
        <v>1769</v>
      </c>
      <c r="K98" s="5">
        <f t="shared" si="35"/>
        <v>2000</v>
      </c>
      <c r="L98" s="5">
        <f t="shared" si="36"/>
        <v>2000</v>
      </c>
      <c r="M98" s="5">
        <f t="shared" si="37"/>
        <v>2000</v>
      </c>
      <c r="N98" s="5">
        <f t="shared" si="38"/>
        <v>-286</v>
      </c>
      <c r="O98" s="5">
        <f t="shared" si="39"/>
        <v>-303</v>
      </c>
      <c r="P98" s="5">
        <f t="shared" si="40"/>
        <v>-231</v>
      </c>
      <c r="Q98" s="8">
        <v>0</v>
      </c>
      <c r="R98" s="8">
        <v>0</v>
      </c>
      <c r="S98" s="8">
        <v>0</v>
      </c>
      <c r="T98" s="6">
        <f t="shared" si="31"/>
        <v>1671</v>
      </c>
      <c r="U98" s="7">
        <f t="shared" si="21"/>
        <v>694</v>
      </c>
      <c r="V98" s="7">
        <f t="shared" si="22"/>
        <v>677</v>
      </c>
      <c r="W98" s="7">
        <f t="shared" si="23"/>
        <v>689</v>
      </c>
      <c r="X98" s="6"/>
      <c r="Y98" s="5"/>
      <c r="Z98" s="5"/>
      <c r="AA98" s="5"/>
      <c r="AB98" s="5"/>
    </row>
    <row r="99" spans="1:28" ht="15" customHeight="1">
      <c r="A99" s="13">
        <v>85</v>
      </c>
      <c r="B99" s="4">
        <f t="shared" si="32"/>
        <v>45128</v>
      </c>
      <c r="C99" s="10">
        <f t="shared" si="33"/>
        <v>842</v>
      </c>
      <c r="D99" s="9">
        <f t="shared" si="34"/>
        <v>1504</v>
      </c>
      <c r="E99" s="8">
        <f t="shared" si="25"/>
        <v>632</v>
      </c>
      <c r="F99" s="8">
        <f t="shared" si="26"/>
        <v>649</v>
      </c>
      <c r="G99" s="8">
        <f t="shared" si="27"/>
        <v>577</v>
      </c>
      <c r="H99" s="5">
        <f t="shared" si="28"/>
        <v>1714</v>
      </c>
      <c r="I99" s="5">
        <f t="shared" si="29"/>
        <v>1697</v>
      </c>
      <c r="J99" s="5">
        <f t="shared" si="30"/>
        <v>1769</v>
      </c>
      <c r="K99" s="5">
        <f t="shared" si="35"/>
        <v>2000</v>
      </c>
      <c r="L99" s="5">
        <f t="shared" si="36"/>
        <v>2000</v>
      </c>
      <c r="M99" s="5">
        <f t="shared" si="37"/>
        <v>2000</v>
      </c>
      <c r="N99" s="5">
        <f t="shared" si="38"/>
        <v>-286</v>
      </c>
      <c r="O99" s="5">
        <f t="shared" si="39"/>
        <v>-303</v>
      </c>
      <c r="P99" s="5">
        <f t="shared" si="40"/>
        <v>-231</v>
      </c>
      <c r="Q99" s="8">
        <v>0</v>
      </c>
      <c r="R99" s="8">
        <v>0</v>
      </c>
      <c r="S99" s="8">
        <v>0</v>
      </c>
      <c r="T99" s="6">
        <f t="shared" si="31"/>
        <v>1669</v>
      </c>
      <c r="U99" s="7">
        <f t="shared" si="21"/>
        <v>694</v>
      </c>
      <c r="V99" s="7">
        <f t="shared" si="22"/>
        <v>677</v>
      </c>
      <c r="W99" s="7">
        <f t="shared" si="23"/>
        <v>689</v>
      </c>
      <c r="X99" s="6"/>
      <c r="Y99" s="5"/>
      <c r="Z99" s="5"/>
      <c r="AA99" s="5"/>
      <c r="AB99" s="5"/>
    </row>
    <row r="100" spans="1:28" ht="15" customHeight="1">
      <c r="A100" s="13">
        <v>86</v>
      </c>
      <c r="B100" s="4">
        <f t="shared" si="32"/>
        <v>45129</v>
      </c>
      <c r="C100" s="10">
        <f t="shared" si="33"/>
        <v>842</v>
      </c>
      <c r="D100" s="9">
        <f t="shared" si="34"/>
        <v>1502</v>
      </c>
      <c r="E100" s="8">
        <f t="shared" si="25"/>
        <v>630</v>
      </c>
      <c r="F100" s="8">
        <f t="shared" si="26"/>
        <v>647</v>
      </c>
      <c r="G100" s="8">
        <f t="shared" si="27"/>
        <v>575</v>
      </c>
      <c r="H100" s="5">
        <f t="shared" si="28"/>
        <v>1714</v>
      </c>
      <c r="I100" s="5">
        <f t="shared" si="29"/>
        <v>1697</v>
      </c>
      <c r="J100" s="5">
        <f t="shared" si="30"/>
        <v>1769</v>
      </c>
      <c r="K100" s="5">
        <f t="shared" si="35"/>
        <v>2000</v>
      </c>
      <c r="L100" s="5">
        <f t="shared" si="36"/>
        <v>2000</v>
      </c>
      <c r="M100" s="5">
        <f t="shared" si="37"/>
        <v>2000</v>
      </c>
      <c r="N100" s="5">
        <f t="shared" si="38"/>
        <v>-286</v>
      </c>
      <c r="O100" s="5">
        <f t="shared" si="39"/>
        <v>-303</v>
      </c>
      <c r="P100" s="5">
        <f t="shared" si="40"/>
        <v>-231</v>
      </c>
      <c r="Q100" s="8">
        <v>0</v>
      </c>
      <c r="R100" s="8">
        <v>0</v>
      </c>
      <c r="S100" s="8">
        <v>0</v>
      </c>
      <c r="T100" s="6">
        <f t="shared" si="31"/>
        <v>1667</v>
      </c>
      <c r="U100" s="7">
        <f t="shared" si="21"/>
        <v>694</v>
      </c>
      <c r="V100" s="7">
        <f t="shared" si="22"/>
        <v>677</v>
      </c>
      <c r="W100" s="7">
        <f t="shared" si="23"/>
        <v>689</v>
      </c>
      <c r="X100" s="6"/>
      <c r="Y100" s="5"/>
      <c r="Z100" s="5"/>
      <c r="AA100" s="5"/>
      <c r="AB100" s="5"/>
    </row>
    <row r="101" spans="1:28" ht="15" customHeight="1">
      <c r="A101" s="13">
        <v>87</v>
      </c>
      <c r="B101" s="4">
        <f t="shared" si="32"/>
        <v>45130</v>
      </c>
      <c r="C101" s="10">
        <f t="shared" si="33"/>
        <v>842</v>
      </c>
      <c r="D101" s="9">
        <f t="shared" si="34"/>
        <v>1500</v>
      </c>
      <c r="E101" s="8">
        <f t="shared" si="25"/>
        <v>628</v>
      </c>
      <c r="F101" s="8">
        <f t="shared" si="26"/>
        <v>645</v>
      </c>
      <c r="G101" s="8">
        <f t="shared" si="27"/>
        <v>573</v>
      </c>
      <c r="H101" s="5">
        <f t="shared" si="28"/>
        <v>1714</v>
      </c>
      <c r="I101" s="5">
        <f t="shared" si="29"/>
        <v>1697</v>
      </c>
      <c r="J101" s="5">
        <f t="shared" si="30"/>
        <v>1769</v>
      </c>
      <c r="K101" s="5">
        <f t="shared" si="35"/>
        <v>2000</v>
      </c>
      <c r="L101" s="5">
        <f t="shared" si="36"/>
        <v>2000</v>
      </c>
      <c r="M101" s="5">
        <f t="shared" si="37"/>
        <v>2000</v>
      </c>
      <c r="N101" s="5">
        <f t="shared" si="38"/>
        <v>-286</v>
      </c>
      <c r="O101" s="5">
        <f t="shared" si="39"/>
        <v>-303</v>
      </c>
      <c r="P101" s="5">
        <f t="shared" si="40"/>
        <v>-231</v>
      </c>
      <c r="Q101" s="8">
        <v>0</v>
      </c>
      <c r="R101" s="8">
        <v>0</v>
      </c>
      <c r="S101" s="8">
        <v>0</v>
      </c>
      <c r="T101" s="6">
        <f t="shared" si="31"/>
        <v>1665</v>
      </c>
      <c r="U101" s="7">
        <f t="shared" si="21"/>
        <v>694</v>
      </c>
      <c r="V101" s="7">
        <f t="shared" si="22"/>
        <v>677</v>
      </c>
      <c r="W101" s="7">
        <f t="shared" si="23"/>
        <v>689</v>
      </c>
      <c r="X101" s="6"/>
      <c r="Y101" s="5"/>
      <c r="Z101" s="5"/>
      <c r="AA101" s="5"/>
      <c r="AB101" s="5"/>
    </row>
    <row r="102" spans="1:28" ht="15" customHeight="1">
      <c r="A102" s="13">
        <v>88</v>
      </c>
      <c r="B102" s="4">
        <f t="shared" si="32"/>
        <v>45131</v>
      </c>
      <c r="C102" s="10">
        <f t="shared" si="33"/>
        <v>842</v>
      </c>
      <c r="D102" s="9">
        <f t="shared" si="34"/>
        <v>1498</v>
      </c>
      <c r="E102" s="8">
        <f t="shared" si="25"/>
        <v>626</v>
      </c>
      <c r="F102" s="8">
        <f t="shared" si="26"/>
        <v>643</v>
      </c>
      <c r="G102" s="8">
        <f t="shared" si="27"/>
        <v>571</v>
      </c>
      <c r="H102" s="5">
        <f t="shared" si="28"/>
        <v>1714</v>
      </c>
      <c r="I102" s="5">
        <f t="shared" si="29"/>
        <v>1697</v>
      </c>
      <c r="J102" s="5">
        <f t="shared" si="30"/>
        <v>1769</v>
      </c>
      <c r="K102" s="5">
        <f t="shared" si="35"/>
        <v>2000</v>
      </c>
      <c r="L102" s="5">
        <f t="shared" si="36"/>
        <v>2000</v>
      </c>
      <c r="M102" s="5">
        <f t="shared" si="37"/>
        <v>2000</v>
      </c>
      <c r="N102" s="5">
        <f t="shared" si="38"/>
        <v>-286</v>
      </c>
      <c r="O102" s="5">
        <f t="shared" si="39"/>
        <v>-303</v>
      </c>
      <c r="P102" s="5">
        <f t="shared" si="40"/>
        <v>-231</v>
      </c>
      <c r="Q102" s="8">
        <v>0</v>
      </c>
      <c r="R102" s="8">
        <v>0</v>
      </c>
      <c r="S102" s="8">
        <v>0</v>
      </c>
      <c r="T102" s="6">
        <f t="shared" si="31"/>
        <v>1663</v>
      </c>
      <c r="U102" s="7">
        <f t="shared" si="21"/>
        <v>694</v>
      </c>
      <c r="V102" s="7">
        <f t="shared" si="22"/>
        <v>677</v>
      </c>
      <c r="W102" s="7">
        <f t="shared" si="23"/>
        <v>689</v>
      </c>
      <c r="X102" s="6"/>
      <c r="Y102" s="5"/>
      <c r="Z102" s="5"/>
      <c r="AA102" s="5"/>
      <c r="AB102" s="5"/>
    </row>
    <row r="103" spans="1:28" ht="15" customHeight="1">
      <c r="A103" s="13">
        <v>89</v>
      </c>
      <c r="B103" s="4">
        <f t="shared" si="32"/>
        <v>45132</v>
      </c>
      <c r="C103" s="10">
        <f t="shared" si="33"/>
        <v>842</v>
      </c>
      <c r="D103" s="9">
        <f t="shared" si="34"/>
        <v>1496</v>
      </c>
      <c r="E103" s="8">
        <f t="shared" si="25"/>
        <v>624</v>
      </c>
      <c r="F103" s="8">
        <f t="shared" si="26"/>
        <v>641</v>
      </c>
      <c r="G103" s="8">
        <f t="shared" si="27"/>
        <v>569</v>
      </c>
      <c r="H103" s="5">
        <f t="shared" si="28"/>
        <v>1714</v>
      </c>
      <c r="I103" s="5">
        <f t="shared" si="29"/>
        <v>1697</v>
      </c>
      <c r="J103" s="5">
        <f t="shared" si="30"/>
        <v>1769</v>
      </c>
      <c r="K103" s="5">
        <f t="shared" si="35"/>
        <v>2000</v>
      </c>
      <c r="L103" s="5">
        <f t="shared" si="36"/>
        <v>2000</v>
      </c>
      <c r="M103" s="5">
        <f t="shared" si="37"/>
        <v>2000</v>
      </c>
      <c r="N103" s="5">
        <f t="shared" si="38"/>
        <v>-286</v>
      </c>
      <c r="O103" s="5">
        <f t="shared" si="39"/>
        <v>-303</v>
      </c>
      <c r="P103" s="5">
        <f t="shared" si="40"/>
        <v>-231</v>
      </c>
      <c r="Q103" s="8">
        <v>0</v>
      </c>
      <c r="R103" s="8">
        <v>0</v>
      </c>
      <c r="S103" s="8">
        <v>0</v>
      </c>
      <c r="T103" s="6">
        <f t="shared" si="31"/>
        <v>1661</v>
      </c>
      <c r="U103" s="7">
        <f t="shared" si="21"/>
        <v>694</v>
      </c>
      <c r="V103" s="7">
        <f t="shared" si="22"/>
        <v>677</v>
      </c>
      <c r="W103" s="7">
        <f t="shared" si="23"/>
        <v>689</v>
      </c>
      <c r="X103" s="6"/>
      <c r="Y103" s="5"/>
      <c r="Z103" s="5"/>
      <c r="AA103" s="5"/>
      <c r="AB103" s="5"/>
    </row>
    <row r="104" spans="1:28" ht="15" customHeight="1">
      <c r="A104" s="13">
        <v>90</v>
      </c>
      <c r="B104" s="4">
        <f t="shared" si="32"/>
        <v>45133</v>
      </c>
      <c r="C104" s="10">
        <f t="shared" si="33"/>
        <v>842</v>
      </c>
      <c r="D104" s="9">
        <f t="shared" si="34"/>
        <v>1494</v>
      </c>
      <c r="E104" s="8">
        <f t="shared" si="25"/>
        <v>622</v>
      </c>
      <c r="F104" s="8">
        <f t="shared" si="26"/>
        <v>639</v>
      </c>
      <c r="G104" s="8">
        <f t="shared" si="27"/>
        <v>567</v>
      </c>
      <c r="H104" s="5">
        <f t="shared" si="28"/>
        <v>1714</v>
      </c>
      <c r="I104" s="5">
        <f t="shared" si="29"/>
        <v>1697</v>
      </c>
      <c r="J104" s="5">
        <f t="shared" si="30"/>
        <v>1769</v>
      </c>
      <c r="K104" s="5">
        <f t="shared" si="35"/>
        <v>2000</v>
      </c>
      <c r="L104" s="5">
        <f t="shared" si="36"/>
        <v>2000</v>
      </c>
      <c r="M104" s="5">
        <f t="shared" si="37"/>
        <v>2000</v>
      </c>
      <c r="N104" s="5">
        <f t="shared" si="38"/>
        <v>-286</v>
      </c>
      <c r="O104" s="5">
        <f t="shared" si="39"/>
        <v>-303</v>
      </c>
      <c r="P104" s="5">
        <f t="shared" si="40"/>
        <v>-231</v>
      </c>
      <c r="Q104" s="8">
        <v>0</v>
      </c>
      <c r="R104" s="8">
        <v>0</v>
      </c>
      <c r="S104" s="8">
        <v>0</v>
      </c>
      <c r="T104" s="6">
        <f t="shared" si="31"/>
        <v>1659</v>
      </c>
      <c r="U104" s="7">
        <f t="shared" ref="U104:U167" si="41">U103+$X104*1000-Q104</f>
        <v>694</v>
      </c>
      <c r="V104" s="7">
        <f t="shared" ref="V104:V167" si="42">V103+$X104*1000-R104</f>
        <v>677</v>
      </c>
      <c r="W104" s="7">
        <f t="shared" ref="W104:W167" si="43">W103+$X104*1000-S104</f>
        <v>689</v>
      </c>
      <c r="X104" s="6"/>
      <c r="Y104" s="5"/>
      <c r="Z104" s="5"/>
      <c r="AA104" s="5"/>
      <c r="AB104" s="5"/>
    </row>
    <row r="105" spans="1:28" ht="15" customHeight="1">
      <c r="A105" s="13">
        <v>91</v>
      </c>
      <c r="B105" s="4">
        <f t="shared" si="32"/>
        <v>45134</v>
      </c>
      <c r="C105" s="10">
        <f t="shared" si="33"/>
        <v>842</v>
      </c>
      <c r="D105" s="9">
        <f t="shared" si="34"/>
        <v>1492</v>
      </c>
      <c r="E105" s="8">
        <f t="shared" si="25"/>
        <v>620</v>
      </c>
      <c r="F105" s="8">
        <f t="shared" si="26"/>
        <v>637</v>
      </c>
      <c r="G105" s="8">
        <f t="shared" si="27"/>
        <v>565</v>
      </c>
      <c r="H105" s="5">
        <f t="shared" si="28"/>
        <v>1714</v>
      </c>
      <c r="I105" s="5">
        <f t="shared" si="29"/>
        <v>1697</v>
      </c>
      <c r="J105" s="5">
        <f t="shared" si="30"/>
        <v>1769</v>
      </c>
      <c r="K105" s="5">
        <f t="shared" si="35"/>
        <v>2000</v>
      </c>
      <c r="L105" s="5">
        <f t="shared" si="36"/>
        <v>2000</v>
      </c>
      <c r="M105" s="5">
        <f t="shared" si="37"/>
        <v>2000</v>
      </c>
      <c r="N105" s="5">
        <f t="shared" si="38"/>
        <v>-286</v>
      </c>
      <c r="O105" s="5">
        <f t="shared" si="39"/>
        <v>-303</v>
      </c>
      <c r="P105" s="5">
        <f t="shared" si="40"/>
        <v>-231</v>
      </c>
      <c r="Q105" s="8">
        <v>0</v>
      </c>
      <c r="R105" s="8">
        <v>0</v>
      </c>
      <c r="S105" s="8">
        <v>0</v>
      </c>
      <c r="T105" s="6">
        <f t="shared" si="31"/>
        <v>1657</v>
      </c>
      <c r="U105" s="7">
        <f t="shared" si="41"/>
        <v>694</v>
      </c>
      <c r="V105" s="7">
        <f t="shared" si="42"/>
        <v>677</v>
      </c>
      <c r="W105" s="7">
        <f t="shared" si="43"/>
        <v>689</v>
      </c>
      <c r="X105" s="6"/>
      <c r="Y105" s="5"/>
      <c r="Z105" s="5"/>
      <c r="AA105" s="5"/>
      <c r="AB105" s="5"/>
    </row>
    <row r="106" spans="1:28" ht="15" customHeight="1">
      <c r="A106" s="13">
        <v>92</v>
      </c>
      <c r="B106" s="4">
        <f t="shared" si="32"/>
        <v>45135</v>
      </c>
      <c r="C106" s="10">
        <f t="shared" si="33"/>
        <v>842</v>
      </c>
      <c r="D106" s="9">
        <f t="shared" si="34"/>
        <v>1490</v>
      </c>
      <c r="E106" s="8">
        <f t="shared" si="25"/>
        <v>618</v>
      </c>
      <c r="F106" s="8">
        <f t="shared" si="26"/>
        <v>635</v>
      </c>
      <c r="G106" s="8">
        <f t="shared" si="27"/>
        <v>563</v>
      </c>
      <c r="H106" s="5">
        <f t="shared" si="28"/>
        <v>1714</v>
      </c>
      <c r="I106" s="5">
        <f t="shared" si="29"/>
        <v>1697</v>
      </c>
      <c r="J106" s="5">
        <f t="shared" si="30"/>
        <v>1769</v>
      </c>
      <c r="K106" s="5">
        <f t="shared" si="35"/>
        <v>2000</v>
      </c>
      <c r="L106" s="5">
        <f t="shared" si="36"/>
        <v>2000</v>
      </c>
      <c r="M106" s="5">
        <f t="shared" si="37"/>
        <v>2000</v>
      </c>
      <c r="N106" s="5">
        <f t="shared" si="38"/>
        <v>-286</v>
      </c>
      <c r="O106" s="5">
        <f t="shared" si="39"/>
        <v>-303</v>
      </c>
      <c r="P106" s="5">
        <f t="shared" si="40"/>
        <v>-231</v>
      </c>
      <c r="Q106" s="8">
        <v>0</v>
      </c>
      <c r="R106" s="8">
        <v>0</v>
      </c>
      <c r="S106" s="8">
        <v>0</v>
      </c>
      <c r="T106" s="6">
        <f t="shared" si="31"/>
        <v>1655</v>
      </c>
      <c r="U106" s="7">
        <f t="shared" si="41"/>
        <v>694</v>
      </c>
      <c r="V106" s="7">
        <f t="shared" si="42"/>
        <v>677</v>
      </c>
      <c r="W106" s="7">
        <f t="shared" si="43"/>
        <v>689</v>
      </c>
      <c r="X106" s="6"/>
      <c r="Y106" s="5"/>
      <c r="Z106" s="5"/>
      <c r="AA106" s="5"/>
      <c r="AB106" s="5"/>
    </row>
    <row r="107" spans="1:28" ht="15" customHeight="1">
      <c r="A107" s="13">
        <v>93</v>
      </c>
      <c r="B107" s="4">
        <f t="shared" si="32"/>
        <v>45136</v>
      </c>
      <c r="C107" s="10">
        <f t="shared" si="33"/>
        <v>842</v>
      </c>
      <c r="D107" s="9">
        <f t="shared" si="34"/>
        <v>1488</v>
      </c>
      <c r="E107" s="8">
        <f t="shared" si="25"/>
        <v>616</v>
      </c>
      <c r="F107" s="8">
        <f t="shared" si="26"/>
        <v>633</v>
      </c>
      <c r="G107" s="8">
        <f t="shared" si="27"/>
        <v>561</v>
      </c>
      <c r="H107" s="5">
        <f t="shared" si="28"/>
        <v>1714</v>
      </c>
      <c r="I107" s="5">
        <f t="shared" si="29"/>
        <v>1697</v>
      </c>
      <c r="J107" s="5">
        <f t="shared" si="30"/>
        <v>1769</v>
      </c>
      <c r="K107" s="5">
        <f t="shared" si="35"/>
        <v>2000</v>
      </c>
      <c r="L107" s="5">
        <f t="shared" si="36"/>
        <v>2000</v>
      </c>
      <c r="M107" s="5">
        <f t="shared" si="37"/>
        <v>2000</v>
      </c>
      <c r="N107" s="5">
        <f t="shared" si="38"/>
        <v>-286</v>
      </c>
      <c r="O107" s="5">
        <f t="shared" si="39"/>
        <v>-303</v>
      </c>
      <c r="P107" s="5">
        <f t="shared" si="40"/>
        <v>-231</v>
      </c>
      <c r="Q107" s="8">
        <v>0</v>
      </c>
      <c r="R107" s="8">
        <v>0</v>
      </c>
      <c r="S107" s="8">
        <v>0</v>
      </c>
      <c r="T107" s="6">
        <f t="shared" si="31"/>
        <v>1653</v>
      </c>
      <c r="U107" s="7">
        <f t="shared" si="41"/>
        <v>694</v>
      </c>
      <c r="V107" s="7">
        <f t="shared" si="42"/>
        <v>677</v>
      </c>
      <c r="W107" s="7">
        <f t="shared" si="43"/>
        <v>689</v>
      </c>
      <c r="X107" s="6"/>
      <c r="Y107" s="5"/>
      <c r="Z107" s="5"/>
      <c r="AA107" s="5"/>
      <c r="AB107" s="5"/>
    </row>
    <row r="108" spans="1:28" ht="15" customHeight="1">
      <c r="A108" s="13">
        <v>94</v>
      </c>
      <c r="B108" s="4">
        <f t="shared" si="32"/>
        <v>45137</v>
      </c>
      <c r="C108" s="10">
        <f t="shared" si="33"/>
        <v>842</v>
      </c>
      <c r="D108" s="9">
        <f t="shared" si="34"/>
        <v>1486</v>
      </c>
      <c r="E108" s="8">
        <f t="shared" si="25"/>
        <v>614</v>
      </c>
      <c r="F108" s="8">
        <f t="shared" si="26"/>
        <v>631</v>
      </c>
      <c r="G108" s="8">
        <f t="shared" si="27"/>
        <v>559</v>
      </c>
      <c r="H108" s="5">
        <f t="shared" si="28"/>
        <v>1714</v>
      </c>
      <c r="I108" s="5">
        <f t="shared" si="29"/>
        <v>1697</v>
      </c>
      <c r="J108" s="5">
        <f t="shared" si="30"/>
        <v>1769</v>
      </c>
      <c r="K108" s="5">
        <f t="shared" si="35"/>
        <v>2000</v>
      </c>
      <c r="L108" s="5">
        <f t="shared" si="36"/>
        <v>2000</v>
      </c>
      <c r="M108" s="5">
        <f t="shared" si="37"/>
        <v>2000</v>
      </c>
      <c r="N108" s="5">
        <f t="shared" si="38"/>
        <v>-286</v>
      </c>
      <c r="O108" s="5">
        <f t="shared" si="39"/>
        <v>-303</v>
      </c>
      <c r="P108" s="5">
        <f t="shared" si="40"/>
        <v>-231</v>
      </c>
      <c r="Q108" s="8">
        <v>0</v>
      </c>
      <c r="R108" s="8">
        <v>0</v>
      </c>
      <c r="S108" s="8">
        <v>0</v>
      </c>
      <c r="T108" s="6">
        <f t="shared" si="31"/>
        <v>1651</v>
      </c>
      <c r="U108" s="7">
        <f t="shared" si="41"/>
        <v>694</v>
      </c>
      <c r="V108" s="7">
        <f t="shared" si="42"/>
        <v>677</v>
      </c>
      <c r="W108" s="7">
        <f t="shared" si="43"/>
        <v>689</v>
      </c>
      <c r="X108" s="6"/>
      <c r="Y108" s="5"/>
      <c r="Z108" s="5"/>
      <c r="AA108" s="5"/>
      <c r="AB108" s="5"/>
    </row>
    <row r="109" spans="1:28" ht="15" customHeight="1">
      <c r="A109" s="13">
        <v>95</v>
      </c>
      <c r="B109" s="4">
        <f t="shared" si="32"/>
        <v>45138</v>
      </c>
      <c r="C109" s="10">
        <f t="shared" si="33"/>
        <v>842</v>
      </c>
      <c r="D109" s="9">
        <f t="shared" si="34"/>
        <v>1484</v>
      </c>
      <c r="E109" s="8">
        <f t="shared" si="25"/>
        <v>612</v>
      </c>
      <c r="F109" s="8">
        <f t="shared" si="26"/>
        <v>629</v>
      </c>
      <c r="G109" s="8">
        <f t="shared" si="27"/>
        <v>557</v>
      </c>
      <c r="H109" s="5">
        <f t="shared" si="28"/>
        <v>1714</v>
      </c>
      <c r="I109" s="5">
        <f t="shared" si="29"/>
        <v>1697</v>
      </c>
      <c r="J109" s="5">
        <f t="shared" si="30"/>
        <v>1769</v>
      </c>
      <c r="K109" s="5">
        <f t="shared" si="35"/>
        <v>2000</v>
      </c>
      <c r="L109" s="5">
        <f t="shared" si="36"/>
        <v>2000</v>
      </c>
      <c r="M109" s="5">
        <f t="shared" si="37"/>
        <v>2000</v>
      </c>
      <c r="N109" s="5">
        <f t="shared" si="38"/>
        <v>-286</v>
      </c>
      <c r="O109" s="5">
        <f t="shared" si="39"/>
        <v>-303</v>
      </c>
      <c r="P109" s="5">
        <f t="shared" si="40"/>
        <v>-231</v>
      </c>
      <c r="Q109" s="8">
        <v>0</v>
      </c>
      <c r="R109" s="8">
        <v>0</v>
      </c>
      <c r="S109" s="8">
        <v>0</v>
      </c>
      <c r="T109" s="6">
        <f t="shared" si="31"/>
        <v>1649</v>
      </c>
      <c r="U109" s="7">
        <f t="shared" si="41"/>
        <v>694</v>
      </c>
      <c r="V109" s="7">
        <f t="shared" si="42"/>
        <v>677</v>
      </c>
      <c r="W109" s="7">
        <f t="shared" si="43"/>
        <v>689</v>
      </c>
      <c r="X109" s="6"/>
      <c r="Y109" s="5"/>
      <c r="Z109" s="5"/>
      <c r="AA109" s="5"/>
      <c r="AB109" s="5"/>
    </row>
    <row r="110" spans="1:28" ht="15" customHeight="1">
      <c r="A110" s="13">
        <v>96</v>
      </c>
      <c r="B110" s="4">
        <f t="shared" si="32"/>
        <v>45139</v>
      </c>
      <c r="C110" s="10">
        <f t="shared" si="33"/>
        <v>842</v>
      </c>
      <c r="D110" s="9">
        <f t="shared" si="34"/>
        <v>1482</v>
      </c>
      <c r="E110" s="8">
        <f t="shared" si="25"/>
        <v>610</v>
      </c>
      <c r="F110" s="8">
        <f t="shared" si="26"/>
        <v>627</v>
      </c>
      <c r="G110" s="8">
        <f t="shared" si="27"/>
        <v>555</v>
      </c>
      <c r="H110" s="5">
        <f t="shared" si="28"/>
        <v>1714</v>
      </c>
      <c r="I110" s="5">
        <f t="shared" si="29"/>
        <v>1697</v>
      </c>
      <c r="J110" s="5">
        <f t="shared" si="30"/>
        <v>1769</v>
      </c>
      <c r="K110" s="5">
        <f t="shared" si="35"/>
        <v>2000</v>
      </c>
      <c r="L110" s="5">
        <f t="shared" si="36"/>
        <v>2000</v>
      </c>
      <c r="M110" s="5">
        <f t="shared" si="37"/>
        <v>2000</v>
      </c>
      <c r="N110" s="5">
        <f t="shared" si="38"/>
        <v>-286</v>
      </c>
      <c r="O110" s="5">
        <f t="shared" si="39"/>
        <v>-303</v>
      </c>
      <c r="P110" s="5">
        <f t="shared" si="40"/>
        <v>-231</v>
      </c>
      <c r="Q110" s="8">
        <v>0</v>
      </c>
      <c r="R110" s="8">
        <v>0</v>
      </c>
      <c r="S110" s="8">
        <v>0</v>
      </c>
      <c r="T110" s="6">
        <f t="shared" si="31"/>
        <v>1647</v>
      </c>
      <c r="U110" s="7">
        <f t="shared" si="41"/>
        <v>694</v>
      </c>
      <c r="V110" s="7">
        <f t="shared" si="42"/>
        <v>677</v>
      </c>
      <c r="W110" s="7">
        <f t="shared" si="43"/>
        <v>689</v>
      </c>
      <c r="X110" s="6"/>
      <c r="Y110" s="5"/>
      <c r="Z110" s="5"/>
      <c r="AA110" s="5"/>
      <c r="AB110" s="5"/>
    </row>
    <row r="111" spans="1:28" ht="15" customHeight="1">
      <c r="A111" s="13">
        <v>97</v>
      </c>
      <c r="B111" s="4">
        <f t="shared" si="32"/>
        <v>45140</v>
      </c>
      <c r="C111" s="10">
        <f t="shared" si="33"/>
        <v>842</v>
      </c>
      <c r="D111" s="9">
        <f t="shared" ref="D111:D126" si="44">D110-2</f>
        <v>1480</v>
      </c>
      <c r="E111" s="8">
        <f t="shared" si="25"/>
        <v>608</v>
      </c>
      <c r="F111" s="8">
        <f t="shared" si="26"/>
        <v>625</v>
      </c>
      <c r="G111" s="8">
        <f t="shared" si="27"/>
        <v>553</v>
      </c>
      <c r="H111" s="5">
        <f t="shared" si="28"/>
        <v>1714</v>
      </c>
      <c r="I111" s="5">
        <f t="shared" si="29"/>
        <v>1697</v>
      </c>
      <c r="J111" s="5">
        <f t="shared" si="30"/>
        <v>1769</v>
      </c>
      <c r="K111" s="5">
        <f t="shared" si="35"/>
        <v>2000</v>
      </c>
      <c r="L111" s="5">
        <f t="shared" si="36"/>
        <v>2000</v>
      </c>
      <c r="M111" s="5">
        <f t="shared" si="37"/>
        <v>2000</v>
      </c>
      <c r="N111" s="5">
        <f t="shared" si="38"/>
        <v>-286</v>
      </c>
      <c r="O111" s="5">
        <f t="shared" si="39"/>
        <v>-303</v>
      </c>
      <c r="P111" s="5">
        <f t="shared" si="40"/>
        <v>-231</v>
      </c>
      <c r="Q111" s="8">
        <v>0</v>
      </c>
      <c r="R111" s="8">
        <v>0</v>
      </c>
      <c r="S111" s="8">
        <v>0</v>
      </c>
      <c r="T111" s="6">
        <f t="shared" si="31"/>
        <v>1645</v>
      </c>
      <c r="U111" s="7">
        <f t="shared" si="41"/>
        <v>694</v>
      </c>
      <c r="V111" s="7">
        <f t="shared" si="42"/>
        <v>677</v>
      </c>
      <c r="W111" s="7">
        <f t="shared" si="43"/>
        <v>689</v>
      </c>
      <c r="X111" s="6"/>
      <c r="Y111" s="5"/>
      <c r="Z111" s="5"/>
      <c r="AA111" s="5"/>
      <c r="AB111" s="5"/>
    </row>
    <row r="112" spans="1:28" ht="15" customHeight="1">
      <c r="A112" s="13">
        <v>98</v>
      </c>
      <c r="B112" s="4">
        <f t="shared" si="32"/>
        <v>45141</v>
      </c>
      <c r="C112" s="10">
        <f t="shared" si="33"/>
        <v>842</v>
      </c>
      <c r="D112" s="9">
        <f t="shared" si="44"/>
        <v>1478</v>
      </c>
      <c r="E112" s="8">
        <f t="shared" si="25"/>
        <v>606</v>
      </c>
      <c r="F112" s="8">
        <f t="shared" si="26"/>
        <v>623</v>
      </c>
      <c r="G112" s="8">
        <f t="shared" si="27"/>
        <v>551</v>
      </c>
      <c r="H112" s="5">
        <f t="shared" si="28"/>
        <v>1714</v>
      </c>
      <c r="I112" s="5">
        <f t="shared" si="29"/>
        <v>1697</v>
      </c>
      <c r="J112" s="5">
        <f t="shared" si="30"/>
        <v>1769</v>
      </c>
      <c r="K112" s="5">
        <f t="shared" si="35"/>
        <v>2000</v>
      </c>
      <c r="L112" s="5">
        <f t="shared" si="36"/>
        <v>2000</v>
      </c>
      <c r="M112" s="5">
        <f t="shared" si="37"/>
        <v>2000</v>
      </c>
      <c r="N112" s="5">
        <f t="shared" si="38"/>
        <v>-286</v>
      </c>
      <c r="O112" s="5">
        <f t="shared" si="39"/>
        <v>-303</v>
      </c>
      <c r="P112" s="5">
        <f t="shared" si="40"/>
        <v>-231</v>
      </c>
      <c r="Q112" s="8">
        <v>0</v>
      </c>
      <c r="R112" s="8">
        <v>0</v>
      </c>
      <c r="S112" s="8">
        <v>0</v>
      </c>
      <c r="T112" s="6">
        <f t="shared" si="31"/>
        <v>1643</v>
      </c>
      <c r="U112" s="7">
        <f t="shared" si="41"/>
        <v>694</v>
      </c>
      <c r="V112" s="7">
        <f t="shared" si="42"/>
        <v>677</v>
      </c>
      <c r="W112" s="7">
        <f t="shared" si="43"/>
        <v>689</v>
      </c>
      <c r="X112" s="6"/>
      <c r="Y112" s="5"/>
      <c r="Z112" s="5"/>
      <c r="AA112" s="5"/>
      <c r="AB112" s="5"/>
    </row>
    <row r="113" spans="1:28" ht="15" customHeight="1">
      <c r="A113" s="13">
        <v>99</v>
      </c>
      <c r="B113" s="4">
        <f t="shared" si="32"/>
        <v>45142</v>
      </c>
      <c r="C113" s="10">
        <f t="shared" si="33"/>
        <v>842</v>
      </c>
      <c r="D113" s="9">
        <f t="shared" si="44"/>
        <v>1476</v>
      </c>
      <c r="E113" s="8">
        <f t="shared" si="25"/>
        <v>604</v>
      </c>
      <c r="F113" s="8">
        <f t="shared" si="26"/>
        <v>621</v>
      </c>
      <c r="G113" s="8">
        <f t="shared" si="27"/>
        <v>549</v>
      </c>
      <c r="H113" s="5">
        <f t="shared" si="28"/>
        <v>1714</v>
      </c>
      <c r="I113" s="5">
        <f t="shared" si="29"/>
        <v>1697</v>
      </c>
      <c r="J113" s="5">
        <f t="shared" si="30"/>
        <v>1769</v>
      </c>
      <c r="K113" s="5">
        <f t="shared" si="35"/>
        <v>2000</v>
      </c>
      <c r="L113" s="5">
        <f t="shared" si="36"/>
        <v>2000</v>
      </c>
      <c r="M113" s="5">
        <f t="shared" si="37"/>
        <v>2000</v>
      </c>
      <c r="N113" s="5">
        <f t="shared" si="38"/>
        <v>-286</v>
      </c>
      <c r="O113" s="5">
        <f t="shared" si="39"/>
        <v>-303</v>
      </c>
      <c r="P113" s="5">
        <f t="shared" si="40"/>
        <v>-231</v>
      </c>
      <c r="Q113" s="8">
        <v>0</v>
      </c>
      <c r="R113" s="8">
        <v>0</v>
      </c>
      <c r="S113" s="8">
        <v>0</v>
      </c>
      <c r="T113" s="6">
        <f t="shared" si="31"/>
        <v>1641</v>
      </c>
      <c r="U113" s="7">
        <f t="shared" si="41"/>
        <v>694</v>
      </c>
      <c r="V113" s="7">
        <f t="shared" si="42"/>
        <v>677</v>
      </c>
      <c r="W113" s="7">
        <f t="shared" si="43"/>
        <v>689</v>
      </c>
      <c r="X113" s="6"/>
      <c r="Y113" s="5"/>
      <c r="Z113" s="5"/>
      <c r="AA113" s="5"/>
      <c r="AB113" s="5"/>
    </row>
    <row r="114" spans="1:28" ht="15" customHeight="1">
      <c r="A114" s="13">
        <v>100</v>
      </c>
      <c r="B114" s="4">
        <f t="shared" si="32"/>
        <v>45143</v>
      </c>
      <c r="C114" s="10">
        <f t="shared" si="33"/>
        <v>842</v>
      </c>
      <c r="D114" s="9">
        <f t="shared" si="44"/>
        <v>1474</v>
      </c>
      <c r="E114" s="8">
        <f t="shared" si="25"/>
        <v>602</v>
      </c>
      <c r="F114" s="8">
        <f t="shared" si="26"/>
        <v>619</v>
      </c>
      <c r="G114" s="8">
        <f t="shared" si="27"/>
        <v>547</v>
      </c>
      <c r="H114" s="5">
        <f t="shared" si="28"/>
        <v>1714</v>
      </c>
      <c r="I114" s="5">
        <f t="shared" si="29"/>
        <v>1697</v>
      </c>
      <c r="J114" s="5">
        <f t="shared" si="30"/>
        <v>1769</v>
      </c>
      <c r="K114" s="5">
        <f t="shared" si="35"/>
        <v>2000</v>
      </c>
      <c r="L114" s="5">
        <f t="shared" si="36"/>
        <v>2000</v>
      </c>
      <c r="M114" s="5">
        <f t="shared" si="37"/>
        <v>2000</v>
      </c>
      <c r="N114" s="5">
        <f t="shared" si="38"/>
        <v>-286</v>
      </c>
      <c r="O114" s="5">
        <f t="shared" si="39"/>
        <v>-303</v>
      </c>
      <c r="P114" s="5">
        <f t="shared" si="40"/>
        <v>-231</v>
      </c>
      <c r="Q114" s="8">
        <v>0</v>
      </c>
      <c r="R114" s="8">
        <v>0</v>
      </c>
      <c r="S114" s="8">
        <v>0</v>
      </c>
      <c r="T114" s="6">
        <f t="shared" si="31"/>
        <v>1639</v>
      </c>
      <c r="U114" s="7">
        <f t="shared" si="41"/>
        <v>694</v>
      </c>
      <c r="V114" s="7">
        <f t="shared" si="42"/>
        <v>677</v>
      </c>
      <c r="W114" s="7">
        <f t="shared" si="43"/>
        <v>689</v>
      </c>
      <c r="X114" s="6"/>
      <c r="Y114" s="5"/>
      <c r="Z114" s="5"/>
      <c r="AA114" s="5"/>
      <c r="AB114" s="5"/>
    </row>
    <row r="115" spans="1:28" ht="15" customHeight="1">
      <c r="A115" s="13">
        <v>101</v>
      </c>
      <c r="B115" s="4">
        <f t="shared" si="32"/>
        <v>45144</v>
      </c>
      <c r="C115" s="10">
        <f t="shared" si="33"/>
        <v>842</v>
      </c>
      <c r="D115" s="9">
        <f t="shared" si="44"/>
        <v>1472</v>
      </c>
      <c r="E115" s="8">
        <f t="shared" si="25"/>
        <v>600</v>
      </c>
      <c r="F115" s="8">
        <f t="shared" si="26"/>
        <v>617</v>
      </c>
      <c r="G115" s="8">
        <f t="shared" si="27"/>
        <v>545</v>
      </c>
      <c r="H115" s="5">
        <f t="shared" si="28"/>
        <v>1714</v>
      </c>
      <c r="I115" s="5">
        <f t="shared" si="29"/>
        <v>1697</v>
      </c>
      <c r="J115" s="5">
        <f t="shared" si="30"/>
        <v>1769</v>
      </c>
      <c r="K115" s="5">
        <f t="shared" si="35"/>
        <v>2000</v>
      </c>
      <c r="L115" s="5">
        <f t="shared" si="36"/>
        <v>2000</v>
      </c>
      <c r="M115" s="5">
        <f t="shared" si="37"/>
        <v>2000</v>
      </c>
      <c r="N115" s="5">
        <f t="shared" si="38"/>
        <v>-286</v>
      </c>
      <c r="O115" s="5">
        <f t="shared" si="39"/>
        <v>-303</v>
      </c>
      <c r="P115" s="5">
        <f t="shared" si="40"/>
        <v>-231</v>
      </c>
      <c r="Q115" s="8">
        <v>0</v>
      </c>
      <c r="R115" s="8">
        <v>0</v>
      </c>
      <c r="S115" s="8">
        <v>0</v>
      </c>
      <c r="T115" s="6">
        <f t="shared" si="31"/>
        <v>1637</v>
      </c>
      <c r="U115" s="7">
        <f t="shared" si="41"/>
        <v>694</v>
      </c>
      <c r="V115" s="7">
        <f t="shared" si="42"/>
        <v>677</v>
      </c>
      <c r="W115" s="7">
        <f t="shared" si="43"/>
        <v>689</v>
      </c>
      <c r="X115" s="6"/>
      <c r="Y115" s="5"/>
      <c r="Z115" s="5"/>
      <c r="AA115" s="5"/>
      <c r="AB115" s="5"/>
    </row>
    <row r="116" spans="1:28" ht="13.15" customHeight="1">
      <c r="A116" s="13">
        <v>102</v>
      </c>
      <c r="B116" s="4">
        <f t="shared" si="32"/>
        <v>45145</v>
      </c>
      <c r="C116" s="10">
        <f t="shared" si="33"/>
        <v>842</v>
      </c>
      <c r="D116" s="9">
        <f t="shared" si="44"/>
        <v>1470</v>
      </c>
      <c r="E116" s="8">
        <f t="shared" si="25"/>
        <v>598</v>
      </c>
      <c r="F116" s="8">
        <f t="shared" si="26"/>
        <v>615</v>
      </c>
      <c r="G116" s="8">
        <f t="shared" si="27"/>
        <v>543</v>
      </c>
      <c r="H116" s="5">
        <f t="shared" si="28"/>
        <v>1714</v>
      </c>
      <c r="I116" s="5">
        <f t="shared" si="29"/>
        <v>1697</v>
      </c>
      <c r="J116" s="5">
        <f t="shared" si="30"/>
        <v>1769</v>
      </c>
      <c r="K116" s="5">
        <f t="shared" si="35"/>
        <v>2000</v>
      </c>
      <c r="L116" s="5">
        <f t="shared" si="36"/>
        <v>2000</v>
      </c>
      <c r="M116" s="5">
        <f t="shared" si="37"/>
        <v>2000</v>
      </c>
      <c r="N116" s="5">
        <f t="shared" si="38"/>
        <v>-286</v>
      </c>
      <c r="O116" s="5">
        <f t="shared" si="39"/>
        <v>-303</v>
      </c>
      <c r="P116" s="5">
        <f t="shared" si="40"/>
        <v>-231</v>
      </c>
      <c r="Q116" s="8">
        <v>0</v>
      </c>
      <c r="R116" s="8">
        <v>0</v>
      </c>
      <c r="S116" s="8">
        <v>0</v>
      </c>
      <c r="T116" s="6">
        <f t="shared" si="31"/>
        <v>1635</v>
      </c>
      <c r="U116" s="7">
        <f t="shared" si="41"/>
        <v>694</v>
      </c>
      <c r="V116" s="7">
        <f t="shared" si="42"/>
        <v>677</v>
      </c>
      <c r="W116" s="7">
        <f t="shared" si="43"/>
        <v>689</v>
      </c>
      <c r="X116" s="6"/>
      <c r="Y116" s="5"/>
      <c r="Z116" s="5"/>
      <c r="AA116" s="5"/>
      <c r="AB116" s="5"/>
    </row>
    <row r="117" spans="1:28" ht="13.15" customHeight="1">
      <c r="A117" s="13">
        <v>103</v>
      </c>
      <c r="B117" s="4">
        <f t="shared" si="32"/>
        <v>45146</v>
      </c>
      <c r="C117" s="10">
        <f t="shared" si="33"/>
        <v>842</v>
      </c>
      <c r="D117" s="9">
        <f t="shared" si="44"/>
        <v>1468</v>
      </c>
      <c r="E117" s="8">
        <f t="shared" si="25"/>
        <v>596</v>
      </c>
      <c r="F117" s="8">
        <f t="shared" si="26"/>
        <v>613</v>
      </c>
      <c r="G117" s="8">
        <f t="shared" si="27"/>
        <v>541</v>
      </c>
      <c r="H117" s="5">
        <f t="shared" si="28"/>
        <v>1714</v>
      </c>
      <c r="I117" s="5">
        <f t="shared" si="29"/>
        <v>1697</v>
      </c>
      <c r="J117" s="5">
        <f t="shared" si="30"/>
        <v>1769</v>
      </c>
      <c r="K117" s="5">
        <f t="shared" si="35"/>
        <v>2000</v>
      </c>
      <c r="L117" s="5">
        <f t="shared" si="36"/>
        <v>2000</v>
      </c>
      <c r="M117" s="5">
        <f t="shared" si="37"/>
        <v>2000</v>
      </c>
      <c r="N117" s="5">
        <f t="shared" si="38"/>
        <v>-286</v>
      </c>
      <c r="O117" s="5">
        <f t="shared" si="39"/>
        <v>-303</v>
      </c>
      <c r="P117" s="5">
        <f t="shared" si="40"/>
        <v>-231</v>
      </c>
      <c r="Q117" s="8">
        <v>0</v>
      </c>
      <c r="R117" s="8">
        <v>0</v>
      </c>
      <c r="S117" s="8">
        <v>0</v>
      </c>
      <c r="T117" s="6">
        <f t="shared" si="31"/>
        <v>1633</v>
      </c>
      <c r="U117" s="7">
        <f t="shared" si="41"/>
        <v>694</v>
      </c>
      <c r="V117" s="7">
        <f t="shared" si="42"/>
        <v>677</v>
      </c>
      <c r="W117" s="7">
        <f t="shared" si="43"/>
        <v>689</v>
      </c>
      <c r="X117" s="6"/>
      <c r="Y117" s="5"/>
      <c r="Z117" s="5"/>
      <c r="AA117" s="5"/>
      <c r="AB117" s="5"/>
    </row>
    <row r="118" spans="1:28" ht="13.15" customHeight="1">
      <c r="A118" s="13">
        <v>104</v>
      </c>
      <c r="B118" s="4">
        <f t="shared" si="32"/>
        <v>45147</v>
      </c>
      <c r="C118" s="10">
        <f t="shared" si="33"/>
        <v>842</v>
      </c>
      <c r="D118" s="9">
        <f t="shared" si="44"/>
        <v>1466</v>
      </c>
      <c r="E118" s="8">
        <f t="shared" si="25"/>
        <v>594</v>
      </c>
      <c r="F118" s="8">
        <f t="shared" si="26"/>
        <v>611</v>
      </c>
      <c r="G118" s="8">
        <f t="shared" si="27"/>
        <v>539</v>
      </c>
      <c r="H118" s="5">
        <f t="shared" si="28"/>
        <v>1714</v>
      </c>
      <c r="I118" s="5">
        <f t="shared" si="29"/>
        <v>1697</v>
      </c>
      <c r="J118" s="5">
        <f t="shared" si="30"/>
        <v>1769</v>
      </c>
      <c r="K118" s="5">
        <f t="shared" si="35"/>
        <v>2000</v>
      </c>
      <c r="L118" s="5">
        <f t="shared" si="36"/>
        <v>2000</v>
      </c>
      <c r="M118" s="5">
        <f t="shared" si="37"/>
        <v>2000</v>
      </c>
      <c r="N118" s="5">
        <f t="shared" si="38"/>
        <v>-286</v>
      </c>
      <c r="O118" s="5">
        <f t="shared" si="39"/>
        <v>-303</v>
      </c>
      <c r="P118" s="5">
        <f t="shared" si="40"/>
        <v>-231</v>
      </c>
      <c r="Q118" s="8">
        <v>0</v>
      </c>
      <c r="R118" s="8">
        <v>0</v>
      </c>
      <c r="S118" s="8">
        <v>0</v>
      </c>
      <c r="T118" s="6">
        <f t="shared" si="31"/>
        <v>1631</v>
      </c>
      <c r="U118" s="7">
        <f t="shared" si="41"/>
        <v>694</v>
      </c>
      <c r="V118" s="7">
        <f t="shared" si="42"/>
        <v>677</v>
      </c>
      <c r="W118" s="7">
        <f t="shared" si="43"/>
        <v>689</v>
      </c>
      <c r="X118" s="6"/>
      <c r="Y118" s="5"/>
      <c r="Z118" s="5"/>
      <c r="AA118" s="5"/>
      <c r="AB118" s="5"/>
    </row>
    <row r="119" spans="1:28" ht="13.15" customHeight="1">
      <c r="A119" s="13">
        <v>105</v>
      </c>
      <c r="B119" s="4">
        <f t="shared" si="32"/>
        <v>45148</v>
      </c>
      <c r="C119" s="10">
        <f t="shared" si="33"/>
        <v>842</v>
      </c>
      <c r="D119" s="9">
        <f t="shared" si="44"/>
        <v>1464</v>
      </c>
      <c r="E119" s="8">
        <f t="shared" si="25"/>
        <v>592</v>
      </c>
      <c r="F119" s="8">
        <f t="shared" si="26"/>
        <v>609</v>
      </c>
      <c r="G119" s="8">
        <f t="shared" si="27"/>
        <v>537</v>
      </c>
      <c r="H119" s="5">
        <f t="shared" si="28"/>
        <v>1714</v>
      </c>
      <c r="I119" s="5">
        <f t="shared" si="29"/>
        <v>1697</v>
      </c>
      <c r="J119" s="5">
        <f t="shared" si="30"/>
        <v>1769</v>
      </c>
      <c r="K119" s="5">
        <f t="shared" si="35"/>
        <v>2000</v>
      </c>
      <c r="L119" s="5">
        <f t="shared" si="36"/>
        <v>2000</v>
      </c>
      <c r="M119" s="5">
        <f t="shared" si="37"/>
        <v>2000</v>
      </c>
      <c r="N119" s="5">
        <f t="shared" si="38"/>
        <v>-286</v>
      </c>
      <c r="O119" s="5">
        <f t="shared" si="39"/>
        <v>-303</v>
      </c>
      <c r="P119" s="5">
        <f t="shared" si="40"/>
        <v>-231</v>
      </c>
      <c r="Q119" s="8">
        <v>0</v>
      </c>
      <c r="R119" s="8">
        <v>0</v>
      </c>
      <c r="S119" s="8">
        <v>0</v>
      </c>
      <c r="T119" s="6">
        <f t="shared" si="31"/>
        <v>1629</v>
      </c>
      <c r="U119" s="7">
        <f t="shared" si="41"/>
        <v>694</v>
      </c>
      <c r="V119" s="7">
        <f t="shared" si="42"/>
        <v>677</v>
      </c>
      <c r="W119" s="7">
        <f t="shared" si="43"/>
        <v>689</v>
      </c>
      <c r="X119" s="6"/>
      <c r="Y119" s="5"/>
      <c r="Z119" s="5"/>
      <c r="AA119" s="5"/>
      <c r="AB119" s="5"/>
    </row>
    <row r="120" spans="1:28" ht="13.15" customHeight="1">
      <c r="A120" s="13">
        <v>106</v>
      </c>
      <c r="B120" s="4">
        <f t="shared" si="32"/>
        <v>45149</v>
      </c>
      <c r="C120" s="10">
        <f t="shared" si="33"/>
        <v>842</v>
      </c>
      <c r="D120" s="9">
        <f t="shared" si="44"/>
        <v>1462</v>
      </c>
      <c r="E120" s="8">
        <f t="shared" si="25"/>
        <v>590</v>
      </c>
      <c r="F120" s="8">
        <f t="shared" si="26"/>
        <v>607</v>
      </c>
      <c r="G120" s="8">
        <f t="shared" si="27"/>
        <v>535</v>
      </c>
      <c r="H120" s="5">
        <f t="shared" si="28"/>
        <v>1714</v>
      </c>
      <c r="I120" s="5">
        <f t="shared" si="29"/>
        <v>1697</v>
      </c>
      <c r="J120" s="5">
        <f t="shared" si="30"/>
        <v>1769</v>
      </c>
      <c r="K120" s="5">
        <f t="shared" si="35"/>
        <v>2000</v>
      </c>
      <c r="L120" s="5">
        <f t="shared" si="36"/>
        <v>2000</v>
      </c>
      <c r="M120" s="5">
        <f t="shared" si="37"/>
        <v>2000</v>
      </c>
      <c r="N120" s="5">
        <f t="shared" si="38"/>
        <v>-286</v>
      </c>
      <c r="O120" s="5">
        <f t="shared" si="39"/>
        <v>-303</v>
      </c>
      <c r="P120" s="5">
        <f t="shared" si="40"/>
        <v>-231</v>
      </c>
      <c r="Q120" s="8">
        <v>0</v>
      </c>
      <c r="R120" s="8">
        <v>0</v>
      </c>
      <c r="S120" s="8">
        <v>0</v>
      </c>
      <c r="T120" s="6">
        <f t="shared" si="31"/>
        <v>1627</v>
      </c>
      <c r="U120" s="7">
        <f t="shared" si="41"/>
        <v>694</v>
      </c>
      <c r="V120" s="7">
        <f t="shared" si="42"/>
        <v>677</v>
      </c>
      <c r="W120" s="7">
        <f t="shared" si="43"/>
        <v>689</v>
      </c>
      <c r="X120" s="6"/>
      <c r="Y120" s="5"/>
      <c r="Z120" s="5"/>
      <c r="AA120" s="5"/>
      <c r="AB120" s="5"/>
    </row>
    <row r="121" spans="1:28" ht="13.15" customHeight="1">
      <c r="A121" s="13">
        <v>107</v>
      </c>
      <c r="B121" s="4">
        <f t="shared" si="32"/>
        <v>45150</v>
      </c>
      <c r="C121" s="10">
        <f t="shared" si="33"/>
        <v>842</v>
      </c>
      <c r="D121" s="9">
        <f t="shared" si="44"/>
        <v>1460</v>
      </c>
      <c r="E121" s="8">
        <f t="shared" si="25"/>
        <v>588</v>
      </c>
      <c r="F121" s="8">
        <f t="shared" si="26"/>
        <v>605</v>
      </c>
      <c r="G121" s="8">
        <f t="shared" si="27"/>
        <v>533</v>
      </c>
      <c r="H121" s="5">
        <f t="shared" si="28"/>
        <v>1714</v>
      </c>
      <c r="I121" s="5">
        <f t="shared" si="29"/>
        <v>1697</v>
      </c>
      <c r="J121" s="5">
        <f t="shared" si="30"/>
        <v>1769</v>
      </c>
      <c r="K121" s="5">
        <f t="shared" si="35"/>
        <v>2000</v>
      </c>
      <c r="L121" s="5">
        <f t="shared" si="36"/>
        <v>2000</v>
      </c>
      <c r="M121" s="5">
        <f t="shared" si="37"/>
        <v>2000</v>
      </c>
      <c r="N121" s="5">
        <f t="shared" si="38"/>
        <v>-286</v>
      </c>
      <c r="O121" s="5">
        <f t="shared" si="39"/>
        <v>-303</v>
      </c>
      <c r="P121" s="5">
        <f t="shared" si="40"/>
        <v>-231</v>
      </c>
      <c r="Q121" s="8">
        <v>0</v>
      </c>
      <c r="R121" s="8">
        <v>0</v>
      </c>
      <c r="S121" s="8">
        <v>0</v>
      </c>
      <c r="T121" s="6">
        <f t="shared" si="31"/>
        <v>1625</v>
      </c>
      <c r="U121" s="7">
        <f t="shared" si="41"/>
        <v>694</v>
      </c>
      <c r="V121" s="7">
        <f t="shared" si="42"/>
        <v>677</v>
      </c>
      <c r="W121" s="7">
        <f t="shared" si="43"/>
        <v>689</v>
      </c>
      <c r="X121" s="6"/>
      <c r="Y121" s="5"/>
      <c r="Z121" s="5"/>
      <c r="AA121" s="5"/>
      <c r="AB121" s="5"/>
    </row>
    <row r="122" spans="1:28" ht="13.15" customHeight="1">
      <c r="A122" s="13">
        <v>108</v>
      </c>
      <c r="B122" s="4">
        <f t="shared" si="32"/>
        <v>45151</v>
      </c>
      <c r="C122" s="10">
        <f t="shared" si="33"/>
        <v>842</v>
      </c>
      <c r="D122" s="9">
        <f t="shared" si="44"/>
        <v>1458</v>
      </c>
      <c r="E122" s="8">
        <f t="shared" si="25"/>
        <v>586</v>
      </c>
      <c r="F122" s="8">
        <f t="shared" si="26"/>
        <v>603</v>
      </c>
      <c r="G122" s="8">
        <f t="shared" si="27"/>
        <v>531</v>
      </c>
      <c r="H122" s="5">
        <f t="shared" si="28"/>
        <v>1714</v>
      </c>
      <c r="I122" s="5">
        <f t="shared" si="29"/>
        <v>1697</v>
      </c>
      <c r="J122" s="5">
        <f t="shared" si="30"/>
        <v>1769</v>
      </c>
      <c r="K122" s="5">
        <f t="shared" si="35"/>
        <v>2000</v>
      </c>
      <c r="L122" s="5">
        <f t="shared" si="36"/>
        <v>2000</v>
      </c>
      <c r="M122" s="5">
        <f t="shared" si="37"/>
        <v>2000</v>
      </c>
      <c r="N122" s="5">
        <f t="shared" si="38"/>
        <v>-286</v>
      </c>
      <c r="O122" s="5">
        <f t="shared" si="39"/>
        <v>-303</v>
      </c>
      <c r="P122" s="5">
        <f t="shared" si="40"/>
        <v>-231</v>
      </c>
      <c r="Q122" s="8">
        <v>0</v>
      </c>
      <c r="R122" s="8">
        <v>0</v>
      </c>
      <c r="S122" s="8">
        <v>0</v>
      </c>
      <c r="T122" s="6">
        <f t="shared" si="31"/>
        <v>1623</v>
      </c>
      <c r="U122" s="7">
        <f t="shared" si="41"/>
        <v>694</v>
      </c>
      <c r="V122" s="7">
        <f t="shared" si="42"/>
        <v>677</v>
      </c>
      <c r="W122" s="7">
        <f t="shared" si="43"/>
        <v>689</v>
      </c>
      <c r="X122" s="6"/>
      <c r="Y122" s="5"/>
      <c r="Z122" s="5"/>
      <c r="AA122" s="5"/>
      <c r="AB122" s="5"/>
    </row>
    <row r="123" spans="1:28" ht="13.15" customHeight="1">
      <c r="A123" s="13">
        <v>109</v>
      </c>
      <c r="B123" s="4">
        <f t="shared" si="32"/>
        <v>45152</v>
      </c>
      <c r="C123" s="10">
        <f t="shared" si="33"/>
        <v>842</v>
      </c>
      <c r="D123" s="9">
        <f t="shared" si="44"/>
        <v>1456</v>
      </c>
      <c r="E123" s="8">
        <f t="shared" si="25"/>
        <v>584</v>
      </c>
      <c r="F123" s="8">
        <f t="shared" si="26"/>
        <v>601</v>
      </c>
      <c r="G123" s="8">
        <f t="shared" si="27"/>
        <v>529</v>
      </c>
      <c r="H123" s="5">
        <f t="shared" si="28"/>
        <v>1714</v>
      </c>
      <c r="I123" s="5">
        <f t="shared" si="29"/>
        <v>1697</v>
      </c>
      <c r="J123" s="5">
        <f t="shared" si="30"/>
        <v>1769</v>
      </c>
      <c r="K123" s="5">
        <f t="shared" si="35"/>
        <v>2000</v>
      </c>
      <c r="L123" s="5">
        <f t="shared" si="36"/>
        <v>2000</v>
      </c>
      <c r="M123" s="5">
        <f t="shared" si="37"/>
        <v>2000</v>
      </c>
      <c r="N123" s="5">
        <f t="shared" si="38"/>
        <v>-286</v>
      </c>
      <c r="O123" s="5">
        <f t="shared" si="39"/>
        <v>-303</v>
      </c>
      <c r="P123" s="5">
        <f t="shared" si="40"/>
        <v>-231</v>
      </c>
      <c r="Q123" s="8">
        <v>0</v>
      </c>
      <c r="R123" s="8">
        <v>0</v>
      </c>
      <c r="S123" s="8">
        <v>0</v>
      </c>
      <c r="T123" s="6">
        <f t="shared" si="31"/>
        <v>1621</v>
      </c>
      <c r="U123" s="7">
        <f t="shared" si="41"/>
        <v>694</v>
      </c>
      <c r="V123" s="7">
        <f t="shared" si="42"/>
        <v>677</v>
      </c>
      <c r="W123" s="7">
        <f t="shared" si="43"/>
        <v>689</v>
      </c>
      <c r="X123" s="6"/>
      <c r="Y123" s="5"/>
      <c r="Z123" s="5"/>
      <c r="AA123" s="5"/>
      <c r="AB123" s="5"/>
    </row>
    <row r="124" spans="1:28" ht="13.15" customHeight="1">
      <c r="A124" s="13">
        <v>110</v>
      </c>
      <c r="B124" s="4">
        <f t="shared" si="32"/>
        <v>45153</v>
      </c>
      <c r="C124" s="10">
        <f t="shared" si="33"/>
        <v>842</v>
      </c>
      <c r="D124" s="9">
        <f t="shared" si="44"/>
        <v>1454</v>
      </c>
      <c r="E124" s="8">
        <f t="shared" si="25"/>
        <v>582</v>
      </c>
      <c r="F124" s="8">
        <f t="shared" si="26"/>
        <v>599</v>
      </c>
      <c r="G124" s="8">
        <f t="shared" si="27"/>
        <v>527</v>
      </c>
      <c r="H124" s="5">
        <f t="shared" si="28"/>
        <v>1714</v>
      </c>
      <c r="I124" s="5">
        <f t="shared" si="29"/>
        <v>1697</v>
      </c>
      <c r="J124" s="5">
        <f t="shared" si="30"/>
        <v>1769</v>
      </c>
      <c r="K124" s="5">
        <f t="shared" si="35"/>
        <v>2000</v>
      </c>
      <c r="L124" s="5">
        <f t="shared" si="36"/>
        <v>2000</v>
      </c>
      <c r="M124" s="5">
        <f t="shared" si="37"/>
        <v>2000</v>
      </c>
      <c r="N124" s="5">
        <f t="shared" si="38"/>
        <v>-286</v>
      </c>
      <c r="O124" s="5">
        <f t="shared" si="39"/>
        <v>-303</v>
      </c>
      <c r="P124" s="5">
        <f t="shared" si="40"/>
        <v>-231</v>
      </c>
      <c r="Q124" s="8">
        <v>0</v>
      </c>
      <c r="R124" s="8">
        <v>0</v>
      </c>
      <c r="S124" s="8">
        <v>0</v>
      </c>
      <c r="T124" s="6">
        <f t="shared" si="31"/>
        <v>1619</v>
      </c>
      <c r="U124" s="7">
        <f t="shared" si="41"/>
        <v>694</v>
      </c>
      <c r="V124" s="7">
        <f t="shared" si="42"/>
        <v>677</v>
      </c>
      <c r="W124" s="7">
        <f t="shared" si="43"/>
        <v>689</v>
      </c>
      <c r="X124" s="6"/>
      <c r="Y124" s="5"/>
      <c r="Z124" s="5"/>
      <c r="AA124" s="5"/>
      <c r="AB124" s="5"/>
    </row>
    <row r="125" spans="1:28" ht="13.15" customHeight="1">
      <c r="A125" s="13">
        <v>111</v>
      </c>
      <c r="B125" s="4">
        <f t="shared" si="32"/>
        <v>45154</v>
      </c>
      <c r="C125" s="10">
        <f t="shared" si="33"/>
        <v>842</v>
      </c>
      <c r="D125" s="9">
        <f t="shared" si="44"/>
        <v>1452</v>
      </c>
      <c r="E125" s="8">
        <f t="shared" si="25"/>
        <v>580</v>
      </c>
      <c r="F125" s="8">
        <f t="shared" si="26"/>
        <v>597</v>
      </c>
      <c r="G125" s="8">
        <f t="shared" si="27"/>
        <v>525</v>
      </c>
      <c r="H125" s="5">
        <f t="shared" si="28"/>
        <v>1714</v>
      </c>
      <c r="I125" s="5">
        <f t="shared" si="29"/>
        <v>1697</v>
      </c>
      <c r="J125" s="5">
        <f t="shared" si="30"/>
        <v>1769</v>
      </c>
      <c r="K125" s="5">
        <f t="shared" si="35"/>
        <v>2000</v>
      </c>
      <c r="L125" s="5">
        <f t="shared" si="36"/>
        <v>2000</v>
      </c>
      <c r="M125" s="5">
        <f t="shared" si="37"/>
        <v>2000</v>
      </c>
      <c r="N125" s="5">
        <f t="shared" si="38"/>
        <v>-286</v>
      </c>
      <c r="O125" s="5">
        <f t="shared" si="39"/>
        <v>-303</v>
      </c>
      <c r="P125" s="5">
        <f t="shared" si="40"/>
        <v>-231</v>
      </c>
      <c r="Q125" s="8">
        <v>0</v>
      </c>
      <c r="R125" s="8">
        <v>0</v>
      </c>
      <c r="S125" s="8">
        <v>0</v>
      </c>
      <c r="T125" s="6">
        <f t="shared" si="31"/>
        <v>1617</v>
      </c>
      <c r="U125" s="7">
        <f t="shared" si="41"/>
        <v>694</v>
      </c>
      <c r="V125" s="7">
        <f t="shared" si="42"/>
        <v>677</v>
      </c>
      <c r="W125" s="7">
        <f t="shared" si="43"/>
        <v>689</v>
      </c>
      <c r="X125" s="6"/>
      <c r="Y125" s="5"/>
      <c r="Z125" s="5"/>
      <c r="AA125" s="5"/>
      <c r="AB125" s="5"/>
    </row>
    <row r="126" spans="1:28" ht="13.15" customHeight="1">
      <c r="A126" s="13">
        <v>112</v>
      </c>
      <c r="B126" s="4">
        <f t="shared" si="32"/>
        <v>45155</v>
      </c>
      <c r="C126" s="10">
        <f t="shared" si="33"/>
        <v>842</v>
      </c>
      <c r="D126" s="9">
        <f t="shared" si="44"/>
        <v>1450</v>
      </c>
      <c r="E126" s="8">
        <f t="shared" si="25"/>
        <v>578</v>
      </c>
      <c r="F126" s="8">
        <f t="shared" si="26"/>
        <v>595</v>
      </c>
      <c r="G126" s="8">
        <f t="shared" si="27"/>
        <v>523</v>
      </c>
      <c r="H126" s="5">
        <f t="shared" si="28"/>
        <v>1714</v>
      </c>
      <c r="I126" s="5">
        <f t="shared" si="29"/>
        <v>1697</v>
      </c>
      <c r="J126" s="5">
        <f t="shared" si="30"/>
        <v>1769</v>
      </c>
      <c r="K126" s="5">
        <f t="shared" si="35"/>
        <v>2000</v>
      </c>
      <c r="L126" s="5">
        <f t="shared" si="36"/>
        <v>2000</v>
      </c>
      <c r="M126" s="5">
        <f t="shared" si="37"/>
        <v>2000</v>
      </c>
      <c r="N126" s="5">
        <f t="shared" si="38"/>
        <v>-286</v>
      </c>
      <c r="O126" s="5">
        <f t="shared" si="39"/>
        <v>-303</v>
      </c>
      <c r="P126" s="5">
        <f t="shared" si="40"/>
        <v>-231</v>
      </c>
      <c r="Q126" s="8">
        <v>0</v>
      </c>
      <c r="R126" s="8">
        <v>0</v>
      </c>
      <c r="S126" s="8">
        <v>0</v>
      </c>
      <c r="T126" s="6">
        <f t="shared" si="31"/>
        <v>1615</v>
      </c>
      <c r="U126" s="7">
        <f t="shared" si="41"/>
        <v>694</v>
      </c>
      <c r="V126" s="7">
        <f t="shared" si="42"/>
        <v>677</v>
      </c>
      <c r="W126" s="7">
        <f t="shared" si="43"/>
        <v>689</v>
      </c>
      <c r="X126" s="6"/>
      <c r="Y126" s="5"/>
      <c r="Z126" s="5"/>
      <c r="AA126" s="5"/>
      <c r="AB126" s="5"/>
    </row>
    <row r="127" spans="1:28" ht="13.15" customHeight="1">
      <c r="A127" s="13">
        <v>113</v>
      </c>
      <c r="B127" s="4">
        <f t="shared" si="32"/>
        <v>45156</v>
      </c>
      <c r="C127" s="10">
        <f t="shared" si="33"/>
        <v>842</v>
      </c>
      <c r="D127" s="9">
        <f t="shared" ref="D127:D190" si="45">D126+2</f>
        <v>1452</v>
      </c>
      <c r="E127" s="8">
        <f t="shared" si="25"/>
        <v>580</v>
      </c>
      <c r="F127" s="8">
        <f t="shared" si="26"/>
        <v>597</v>
      </c>
      <c r="G127" s="8">
        <f t="shared" si="27"/>
        <v>525</v>
      </c>
      <c r="H127" s="5">
        <f t="shared" si="28"/>
        <v>1714</v>
      </c>
      <c r="I127" s="5">
        <f t="shared" si="29"/>
        <v>1697</v>
      </c>
      <c r="J127" s="5">
        <f t="shared" si="30"/>
        <v>1769</v>
      </c>
      <c r="K127" s="5">
        <f t="shared" si="35"/>
        <v>2000</v>
      </c>
      <c r="L127" s="5">
        <f t="shared" si="36"/>
        <v>2000</v>
      </c>
      <c r="M127" s="5">
        <f t="shared" si="37"/>
        <v>2000</v>
      </c>
      <c r="N127" s="5">
        <f t="shared" si="38"/>
        <v>-286</v>
      </c>
      <c r="O127" s="5">
        <f t="shared" si="39"/>
        <v>-303</v>
      </c>
      <c r="P127" s="5">
        <f t="shared" si="40"/>
        <v>-231</v>
      </c>
      <c r="Q127" s="8">
        <v>0</v>
      </c>
      <c r="R127" s="8">
        <v>0</v>
      </c>
      <c r="S127" s="8">
        <v>0</v>
      </c>
      <c r="T127" s="6">
        <f t="shared" si="31"/>
        <v>1617</v>
      </c>
      <c r="U127" s="7">
        <f t="shared" si="41"/>
        <v>694</v>
      </c>
      <c r="V127" s="7">
        <f t="shared" si="42"/>
        <v>677</v>
      </c>
      <c r="W127" s="7">
        <f t="shared" si="43"/>
        <v>689</v>
      </c>
      <c r="X127" s="6"/>
      <c r="Y127" s="5"/>
      <c r="Z127" s="5"/>
      <c r="AA127" s="5"/>
      <c r="AB127" s="5"/>
    </row>
    <row r="128" spans="1:28" ht="13.15" customHeight="1">
      <c r="A128" s="13">
        <v>114</v>
      </c>
      <c r="B128" s="4">
        <f t="shared" si="32"/>
        <v>45157</v>
      </c>
      <c r="C128" s="10">
        <f t="shared" si="33"/>
        <v>842</v>
      </c>
      <c r="D128" s="9">
        <f t="shared" si="45"/>
        <v>1454</v>
      </c>
      <c r="E128" s="8">
        <f t="shared" si="25"/>
        <v>582</v>
      </c>
      <c r="F128" s="8">
        <f t="shared" si="26"/>
        <v>599</v>
      </c>
      <c r="G128" s="8">
        <f t="shared" si="27"/>
        <v>527</v>
      </c>
      <c r="H128" s="5">
        <f t="shared" si="28"/>
        <v>1714</v>
      </c>
      <c r="I128" s="5">
        <f t="shared" si="29"/>
        <v>1697</v>
      </c>
      <c r="J128" s="5">
        <f t="shared" si="30"/>
        <v>1769</v>
      </c>
      <c r="K128" s="5">
        <f t="shared" si="35"/>
        <v>2000</v>
      </c>
      <c r="L128" s="5">
        <f t="shared" si="36"/>
        <v>2000</v>
      </c>
      <c r="M128" s="5">
        <f t="shared" si="37"/>
        <v>2000</v>
      </c>
      <c r="N128" s="5">
        <f t="shared" si="38"/>
        <v>-286</v>
      </c>
      <c r="O128" s="5">
        <f t="shared" si="39"/>
        <v>-303</v>
      </c>
      <c r="P128" s="5">
        <f t="shared" si="40"/>
        <v>-231</v>
      </c>
      <c r="Q128" s="8">
        <v>0</v>
      </c>
      <c r="R128" s="8">
        <v>0</v>
      </c>
      <c r="S128" s="8">
        <v>0</v>
      </c>
      <c r="T128" s="6">
        <f t="shared" si="31"/>
        <v>1619</v>
      </c>
      <c r="U128" s="7">
        <f t="shared" si="41"/>
        <v>694</v>
      </c>
      <c r="V128" s="7">
        <f t="shared" si="42"/>
        <v>677</v>
      </c>
      <c r="W128" s="7">
        <f t="shared" si="43"/>
        <v>689</v>
      </c>
      <c r="X128" s="6"/>
      <c r="Y128" s="5"/>
      <c r="Z128" s="5"/>
      <c r="AA128" s="5"/>
      <c r="AB128" s="5"/>
    </row>
    <row r="129" spans="1:28" ht="13.15" customHeight="1">
      <c r="A129" s="13">
        <v>115</v>
      </c>
      <c r="B129" s="4">
        <f t="shared" si="32"/>
        <v>45158</v>
      </c>
      <c r="C129" s="10">
        <f t="shared" si="33"/>
        <v>842</v>
      </c>
      <c r="D129" s="9">
        <f t="shared" si="45"/>
        <v>1456</v>
      </c>
      <c r="E129" s="8">
        <f t="shared" si="25"/>
        <v>584</v>
      </c>
      <c r="F129" s="8">
        <f t="shared" si="26"/>
        <v>601</v>
      </c>
      <c r="G129" s="8">
        <f t="shared" si="27"/>
        <v>529</v>
      </c>
      <c r="H129" s="5">
        <f t="shared" si="28"/>
        <v>1714</v>
      </c>
      <c r="I129" s="5">
        <f t="shared" si="29"/>
        <v>1697</v>
      </c>
      <c r="J129" s="5">
        <f t="shared" si="30"/>
        <v>1769</v>
      </c>
      <c r="K129" s="5">
        <f t="shared" si="35"/>
        <v>2000</v>
      </c>
      <c r="L129" s="5">
        <f t="shared" si="36"/>
        <v>2000</v>
      </c>
      <c r="M129" s="5">
        <f t="shared" si="37"/>
        <v>2000</v>
      </c>
      <c r="N129" s="5">
        <f t="shared" si="38"/>
        <v>-286</v>
      </c>
      <c r="O129" s="5">
        <f t="shared" si="39"/>
        <v>-303</v>
      </c>
      <c r="P129" s="5">
        <f t="shared" si="40"/>
        <v>-231</v>
      </c>
      <c r="Q129" s="8">
        <v>0</v>
      </c>
      <c r="R129" s="8">
        <v>0</v>
      </c>
      <c r="S129" s="8">
        <v>0</v>
      </c>
      <c r="T129" s="6">
        <f t="shared" si="31"/>
        <v>1621</v>
      </c>
      <c r="U129" s="7">
        <f t="shared" si="41"/>
        <v>694</v>
      </c>
      <c r="V129" s="7">
        <f t="shared" si="42"/>
        <v>677</v>
      </c>
      <c r="W129" s="7">
        <f t="shared" si="43"/>
        <v>689</v>
      </c>
      <c r="X129" s="6"/>
      <c r="Y129" s="5"/>
      <c r="Z129" s="5"/>
      <c r="AA129" s="5"/>
      <c r="AB129" s="5"/>
    </row>
    <row r="130" spans="1:28" ht="13.15" customHeight="1">
      <c r="A130" s="13">
        <v>116</v>
      </c>
      <c r="B130" s="4">
        <f t="shared" si="32"/>
        <v>45159</v>
      </c>
      <c r="C130" s="10">
        <f t="shared" si="33"/>
        <v>842</v>
      </c>
      <c r="D130" s="9">
        <f t="shared" si="45"/>
        <v>1458</v>
      </c>
      <c r="E130" s="8">
        <f t="shared" si="25"/>
        <v>586</v>
      </c>
      <c r="F130" s="8">
        <f t="shared" si="26"/>
        <v>603</v>
      </c>
      <c r="G130" s="8">
        <f t="shared" si="27"/>
        <v>531</v>
      </c>
      <c r="H130" s="5">
        <f t="shared" si="28"/>
        <v>1714</v>
      </c>
      <c r="I130" s="5">
        <f t="shared" si="29"/>
        <v>1697</v>
      </c>
      <c r="J130" s="5">
        <f t="shared" si="30"/>
        <v>1769</v>
      </c>
      <c r="K130" s="5">
        <f t="shared" si="35"/>
        <v>2000</v>
      </c>
      <c r="L130" s="5">
        <f t="shared" si="36"/>
        <v>2000</v>
      </c>
      <c r="M130" s="5">
        <f t="shared" si="37"/>
        <v>2000</v>
      </c>
      <c r="N130" s="5">
        <f t="shared" si="38"/>
        <v>-286</v>
      </c>
      <c r="O130" s="5">
        <f t="shared" si="39"/>
        <v>-303</v>
      </c>
      <c r="P130" s="5">
        <f t="shared" si="40"/>
        <v>-231</v>
      </c>
      <c r="Q130" s="8">
        <v>0</v>
      </c>
      <c r="R130" s="8">
        <v>0</v>
      </c>
      <c r="S130" s="8">
        <v>0</v>
      </c>
      <c r="T130" s="6">
        <f t="shared" si="31"/>
        <v>1623</v>
      </c>
      <c r="U130" s="7">
        <f t="shared" si="41"/>
        <v>694</v>
      </c>
      <c r="V130" s="7">
        <f t="shared" si="42"/>
        <v>677</v>
      </c>
      <c r="W130" s="7">
        <f t="shared" si="43"/>
        <v>689</v>
      </c>
      <c r="X130" s="6"/>
      <c r="Y130" s="5"/>
      <c r="Z130" s="5"/>
      <c r="AA130" s="5"/>
      <c r="AB130" s="5"/>
    </row>
    <row r="131" spans="1:28" ht="13.15" customHeight="1">
      <c r="A131" s="13">
        <v>117</v>
      </c>
      <c r="B131" s="4">
        <f t="shared" si="32"/>
        <v>45160</v>
      </c>
      <c r="C131" s="10">
        <f t="shared" si="33"/>
        <v>842</v>
      </c>
      <c r="D131" s="9">
        <f t="shared" si="45"/>
        <v>1460</v>
      </c>
      <c r="E131" s="8">
        <f t="shared" si="25"/>
        <v>588</v>
      </c>
      <c r="F131" s="8">
        <f t="shared" si="26"/>
        <v>605</v>
      </c>
      <c r="G131" s="8">
        <f t="shared" si="27"/>
        <v>533</v>
      </c>
      <c r="H131" s="5">
        <f t="shared" si="28"/>
        <v>1714</v>
      </c>
      <c r="I131" s="5">
        <f t="shared" si="29"/>
        <v>1697</v>
      </c>
      <c r="J131" s="5">
        <f t="shared" si="30"/>
        <v>1769</v>
      </c>
      <c r="K131" s="5">
        <f t="shared" si="35"/>
        <v>2000</v>
      </c>
      <c r="L131" s="5">
        <f t="shared" si="36"/>
        <v>2000</v>
      </c>
      <c r="M131" s="5">
        <f t="shared" si="37"/>
        <v>2000</v>
      </c>
      <c r="N131" s="5">
        <f t="shared" si="38"/>
        <v>-286</v>
      </c>
      <c r="O131" s="5">
        <f t="shared" si="39"/>
        <v>-303</v>
      </c>
      <c r="P131" s="5">
        <f t="shared" si="40"/>
        <v>-231</v>
      </c>
      <c r="Q131" s="8">
        <v>0</v>
      </c>
      <c r="R131" s="8">
        <v>0</v>
      </c>
      <c r="S131" s="8">
        <v>0</v>
      </c>
      <c r="T131" s="6">
        <f t="shared" si="31"/>
        <v>1625</v>
      </c>
      <c r="U131" s="7">
        <f t="shared" si="41"/>
        <v>694</v>
      </c>
      <c r="V131" s="7">
        <f t="shared" si="42"/>
        <v>677</v>
      </c>
      <c r="W131" s="7">
        <f t="shared" si="43"/>
        <v>689</v>
      </c>
      <c r="X131" s="6"/>
      <c r="Y131" s="5"/>
      <c r="Z131" s="5"/>
      <c r="AA131" s="5"/>
      <c r="AB131" s="5"/>
    </row>
    <row r="132" spans="1:28" ht="13.15" customHeight="1">
      <c r="A132" s="13">
        <v>118</v>
      </c>
      <c r="B132" s="4">
        <f t="shared" si="32"/>
        <v>45161</v>
      </c>
      <c r="C132" s="10">
        <f t="shared" si="33"/>
        <v>842</v>
      </c>
      <c r="D132" s="9">
        <f t="shared" si="45"/>
        <v>1462</v>
      </c>
      <c r="E132" s="8">
        <f t="shared" si="25"/>
        <v>590</v>
      </c>
      <c r="F132" s="8">
        <f t="shared" si="26"/>
        <v>607</v>
      </c>
      <c r="G132" s="8">
        <f t="shared" si="27"/>
        <v>535</v>
      </c>
      <c r="H132" s="5">
        <f t="shared" si="28"/>
        <v>1714</v>
      </c>
      <c r="I132" s="5">
        <f t="shared" si="29"/>
        <v>1697</v>
      </c>
      <c r="J132" s="5">
        <f t="shared" si="30"/>
        <v>1769</v>
      </c>
      <c r="K132" s="5">
        <f t="shared" si="35"/>
        <v>2000</v>
      </c>
      <c r="L132" s="5">
        <f t="shared" si="36"/>
        <v>2000</v>
      </c>
      <c r="M132" s="5">
        <f t="shared" si="37"/>
        <v>2000</v>
      </c>
      <c r="N132" s="5">
        <f t="shared" si="38"/>
        <v>-286</v>
      </c>
      <c r="O132" s="5">
        <f t="shared" si="39"/>
        <v>-303</v>
      </c>
      <c r="P132" s="5">
        <f t="shared" si="40"/>
        <v>-231</v>
      </c>
      <c r="Q132" s="8">
        <v>0</v>
      </c>
      <c r="R132" s="8">
        <v>0</v>
      </c>
      <c r="S132" s="8">
        <v>0</v>
      </c>
      <c r="T132" s="6">
        <f t="shared" si="31"/>
        <v>1627</v>
      </c>
      <c r="U132" s="7">
        <f t="shared" si="41"/>
        <v>694</v>
      </c>
      <c r="V132" s="7">
        <f t="shared" si="42"/>
        <v>677</v>
      </c>
      <c r="W132" s="7">
        <f t="shared" si="43"/>
        <v>689</v>
      </c>
      <c r="X132" s="6"/>
      <c r="Y132" s="5"/>
      <c r="Z132" s="5"/>
      <c r="AA132" s="5"/>
      <c r="AB132" s="5"/>
    </row>
    <row r="133" spans="1:28" ht="13.15" customHeight="1">
      <c r="A133" s="13">
        <v>119</v>
      </c>
      <c r="B133" s="4">
        <f t="shared" si="32"/>
        <v>45162</v>
      </c>
      <c r="C133" s="10">
        <f t="shared" si="33"/>
        <v>842</v>
      </c>
      <c r="D133" s="9">
        <f t="shared" si="45"/>
        <v>1464</v>
      </c>
      <c r="E133" s="8">
        <f t="shared" si="25"/>
        <v>592</v>
      </c>
      <c r="F133" s="8">
        <f t="shared" si="26"/>
        <v>609</v>
      </c>
      <c r="G133" s="8">
        <f t="shared" si="27"/>
        <v>537</v>
      </c>
      <c r="H133" s="5">
        <f t="shared" si="28"/>
        <v>1714</v>
      </c>
      <c r="I133" s="5">
        <f t="shared" si="29"/>
        <v>1697</v>
      </c>
      <c r="J133" s="5">
        <f t="shared" si="30"/>
        <v>1769</v>
      </c>
      <c r="K133" s="5">
        <f t="shared" si="35"/>
        <v>2000</v>
      </c>
      <c r="L133" s="5">
        <f t="shared" si="36"/>
        <v>2000</v>
      </c>
      <c r="M133" s="5">
        <f t="shared" si="37"/>
        <v>2000</v>
      </c>
      <c r="N133" s="5">
        <f t="shared" si="38"/>
        <v>-286</v>
      </c>
      <c r="O133" s="5">
        <f t="shared" si="39"/>
        <v>-303</v>
      </c>
      <c r="P133" s="5">
        <f t="shared" si="40"/>
        <v>-231</v>
      </c>
      <c r="Q133" s="8">
        <v>0</v>
      </c>
      <c r="R133" s="8">
        <v>0</v>
      </c>
      <c r="S133" s="8">
        <v>0</v>
      </c>
      <c r="T133" s="6">
        <f t="shared" si="31"/>
        <v>1629</v>
      </c>
      <c r="U133" s="7">
        <f t="shared" si="41"/>
        <v>694</v>
      </c>
      <c r="V133" s="7">
        <f t="shared" si="42"/>
        <v>677</v>
      </c>
      <c r="W133" s="7">
        <f t="shared" si="43"/>
        <v>689</v>
      </c>
      <c r="X133" s="6"/>
      <c r="Y133" s="5"/>
      <c r="Z133" s="5"/>
      <c r="AA133" s="5"/>
      <c r="AB133" s="5"/>
    </row>
    <row r="134" spans="1:28" ht="13.15" customHeight="1">
      <c r="A134" s="13">
        <v>120</v>
      </c>
      <c r="B134" s="4">
        <f t="shared" si="32"/>
        <v>45163</v>
      </c>
      <c r="C134" s="10">
        <f t="shared" si="33"/>
        <v>842</v>
      </c>
      <c r="D134" s="9">
        <f t="shared" si="45"/>
        <v>1466</v>
      </c>
      <c r="E134" s="8">
        <f t="shared" si="25"/>
        <v>594</v>
      </c>
      <c r="F134" s="8">
        <f t="shared" si="26"/>
        <v>611</v>
      </c>
      <c r="G134" s="8">
        <f t="shared" si="27"/>
        <v>539</v>
      </c>
      <c r="H134" s="5">
        <f t="shared" si="28"/>
        <v>1714</v>
      </c>
      <c r="I134" s="5">
        <f t="shared" si="29"/>
        <v>1697</v>
      </c>
      <c r="J134" s="5">
        <f t="shared" si="30"/>
        <v>1769</v>
      </c>
      <c r="K134" s="5">
        <f t="shared" si="35"/>
        <v>2000</v>
      </c>
      <c r="L134" s="5">
        <f t="shared" si="36"/>
        <v>2000</v>
      </c>
      <c r="M134" s="5">
        <f t="shared" si="37"/>
        <v>2000</v>
      </c>
      <c r="N134" s="5">
        <f t="shared" si="38"/>
        <v>-286</v>
      </c>
      <c r="O134" s="5">
        <f t="shared" si="39"/>
        <v>-303</v>
      </c>
      <c r="P134" s="5">
        <f t="shared" si="40"/>
        <v>-231</v>
      </c>
      <c r="Q134" s="8">
        <v>0</v>
      </c>
      <c r="R134" s="8">
        <v>0</v>
      </c>
      <c r="S134" s="8">
        <v>0</v>
      </c>
      <c r="T134" s="6">
        <f t="shared" si="31"/>
        <v>1631</v>
      </c>
      <c r="U134" s="7">
        <f t="shared" si="41"/>
        <v>694</v>
      </c>
      <c r="V134" s="7">
        <f t="shared" si="42"/>
        <v>677</v>
      </c>
      <c r="W134" s="7">
        <f t="shared" si="43"/>
        <v>689</v>
      </c>
      <c r="X134" s="6"/>
      <c r="Y134" s="5"/>
      <c r="Z134" s="5"/>
      <c r="AA134" s="5"/>
      <c r="AB134" s="5"/>
    </row>
    <row r="135" spans="1:28" ht="13.15" customHeight="1">
      <c r="A135" s="13">
        <v>121</v>
      </c>
      <c r="B135" s="4">
        <f t="shared" si="32"/>
        <v>45164</v>
      </c>
      <c r="C135" s="10">
        <f t="shared" si="33"/>
        <v>842</v>
      </c>
      <c r="D135" s="9">
        <f t="shared" si="45"/>
        <v>1468</v>
      </c>
      <c r="E135" s="8">
        <f t="shared" si="25"/>
        <v>596</v>
      </c>
      <c r="F135" s="8">
        <f t="shared" si="26"/>
        <v>613</v>
      </c>
      <c r="G135" s="8">
        <f t="shared" si="27"/>
        <v>541</v>
      </c>
      <c r="H135" s="5">
        <f t="shared" si="28"/>
        <v>1714</v>
      </c>
      <c r="I135" s="5">
        <f t="shared" si="29"/>
        <v>1697</v>
      </c>
      <c r="J135" s="5">
        <f t="shared" si="30"/>
        <v>1769</v>
      </c>
      <c r="K135" s="5">
        <f t="shared" si="35"/>
        <v>2000</v>
      </c>
      <c r="L135" s="5">
        <f t="shared" si="36"/>
        <v>2000</v>
      </c>
      <c r="M135" s="5">
        <f t="shared" si="37"/>
        <v>2000</v>
      </c>
      <c r="N135" s="5">
        <f t="shared" si="38"/>
        <v>-286</v>
      </c>
      <c r="O135" s="5">
        <f t="shared" si="39"/>
        <v>-303</v>
      </c>
      <c r="P135" s="5">
        <f t="shared" si="40"/>
        <v>-231</v>
      </c>
      <c r="Q135" s="8">
        <v>0</v>
      </c>
      <c r="R135" s="8">
        <v>0</v>
      </c>
      <c r="S135" s="8">
        <v>0</v>
      </c>
      <c r="T135" s="6">
        <f t="shared" si="31"/>
        <v>1633</v>
      </c>
      <c r="U135" s="7">
        <f t="shared" si="41"/>
        <v>694</v>
      </c>
      <c r="V135" s="7">
        <f t="shared" si="42"/>
        <v>677</v>
      </c>
      <c r="W135" s="7">
        <f t="shared" si="43"/>
        <v>689</v>
      </c>
      <c r="X135" s="6"/>
      <c r="Y135" s="5"/>
      <c r="Z135" s="5"/>
      <c r="AA135" s="5"/>
      <c r="AB135" s="5"/>
    </row>
    <row r="136" spans="1:28" ht="13.15" customHeight="1">
      <c r="A136" s="13">
        <v>122</v>
      </c>
      <c r="B136" s="4">
        <f t="shared" si="32"/>
        <v>45165</v>
      </c>
      <c r="C136" s="10">
        <f t="shared" si="33"/>
        <v>842</v>
      </c>
      <c r="D136" s="9">
        <f t="shared" si="45"/>
        <v>1470</v>
      </c>
      <c r="E136" s="8">
        <f t="shared" si="25"/>
        <v>598</v>
      </c>
      <c r="F136" s="8">
        <f t="shared" si="26"/>
        <v>615</v>
      </c>
      <c r="G136" s="8">
        <f t="shared" si="27"/>
        <v>543</v>
      </c>
      <c r="H136" s="5">
        <f t="shared" si="28"/>
        <v>1714</v>
      </c>
      <c r="I136" s="5">
        <f t="shared" si="29"/>
        <v>1697</v>
      </c>
      <c r="J136" s="5">
        <f t="shared" si="30"/>
        <v>1769</v>
      </c>
      <c r="K136" s="5">
        <f t="shared" si="35"/>
        <v>2000</v>
      </c>
      <c r="L136" s="5">
        <f t="shared" si="36"/>
        <v>2000</v>
      </c>
      <c r="M136" s="5">
        <f t="shared" si="37"/>
        <v>2000</v>
      </c>
      <c r="N136" s="5">
        <f t="shared" si="38"/>
        <v>-286</v>
      </c>
      <c r="O136" s="5">
        <f t="shared" si="39"/>
        <v>-303</v>
      </c>
      <c r="P136" s="5">
        <f t="shared" si="40"/>
        <v>-231</v>
      </c>
      <c r="Q136" s="8">
        <v>0</v>
      </c>
      <c r="R136" s="8">
        <v>0</v>
      </c>
      <c r="S136" s="8">
        <v>0</v>
      </c>
      <c r="T136" s="6">
        <f t="shared" si="31"/>
        <v>1635</v>
      </c>
      <c r="U136" s="7">
        <f t="shared" si="41"/>
        <v>694</v>
      </c>
      <c r="V136" s="7">
        <f t="shared" si="42"/>
        <v>677</v>
      </c>
      <c r="W136" s="7">
        <f t="shared" si="43"/>
        <v>689</v>
      </c>
      <c r="X136" s="6"/>
      <c r="Y136" s="5"/>
      <c r="Z136" s="5"/>
      <c r="AA136" s="5"/>
      <c r="AB136" s="5"/>
    </row>
    <row r="137" spans="1:28" ht="13.15" customHeight="1">
      <c r="A137" s="13">
        <v>123</v>
      </c>
      <c r="B137" s="4">
        <f t="shared" si="32"/>
        <v>45166</v>
      </c>
      <c r="C137" s="10">
        <f t="shared" si="33"/>
        <v>842</v>
      </c>
      <c r="D137" s="9">
        <f t="shared" si="45"/>
        <v>1472</v>
      </c>
      <c r="E137" s="8">
        <f t="shared" si="25"/>
        <v>600</v>
      </c>
      <c r="F137" s="8">
        <f t="shared" si="26"/>
        <v>617</v>
      </c>
      <c r="G137" s="8">
        <f t="shared" si="27"/>
        <v>545</v>
      </c>
      <c r="H137" s="5">
        <f t="shared" si="28"/>
        <v>1714</v>
      </c>
      <c r="I137" s="5">
        <f t="shared" si="29"/>
        <v>1697</v>
      </c>
      <c r="J137" s="5">
        <f t="shared" si="30"/>
        <v>1769</v>
      </c>
      <c r="K137" s="5">
        <f t="shared" si="35"/>
        <v>2000</v>
      </c>
      <c r="L137" s="5">
        <f t="shared" si="36"/>
        <v>2000</v>
      </c>
      <c r="M137" s="5">
        <f t="shared" si="37"/>
        <v>2000</v>
      </c>
      <c r="N137" s="5">
        <f t="shared" si="38"/>
        <v>-286</v>
      </c>
      <c r="O137" s="5">
        <f t="shared" si="39"/>
        <v>-303</v>
      </c>
      <c r="P137" s="5">
        <f t="shared" si="40"/>
        <v>-231</v>
      </c>
      <c r="Q137" s="8">
        <v>0</v>
      </c>
      <c r="R137" s="8">
        <v>0</v>
      </c>
      <c r="S137" s="8">
        <v>0</v>
      </c>
      <c r="T137" s="6">
        <f t="shared" si="31"/>
        <v>1637</v>
      </c>
      <c r="U137" s="7">
        <f t="shared" si="41"/>
        <v>694</v>
      </c>
      <c r="V137" s="7">
        <f t="shared" si="42"/>
        <v>677</v>
      </c>
      <c r="W137" s="7">
        <f t="shared" si="43"/>
        <v>689</v>
      </c>
      <c r="X137" s="6"/>
      <c r="Y137" s="5"/>
      <c r="Z137" s="5"/>
      <c r="AA137" s="5"/>
      <c r="AB137" s="5"/>
    </row>
    <row r="138" spans="1:28" ht="13.15" customHeight="1">
      <c r="A138" s="13">
        <v>124</v>
      </c>
      <c r="B138" s="4">
        <f t="shared" si="32"/>
        <v>45167</v>
      </c>
      <c r="C138" s="10">
        <f t="shared" si="33"/>
        <v>842</v>
      </c>
      <c r="D138" s="9">
        <f t="shared" si="45"/>
        <v>1474</v>
      </c>
      <c r="E138" s="8">
        <f t="shared" si="25"/>
        <v>602</v>
      </c>
      <c r="F138" s="8">
        <f t="shared" si="26"/>
        <v>619</v>
      </c>
      <c r="G138" s="8">
        <f t="shared" si="27"/>
        <v>547</v>
      </c>
      <c r="H138" s="5">
        <f t="shared" si="28"/>
        <v>1714</v>
      </c>
      <c r="I138" s="5">
        <f t="shared" si="29"/>
        <v>1697</v>
      </c>
      <c r="J138" s="5">
        <f t="shared" si="30"/>
        <v>1769</v>
      </c>
      <c r="K138" s="5">
        <f t="shared" si="35"/>
        <v>2000</v>
      </c>
      <c r="L138" s="5">
        <f t="shared" si="36"/>
        <v>2000</v>
      </c>
      <c r="M138" s="5">
        <f t="shared" si="37"/>
        <v>2000</v>
      </c>
      <c r="N138" s="5">
        <f t="shared" si="38"/>
        <v>-286</v>
      </c>
      <c r="O138" s="5">
        <f t="shared" si="39"/>
        <v>-303</v>
      </c>
      <c r="P138" s="5">
        <f t="shared" si="40"/>
        <v>-231</v>
      </c>
      <c r="Q138" s="8">
        <v>0</v>
      </c>
      <c r="R138" s="8">
        <v>0</v>
      </c>
      <c r="S138" s="8">
        <v>0</v>
      </c>
      <c r="T138" s="6">
        <f t="shared" si="31"/>
        <v>1639</v>
      </c>
      <c r="U138" s="7">
        <f t="shared" si="41"/>
        <v>694</v>
      </c>
      <c r="V138" s="7">
        <f t="shared" si="42"/>
        <v>677</v>
      </c>
      <c r="W138" s="7">
        <f t="shared" si="43"/>
        <v>689</v>
      </c>
      <c r="X138" s="6"/>
      <c r="Y138" s="5"/>
      <c r="Z138" s="5"/>
      <c r="AA138" s="5"/>
      <c r="AB138" s="5"/>
    </row>
    <row r="139" spans="1:28" ht="13.15" customHeight="1">
      <c r="A139" s="13">
        <v>125</v>
      </c>
      <c r="B139" s="4">
        <f t="shared" si="32"/>
        <v>45168</v>
      </c>
      <c r="C139" s="10">
        <f t="shared" si="33"/>
        <v>842</v>
      </c>
      <c r="D139" s="9">
        <f t="shared" si="45"/>
        <v>1476</v>
      </c>
      <c r="E139" s="8">
        <f t="shared" si="25"/>
        <v>604</v>
      </c>
      <c r="F139" s="8">
        <f t="shared" si="26"/>
        <v>621</v>
      </c>
      <c r="G139" s="8">
        <f t="shared" si="27"/>
        <v>549</v>
      </c>
      <c r="H139" s="5">
        <f t="shared" si="28"/>
        <v>1714</v>
      </c>
      <c r="I139" s="5">
        <f t="shared" si="29"/>
        <v>1697</v>
      </c>
      <c r="J139" s="5">
        <f t="shared" si="30"/>
        <v>1769</v>
      </c>
      <c r="K139" s="5">
        <f t="shared" si="35"/>
        <v>2000</v>
      </c>
      <c r="L139" s="5">
        <f t="shared" si="36"/>
        <v>2000</v>
      </c>
      <c r="M139" s="5">
        <f t="shared" si="37"/>
        <v>2000</v>
      </c>
      <c r="N139" s="5">
        <f t="shared" si="38"/>
        <v>-286</v>
      </c>
      <c r="O139" s="5">
        <f t="shared" si="39"/>
        <v>-303</v>
      </c>
      <c r="P139" s="5">
        <f t="shared" si="40"/>
        <v>-231</v>
      </c>
      <c r="Q139" s="8">
        <v>0</v>
      </c>
      <c r="R139" s="8">
        <v>0</v>
      </c>
      <c r="S139" s="8">
        <v>0</v>
      </c>
      <c r="T139" s="6">
        <f t="shared" si="31"/>
        <v>1641</v>
      </c>
      <c r="U139" s="7">
        <f t="shared" si="41"/>
        <v>694</v>
      </c>
      <c r="V139" s="7">
        <f t="shared" si="42"/>
        <v>677</v>
      </c>
      <c r="W139" s="7">
        <f t="shared" si="43"/>
        <v>689</v>
      </c>
      <c r="X139" s="6"/>
      <c r="Y139" s="5"/>
      <c r="Z139" s="5"/>
      <c r="AA139" s="5"/>
      <c r="AB139" s="5"/>
    </row>
    <row r="140" spans="1:28" ht="13.15" customHeight="1">
      <c r="A140" s="13">
        <v>126</v>
      </c>
      <c r="B140" s="4">
        <f t="shared" si="32"/>
        <v>45169</v>
      </c>
      <c r="C140" s="10">
        <f t="shared" si="33"/>
        <v>842</v>
      </c>
      <c r="D140" s="9">
        <f t="shared" si="45"/>
        <v>1478</v>
      </c>
      <c r="E140" s="8">
        <f t="shared" si="25"/>
        <v>606</v>
      </c>
      <c r="F140" s="8">
        <f t="shared" si="26"/>
        <v>623</v>
      </c>
      <c r="G140" s="8">
        <f t="shared" si="27"/>
        <v>551</v>
      </c>
      <c r="H140" s="5">
        <f t="shared" si="28"/>
        <v>1714</v>
      </c>
      <c r="I140" s="5">
        <f t="shared" si="29"/>
        <v>1697</v>
      </c>
      <c r="J140" s="5">
        <f t="shared" si="30"/>
        <v>1769</v>
      </c>
      <c r="K140" s="5">
        <f t="shared" si="35"/>
        <v>2000</v>
      </c>
      <c r="L140" s="5">
        <f t="shared" si="36"/>
        <v>2000</v>
      </c>
      <c r="M140" s="5">
        <f t="shared" si="37"/>
        <v>2000</v>
      </c>
      <c r="N140" s="5">
        <f t="shared" si="38"/>
        <v>-286</v>
      </c>
      <c r="O140" s="5">
        <f t="shared" si="39"/>
        <v>-303</v>
      </c>
      <c r="P140" s="5">
        <f t="shared" si="40"/>
        <v>-231</v>
      </c>
      <c r="Q140" s="8">
        <v>0</v>
      </c>
      <c r="R140" s="8">
        <v>0</v>
      </c>
      <c r="S140" s="8">
        <v>0</v>
      </c>
      <c r="T140" s="6">
        <f t="shared" si="31"/>
        <v>1643</v>
      </c>
      <c r="U140" s="7">
        <f t="shared" si="41"/>
        <v>694</v>
      </c>
      <c r="V140" s="7">
        <f t="shared" si="42"/>
        <v>677</v>
      </c>
      <c r="W140" s="7">
        <f t="shared" si="43"/>
        <v>689</v>
      </c>
      <c r="X140" s="6"/>
      <c r="Y140" s="5"/>
      <c r="Z140" s="5"/>
      <c r="AA140" s="5"/>
      <c r="AB140" s="5"/>
    </row>
    <row r="141" spans="1:28" ht="13.15" customHeight="1">
      <c r="A141" s="13">
        <v>127</v>
      </c>
      <c r="B141" s="4">
        <f t="shared" si="32"/>
        <v>45170</v>
      </c>
      <c r="C141" s="10">
        <f t="shared" si="33"/>
        <v>842</v>
      </c>
      <c r="D141" s="9">
        <f t="shared" si="45"/>
        <v>1480</v>
      </c>
      <c r="E141" s="8">
        <f t="shared" si="25"/>
        <v>608</v>
      </c>
      <c r="F141" s="8">
        <f t="shared" si="26"/>
        <v>625</v>
      </c>
      <c r="G141" s="8">
        <f t="shared" si="27"/>
        <v>553</v>
      </c>
      <c r="H141" s="5">
        <f t="shared" si="28"/>
        <v>1714</v>
      </c>
      <c r="I141" s="5">
        <f t="shared" si="29"/>
        <v>1697</v>
      </c>
      <c r="J141" s="5">
        <f t="shared" si="30"/>
        <v>1769</v>
      </c>
      <c r="K141" s="5">
        <f t="shared" si="35"/>
        <v>2000</v>
      </c>
      <c r="L141" s="5">
        <f t="shared" si="36"/>
        <v>2000</v>
      </c>
      <c r="M141" s="5">
        <f t="shared" si="37"/>
        <v>2000</v>
      </c>
      <c r="N141" s="5">
        <f t="shared" si="38"/>
        <v>-286</v>
      </c>
      <c r="O141" s="5">
        <f t="shared" si="39"/>
        <v>-303</v>
      </c>
      <c r="P141" s="5">
        <f t="shared" si="40"/>
        <v>-231</v>
      </c>
      <c r="Q141" s="8">
        <v>0</v>
      </c>
      <c r="R141" s="8">
        <v>0</v>
      </c>
      <c r="S141" s="8">
        <v>0</v>
      </c>
      <c r="T141" s="6">
        <f t="shared" si="31"/>
        <v>1645</v>
      </c>
      <c r="U141" s="7">
        <f t="shared" si="41"/>
        <v>694</v>
      </c>
      <c r="V141" s="7">
        <f t="shared" si="42"/>
        <v>677</v>
      </c>
      <c r="W141" s="7">
        <f t="shared" si="43"/>
        <v>689</v>
      </c>
      <c r="X141" s="6"/>
      <c r="Y141" s="5"/>
      <c r="Z141" s="5"/>
      <c r="AA141" s="5"/>
      <c r="AB141" s="5"/>
    </row>
    <row r="142" spans="1:28" ht="13.15" customHeight="1">
      <c r="A142" s="13">
        <v>128</v>
      </c>
      <c r="B142" s="4">
        <f t="shared" si="32"/>
        <v>45171</v>
      </c>
      <c r="C142" s="10">
        <f t="shared" si="33"/>
        <v>842</v>
      </c>
      <c r="D142" s="9">
        <f t="shared" si="45"/>
        <v>1482</v>
      </c>
      <c r="E142" s="8">
        <f t="shared" ref="E142:E205" si="46">C142+D142-H142</f>
        <v>610</v>
      </c>
      <c r="F142" s="8">
        <f t="shared" ref="F142:F205" si="47">C142+D142-I142</f>
        <v>627</v>
      </c>
      <c r="G142" s="8">
        <f t="shared" ref="G142:G205" si="48">D142+C142-J142</f>
        <v>555</v>
      </c>
      <c r="H142" s="5">
        <f t="shared" ref="H142:H205" si="49">K142+N142</f>
        <v>1714</v>
      </c>
      <c r="I142" s="5">
        <f t="shared" ref="I142:I205" si="50">L142+O142</f>
        <v>1697</v>
      </c>
      <c r="J142" s="5">
        <f t="shared" ref="J142:J205" si="51">M142+P142</f>
        <v>1769</v>
      </c>
      <c r="K142" s="5">
        <f t="shared" si="35"/>
        <v>2000</v>
      </c>
      <c r="L142" s="5">
        <f t="shared" si="36"/>
        <v>2000</v>
      </c>
      <c r="M142" s="5">
        <f t="shared" si="37"/>
        <v>2000</v>
      </c>
      <c r="N142" s="5">
        <f t="shared" si="38"/>
        <v>-286</v>
      </c>
      <c r="O142" s="5">
        <f t="shared" si="39"/>
        <v>-303</v>
      </c>
      <c r="P142" s="5">
        <f t="shared" si="40"/>
        <v>-231</v>
      </c>
      <c r="Q142" s="8">
        <v>0</v>
      </c>
      <c r="R142" s="8">
        <v>0</v>
      </c>
      <c r="S142" s="8">
        <v>0</v>
      </c>
      <c r="T142" s="6">
        <f t="shared" ref="T142:T205" si="52">D142+C142-V142</f>
        <v>1647</v>
      </c>
      <c r="U142" s="7">
        <f t="shared" si="41"/>
        <v>694</v>
      </c>
      <c r="V142" s="7">
        <f t="shared" si="42"/>
        <v>677</v>
      </c>
      <c r="W142" s="7">
        <f t="shared" si="43"/>
        <v>689</v>
      </c>
      <c r="X142" s="6"/>
      <c r="Y142" s="5"/>
      <c r="Z142" s="5"/>
      <c r="AA142" s="5"/>
      <c r="AB142" s="5"/>
    </row>
    <row r="143" spans="1:28" ht="13.15" customHeight="1">
      <c r="A143" s="13">
        <v>129</v>
      </c>
      <c r="B143" s="4">
        <f t="shared" ref="B143:B206" si="53">B142+1</f>
        <v>45172</v>
      </c>
      <c r="C143" s="10">
        <f t="shared" ref="C143:C206" si="54">C142</f>
        <v>842</v>
      </c>
      <c r="D143" s="9">
        <f t="shared" si="45"/>
        <v>1484</v>
      </c>
      <c r="E143" s="8">
        <f t="shared" si="46"/>
        <v>612</v>
      </c>
      <c r="F143" s="8">
        <f t="shared" si="47"/>
        <v>629</v>
      </c>
      <c r="G143" s="8">
        <f t="shared" si="48"/>
        <v>557</v>
      </c>
      <c r="H143" s="5">
        <f t="shared" si="49"/>
        <v>1714</v>
      </c>
      <c r="I143" s="5">
        <f t="shared" si="50"/>
        <v>1697</v>
      </c>
      <c r="J143" s="5">
        <f t="shared" si="51"/>
        <v>1769</v>
      </c>
      <c r="K143" s="5">
        <f t="shared" ref="K143:K206" si="55">K142</f>
        <v>2000</v>
      </c>
      <c r="L143" s="5">
        <f t="shared" ref="L143:L206" si="56">L142</f>
        <v>2000</v>
      </c>
      <c r="M143" s="5">
        <f t="shared" ref="M143:M206" si="57">M142</f>
        <v>2000</v>
      </c>
      <c r="N143" s="5">
        <f t="shared" ref="N143:N206" si="58">N142-Q143</f>
        <v>-286</v>
      </c>
      <c r="O143" s="5">
        <f t="shared" ref="O143:O206" si="59">O142-R143</f>
        <v>-303</v>
      </c>
      <c r="P143" s="5">
        <f t="shared" ref="P143:P206" si="60">P142-S143</f>
        <v>-231</v>
      </c>
      <c r="Q143" s="8">
        <v>0</v>
      </c>
      <c r="R143" s="8">
        <v>0</v>
      </c>
      <c r="S143" s="8">
        <v>0</v>
      </c>
      <c r="T143" s="6">
        <f t="shared" si="52"/>
        <v>1649</v>
      </c>
      <c r="U143" s="7">
        <f t="shared" si="41"/>
        <v>694</v>
      </c>
      <c r="V143" s="7">
        <f t="shared" si="42"/>
        <v>677</v>
      </c>
      <c r="W143" s="7">
        <f t="shared" si="43"/>
        <v>689</v>
      </c>
      <c r="X143" s="6"/>
      <c r="Y143" s="5"/>
      <c r="Z143" s="5"/>
      <c r="AA143" s="5"/>
      <c r="AB143" s="5"/>
    </row>
    <row r="144" spans="1:28" ht="13.15" customHeight="1">
      <c r="A144" s="13">
        <v>130</v>
      </c>
      <c r="B144" s="4">
        <f t="shared" si="53"/>
        <v>45173</v>
      </c>
      <c r="C144" s="10">
        <f t="shared" si="54"/>
        <v>842</v>
      </c>
      <c r="D144" s="9">
        <f t="shared" si="45"/>
        <v>1486</v>
      </c>
      <c r="E144" s="8">
        <f t="shared" si="46"/>
        <v>614</v>
      </c>
      <c r="F144" s="8">
        <f t="shared" si="47"/>
        <v>631</v>
      </c>
      <c r="G144" s="8">
        <f t="shared" si="48"/>
        <v>559</v>
      </c>
      <c r="H144" s="5">
        <f t="shared" si="49"/>
        <v>1714</v>
      </c>
      <c r="I144" s="5">
        <f t="shared" si="50"/>
        <v>1697</v>
      </c>
      <c r="J144" s="5">
        <f t="shared" si="51"/>
        <v>1769</v>
      </c>
      <c r="K144" s="5">
        <f t="shared" si="55"/>
        <v>2000</v>
      </c>
      <c r="L144" s="5">
        <f t="shared" si="56"/>
        <v>2000</v>
      </c>
      <c r="M144" s="5">
        <f t="shared" si="57"/>
        <v>2000</v>
      </c>
      <c r="N144" s="5">
        <f t="shared" si="58"/>
        <v>-286</v>
      </c>
      <c r="O144" s="5">
        <f t="shared" si="59"/>
        <v>-303</v>
      </c>
      <c r="P144" s="5">
        <f t="shared" si="60"/>
        <v>-231</v>
      </c>
      <c r="Q144" s="8">
        <v>0</v>
      </c>
      <c r="R144" s="8">
        <v>0</v>
      </c>
      <c r="S144" s="8">
        <v>0</v>
      </c>
      <c r="T144" s="6">
        <f t="shared" si="52"/>
        <v>1651</v>
      </c>
      <c r="U144" s="7">
        <f t="shared" si="41"/>
        <v>694</v>
      </c>
      <c r="V144" s="7">
        <f t="shared" si="42"/>
        <v>677</v>
      </c>
      <c r="W144" s="7">
        <f t="shared" si="43"/>
        <v>689</v>
      </c>
      <c r="X144" s="6"/>
      <c r="Y144" s="5"/>
      <c r="Z144" s="5"/>
      <c r="AA144" s="5"/>
      <c r="AB144" s="5"/>
    </row>
    <row r="145" spans="1:28" ht="13.15" customHeight="1">
      <c r="A145" s="13">
        <v>131</v>
      </c>
      <c r="B145" s="4">
        <f t="shared" si="53"/>
        <v>45174</v>
      </c>
      <c r="C145" s="10">
        <f t="shared" si="54"/>
        <v>842</v>
      </c>
      <c r="D145" s="9">
        <f t="shared" si="45"/>
        <v>1488</v>
      </c>
      <c r="E145" s="8">
        <f t="shared" si="46"/>
        <v>616</v>
      </c>
      <c r="F145" s="8">
        <f t="shared" si="47"/>
        <v>633</v>
      </c>
      <c r="G145" s="8">
        <f t="shared" si="48"/>
        <v>561</v>
      </c>
      <c r="H145" s="5">
        <f t="shared" si="49"/>
        <v>1714</v>
      </c>
      <c r="I145" s="5">
        <f t="shared" si="50"/>
        <v>1697</v>
      </c>
      <c r="J145" s="5">
        <f t="shared" si="51"/>
        <v>1769</v>
      </c>
      <c r="K145" s="5">
        <f t="shared" si="55"/>
        <v>2000</v>
      </c>
      <c r="L145" s="5">
        <f t="shared" si="56"/>
        <v>2000</v>
      </c>
      <c r="M145" s="5">
        <f t="shared" si="57"/>
        <v>2000</v>
      </c>
      <c r="N145" s="5">
        <f t="shared" si="58"/>
        <v>-286</v>
      </c>
      <c r="O145" s="5">
        <f t="shared" si="59"/>
        <v>-303</v>
      </c>
      <c r="P145" s="5">
        <f t="shared" si="60"/>
        <v>-231</v>
      </c>
      <c r="Q145" s="8">
        <v>0</v>
      </c>
      <c r="R145" s="8">
        <v>0</v>
      </c>
      <c r="S145" s="8">
        <v>0</v>
      </c>
      <c r="T145" s="6">
        <f t="shared" si="52"/>
        <v>1653</v>
      </c>
      <c r="U145" s="7">
        <f t="shared" si="41"/>
        <v>694</v>
      </c>
      <c r="V145" s="7">
        <f t="shared" si="42"/>
        <v>677</v>
      </c>
      <c r="W145" s="7">
        <f t="shared" si="43"/>
        <v>689</v>
      </c>
      <c r="X145" s="6"/>
      <c r="Y145" s="5"/>
      <c r="Z145" s="5"/>
      <c r="AA145" s="5"/>
      <c r="AB145" s="5"/>
    </row>
    <row r="146" spans="1:28" ht="13.15" customHeight="1">
      <c r="A146" s="13">
        <v>132</v>
      </c>
      <c r="B146" s="4">
        <f t="shared" si="53"/>
        <v>45175</v>
      </c>
      <c r="C146" s="10">
        <f t="shared" si="54"/>
        <v>842</v>
      </c>
      <c r="D146" s="9">
        <f t="shared" si="45"/>
        <v>1490</v>
      </c>
      <c r="E146" s="8">
        <f t="shared" si="46"/>
        <v>618</v>
      </c>
      <c r="F146" s="8">
        <f t="shared" si="47"/>
        <v>635</v>
      </c>
      <c r="G146" s="8">
        <f t="shared" si="48"/>
        <v>563</v>
      </c>
      <c r="H146" s="5">
        <f t="shared" si="49"/>
        <v>1714</v>
      </c>
      <c r="I146" s="5">
        <f t="shared" si="50"/>
        <v>1697</v>
      </c>
      <c r="J146" s="5">
        <f t="shared" si="51"/>
        <v>1769</v>
      </c>
      <c r="K146" s="5">
        <f t="shared" si="55"/>
        <v>2000</v>
      </c>
      <c r="L146" s="5">
        <f t="shared" si="56"/>
        <v>2000</v>
      </c>
      <c r="M146" s="5">
        <f t="shared" si="57"/>
        <v>2000</v>
      </c>
      <c r="N146" s="5">
        <f t="shared" si="58"/>
        <v>-286</v>
      </c>
      <c r="O146" s="5">
        <f t="shared" si="59"/>
        <v>-303</v>
      </c>
      <c r="P146" s="5">
        <f t="shared" si="60"/>
        <v>-231</v>
      </c>
      <c r="Q146" s="8">
        <v>0</v>
      </c>
      <c r="R146" s="8">
        <v>0</v>
      </c>
      <c r="S146" s="8">
        <v>0</v>
      </c>
      <c r="T146" s="6">
        <f t="shared" si="52"/>
        <v>1655</v>
      </c>
      <c r="U146" s="7">
        <f t="shared" si="41"/>
        <v>694</v>
      </c>
      <c r="V146" s="7">
        <f t="shared" si="42"/>
        <v>677</v>
      </c>
      <c r="W146" s="7">
        <f t="shared" si="43"/>
        <v>689</v>
      </c>
      <c r="X146" s="6"/>
      <c r="Y146" s="5"/>
      <c r="Z146" s="5"/>
      <c r="AA146" s="5"/>
      <c r="AB146" s="5"/>
    </row>
    <row r="147" spans="1:28" ht="13.15" customHeight="1">
      <c r="A147" s="13">
        <v>133</v>
      </c>
      <c r="B147" s="4">
        <f t="shared" si="53"/>
        <v>45176</v>
      </c>
      <c r="C147" s="10">
        <f t="shared" si="54"/>
        <v>842</v>
      </c>
      <c r="D147" s="9">
        <f t="shared" si="45"/>
        <v>1492</v>
      </c>
      <c r="E147" s="8">
        <f t="shared" si="46"/>
        <v>620</v>
      </c>
      <c r="F147" s="8">
        <f t="shared" si="47"/>
        <v>637</v>
      </c>
      <c r="G147" s="8">
        <f t="shared" si="48"/>
        <v>565</v>
      </c>
      <c r="H147" s="5">
        <f t="shared" si="49"/>
        <v>1714</v>
      </c>
      <c r="I147" s="5">
        <f t="shared" si="50"/>
        <v>1697</v>
      </c>
      <c r="J147" s="5">
        <f t="shared" si="51"/>
        <v>1769</v>
      </c>
      <c r="K147" s="5">
        <f t="shared" si="55"/>
        <v>2000</v>
      </c>
      <c r="L147" s="5">
        <f t="shared" si="56"/>
        <v>2000</v>
      </c>
      <c r="M147" s="5">
        <f t="shared" si="57"/>
        <v>2000</v>
      </c>
      <c r="N147" s="5">
        <f t="shared" si="58"/>
        <v>-286</v>
      </c>
      <c r="O147" s="5">
        <f t="shared" si="59"/>
        <v>-303</v>
      </c>
      <c r="P147" s="5">
        <f t="shared" si="60"/>
        <v>-231</v>
      </c>
      <c r="Q147" s="8">
        <v>0</v>
      </c>
      <c r="R147" s="8">
        <v>0</v>
      </c>
      <c r="S147" s="8">
        <v>0</v>
      </c>
      <c r="T147" s="6">
        <f t="shared" si="52"/>
        <v>1657</v>
      </c>
      <c r="U147" s="7">
        <f t="shared" si="41"/>
        <v>694</v>
      </c>
      <c r="V147" s="7">
        <f t="shared" si="42"/>
        <v>677</v>
      </c>
      <c r="W147" s="7">
        <f t="shared" si="43"/>
        <v>689</v>
      </c>
      <c r="X147" s="6"/>
      <c r="Y147" s="5"/>
      <c r="Z147" s="5"/>
      <c r="AA147" s="5"/>
      <c r="AB147" s="5"/>
    </row>
    <row r="148" spans="1:28" ht="13.15" customHeight="1">
      <c r="A148" s="13">
        <v>134</v>
      </c>
      <c r="B148" s="4">
        <f t="shared" si="53"/>
        <v>45177</v>
      </c>
      <c r="C148" s="10">
        <f t="shared" si="54"/>
        <v>842</v>
      </c>
      <c r="D148" s="9">
        <f t="shared" si="45"/>
        <v>1494</v>
      </c>
      <c r="E148" s="8">
        <f t="shared" si="46"/>
        <v>622</v>
      </c>
      <c r="F148" s="8">
        <f t="shared" si="47"/>
        <v>639</v>
      </c>
      <c r="G148" s="8">
        <f t="shared" si="48"/>
        <v>567</v>
      </c>
      <c r="H148" s="5">
        <f t="shared" si="49"/>
        <v>1714</v>
      </c>
      <c r="I148" s="5">
        <f t="shared" si="50"/>
        <v>1697</v>
      </c>
      <c r="J148" s="5">
        <f t="shared" si="51"/>
        <v>1769</v>
      </c>
      <c r="K148" s="5">
        <f t="shared" si="55"/>
        <v>2000</v>
      </c>
      <c r="L148" s="5">
        <f t="shared" si="56"/>
        <v>2000</v>
      </c>
      <c r="M148" s="5">
        <f t="shared" si="57"/>
        <v>2000</v>
      </c>
      <c r="N148" s="5">
        <f t="shared" si="58"/>
        <v>-286</v>
      </c>
      <c r="O148" s="5">
        <f t="shared" si="59"/>
        <v>-303</v>
      </c>
      <c r="P148" s="5">
        <f t="shared" si="60"/>
        <v>-231</v>
      </c>
      <c r="Q148" s="8">
        <v>0</v>
      </c>
      <c r="R148" s="8">
        <v>0</v>
      </c>
      <c r="S148" s="8">
        <v>0</v>
      </c>
      <c r="T148" s="6">
        <f t="shared" si="52"/>
        <v>1659</v>
      </c>
      <c r="U148" s="7">
        <f t="shared" si="41"/>
        <v>694</v>
      </c>
      <c r="V148" s="7">
        <f t="shared" si="42"/>
        <v>677</v>
      </c>
      <c r="W148" s="7">
        <f t="shared" si="43"/>
        <v>689</v>
      </c>
      <c r="X148" s="6"/>
      <c r="Y148" s="5"/>
      <c r="Z148" s="5"/>
      <c r="AA148" s="5"/>
      <c r="AB148" s="5"/>
    </row>
    <row r="149" spans="1:28" ht="13.15" customHeight="1">
      <c r="A149" s="13">
        <v>135</v>
      </c>
      <c r="B149" s="4">
        <f t="shared" si="53"/>
        <v>45178</v>
      </c>
      <c r="C149" s="10">
        <f t="shared" si="54"/>
        <v>842</v>
      </c>
      <c r="D149" s="9">
        <f t="shared" si="45"/>
        <v>1496</v>
      </c>
      <c r="E149" s="8">
        <f t="shared" si="46"/>
        <v>624</v>
      </c>
      <c r="F149" s="8">
        <f t="shared" si="47"/>
        <v>641</v>
      </c>
      <c r="G149" s="8">
        <f t="shared" si="48"/>
        <v>569</v>
      </c>
      <c r="H149" s="5">
        <f t="shared" si="49"/>
        <v>1714</v>
      </c>
      <c r="I149" s="5">
        <f t="shared" si="50"/>
        <v>1697</v>
      </c>
      <c r="J149" s="5">
        <f t="shared" si="51"/>
        <v>1769</v>
      </c>
      <c r="K149" s="5">
        <f t="shared" si="55"/>
        <v>2000</v>
      </c>
      <c r="L149" s="5">
        <f t="shared" si="56"/>
        <v>2000</v>
      </c>
      <c r="M149" s="5">
        <f t="shared" si="57"/>
        <v>2000</v>
      </c>
      <c r="N149" s="5">
        <f t="shared" si="58"/>
        <v>-286</v>
      </c>
      <c r="O149" s="5">
        <f t="shared" si="59"/>
        <v>-303</v>
      </c>
      <c r="P149" s="5">
        <f t="shared" si="60"/>
        <v>-231</v>
      </c>
      <c r="Q149" s="8">
        <v>0</v>
      </c>
      <c r="R149" s="8">
        <v>0</v>
      </c>
      <c r="S149" s="8">
        <v>0</v>
      </c>
      <c r="T149" s="6">
        <f t="shared" si="52"/>
        <v>1661</v>
      </c>
      <c r="U149" s="7">
        <f t="shared" si="41"/>
        <v>694</v>
      </c>
      <c r="V149" s="7">
        <f t="shared" si="42"/>
        <v>677</v>
      </c>
      <c r="W149" s="7">
        <f t="shared" si="43"/>
        <v>689</v>
      </c>
      <c r="X149" s="6"/>
      <c r="Y149" s="5"/>
      <c r="Z149" s="5"/>
      <c r="AA149" s="5"/>
      <c r="AB149" s="5"/>
    </row>
    <row r="150" spans="1:28" ht="13.15" customHeight="1">
      <c r="A150" s="13">
        <v>136</v>
      </c>
      <c r="B150" s="4">
        <f t="shared" si="53"/>
        <v>45179</v>
      </c>
      <c r="C150" s="10">
        <f t="shared" si="54"/>
        <v>842</v>
      </c>
      <c r="D150" s="9">
        <f t="shared" si="45"/>
        <v>1498</v>
      </c>
      <c r="E150" s="8">
        <f t="shared" si="46"/>
        <v>626</v>
      </c>
      <c r="F150" s="8">
        <f t="shared" si="47"/>
        <v>643</v>
      </c>
      <c r="G150" s="8">
        <f t="shared" si="48"/>
        <v>571</v>
      </c>
      <c r="H150" s="5">
        <f t="shared" si="49"/>
        <v>1714</v>
      </c>
      <c r="I150" s="5">
        <f t="shared" si="50"/>
        <v>1697</v>
      </c>
      <c r="J150" s="5">
        <f t="shared" si="51"/>
        <v>1769</v>
      </c>
      <c r="K150" s="5">
        <f t="shared" si="55"/>
        <v>2000</v>
      </c>
      <c r="L150" s="5">
        <f t="shared" si="56"/>
        <v>2000</v>
      </c>
      <c r="M150" s="5">
        <f t="shared" si="57"/>
        <v>2000</v>
      </c>
      <c r="N150" s="5">
        <f t="shared" si="58"/>
        <v>-286</v>
      </c>
      <c r="O150" s="5">
        <f t="shared" si="59"/>
        <v>-303</v>
      </c>
      <c r="P150" s="5">
        <f t="shared" si="60"/>
        <v>-231</v>
      </c>
      <c r="Q150" s="8">
        <v>0</v>
      </c>
      <c r="R150" s="8">
        <v>0</v>
      </c>
      <c r="S150" s="8">
        <v>0</v>
      </c>
      <c r="T150" s="6">
        <f t="shared" si="52"/>
        <v>1663</v>
      </c>
      <c r="U150" s="7">
        <f t="shared" si="41"/>
        <v>694</v>
      </c>
      <c r="V150" s="7">
        <f t="shared" si="42"/>
        <v>677</v>
      </c>
      <c r="W150" s="7">
        <f t="shared" si="43"/>
        <v>689</v>
      </c>
      <c r="X150" s="6"/>
      <c r="Y150" s="5"/>
      <c r="Z150" s="5"/>
      <c r="AA150" s="5"/>
      <c r="AB150" s="5"/>
    </row>
    <row r="151" spans="1:28" ht="13.15" customHeight="1">
      <c r="A151" s="13">
        <v>137</v>
      </c>
      <c r="B151" s="4">
        <f t="shared" si="53"/>
        <v>45180</v>
      </c>
      <c r="C151" s="10">
        <f t="shared" si="54"/>
        <v>842</v>
      </c>
      <c r="D151" s="9">
        <f t="shared" si="45"/>
        <v>1500</v>
      </c>
      <c r="E151" s="8">
        <f t="shared" si="46"/>
        <v>628</v>
      </c>
      <c r="F151" s="8">
        <f t="shared" si="47"/>
        <v>645</v>
      </c>
      <c r="G151" s="8">
        <f t="shared" si="48"/>
        <v>573</v>
      </c>
      <c r="H151" s="5">
        <f t="shared" si="49"/>
        <v>1714</v>
      </c>
      <c r="I151" s="5">
        <f t="shared" si="50"/>
        <v>1697</v>
      </c>
      <c r="J151" s="5">
        <f t="shared" si="51"/>
        <v>1769</v>
      </c>
      <c r="K151" s="5">
        <f t="shared" si="55"/>
        <v>2000</v>
      </c>
      <c r="L151" s="5">
        <f t="shared" si="56"/>
        <v>2000</v>
      </c>
      <c r="M151" s="5">
        <f t="shared" si="57"/>
        <v>2000</v>
      </c>
      <c r="N151" s="5">
        <f t="shared" si="58"/>
        <v>-286</v>
      </c>
      <c r="O151" s="5">
        <f t="shared" si="59"/>
        <v>-303</v>
      </c>
      <c r="P151" s="5">
        <f t="shared" si="60"/>
        <v>-231</v>
      </c>
      <c r="Q151" s="8">
        <v>0</v>
      </c>
      <c r="R151" s="8">
        <v>0</v>
      </c>
      <c r="S151" s="8">
        <v>0</v>
      </c>
      <c r="T151" s="6">
        <f t="shared" si="52"/>
        <v>1665</v>
      </c>
      <c r="U151" s="7">
        <f t="shared" si="41"/>
        <v>694</v>
      </c>
      <c r="V151" s="7">
        <f t="shared" si="42"/>
        <v>677</v>
      </c>
      <c r="W151" s="7">
        <f t="shared" si="43"/>
        <v>689</v>
      </c>
      <c r="X151" s="6"/>
      <c r="Y151" s="5"/>
      <c r="Z151" s="5"/>
      <c r="AA151" s="5"/>
      <c r="AB151" s="5"/>
    </row>
    <row r="152" spans="1:28" ht="13.15" customHeight="1">
      <c r="A152" s="13">
        <v>138</v>
      </c>
      <c r="B152" s="4">
        <f t="shared" si="53"/>
        <v>45181</v>
      </c>
      <c r="C152" s="10">
        <f t="shared" si="54"/>
        <v>842</v>
      </c>
      <c r="D152" s="9">
        <f t="shared" si="45"/>
        <v>1502</v>
      </c>
      <c r="E152" s="8">
        <f t="shared" si="46"/>
        <v>630</v>
      </c>
      <c r="F152" s="8">
        <f t="shared" si="47"/>
        <v>647</v>
      </c>
      <c r="G152" s="8">
        <f t="shared" si="48"/>
        <v>575</v>
      </c>
      <c r="H152" s="5">
        <f t="shared" si="49"/>
        <v>1714</v>
      </c>
      <c r="I152" s="5">
        <f t="shared" si="50"/>
        <v>1697</v>
      </c>
      <c r="J152" s="5">
        <f t="shared" si="51"/>
        <v>1769</v>
      </c>
      <c r="K152" s="5">
        <f t="shared" si="55"/>
        <v>2000</v>
      </c>
      <c r="L152" s="5">
        <f t="shared" si="56"/>
        <v>2000</v>
      </c>
      <c r="M152" s="5">
        <f t="shared" si="57"/>
        <v>2000</v>
      </c>
      <c r="N152" s="5">
        <f t="shared" si="58"/>
        <v>-286</v>
      </c>
      <c r="O152" s="5">
        <f t="shared" si="59"/>
        <v>-303</v>
      </c>
      <c r="P152" s="5">
        <f t="shared" si="60"/>
        <v>-231</v>
      </c>
      <c r="Q152" s="8">
        <v>0</v>
      </c>
      <c r="R152" s="8">
        <v>0</v>
      </c>
      <c r="S152" s="8">
        <v>0</v>
      </c>
      <c r="T152" s="6">
        <f t="shared" si="52"/>
        <v>1667</v>
      </c>
      <c r="U152" s="7">
        <f t="shared" si="41"/>
        <v>694</v>
      </c>
      <c r="V152" s="7">
        <f t="shared" si="42"/>
        <v>677</v>
      </c>
      <c r="W152" s="7">
        <f t="shared" si="43"/>
        <v>689</v>
      </c>
      <c r="X152" s="6"/>
      <c r="Y152" s="5"/>
      <c r="Z152" s="5"/>
      <c r="AA152" s="5"/>
      <c r="AB152" s="5"/>
    </row>
    <row r="153" spans="1:28" ht="13.15" customHeight="1">
      <c r="A153" s="13">
        <v>139</v>
      </c>
      <c r="B153" s="4">
        <f t="shared" si="53"/>
        <v>45182</v>
      </c>
      <c r="C153" s="10">
        <f t="shared" si="54"/>
        <v>842</v>
      </c>
      <c r="D153" s="9">
        <f t="shared" si="45"/>
        <v>1504</v>
      </c>
      <c r="E153" s="8">
        <f t="shared" si="46"/>
        <v>632</v>
      </c>
      <c r="F153" s="8">
        <f t="shared" si="47"/>
        <v>649</v>
      </c>
      <c r="G153" s="8">
        <f t="shared" si="48"/>
        <v>577</v>
      </c>
      <c r="H153" s="5">
        <f t="shared" si="49"/>
        <v>1714</v>
      </c>
      <c r="I153" s="5">
        <f t="shared" si="50"/>
        <v>1697</v>
      </c>
      <c r="J153" s="5">
        <f t="shared" si="51"/>
        <v>1769</v>
      </c>
      <c r="K153" s="5">
        <f t="shared" si="55"/>
        <v>2000</v>
      </c>
      <c r="L153" s="5">
        <f t="shared" si="56"/>
        <v>2000</v>
      </c>
      <c r="M153" s="5">
        <f t="shared" si="57"/>
        <v>2000</v>
      </c>
      <c r="N153" s="5">
        <f t="shared" si="58"/>
        <v>-286</v>
      </c>
      <c r="O153" s="5">
        <f t="shared" si="59"/>
        <v>-303</v>
      </c>
      <c r="P153" s="5">
        <f t="shared" si="60"/>
        <v>-231</v>
      </c>
      <c r="Q153" s="8">
        <v>0</v>
      </c>
      <c r="R153" s="8">
        <v>0</v>
      </c>
      <c r="S153" s="8">
        <v>0</v>
      </c>
      <c r="T153" s="6">
        <f t="shared" si="52"/>
        <v>1669</v>
      </c>
      <c r="U153" s="7">
        <f t="shared" si="41"/>
        <v>694</v>
      </c>
      <c r="V153" s="7">
        <f t="shared" si="42"/>
        <v>677</v>
      </c>
      <c r="W153" s="7">
        <f t="shared" si="43"/>
        <v>689</v>
      </c>
      <c r="X153" s="6"/>
      <c r="Y153" s="5"/>
      <c r="Z153" s="5"/>
      <c r="AA153" s="5"/>
      <c r="AB153" s="5"/>
    </row>
    <row r="154" spans="1:28" ht="13.15" customHeight="1">
      <c r="A154" s="13">
        <v>140</v>
      </c>
      <c r="B154" s="4">
        <f t="shared" si="53"/>
        <v>45183</v>
      </c>
      <c r="C154" s="10">
        <f t="shared" si="54"/>
        <v>842</v>
      </c>
      <c r="D154" s="9">
        <f t="shared" si="45"/>
        <v>1506</v>
      </c>
      <c r="E154" s="8">
        <f t="shared" si="46"/>
        <v>634</v>
      </c>
      <c r="F154" s="8">
        <f t="shared" si="47"/>
        <v>651</v>
      </c>
      <c r="G154" s="8">
        <f t="shared" si="48"/>
        <v>579</v>
      </c>
      <c r="H154" s="5">
        <f t="shared" si="49"/>
        <v>1714</v>
      </c>
      <c r="I154" s="5">
        <f t="shared" si="50"/>
        <v>1697</v>
      </c>
      <c r="J154" s="5">
        <f t="shared" si="51"/>
        <v>1769</v>
      </c>
      <c r="K154" s="5">
        <f t="shared" si="55"/>
        <v>2000</v>
      </c>
      <c r="L154" s="5">
        <f t="shared" si="56"/>
        <v>2000</v>
      </c>
      <c r="M154" s="5">
        <f t="shared" si="57"/>
        <v>2000</v>
      </c>
      <c r="N154" s="5">
        <f t="shared" si="58"/>
        <v>-286</v>
      </c>
      <c r="O154" s="5">
        <f t="shared" si="59"/>
        <v>-303</v>
      </c>
      <c r="P154" s="5">
        <f t="shared" si="60"/>
        <v>-231</v>
      </c>
      <c r="Q154" s="8">
        <v>0</v>
      </c>
      <c r="R154" s="8">
        <v>0</v>
      </c>
      <c r="S154" s="8">
        <v>0</v>
      </c>
      <c r="T154" s="6">
        <f t="shared" si="52"/>
        <v>1671</v>
      </c>
      <c r="U154" s="7">
        <f t="shared" si="41"/>
        <v>694</v>
      </c>
      <c r="V154" s="7">
        <f t="shared" si="42"/>
        <v>677</v>
      </c>
      <c r="W154" s="7">
        <f t="shared" si="43"/>
        <v>689</v>
      </c>
      <c r="X154" s="6"/>
      <c r="Y154" s="5"/>
      <c r="Z154" s="5"/>
      <c r="AA154" s="5"/>
      <c r="AB154" s="5"/>
    </row>
    <row r="155" spans="1:28" ht="13.15" customHeight="1">
      <c r="A155" s="13">
        <v>141</v>
      </c>
      <c r="B155" s="4">
        <f t="shared" si="53"/>
        <v>45184</v>
      </c>
      <c r="C155" s="10">
        <f t="shared" si="54"/>
        <v>842</v>
      </c>
      <c r="D155" s="9">
        <f t="shared" si="45"/>
        <v>1508</v>
      </c>
      <c r="E155" s="8">
        <f t="shared" si="46"/>
        <v>636</v>
      </c>
      <c r="F155" s="8">
        <f t="shared" si="47"/>
        <v>653</v>
      </c>
      <c r="G155" s="8">
        <f t="shared" si="48"/>
        <v>581</v>
      </c>
      <c r="H155" s="5">
        <f t="shared" si="49"/>
        <v>1714</v>
      </c>
      <c r="I155" s="5">
        <f t="shared" si="50"/>
        <v>1697</v>
      </c>
      <c r="J155" s="5">
        <f t="shared" si="51"/>
        <v>1769</v>
      </c>
      <c r="K155" s="5">
        <f t="shared" si="55"/>
        <v>2000</v>
      </c>
      <c r="L155" s="5">
        <f t="shared" si="56"/>
        <v>2000</v>
      </c>
      <c r="M155" s="5">
        <f t="shared" si="57"/>
        <v>2000</v>
      </c>
      <c r="N155" s="5">
        <f t="shared" si="58"/>
        <v>-286</v>
      </c>
      <c r="O155" s="5">
        <f t="shared" si="59"/>
        <v>-303</v>
      </c>
      <c r="P155" s="5">
        <f t="shared" si="60"/>
        <v>-231</v>
      </c>
      <c r="Q155" s="8">
        <v>0</v>
      </c>
      <c r="R155" s="8">
        <v>0</v>
      </c>
      <c r="S155" s="8">
        <v>0</v>
      </c>
      <c r="T155" s="6">
        <f t="shared" si="52"/>
        <v>1673</v>
      </c>
      <c r="U155" s="7">
        <f t="shared" si="41"/>
        <v>694</v>
      </c>
      <c r="V155" s="7">
        <f t="shared" si="42"/>
        <v>677</v>
      </c>
      <c r="W155" s="7">
        <f t="shared" si="43"/>
        <v>689</v>
      </c>
      <c r="X155" s="6"/>
      <c r="Y155" s="5"/>
      <c r="Z155" s="5"/>
      <c r="AA155" s="5"/>
      <c r="AB155" s="5"/>
    </row>
    <row r="156" spans="1:28" ht="13.15" customHeight="1">
      <c r="A156" s="13">
        <v>142</v>
      </c>
      <c r="B156" s="4">
        <f t="shared" si="53"/>
        <v>45185</v>
      </c>
      <c r="C156" s="10">
        <f t="shared" si="54"/>
        <v>842</v>
      </c>
      <c r="D156" s="9">
        <f t="shared" si="45"/>
        <v>1510</v>
      </c>
      <c r="E156" s="8">
        <f t="shared" si="46"/>
        <v>638</v>
      </c>
      <c r="F156" s="8">
        <f t="shared" si="47"/>
        <v>655</v>
      </c>
      <c r="G156" s="8">
        <f t="shared" si="48"/>
        <v>583</v>
      </c>
      <c r="H156" s="5">
        <f t="shared" si="49"/>
        <v>1714</v>
      </c>
      <c r="I156" s="5">
        <f t="shared" si="50"/>
        <v>1697</v>
      </c>
      <c r="J156" s="5">
        <f t="shared" si="51"/>
        <v>1769</v>
      </c>
      <c r="K156" s="5">
        <f t="shared" si="55"/>
        <v>2000</v>
      </c>
      <c r="L156" s="5">
        <f t="shared" si="56"/>
        <v>2000</v>
      </c>
      <c r="M156" s="5">
        <f t="shared" si="57"/>
        <v>2000</v>
      </c>
      <c r="N156" s="5">
        <f t="shared" si="58"/>
        <v>-286</v>
      </c>
      <c r="O156" s="5">
        <f t="shared" si="59"/>
        <v>-303</v>
      </c>
      <c r="P156" s="5">
        <f t="shared" si="60"/>
        <v>-231</v>
      </c>
      <c r="Q156" s="8">
        <v>0</v>
      </c>
      <c r="R156" s="8">
        <v>0</v>
      </c>
      <c r="S156" s="8">
        <v>0</v>
      </c>
      <c r="T156" s="6">
        <f t="shared" si="52"/>
        <v>1675</v>
      </c>
      <c r="U156" s="7">
        <f t="shared" si="41"/>
        <v>694</v>
      </c>
      <c r="V156" s="7">
        <f t="shared" si="42"/>
        <v>677</v>
      </c>
      <c r="W156" s="7">
        <f t="shared" si="43"/>
        <v>689</v>
      </c>
      <c r="X156" s="6"/>
      <c r="Y156" s="5"/>
      <c r="Z156" s="5"/>
      <c r="AA156" s="5"/>
      <c r="AB156" s="5"/>
    </row>
    <row r="157" spans="1:28" ht="13.15" customHeight="1">
      <c r="A157" s="13">
        <v>143</v>
      </c>
      <c r="B157" s="4">
        <f t="shared" si="53"/>
        <v>45186</v>
      </c>
      <c r="C157" s="10">
        <f t="shared" si="54"/>
        <v>842</v>
      </c>
      <c r="D157" s="9">
        <f t="shared" si="45"/>
        <v>1512</v>
      </c>
      <c r="E157" s="8">
        <f t="shared" si="46"/>
        <v>640</v>
      </c>
      <c r="F157" s="8">
        <f t="shared" si="47"/>
        <v>657</v>
      </c>
      <c r="G157" s="8">
        <f t="shared" si="48"/>
        <v>585</v>
      </c>
      <c r="H157" s="5">
        <f t="shared" si="49"/>
        <v>1714</v>
      </c>
      <c r="I157" s="5">
        <f t="shared" si="50"/>
        <v>1697</v>
      </c>
      <c r="J157" s="5">
        <f t="shared" si="51"/>
        <v>1769</v>
      </c>
      <c r="K157" s="5">
        <f t="shared" si="55"/>
        <v>2000</v>
      </c>
      <c r="L157" s="5">
        <f t="shared" si="56"/>
        <v>2000</v>
      </c>
      <c r="M157" s="5">
        <f t="shared" si="57"/>
        <v>2000</v>
      </c>
      <c r="N157" s="5">
        <f t="shared" si="58"/>
        <v>-286</v>
      </c>
      <c r="O157" s="5">
        <f t="shared" si="59"/>
        <v>-303</v>
      </c>
      <c r="P157" s="5">
        <f t="shared" si="60"/>
        <v>-231</v>
      </c>
      <c r="Q157" s="8">
        <v>0</v>
      </c>
      <c r="R157" s="8">
        <v>0</v>
      </c>
      <c r="S157" s="8">
        <v>0</v>
      </c>
      <c r="T157" s="6">
        <f t="shared" si="52"/>
        <v>1677</v>
      </c>
      <c r="U157" s="7">
        <f t="shared" si="41"/>
        <v>694</v>
      </c>
      <c r="V157" s="7">
        <f t="shared" si="42"/>
        <v>677</v>
      </c>
      <c r="W157" s="7">
        <f t="shared" si="43"/>
        <v>689</v>
      </c>
      <c r="X157" s="6"/>
      <c r="Y157" s="5"/>
      <c r="Z157" s="5"/>
      <c r="AA157" s="5"/>
      <c r="AB157" s="5"/>
    </row>
    <row r="158" spans="1:28" ht="13.15" customHeight="1">
      <c r="A158" s="13">
        <v>144</v>
      </c>
      <c r="B158" s="4">
        <f t="shared" si="53"/>
        <v>45187</v>
      </c>
      <c r="C158" s="10">
        <f t="shared" si="54"/>
        <v>842</v>
      </c>
      <c r="D158" s="9">
        <f t="shared" si="45"/>
        <v>1514</v>
      </c>
      <c r="E158" s="8">
        <f t="shared" si="46"/>
        <v>642</v>
      </c>
      <c r="F158" s="8">
        <f t="shared" si="47"/>
        <v>659</v>
      </c>
      <c r="G158" s="8">
        <f t="shared" si="48"/>
        <v>587</v>
      </c>
      <c r="H158" s="5">
        <f t="shared" si="49"/>
        <v>1714</v>
      </c>
      <c r="I158" s="5">
        <f t="shared" si="50"/>
        <v>1697</v>
      </c>
      <c r="J158" s="5">
        <f t="shared" si="51"/>
        <v>1769</v>
      </c>
      <c r="K158" s="5">
        <f t="shared" si="55"/>
        <v>2000</v>
      </c>
      <c r="L158" s="5">
        <f t="shared" si="56"/>
        <v>2000</v>
      </c>
      <c r="M158" s="5">
        <f t="shared" si="57"/>
        <v>2000</v>
      </c>
      <c r="N158" s="5">
        <f t="shared" si="58"/>
        <v>-286</v>
      </c>
      <c r="O158" s="5">
        <f t="shared" si="59"/>
        <v>-303</v>
      </c>
      <c r="P158" s="5">
        <f t="shared" si="60"/>
        <v>-231</v>
      </c>
      <c r="Q158" s="8">
        <v>0</v>
      </c>
      <c r="R158" s="8">
        <v>0</v>
      </c>
      <c r="S158" s="8">
        <v>0</v>
      </c>
      <c r="T158" s="6">
        <f t="shared" si="52"/>
        <v>1679</v>
      </c>
      <c r="U158" s="7">
        <f t="shared" si="41"/>
        <v>694</v>
      </c>
      <c r="V158" s="7">
        <f t="shared" si="42"/>
        <v>677</v>
      </c>
      <c r="W158" s="7">
        <f t="shared" si="43"/>
        <v>689</v>
      </c>
      <c r="X158" s="6"/>
      <c r="Y158" s="5"/>
      <c r="Z158" s="5"/>
      <c r="AA158" s="5"/>
      <c r="AB158" s="5"/>
    </row>
    <row r="159" spans="1:28" ht="13.15" customHeight="1">
      <c r="A159" s="13">
        <v>145</v>
      </c>
      <c r="B159" s="4">
        <f t="shared" si="53"/>
        <v>45188</v>
      </c>
      <c r="C159" s="10">
        <f t="shared" si="54"/>
        <v>842</v>
      </c>
      <c r="D159" s="9">
        <f t="shared" si="45"/>
        <v>1516</v>
      </c>
      <c r="E159" s="8">
        <f t="shared" si="46"/>
        <v>644</v>
      </c>
      <c r="F159" s="8">
        <f t="shared" si="47"/>
        <v>661</v>
      </c>
      <c r="G159" s="8">
        <f t="shared" si="48"/>
        <v>589</v>
      </c>
      <c r="H159" s="5">
        <f t="shared" si="49"/>
        <v>1714</v>
      </c>
      <c r="I159" s="5">
        <f t="shared" si="50"/>
        <v>1697</v>
      </c>
      <c r="J159" s="5">
        <f t="shared" si="51"/>
        <v>1769</v>
      </c>
      <c r="K159" s="5">
        <f t="shared" si="55"/>
        <v>2000</v>
      </c>
      <c r="L159" s="5">
        <f t="shared" si="56"/>
        <v>2000</v>
      </c>
      <c r="M159" s="5">
        <f t="shared" si="57"/>
        <v>2000</v>
      </c>
      <c r="N159" s="5">
        <f t="shared" si="58"/>
        <v>-286</v>
      </c>
      <c r="O159" s="5">
        <f t="shared" si="59"/>
        <v>-303</v>
      </c>
      <c r="P159" s="5">
        <f t="shared" si="60"/>
        <v>-231</v>
      </c>
      <c r="Q159" s="8">
        <v>0</v>
      </c>
      <c r="R159" s="8">
        <v>0</v>
      </c>
      <c r="S159" s="8">
        <v>0</v>
      </c>
      <c r="T159" s="6">
        <f t="shared" si="52"/>
        <v>1681</v>
      </c>
      <c r="U159" s="7">
        <f t="shared" si="41"/>
        <v>694</v>
      </c>
      <c r="V159" s="7">
        <f t="shared" si="42"/>
        <v>677</v>
      </c>
      <c r="W159" s="7">
        <f t="shared" si="43"/>
        <v>689</v>
      </c>
      <c r="X159" s="6"/>
      <c r="Y159" s="5"/>
      <c r="Z159" s="5"/>
      <c r="AA159" s="5"/>
      <c r="AB159" s="5"/>
    </row>
    <row r="160" spans="1:28" ht="13.15" customHeight="1">
      <c r="A160" s="13">
        <v>146</v>
      </c>
      <c r="B160" s="4">
        <f t="shared" si="53"/>
        <v>45189</v>
      </c>
      <c r="C160" s="10">
        <f t="shared" si="54"/>
        <v>842</v>
      </c>
      <c r="D160" s="9">
        <f t="shared" si="45"/>
        <v>1518</v>
      </c>
      <c r="E160" s="8">
        <f t="shared" si="46"/>
        <v>646</v>
      </c>
      <c r="F160" s="8">
        <f t="shared" si="47"/>
        <v>663</v>
      </c>
      <c r="G160" s="8">
        <f t="shared" si="48"/>
        <v>591</v>
      </c>
      <c r="H160" s="5">
        <f t="shared" si="49"/>
        <v>1714</v>
      </c>
      <c r="I160" s="5">
        <f t="shared" si="50"/>
        <v>1697</v>
      </c>
      <c r="J160" s="5">
        <f t="shared" si="51"/>
        <v>1769</v>
      </c>
      <c r="K160" s="5">
        <f t="shared" si="55"/>
        <v>2000</v>
      </c>
      <c r="L160" s="5">
        <f t="shared" si="56"/>
        <v>2000</v>
      </c>
      <c r="M160" s="5">
        <f t="shared" si="57"/>
        <v>2000</v>
      </c>
      <c r="N160" s="5">
        <f t="shared" si="58"/>
        <v>-286</v>
      </c>
      <c r="O160" s="5">
        <f t="shared" si="59"/>
        <v>-303</v>
      </c>
      <c r="P160" s="5">
        <f t="shared" si="60"/>
        <v>-231</v>
      </c>
      <c r="Q160" s="8">
        <v>0</v>
      </c>
      <c r="R160" s="8">
        <v>0</v>
      </c>
      <c r="S160" s="8">
        <v>0</v>
      </c>
      <c r="T160" s="6">
        <f t="shared" si="52"/>
        <v>1683</v>
      </c>
      <c r="U160" s="7">
        <f t="shared" si="41"/>
        <v>694</v>
      </c>
      <c r="V160" s="7">
        <f t="shared" si="42"/>
        <v>677</v>
      </c>
      <c r="W160" s="7">
        <f t="shared" si="43"/>
        <v>689</v>
      </c>
      <c r="X160" s="6"/>
      <c r="Y160" s="5"/>
      <c r="Z160" s="5"/>
      <c r="AA160" s="5"/>
      <c r="AB160" s="5"/>
    </row>
    <row r="161" spans="1:28" ht="13.15" customHeight="1">
      <c r="A161" s="13">
        <v>147</v>
      </c>
      <c r="B161" s="4">
        <f t="shared" si="53"/>
        <v>45190</v>
      </c>
      <c r="C161" s="10">
        <f t="shared" si="54"/>
        <v>842</v>
      </c>
      <c r="D161" s="9">
        <f t="shared" si="45"/>
        <v>1520</v>
      </c>
      <c r="E161" s="8">
        <f t="shared" si="46"/>
        <v>648</v>
      </c>
      <c r="F161" s="8">
        <f t="shared" si="47"/>
        <v>665</v>
      </c>
      <c r="G161" s="8">
        <f t="shared" si="48"/>
        <v>593</v>
      </c>
      <c r="H161" s="5">
        <f t="shared" si="49"/>
        <v>1714</v>
      </c>
      <c r="I161" s="5">
        <f t="shared" si="50"/>
        <v>1697</v>
      </c>
      <c r="J161" s="5">
        <f t="shared" si="51"/>
        <v>1769</v>
      </c>
      <c r="K161" s="5">
        <f t="shared" si="55"/>
        <v>2000</v>
      </c>
      <c r="L161" s="5">
        <f t="shared" si="56"/>
        <v>2000</v>
      </c>
      <c r="M161" s="5">
        <f t="shared" si="57"/>
        <v>2000</v>
      </c>
      <c r="N161" s="5">
        <f t="shared" si="58"/>
        <v>-286</v>
      </c>
      <c r="O161" s="5">
        <f t="shared" si="59"/>
        <v>-303</v>
      </c>
      <c r="P161" s="5">
        <f t="shared" si="60"/>
        <v>-231</v>
      </c>
      <c r="Q161" s="8">
        <v>0</v>
      </c>
      <c r="R161" s="8">
        <v>0</v>
      </c>
      <c r="S161" s="8">
        <v>0</v>
      </c>
      <c r="T161" s="6">
        <f t="shared" si="52"/>
        <v>1685</v>
      </c>
      <c r="U161" s="7">
        <f t="shared" si="41"/>
        <v>694</v>
      </c>
      <c r="V161" s="7">
        <f t="shared" si="42"/>
        <v>677</v>
      </c>
      <c r="W161" s="7">
        <f t="shared" si="43"/>
        <v>689</v>
      </c>
      <c r="X161" s="6"/>
      <c r="Y161" s="5"/>
      <c r="Z161" s="5"/>
      <c r="AA161" s="5"/>
      <c r="AB161" s="5"/>
    </row>
    <row r="162" spans="1:28" ht="13.15" customHeight="1">
      <c r="A162" s="13">
        <v>148</v>
      </c>
      <c r="B162" s="4">
        <f t="shared" si="53"/>
        <v>45191</v>
      </c>
      <c r="C162" s="10">
        <f t="shared" si="54"/>
        <v>842</v>
      </c>
      <c r="D162" s="9">
        <f t="shared" si="45"/>
        <v>1522</v>
      </c>
      <c r="E162" s="8">
        <f t="shared" si="46"/>
        <v>650</v>
      </c>
      <c r="F162" s="8">
        <f t="shared" si="47"/>
        <v>667</v>
      </c>
      <c r="G162" s="8">
        <f t="shared" si="48"/>
        <v>595</v>
      </c>
      <c r="H162" s="5">
        <f t="shared" si="49"/>
        <v>1714</v>
      </c>
      <c r="I162" s="5">
        <f t="shared" si="50"/>
        <v>1697</v>
      </c>
      <c r="J162" s="5">
        <f t="shared" si="51"/>
        <v>1769</v>
      </c>
      <c r="K162" s="5">
        <f t="shared" si="55"/>
        <v>2000</v>
      </c>
      <c r="L162" s="5">
        <f t="shared" si="56"/>
        <v>2000</v>
      </c>
      <c r="M162" s="5">
        <f t="shared" si="57"/>
        <v>2000</v>
      </c>
      <c r="N162" s="5">
        <f t="shared" si="58"/>
        <v>-286</v>
      </c>
      <c r="O162" s="5">
        <f t="shared" si="59"/>
        <v>-303</v>
      </c>
      <c r="P162" s="5">
        <f t="shared" si="60"/>
        <v>-231</v>
      </c>
      <c r="Q162" s="8">
        <v>0</v>
      </c>
      <c r="R162" s="8">
        <v>0</v>
      </c>
      <c r="S162" s="8">
        <v>0</v>
      </c>
      <c r="T162" s="6">
        <f t="shared" si="52"/>
        <v>1687</v>
      </c>
      <c r="U162" s="7">
        <f t="shared" si="41"/>
        <v>694</v>
      </c>
      <c r="V162" s="7">
        <f t="shared" si="42"/>
        <v>677</v>
      </c>
      <c r="W162" s="7">
        <f t="shared" si="43"/>
        <v>689</v>
      </c>
      <c r="X162" s="6"/>
      <c r="Y162" s="5"/>
      <c r="Z162" s="5"/>
      <c r="AA162" s="5"/>
      <c r="AB162" s="5"/>
    </row>
    <row r="163" spans="1:28" ht="13.15" customHeight="1">
      <c r="A163" s="13">
        <v>149</v>
      </c>
      <c r="B163" s="4">
        <f t="shared" si="53"/>
        <v>45192</v>
      </c>
      <c r="C163" s="10">
        <f t="shared" si="54"/>
        <v>842</v>
      </c>
      <c r="D163" s="9">
        <f t="shared" si="45"/>
        <v>1524</v>
      </c>
      <c r="E163" s="8">
        <f t="shared" si="46"/>
        <v>652</v>
      </c>
      <c r="F163" s="8">
        <f t="shared" si="47"/>
        <v>669</v>
      </c>
      <c r="G163" s="8">
        <f t="shared" si="48"/>
        <v>597</v>
      </c>
      <c r="H163" s="5">
        <f t="shared" si="49"/>
        <v>1714</v>
      </c>
      <c r="I163" s="5">
        <f t="shared" si="50"/>
        <v>1697</v>
      </c>
      <c r="J163" s="5">
        <f t="shared" si="51"/>
        <v>1769</v>
      </c>
      <c r="K163" s="5">
        <f t="shared" si="55"/>
        <v>2000</v>
      </c>
      <c r="L163" s="5">
        <f t="shared" si="56"/>
        <v>2000</v>
      </c>
      <c r="M163" s="5">
        <f t="shared" si="57"/>
        <v>2000</v>
      </c>
      <c r="N163" s="5">
        <f t="shared" si="58"/>
        <v>-286</v>
      </c>
      <c r="O163" s="5">
        <f t="shared" si="59"/>
        <v>-303</v>
      </c>
      <c r="P163" s="5">
        <f t="shared" si="60"/>
        <v>-231</v>
      </c>
      <c r="Q163" s="8">
        <v>0</v>
      </c>
      <c r="R163" s="8">
        <v>0</v>
      </c>
      <c r="S163" s="8">
        <v>0</v>
      </c>
      <c r="T163" s="6">
        <f t="shared" si="52"/>
        <v>1689</v>
      </c>
      <c r="U163" s="7">
        <f t="shared" si="41"/>
        <v>694</v>
      </c>
      <c r="V163" s="7">
        <f t="shared" si="42"/>
        <v>677</v>
      </c>
      <c r="W163" s="7">
        <f t="shared" si="43"/>
        <v>689</v>
      </c>
      <c r="X163" s="6"/>
      <c r="Y163" s="5"/>
      <c r="Z163" s="5"/>
      <c r="AA163" s="5"/>
      <c r="AB163" s="5"/>
    </row>
    <row r="164" spans="1:28" ht="13.15" customHeight="1">
      <c r="A164" s="13">
        <v>150</v>
      </c>
      <c r="B164" s="4">
        <f t="shared" si="53"/>
        <v>45193</v>
      </c>
      <c r="C164" s="10">
        <f t="shared" si="54"/>
        <v>842</v>
      </c>
      <c r="D164" s="9">
        <f t="shared" si="45"/>
        <v>1526</v>
      </c>
      <c r="E164" s="8">
        <f t="shared" si="46"/>
        <v>654</v>
      </c>
      <c r="F164" s="8">
        <f t="shared" si="47"/>
        <v>671</v>
      </c>
      <c r="G164" s="8">
        <f t="shared" si="48"/>
        <v>599</v>
      </c>
      <c r="H164" s="5">
        <f t="shared" si="49"/>
        <v>1714</v>
      </c>
      <c r="I164" s="5">
        <f t="shared" si="50"/>
        <v>1697</v>
      </c>
      <c r="J164" s="5">
        <f t="shared" si="51"/>
        <v>1769</v>
      </c>
      <c r="K164" s="5">
        <f t="shared" si="55"/>
        <v>2000</v>
      </c>
      <c r="L164" s="5">
        <f t="shared" si="56"/>
        <v>2000</v>
      </c>
      <c r="M164" s="5">
        <f t="shared" si="57"/>
        <v>2000</v>
      </c>
      <c r="N164" s="5">
        <f t="shared" si="58"/>
        <v>-286</v>
      </c>
      <c r="O164" s="5">
        <f t="shared" si="59"/>
        <v>-303</v>
      </c>
      <c r="P164" s="5">
        <f t="shared" si="60"/>
        <v>-231</v>
      </c>
      <c r="Q164" s="8">
        <v>0</v>
      </c>
      <c r="R164" s="8">
        <v>0</v>
      </c>
      <c r="S164" s="8">
        <v>0</v>
      </c>
      <c r="T164" s="6">
        <f t="shared" si="52"/>
        <v>1691</v>
      </c>
      <c r="U164" s="7">
        <f t="shared" si="41"/>
        <v>694</v>
      </c>
      <c r="V164" s="7">
        <f t="shared" si="42"/>
        <v>677</v>
      </c>
      <c r="W164" s="7">
        <f t="shared" si="43"/>
        <v>689</v>
      </c>
      <c r="X164" s="6"/>
      <c r="Y164" s="5"/>
      <c r="Z164" s="5"/>
      <c r="AA164" s="5"/>
      <c r="AB164" s="5"/>
    </row>
    <row r="165" spans="1:28" ht="13.15" customHeight="1">
      <c r="A165" s="13">
        <v>151</v>
      </c>
      <c r="B165" s="4">
        <f t="shared" si="53"/>
        <v>45194</v>
      </c>
      <c r="C165" s="10">
        <f t="shared" si="54"/>
        <v>842</v>
      </c>
      <c r="D165" s="9">
        <f t="shared" si="45"/>
        <v>1528</v>
      </c>
      <c r="E165" s="8">
        <f t="shared" si="46"/>
        <v>656</v>
      </c>
      <c r="F165" s="8">
        <f t="shared" si="47"/>
        <v>673</v>
      </c>
      <c r="G165" s="8">
        <f t="shared" si="48"/>
        <v>601</v>
      </c>
      <c r="H165" s="5">
        <f t="shared" si="49"/>
        <v>1714</v>
      </c>
      <c r="I165" s="5">
        <f t="shared" si="50"/>
        <v>1697</v>
      </c>
      <c r="J165" s="5">
        <f t="shared" si="51"/>
        <v>1769</v>
      </c>
      <c r="K165" s="5">
        <f t="shared" si="55"/>
        <v>2000</v>
      </c>
      <c r="L165" s="5">
        <f t="shared" si="56"/>
        <v>2000</v>
      </c>
      <c r="M165" s="5">
        <f t="shared" si="57"/>
        <v>2000</v>
      </c>
      <c r="N165" s="5">
        <f t="shared" si="58"/>
        <v>-286</v>
      </c>
      <c r="O165" s="5">
        <f t="shared" si="59"/>
        <v>-303</v>
      </c>
      <c r="P165" s="5">
        <f t="shared" si="60"/>
        <v>-231</v>
      </c>
      <c r="Q165" s="8">
        <v>0</v>
      </c>
      <c r="R165" s="8">
        <v>0</v>
      </c>
      <c r="S165" s="8">
        <v>0</v>
      </c>
      <c r="T165" s="6">
        <f t="shared" si="52"/>
        <v>1693</v>
      </c>
      <c r="U165" s="7">
        <f t="shared" si="41"/>
        <v>694</v>
      </c>
      <c r="V165" s="7">
        <f t="shared" si="42"/>
        <v>677</v>
      </c>
      <c r="W165" s="7">
        <f t="shared" si="43"/>
        <v>689</v>
      </c>
      <c r="X165" s="6"/>
      <c r="Y165" s="5"/>
      <c r="Z165" s="5"/>
      <c r="AA165" s="5"/>
      <c r="AB165" s="5"/>
    </row>
    <row r="166" spans="1:28" ht="13.15" customHeight="1">
      <c r="A166" s="13">
        <v>152</v>
      </c>
      <c r="B166" s="4">
        <f t="shared" si="53"/>
        <v>45195</v>
      </c>
      <c r="C166" s="10">
        <f t="shared" si="54"/>
        <v>842</v>
      </c>
      <c r="D166" s="9">
        <f t="shared" si="45"/>
        <v>1530</v>
      </c>
      <c r="E166" s="8">
        <f t="shared" si="46"/>
        <v>658</v>
      </c>
      <c r="F166" s="8">
        <f t="shared" si="47"/>
        <v>675</v>
      </c>
      <c r="G166" s="8">
        <f t="shared" si="48"/>
        <v>603</v>
      </c>
      <c r="H166" s="5">
        <f t="shared" si="49"/>
        <v>1714</v>
      </c>
      <c r="I166" s="5">
        <f t="shared" si="50"/>
        <v>1697</v>
      </c>
      <c r="J166" s="5">
        <f t="shared" si="51"/>
        <v>1769</v>
      </c>
      <c r="K166" s="5">
        <f t="shared" si="55"/>
        <v>2000</v>
      </c>
      <c r="L166" s="5">
        <f t="shared" si="56"/>
        <v>2000</v>
      </c>
      <c r="M166" s="5">
        <f t="shared" si="57"/>
        <v>2000</v>
      </c>
      <c r="N166" s="5">
        <f t="shared" si="58"/>
        <v>-286</v>
      </c>
      <c r="O166" s="5">
        <f t="shared" si="59"/>
        <v>-303</v>
      </c>
      <c r="P166" s="5">
        <f t="shared" si="60"/>
        <v>-231</v>
      </c>
      <c r="Q166" s="8">
        <v>0</v>
      </c>
      <c r="R166" s="8">
        <v>0</v>
      </c>
      <c r="S166" s="8">
        <v>0</v>
      </c>
      <c r="T166" s="6">
        <f t="shared" si="52"/>
        <v>1695</v>
      </c>
      <c r="U166" s="7">
        <f t="shared" si="41"/>
        <v>694</v>
      </c>
      <c r="V166" s="7">
        <f t="shared" si="42"/>
        <v>677</v>
      </c>
      <c r="W166" s="7">
        <f t="shared" si="43"/>
        <v>689</v>
      </c>
      <c r="X166" s="6"/>
      <c r="Y166" s="5"/>
      <c r="Z166" s="5"/>
      <c r="AA166" s="5"/>
      <c r="AB166" s="5"/>
    </row>
    <row r="167" spans="1:28" ht="13.15" customHeight="1">
      <c r="A167" s="13">
        <v>153</v>
      </c>
      <c r="B167" s="4">
        <f t="shared" si="53"/>
        <v>45196</v>
      </c>
      <c r="C167" s="10">
        <f t="shared" si="54"/>
        <v>842</v>
      </c>
      <c r="D167" s="9">
        <f t="shared" si="45"/>
        <v>1532</v>
      </c>
      <c r="E167" s="8">
        <f t="shared" si="46"/>
        <v>660</v>
      </c>
      <c r="F167" s="8">
        <f t="shared" si="47"/>
        <v>677</v>
      </c>
      <c r="G167" s="8">
        <f t="shared" si="48"/>
        <v>605</v>
      </c>
      <c r="H167" s="5">
        <f t="shared" si="49"/>
        <v>1714</v>
      </c>
      <c r="I167" s="5">
        <f t="shared" si="50"/>
        <v>1697</v>
      </c>
      <c r="J167" s="5">
        <f t="shared" si="51"/>
        <v>1769</v>
      </c>
      <c r="K167" s="5">
        <f t="shared" si="55"/>
        <v>2000</v>
      </c>
      <c r="L167" s="5">
        <f t="shared" si="56"/>
        <v>2000</v>
      </c>
      <c r="M167" s="5">
        <f t="shared" si="57"/>
        <v>2000</v>
      </c>
      <c r="N167" s="5">
        <f t="shared" si="58"/>
        <v>-286</v>
      </c>
      <c r="O167" s="5">
        <f t="shared" si="59"/>
        <v>-303</v>
      </c>
      <c r="P167" s="5">
        <f t="shared" si="60"/>
        <v>-231</v>
      </c>
      <c r="Q167" s="8">
        <v>0</v>
      </c>
      <c r="R167" s="8">
        <v>0</v>
      </c>
      <c r="S167" s="8">
        <v>0</v>
      </c>
      <c r="T167" s="6">
        <f t="shared" si="52"/>
        <v>1697</v>
      </c>
      <c r="U167" s="7">
        <f t="shared" si="41"/>
        <v>694</v>
      </c>
      <c r="V167" s="7">
        <f t="shared" si="42"/>
        <v>677</v>
      </c>
      <c r="W167" s="7">
        <f t="shared" si="43"/>
        <v>689</v>
      </c>
      <c r="X167" s="6"/>
      <c r="Y167" s="5"/>
      <c r="Z167" s="5"/>
      <c r="AA167" s="5"/>
      <c r="AB167" s="5"/>
    </row>
    <row r="168" spans="1:28" ht="13.15" customHeight="1">
      <c r="A168" s="13">
        <v>154</v>
      </c>
      <c r="B168" s="4">
        <f t="shared" si="53"/>
        <v>45197</v>
      </c>
      <c r="C168" s="10">
        <f t="shared" si="54"/>
        <v>842</v>
      </c>
      <c r="D168" s="9">
        <f t="shared" si="45"/>
        <v>1534</v>
      </c>
      <c r="E168" s="8">
        <f t="shared" si="46"/>
        <v>662</v>
      </c>
      <c r="F168" s="8">
        <f t="shared" si="47"/>
        <v>679</v>
      </c>
      <c r="G168" s="8">
        <f t="shared" si="48"/>
        <v>607</v>
      </c>
      <c r="H168" s="5">
        <f t="shared" si="49"/>
        <v>1714</v>
      </c>
      <c r="I168" s="5">
        <f t="shared" si="50"/>
        <v>1697</v>
      </c>
      <c r="J168" s="5">
        <f t="shared" si="51"/>
        <v>1769</v>
      </c>
      <c r="K168" s="5">
        <f t="shared" si="55"/>
        <v>2000</v>
      </c>
      <c r="L168" s="5">
        <f t="shared" si="56"/>
        <v>2000</v>
      </c>
      <c r="M168" s="5">
        <f t="shared" si="57"/>
        <v>2000</v>
      </c>
      <c r="N168" s="5">
        <f t="shared" si="58"/>
        <v>-286</v>
      </c>
      <c r="O168" s="5">
        <f t="shared" si="59"/>
        <v>-303</v>
      </c>
      <c r="P168" s="5">
        <f t="shared" si="60"/>
        <v>-231</v>
      </c>
      <c r="Q168" s="8">
        <v>0</v>
      </c>
      <c r="R168" s="8">
        <v>0</v>
      </c>
      <c r="S168" s="8">
        <v>0</v>
      </c>
      <c r="T168" s="6">
        <f t="shared" si="52"/>
        <v>1699</v>
      </c>
      <c r="U168" s="7">
        <f t="shared" ref="U168:U231" si="61">U167+$X168*1000-Q168</f>
        <v>694</v>
      </c>
      <c r="V168" s="7">
        <f t="shared" ref="V168:V231" si="62">V167+$X168*1000-R168</f>
        <v>677</v>
      </c>
      <c r="W168" s="7">
        <f t="shared" ref="W168:W231" si="63">W167+$X168*1000-S168</f>
        <v>689</v>
      </c>
      <c r="X168" s="6"/>
      <c r="Y168" s="5"/>
      <c r="Z168" s="5"/>
      <c r="AA168" s="5"/>
      <c r="AB168" s="5"/>
    </row>
    <row r="169" spans="1:28" ht="13.15" customHeight="1">
      <c r="A169" s="13">
        <v>155</v>
      </c>
      <c r="B169" s="4">
        <f t="shared" si="53"/>
        <v>45198</v>
      </c>
      <c r="C169" s="10">
        <f t="shared" si="54"/>
        <v>842</v>
      </c>
      <c r="D169" s="9">
        <f t="shared" si="45"/>
        <v>1536</v>
      </c>
      <c r="E169" s="8">
        <f t="shared" si="46"/>
        <v>664</v>
      </c>
      <c r="F169" s="8">
        <f t="shared" si="47"/>
        <v>681</v>
      </c>
      <c r="G169" s="8">
        <f t="shared" si="48"/>
        <v>609</v>
      </c>
      <c r="H169" s="5">
        <f t="shared" si="49"/>
        <v>1714</v>
      </c>
      <c r="I169" s="5">
        <f t="shared" si="50"/>
        <v>1697</v>
      </c>
      <c r="J169" s="5">
        <f t="shared" si="51"/>
        <v>1769</v>
      </c>
      <c r="K169" s="5">
        <f t="shared" si="55"/>
        <v>2000</v>
      </c>
      <c r="L169" s="5">
        <f t="shared" si="56"/>
        <v>2000</v>
      </c>
      <c r="M169" s="5">
        <f t="shared" si="57"/>
        <v>2000</v>
      </c>
      <c r="N169" s="5">
        <f t="shared" si="58"/>
        <v>-286</v>
      </c>
      <c r="O169" s="5">
        <f t="shared" si="59"/>
        <v>-303</v>
      </c>
      <c r="P169" s="5">
        <f t="shared" si="60"/>
        <v>-231</v>
      </c>
      <c r="Q169" s="8">
        <v>0</v>
      </c>
      <c r="R169" s="8">
        <v>0</v>
      </c>
      <c r="S169" s="8">
        <v>0</v>
      </c>
      <c r="T169" s="6">
        <f t="shared" si="52"/>
        <v>1701</v>
      </c>
      <c r="U169" s="7">
        <f t="shared" si="61"/>
        <v>694</v>
      </c>
      <c r="V169" s="7">
        <f t="shared" si="62"/>
        <v>677</v>
      </c>
      <c r="W169" s="7">
        <f t="shared" si="63"/>
        <v>689</v>
      </c>
      <c r="X169" s="6"/>
      <c r="Y169" s="5"/>
      <c r="Z169" s="5"/>
      <c r="AA169" s="5"/>
      <c r="AB169" s="5"/>
    </row>
    <row r="170" spans="1:28" ht="13.15" customHeight="1">
      <c r="A170" s="13">
        <v>156</v>
      </c>
      <c r="B170" s="4">
        <f t="shared" si="53"/>
        <v>45199</v>
      </c>
      <c r="C170" s="10">
        <f t="shared" si="54"/>
        <v>842</v>
      </c>
      <c r="D170" s="9">
        <f t="shared" si="45"/>
        <v>1538</v>
      </c>
      <c r="E170" s="8">
        <f t="shared" si="46"/>
        <v>666</v>
      </c>
      <c r="F170" s="8">
        <f t="shared" si="47"/>
        <v>683</v>
      </c>
      <c r="G170" s="8">
        <f t="shared" si="48"/>
        <v>611</v>
      </c>
      <c r="H170" s="5">
        <f t="shared" si="49"/>
        <v>1714</v>
      </c>
      <c r="I170" s="5">
        <f t="shared" si="50"/>
        <v>1697</v>
      </c>
      <c r="J170" s="5">
        <f t="shared" si="51"/>
        <v>1769</v>
      </c>
      <c r="K170" s="5">
        <f t="shared" si="55"/>
        <v>2000</v>
      </c>
      <c r="L170" s="5">
        <f t="shared" si="56"/>
        <v>2000</v>
      </c>
      <c r="M170" s="5">
        <f t="shared" si="57"/>
        <v>2000</v>
      </c>
      <c r="N170" s="5">
        <f t="shared" si="58"/>
        <v>-286</v>
      </c>
      <c r="O170" s="5">
        <f t="shared" si="59"/>
        <v>-303</v>
      </c>
      <c r="P170" s="5">
        <f t="shared" si="60"/>
        <v>-231</v>
      </c>
      <c r="Q170" s="8">
        <v>0</v>
      </c>
      <c r="R170" s="8">
        <v>0</v>
      </c>
      <c r="S170" s="8">
        <v>0</v>
      </c>
      <c r="T170" s="6">
        <f t="shared" si="52"/>
        <v>1703</v>
      </c>
      <c r="U170" s="7">
        <f t="shared" si="61"/>
        <v>694</v>
      </c>
      <c r="V170" s="7">
        <f t="shared" si="62"/>
        <v>677</v>
      </c>
      <c r="W170" s="7">
        <f t="shared" si="63"/>
        <v>689</v>
      </c>
      <c r="X170" s="6"/>
      <c r="Y170" s="5"/>
      <c r="Z170" s="5"/>
      <c r="AA170" s="5"/>
      <c r="AB170" s="5"/>
    </row>
    <row r="171" spans="1:28" ht="13.15" customHeight="1">
      <c r="A171" s="13">
        <v>157</v>
      </c>
      <c r="B171" s="4">
        <f t="shared" si="53"/>
        <v>45200</v>
      </c>
      <c r="C171" s="10">
        <f t="shared" si="54"/>
        <v>842</v>
      </c>
      <c r="D171" s="9">
        <f t="shared" si="45"/>
        <v>1540</v>
      </c>
      <c r="E171" s="8">
        <f t="shared" si="46"/>
        <v>668</v>
      </c>
      <c r="F171" s="8">
        <f t="shared" si="47"/>
        <v>685</v>
      </c>
      <c r="G171" s="8">
        <f t="shared" si="48"/>
        <v>613</v>
      </c>
      <c r="H171" s="5">
        <f t="shared" si="49"/>
        <v>1714</v>
      </c>
      <c r="I171" s="5">
        <f t="shared" si="50"/>
        <v>1697</v>
      </c>
      <c r="J171" s="5">
        <f t="shared" si="51"/>
        <v>1769</v>
      </c>
      <c r="K171" s="5">
        <f t="shared" si="55"/>
        <v>2000</v>
      </c>
      <c r="L171" s="5">
        <f t="shared" si="56"/>
        <v>2000</v>
      </c>
      <c r="M171" s="5">
        <f t="shared" si="57"/>
        <v>2000</v>
      </c>
      <c r="N171" s="5">
        <f t="shared" si="58"/>
        <v>-286</v>
      </c>
      <c r="O171" s="5">
        <f t="shared" si="59"/>
        <v>-303</v>
      </c>
      <c r="P171" s="5">
        <f t="shared" si="60"/>
        <v>-231</v>
      </c>
      <c r="Q171" s="8">
        <v>0</v>
      </c>
      <c r="R171" s="8">
        <v>0</v>
      </c>
      <c r="S171" s="8">
        <v>0</v>
      </c>
      <c r="T171" s="6">
        <f t="shared" si="52"/>
        <v>1705</v>
      </c>
      <c r="U171" s="7">
        <f t="shared" si="61"/>
        <v>694</v>
      </c>
      <c r="V171" s="7">
        <f t="shared" si="62"/>
        <v>677</v>
      </c>
      <c r="W171" s="7">
        <f t="shared" si="63"/>
        <v>689</v>
      </c>
      <c r="X171" s="6"/>
      <c r="Y171" s="5"/>
      <c r="Z171" s="5"/>
      <c r="AA171" s="5"/>
      <c r="AB171" s="5"/>
    </row>
    <row r="172" spans="1:28" ht="13.15" customHeight="1">
      <c r="A172" s="13">
        <v>158</v>
      </c>
      <c r="B172" s="4">
        <f t="shared" si="53"/>
        <v>45201</v>
      </c>
      <c r="C172" s="10">
        <f t="shared" si="54"/>
        <v>842</v>
      </c>
      <c r="D172" s="9">
        <f t="shared" si="45"/>
        <v>1542</v>
      </c>
      <c r="E172" s="8">
        <f t="shared" si="46"/>
        <v>670</v>
      </c>
      <c r="F172" s="8">
        <f t="shared" si="47"/>
        <v>687</v>
      </c>
      <c r="G172" s="8">
        <f t="shared" si="48"/>
        <v>615</v>
      </c>
      <c r="H172" s="5">
        <f t="shared" si="49"/>
        <v>1714</v>
      </c>
      <c r="I172" s="5">
        <f t="shared" si="50"/>
        <v>1697</v>
      </c>
      <c r="J172" s="5">
        <f t="shared" si="51"/>
        <v>1769</v>
      </c>
      <c r="K172" s="5">
        <f t="shared" si="55"/>
        <v>2000</v>
      </c>
      <c r="L172" s="5">
        <f t="shared" si="56"/>
        <v>2000</v>
      </c>
      <c r="M172" s="5">
        <f t="shared" si="57"/>
        <v>2000</v>
      </c>
      <c r="N172" s="5">
        <f t="shared" si="58"/>
        <v>-286</v>
      </c>
      <c r="O172" s="5">
        <f t="shared" si="59"/>
        <v>-303</v>
      </c>
      <c r="P172" s="5">
        <f t="shared" si="60"/>
        <v>-231</v>
      </c>
      <c r="Q172" s="8">
        <v>0</v>
      </c>
      <c r="R172" s="8">
        <v>0</v>
      </c>
      <c r="S172" s="8">
        <v>0</v>
      </c>
      <c r="T172" s="6">
        <f t="shared" si="52"/>
        <v>1707</v>
      </c>
      <c r="U172" s="7">
        <f t="shared" si="61"/>
        <v>694</v>
      </c>
      <c r="V172" s="7">
        <f t="shared" si="62"/>
        <v>677</v>
      </c>
      <c r="W172" s="7">
        <f t="shared" si="63"/>
        <v>689</v>
      </c>
      <c r="X172" s="6"/>
      <c r="Y172" s="5"/>
      <c r="Z172" s="5"/>
      <c r="AA172" s="5"/>
      <c r="AB172" s="5"/>
    </row>
    <row r="173" spans="1:28" ht="13.15" customHeight="1">
      <c r="A173" s="13">
        <v>159</v>
      </c>
      <c r="B173" s="4">
        <f t="shared" si="53"/>
        <v>45202</v>
      </c>
      <c r="C173" s="10">
        <f t="shared" si="54"/>
        <v>842</v>
      </c>
      <c r="D173" s="9">
        <f t="shared" si="45"/>
        <v>1544</v>
      </c>
      <c r="E173" s="8">
        <f t="shared" si="46"/>
        <v>672</v>
      </c>
      <c r="F173" s="8">
        <f t="shared" si="47"/>
        <v>689</v>
      </c>
      <c r="G173" s="8">
        <f t="shared" si="48"/>
        <v>617</v>
      </c>
      <c r="H173" s="5">
        <f t="shared" si="49"/>
        <v>1714</v>
      </c>
      <c r="I173" s="5">
        <f t="shared" si="50"/>
        <v>1697</v>
      </c>
      <c r="J173" s="5">
        <f t="shared" si="51"/>
        <v>1769</v>
      </c>
      <c r="K173" s="5">
        <f t="shared" si="55"/>
        <v>2000</v>
      </c>
      <c r="L173" s="5">
        <f t="shared" si="56"/>
        <v>2000</v>
      </c>
      <c r="M173" s="5">
        <f t="shared" si="57"/>
        <v>2000</v>
      </c>
      <c r="N173" s="5">
        <f t="shared" si="58"/>
        <v>-286</v>
      </c>
      <c r="O173" s="5">
        <f t="shared" si="59"/>
        <v>-303</v>
      </c>
      <c r="P173" s="5">
        <f t="shared" si="60"/>
        <v>-231</v>
      </c>
      <c r="Q173" s="8">
        <v>0</v>
      </c>
      <c r="R173" s="8">
        <v>0</v>
      </c>
      <c r="S173" s="8">
        <v>0</v>
      </c>
      <c r="T173" s="6">
        <f t="shared" si="52"/>
        <v>1709</v>
      </c>
      <c r="U173" s="7">
        <f t="shared" si="61"/>
        <v>694</v>
      </c>
      <c r="V173" s="7">
        <f t="shared" si="62"/>
        <v>677</v>
      </c>
      <c r="W173" s="7">
        <f t="shared" si="63"/>
        <v>689</v>
      </c>
      <c r="X173" s="6"/>
      <c r="Y173" s="5"/>
      <c r="Z173" s="5"/>
      <c r="AA173" s="5"/>
      <c r="AB173" s="5"/>
    </row>
    <row r="174" spans="1:28" ht="13.15" customHeight="1">
      <c r="A174" s="13">
        <v>160</v>
      </c>
      <c r="B174" s="4">
        <f t="shared" si="53"/>
        <v>45203</v>
      </c>
      <c r="C174" s="10">
        <f t="shared" si="54"/>
        <v>842</v>
      </c>
      <c r="D174" s="9">
        <f t="shared" si="45"/>
        <v>1546</v>
      </c>
      <c r="E174" s="8">
        <f t="shared" si="46"/>
        <v>674</v>
      </c>
      <c r="F174" s="8">
        <f t="shared" si="47"/>
        <v>691</v>
      </c>
      <c r="G174" s="8">
        <f t="shared" si="48"/>
        <v>619</v>
      </c>
      <c r="H174" s="5">
        <f t="shared" si="49"/>
        <v>1714</v>
      </c>
      <c r="I174" s="5">
        <f t="shared" si="50"/>
        <v>1697</v>
      </c>
      <c r="J174" s="5">
        <f t="shared" si="51"/>
        <v>1769</v>
      </c>
      <c r="K174" s="5">
        <f t="shared" si="55"/>
        <v>2000</v>
      </c>
      <c r="L174" s="5">
        <f t="shared" si="56"/>
        <v>2000</v>
      </c>
      <c r="M174" s="5">
        <f t="shared" si="57"/>
        <v>2000</v>
      </c>
      <c r="N174" s="5">
        <f t="shared" si="58"/>
        <v>-286</v>
      </c>
      <c r="O174" s="5">
        <f t="shared" si="59"/>
        <v>-303</v>
      </c>
      <c r="P174" s="5">
        <f t="shared" si="60"/>
        <v>-231</v>
      </c>
      <c r="Q174" s="8">
        <v>0</v>
      </c>
      <c r="R174" s="8">
        <v>0</v>
      </c>
      <c r="S174" s="8">
        <v>0</v>
      </c>
      <c r="T174" s="6">
        <f t="shared" si="52"/>
        <v>1711</v>
      </c>
      <c r="U174" s="7">
        <f t="shared" si="61"/>
        <v>694</v>
      </c>
      <c r="V174" s="7">
        <f t="shared" si="62"/>
        <v>677</v>
      </c>
      <c r="W174" s="7">
        <f t="shared" si="63"/>
        <v>689</v>
      </c>
      <c r="X174" s="6"/>
      <c r="Y174" s="5"/>
      <c r="Z174" s="5"/>
      <c r="AA174" s="5"/>
      <c r="AB174" s="5"/>
    </row>
    <row r="175" spans="1:28" ht="13.15" customHeight="1">
      <c r="A175" s="13">
        <v>161</v>
      </c>
      <c r="B175" s="4">
        <f t="shared" si="53"/>
        <v>45204</v>
      </c>
      <c r="C175" s="10">
        <f t="shared" si="54"/>
        <v>842</v>
      </c>
      <c r="D175" s="9">
        <f t="shared" si="45"/>
        <v>1548</v>
      </c>
      <c r="E175" s="8">
        <f t="shared" si="46"/>
        <v>676</v>
      </c>
      <c r="F175" s="8">
        <f t="shared" si="47"/>
        <v>693</v>
      </c>
      <c r="G175" s="8">
        <f t="shared" si="48"/>
        <v>621</v>
      </c>
      <c r="H175" s="5">
        <f t="shared" si="49"/>
        <v>1714</v>
      </c>
      <c r="I175" s="5">
        <f t="shared" si="50"/>
        <v>1697</v>
      </c>
      <c r="J175" s="5">
        <f t="shared" si="51"/>
        <v>1769</v>
      </c>
      <c r="K175" s="5">
        <f t="shared" si="55"/>
        <v>2000</v>
      </c>
      <c r="L175" s="5">
        <f t="shared" si="56"/>
        <v>2000</v>
      </c>
      <c r="M175" s="5">
        <f t="shared" si="57"/>
        <v>2000</v>
      </c>
      <c r="N175" s="5">
        <f t="shared" si="58"/>
        <v>-286</v>
      </c>
      <c r="O175" s="5">
        <f t="shared" si="59"/>
        <v>-303</v>
      </c>
      <c r="P175" s="5">
        <f t="shared" si="60"/>
        <v>-231</v>
      </c>
      <c r="Q175" s="8">
        <v>0</v>
      </c>
      <c r="R175" s="8">
        <v>0</v>
      </c>
      <c r="S175" s="8">
        <v>0</v>
      </c>
      <c r="T175" s="6">
        <f t="shared" si="52"/>
        <v>1713</v>
      </c>
      <c r="U175" s="7">
        <f t="shared" si="61"/>
        <v>694</v>
      </c>
      <c r="V175" s="7">
        <f t="shared" si="62"/>
        <v>677</v>
      </c>
      <c r="W175" s="7">
        <f t="shared" si="63"/>
        <v>689</v>
      </c>
      <c r="X175" s="6"/>
      <c r="Y175" s="5"/>
      <c r="Z175" s="5"/>
      <c r="AA175" s="5"/>
      <c r="AB175" s="5"/>
    </row>
    <row r="176" spans="1:28" ht="13.15" customHeight="1">
      <c r="A176" s="13">
        <v>162</v>
      </c>
      <c r="B176" s="4">
        <f t="shared" si="53"/>
        <v>45205</v>
      </c>
      <c r="C176" s="10">
        <f t="shared" si="54"/>
        <v>842</v>
      </c>
      <c r="D176" s="9">
        <f t="shared" si="45"/>
        <v>1550</v>
      </c>
      <c r="E176" s="8">
        <f t="shared" si="46"/>
        <v>678</v>
      </c>
      <c r="F176" s="8">
        <f t="shared" si="47"/>
        <v>695</v>
      </c>
      <c r="G176" s="8">
        <f t="shared" si="48"/>
        <v>623</v>
      </c>
      <c r="H176" s="5">
        <f t="shared" si="49"/>
        <v>1714</v>
      </c>
      <c r="I176" s="5">
        <f t="shared" si="50"/>
        <v>1697</v>
      </c>
      <c r="J176" s="5">
        <f t="shared" si="51"/>
        <v>1769</v>
      </c>
      <c r="K176" s="5">
        <f t="shared" si="55"/>
        <v>2000</v>
      </c>
      <c r="L176" s="5">
        <f t="shared" si="56"/>
        <v>2000</v>
      </c>
      <c r="M176" s="5">
        <f t="shared" si="57"/>
        <v>2000</v>
      </c>
      <c r="N176" s="5">
        <f t="shared" si="58"/>
        <v>-286</v>
      </c>
      <c r="O176" s="5">
        <f t="shared" si="59"/>
        <v>-303</v>
      </c>
      <c r="P176" s="5">
        <f t="shared" si="60"/>
        <v>-231</v>
      </c>
      <c r="Q176" s="8">
        <v>0</v>
      </c>
      <c r="R176" s="8">
        <v>0</v>
      </c>
      <c r="S176" s="8">
        <v>0</v>
      </c>
      <c r="T176" s="6">
        <f t="shared" si="52"/>
        <v>1715</v>
      </c>
      <c r="U176" s="7">
        <f t="shared" si="61"/>
        <v>694</v>
      </c>
      <c r="V176" s="7">
        <f t="shared" si="62"/>
        <v>677</v>
      </c>
      <c r="W176" s="7">
        <f t="shared" si="63"/>
        <v>689</v>
      </c>
      <c r="X176" s="6"/>
      <c r="Y176" s="5"/>
      <c r="Z176" s="5"/>
      <c r="AA176" s="5"/>
      <c r="AB176" s="5"/>
    </row>
    <row r="177" spans="1:28" ht="13.15" customHeight="1">
      <c r="A177" s="13">
        <v>163</v>
      </c>
      <c r="B177" s="4">
        <f t="shared" si="53"/>
        <v>45206</v>
      </c>
      <c r="C177" s="10">
        <f t="shared" si="54"/>
        <v>842</v>
      </c>
      <c r="D177" s="9">
        <f t="shared" si="45"/>
        <v>1552</v>
      </c>
      <c r="E177" s="8">
        <f t="shared" si="46"/>
        <v>680</v>
      </c>
      <c r="F177" s="8">
        <f t="shared" si="47"/>
        <v>697</v>
      </c>
      <c r="G177" s="8">
        <f t="shared" si="48"/>
        <v>625</v>
      </c>
      <c r="H177" s="5">
        <f t="shared" si="49"/>
        <v>1714</v>
      </c>
      <c r="I177" s="5">
        <f t="shared" si="50"/>
        <v>1697</v>
      </c>
      <c r="J177" s="5">
        <f t="shared" si="51"/>
        <v>1769</v>
      </c>
      <c r="K177" s="5">
        <f t="shared" si="55"/>
        <v>2000</v>
      </c>
      <c r="L177" s="5">
        <f t="shared" si="56"/>
        <v>2000</v>
      </c>
      <c r="M177" s="5">
        <f t="shared" si="57"/>
        <v>2000</v>
      </c>
      <c r="N177" s="5">
        <f t="shared" si="58"/>
        <v>-286</v>
      </c>
      <c r="O177" s="5">
        <f t="shared" si="59"/>
        <v>-303</v>
      </c>
      <c r="P177" s="5">
        <f t="shared" si="60"/>
        <v>-231</v>
      </c>
      <c r="Q177" s="8">
        <v>0</v>
      </c>
      <c r="R177" s="8">
        <v>0</v>
      </c>
      <c r="S177" s="8">
        <v>0</v>
      </c>
      <c r="T177" s="6">
        <f t="shared" si="52"/>
        <v>1717</v>
      </c>
      <c r="U177" s="7">
        <f t="shared" si="61"/>
        <v>694</v>
      </c>
      <c r="V177" s="7">
        <f t="shared" si="62"/>
        <v>677</v>
      </c>
      <c r="W177" s="7">
        <f t="shared" si="63"/>
        <v>689</v>
      </c>
      <c r="X177" s="6"/>
      <c r="Y177" s="5"/>
      <c r="Z177" s="5"/>
      <c r="AA177" s="5"/>
      <c r="AB177" s="5"/>
    </row>
    <row r="178" spans="1:28" ht="13.15" customHeight="1">
      <c r="A178" s="13">
        <v>164</v>
      </c>
      <c r="B178" s="4">
        <f t="shared" si="53"/>
        <v>45207</v>
      </c>
      <c r="C178" s="10">
        <f t="shared" si="54"/>
        <v>842</v>
      </c>
      <c r="D178" s="9">
        <f t="shared" si="45"/>
        <v>1554</v>
      </c>
      <c r="E178" s="8">
        <f t="shared" si="46"/>
        <v>682</v>
      </c>
      <c r="F178" s="8">
        <f t="shared" si="47"/>
        <v>699</v>
      </c>
      <c r="G178" s="8">
        <f t="shared" si="48"/>
        <v>627</v>
      </c>
      <c r="H178" s="5">
        <f t="shared" si="49"/>
        <v>1714</v>
      </c>
      <c r="I178" s="5">
        <f t="shared" si="50"/>
        <v>1697</v>
      </c>
      <c r="J178" s="5">
        <f t="shared" si="51"/>
        <v>1769</v>
      </c>
      <c r="K178" s="5">
        <f t="shared" si="55"/>
        <v>2000</v>
      </c>
      <c r="L178" s="5">
        <f t="shared" si="56"/>
        <v>2000</v>
      </c>
      <c r="M178" s="5">
        <f t="shared" si="57"/>
        <v>2000</v>
      </c>
      <c r="N178" s="5">
        <f t="shared" si="58"/>
        <v>-286</v>
      </c>
      <c r="O178" s="5">
        <f t="shared" si="59"/>
        <v>-303</v>
      </c>
      <c r="P178" s="5">
        <f t="shared" si="60"/>
        <v>-231</v>
      </c>
      <c r="Q178" s="8">
        <v>0</v>
      </c>
      <c r="R178" s="8">
        <v>0</v>
      </c>
      <c r="S178" s="8">
        <v>0</v>
      </c>
      <c r="T178" s="6">
        <f t="shared" si="52"/>
        <v>1719</v>
      </c>
      <c r="U178" s="7">
        <f t="shared" si="61"/>
        <v>694</v>
      </c>
      <c r="V178" s="7">
        <f t="shared" si="62"/>
        <v>677</v>
      </c>
      <c r="W178" s="7">
        <f t="shared" si="63"/>
        <v>689</v>
      </c>
      <c r="X178" s="6"/>
      <c r="Y178" s="5"/>
      <c r="Z178" s="5"/>
      <c r="AA178" s="5"/>
      <c r="AB178" s="5"/>
    </row>
    <row r="179" spans="1:28" ht="13.15" customHeight="1">
      <c r="A179" s="13">
        <v>165</v>
      </c>
      <c r="B179" s="4">
        <f t="shared" si="53"/>
        <v>45208</v>
      </c>
      <c r="C179" s="10">
        <f t="shared" si="54"/>
        <v>842</v>
      </c>
      <c r="D179" s="9">
        <f t="shared" si="45"/>
        <v>1556</v>
      </c>
      <c r="E179" s="8">
        <f t="shared" si="46"/>
        <v>684</v>
      </c>
      <c r="F179" s="8">
        <f t="shared" si="47"/>
        <v>701</v>
      </c>
      <c r="G179" s="8">
        <f t="shared" si="48"/>
        <v>629</v>
      </c>
      <c r="H179" s="5">
        <f t="shared" si="49"/>
        <v>1714</v>
      </c>
      <c r="I179" s="5">
        <f t="shared" si="50"/>
        <v>1697</v>
      </c>
      <c r="J179" s="5">
        <f t="shared" si="51"/>
        <v>1769</v>
      </c>
      <c r="K179" s="5">
        <f t="shared" si="55"/>
        <v>2000</v>
      </c>
      <c r="L179" s="5">
        <f t="shared" si="56"/>
        <v>2000</v>
      </c>
      <c r="M179" s="5">
        <f t="shared" si="57"/>
        <v>2000</v>
      </c>
      <c r="N179" s="5">
        <f t="shared" si="58"/>
        <v>-286</v>
      </c>
      <c r="O179" s="5">
        <f t="shared" si="59"/>
        <v>-303</v>
      </c>
      <c r="P179" s="5">
        <f t="shared" si="60"/>
        <v>-231</v>
      </c>
      <c r="Q179" s="8">
        <v>0</v>
      </c>
      <c r="R179" s="8">
        <v>0</v>
      </c>
      <c r="S179" s="8">
        <v>0</v>
      </c>
      <c r="T179" s="6">
        <f t="shared" si="52"/>
        <v>1721</v>
      </c>
      <c r="U179" s="7">
        <f t="shared" si="61"/>
        <v>694</v>
      </c>
      <c r="V179" s="7">
        <f t="shared" si="62"/>
        <v>677</v>
      </c>
      <c r="W179" s="7">
        <f t="shared" si="63"/>
        <v>689</v>
      </c>
      <c r="X179" s="6"/>
      <c r="Y179" s="5"/>
      <c r="Z179" s="5"/>
      <c r="AA179" s="5"/>
      <c r="AB179" s="5"/>
    </row>
    <row r="180" spans="1:28" ht="13.15" customHeight="1">
      <c r="A180" s="13">
        <v>166</v>
      </c>
      <c r="B180" s="4">
        <f t="shared" si="53"/>
        <v>45209</v>
      </c>
      <c r="C180" s="10">
        <f t="shared" si="54"/>
        <v>842</v>
      </c>
      <c r="D180" s="9">
        <f t="shared" si="45"/>
        <v>1558</v>
      </c>
      <c r="E180" s="8">
        <f t="shared" si="46"/>
        <v>686</v>
      </c>
      <c r="F180" s="8">
        <f t="shared" si="47"/>
        <v>703</v>
      </c>
      <c r="G180" s="8">
        <f t="shared" si="48"/>
        <v>631</v>
      </c>
      <c r="H180" s="5">
        <f t="shared" si="49"/>
        <v>1714</v>
      </c>
      <c r="I180" s="5">
        <f t="shared" si="50"/>
        <v>1697</v>
      </c>
      <c r="J180" s="5">
        <f t="shared" si="51"/>
        <v>1769</v>
      </c>
      <c r="K180" s="5">
        <f t="shared" si="55"/>
        <v>2000</v>
      </c>
      <c r="L180" s="5">
        <f t="shared" si="56"/>
        <v>2000</v>
      </c>
      <c r="M180" s="5">
        <f t="shared" si="57"/>
        <v>2000</v>
      </c>
      <c r="N180" s="5">
        <f t="shared" si="58"/>
        <v>-286</v>
      </c>
      <c r="O180" s="5">
        <f t="shared" si="59"/>
        <v>-303</v>
      </c>
      <c r="P180" s="5">
        <f t="shared" si="60"/>
        <v>-231</v>
      </c>
      <c r="Q180" s="8">
        <v>0</v>
      </c>
      <c r="R180" s="8">
        <v>0</v>
      </c>
      <c r="S180" s="8">
        <v>0</v>
      </c>
      <c r="T180" s="6">
        <f t="shared" si="52"/>
        <v>1723</v>
      </c>
      <c r="U180" s="7">
        <f t="shared" si="61"/>
        <v>694</v>
      </c>
      <c r="V180" s="7">
        <f t="shared" si="62"/>
        <v>677</v>
      </c>
      <c r="W180" s="7">
        <f t="shared" si="63"/>
        <v>689</v>
      </c>
      <c r="X180" s="6"/>
      <c r="Y180" s="5"/>
      <c r="Z180" s="5"/>
      <c r="AA180" s="5"/>
      <c r="AB180" s="5"/>
    </row>
    <row r="181" spans="1:28" ht="13.15" customHeight="1">
      <c r="A181" s="13">
        <v>167</v>
      </c>
      <c r="B181" s="4">
        <f t="shared" si="53"/>
        <v>45210</v>
      </c>
      <c r="C181" s="10">
        <f t="shared" si="54"/>
        <v>842</v>
      </c>
      <c r="D181" s="9">
        <f t="shared" si="45"/>
        <v>1560</v>
      </c>
      <c r="E181" s="8">
        <f t="shared" si="46"/>
        <v>688</v>
      </c>
      <c r="F181" s="8">
        <f t="shared" si="47"/>
        <v>705</v>
      </c>
      <c r="G181" s="8">
        <f t="shared" si="48"/>
        <v>633</v>
      </c>
      <c r="H181" s="5">
        <f t="shared" si="49"/>
        <v>1714</v>
      </c>
      <c r="I181" s="5">
        <f t="shared" si="50"/>
        <v>1697</v>
      </c>
      <c r="J181" s="5">
        <f t="shared" si="51"/>
        <v>1769</v>
      </c>
      <c r="K181" s="5">
        <f t="shared" si="55"/>
        <v>2000</v>
      </c>
      <c r="L181" s="5">
        <f t="shared" si="56"/>
        <v>2000</v>
      </c>
      <c r="M181" s="5">
        <f t="shared" si="57"/>
        <v>2000</v>
      </c>
      <c r="N181" s="5">
        <f t="shared" si="58"/>
        <v>-286</v>
      </c>
      <c r="O181" s="5">
        <f t="shared" si="59"/>
        <v>-303</v>
      </c>
      <c r="P181" s="5">
        <f t="shared" si="60"/>
        <v>-231</v>
      </c>
      <c r="Q181" s="8">
        <v>0</v>
      </c>
      <c r="R181" s="8">
        <v>0</v>
      </c>
      <c r="S181" s="8">
        <v>0</v>
      </c>
      <c r="T181" s="6">
        <f t="shared" si="52"/>
        <v>1725</v>
      </c>
      <c r="U181" s="7">
        <f t="shared" si="61"/>
        <v>694</v>
      </c>
      <c r="V181" s="7">
        <f t="shared" si="62"/>
        <v>677</v>
      </c>
      <c r="W181" s="7">
        <f t="shared" si="63"/>
        <v>689</v>
      </c>
      <c r="X181" s="6"/>
      <c r="Y181" s="5"/>
      <c r="Z181" s="5"/>
      <c r="AA181" s="5"/>
      <c r="AB181" s="5"/>
    </row>
    <row r="182" spans="1:28" ht="13.15" customHeight="1">
      <c r="A182" s="13">
        <v>168</v>
      </c>
      <c r="B182" s="4">
        <f t="shared" si="53"/>
        <v>45211</v>
      </c>
      <c r="C182" s="10">
        <f t="shared" si="54"/>
        <v>842</v>
      </c>
      <c r="D182" s="9">
        <f t="shared" si="45"/>
        <v>1562</v>
      </c>
      <c r="E182" s="8">
        <f t="shared" si="46"/>
        <v>690</v>
      </c>
      <c r="F182" s="8">
        <f t="shared" si="47"/>
        <v>707</v>
      </c>
      <c r="G182" s="8">
        <f t="shared" si="48"/>
        <v>635</v>
      </c>
      <c r="H182" s="5">
        <f t="shared" si="49"/>
        <v>1714</v>
      </c>
      <c r="I182" s="5">
        <f t="shared" si="50"/>
        <v>1697</v>
      </c>
      <c r="J182" s="5">
        <f t="shared" si="51"/>
        <v>1769</v>
      </c>
      <c r="K182" s="5">
        <f t="shared" si="55"/>
        <v>2000</v>
      </c>
      <c r="L182" s="5">
        <f t="shared" si="56"/>
        <v>2000</v>
      </c>
      <c r="M182" s="5">
        <f t="shared" si="57"/>
        <v>2000</v>
      </c>
      <c r="N182" s="5">
        <f t="shared" si="58"/>
        <v>-286</v>
      </c>
      <c r="O182" s="5">
        <f t="shared" si="59"/>
        <v>-303</v>
      </c>
      <c r="P182" s="5">
        <f t="shared" si="60"/>
        <v>-231</v>
      </c>
      <c r="Q182" s="8">
        <v>0</v>
      </c>
      <c r="R182" s="8">
        <v>0</v>
      </c>
      <c r="S182" s="8">
        <v>0</v>
      </c>
      <c r="T182" s="6">
        <f t="shared" si="52"/>
        <v>1727</v>
      </c>
      <c r="U182" s="7">
        <f t="shared" si="61"/>
        <v>694</v>
      </c>
      <c r="V182" s="7">
        <f t="shared" si="62"/>
        <v>677</v>
      </c>
      <c r="W182" s="7">
        <f t="shared" si="63"/>
        <v>689</v>
      </c>
      <c r="X182" s="6"/>
      <c r="Y182" s="5"/>
      <c r="Z182" s="5"/>
      <c r="AA182" s="5"/>
      <c r="AB182" s="5"/>
    </row>
    <row r="183" spans="1:28" ht="13.15" customHeight="1">
      <c r="A183" s="13">
        <v>169</v>
      </c>
      <c r="B183" s="4">
        <f t="shared" si="53"/>
        <v>45212</v>
      </c>
      <c r="C183" s="10">
        <f t="shared" si="54"/>
        <v>842</v>
      </c>
      <c r="D183" s="9">
        <f t="shared" si="45"/>
        <v>1564</v>
      </c>
      <c r="E183" s="8">
        <f t="shared" si="46"/>
        <v>692</v>
      </c>
      <c r="F183" s="8">
        <f t="shared" si="47"/>
        <v>709</v>
      </c>
      <c r="G183" s="8">
        <f t="shared" si="48"/>
        <v>637</v>
      </c>
      <c r="H183" s="5">
        <f t="shared" si="49"/>
        <v>1714</v>
      </c>
      <c r="I183" s="5">
        <f t="shared" si="50"/>
        <v>1697</v>
      </c>
      <c r="J183" s="5">
        <f t="shared" si="51"/>
        <v>1769</v>
      </c>
      <c r="K183" s="5">
        <f t="shared" si="55"/>
        <v>2000</v>
      </c>
      <c r="L183" s="5">
        <f t="shared" si="56"/>
        <v>2000</v>
      </c>
      <c r="M183" s="5">
        <f t="shared" si="57"/>
        <v>2000</v>
      </c>
      <c r="N183" s="5">
        <f t="shared" si="58"/>
        <v>-286</v>
      </c>
      <c r="O183" s="5">
        <f t="shared" si="59"/>
        <v>-303</v>
      </c>
      <c r="P183" s="5">
        <f t="shared" si="60"/>
        <v>-231</v>
      </c>
      <c r="Q183" s="8">
        <v>0</v>
      </c>
      <c r="R183" s="8">
        <v>0</v>
      </c>
      <c r="S183" s="8">
        <v>0</v>
      </c>
      <c r="T183" s="6">
        <f t="shared" si="52"/>
        <v>1729</v>
      </c>
      <c r="U183" s="7">
        <f t="shared" si="61"/>
        <v>694</v>
      </c>
      <c r="V183" s="7">
        <f t="shared" si="62"/>
        <v>677</v>
      </c>
      <c r="W183" s="7">
        <f t="shared" si="63"/>
        <v>689</v>
      </c>
      <c r="X183" s="6"/>
      <c r="Y183" s="5"/>
      <c r="Z183" s="5"/>
      <c r="AA183" s="5"/>
      <c r="AB183" s="5"/>
    </row>
    <row r="184" spans="1:28" ht="13.15" customHeight="1">
      <c r="A184" s="13">
        <v>170</v>
      </c>
      <c r="B184" s="4">
        <f t="shared" si="53"/>
        <v>45213</v>
      </c>
      <c r="C184" s="10">
        <f t="shared" si="54"/>
        <v>842</v>
      </c>
      <c r="D184" s="9">
        <f t="shared" si="45"/>
        <v>1566</v>
      </c>
      <c r="E184" s="8">
        <f t="shared" si="46"/>
        <v>694</v>
      </c>
      <c r="F184" s="8">
        <f t="shared" si="47"/>
        <v>711</v>
      </c>
      <c r="G184" s="8">
        <f t="shared" si="48"/>
        <v>639</v>
      </c>
      <c r="H184" s="5">
        <f t="shared" si="49"/>
        <v>1714</v>
      </c>
      <c r="I184" s="5">
        <f t="shared" si="50"/>
        <v>1697</v>
      </c>
      <c r="J184" s="5">
        <f t="shared" si="51"/>
        <v>1769</v>
      </c>
      <c r="K184" s="5">
        <f t="shared" si="55"/>
        <v>2000</v>
      </c>
      <c r="L184" s="5">
        <f t="shared" si="56"/>
        <v>2000</v>
      </c>
      <c r="M184" s="5">
        <f t="shared" si="57"/>
        <v>2000</v>
      </c>
      <c r="N184" s="5">
        <f t="shared" si="58"/>
        <v>-286</v>
      </c>
      <c r="O184" s="5">
        <f t="shared" si="59"/>
        <v>-303</v>
      </c>
      <c r="P184" s="5">
        <f t="shared" si="60"/>
        <v>-231</v>
      </c>
      <c r="Q184" s="8">
        <v>0</v>
      </c>
      <c r="R184" s="8">
        <v>0</v>
      </c>
      <c r="S184" s="8">
        <v>0</v>
      </c>
      <c r="T184" s="6">
        <f t="shared" si="52"/>
        <v>1731</v>
      </c>
      <c r="U184" s="7">
        <f t="shared" si="61"/>
        <v>694</v>
      </c>
      <c r="V184" s="7">
        <f t="shared" si="62"/>
        <v>677</v>
      </c>
      <c r="W184" s="7">
        <f t="shared" si="63"/>
        <v>689</v>
      </c>
      <c r="X184" s="6"/>
      <c r="Y184" s="5"/>
      <c r="Z184" s="5"/>
      <c r="AA184" s="5"/>
      <c r="AB184" s="5"/>
    </row>
    <row r="185" spans="1:28" ht="13.15" customHeight="1">
      <c r="A185" s="13">
        <v>171</v>
      </c>
      <c r="B185" s="4">
        <f t="shared" si="53"/>
        <v>45214</v>
      </c>
      <c r="C185" s="10">
        <f t="shared" si="54"/>
        <v>842</v>
      </c>
      <c r="D185" s="9">
        <f t="shared" si="45"/>
        <v>1568</v>
      </c>
      <c r="E185" s="8">
        <f t="shared" si="46"/>
        <v>696</v>
      </c>
      <c r="F185" s="8">
        <f t="shared" si="47"/>
        <v>713</v>
      </c>
      <c r="G185" s="8">
        <f t="shared" si="48"/>
        <v>641</v>
      </c>
      <c r="H185" s="5">
        <f t="shared" si="49"/>
        <v>1714</v>
      </c>
      <c r="I185" s="5">
        <f t="shared" si="50"/>
        <v>1697</v>
      </c>
      <c r="J185" s="5">
        <f t="shared" si="51"/>
        <v>1769</v>
      </c>
      <c r="K185" s="5">
        <f t="shared" si="55"/>
        <v>2000</v>
      </c>
      <c r="L185" s="5">
        <f t="shared" si="56"/>
        <v>2000</v>
      </c>
      <c r="M185" s="5">
        <f t="shared" si="57"/>
        <v>2000</v>
      </c>
      <c r="N185" s="5">
        <f t="shared" si="58"/>
        <v>-286</v>
      </c>
      <c r="O185" s="5">
        <f t="shared" si="59"/>
        <v>-303</v>
      </c>
      <c r="P185" s="5">
        <f t="shared" si="60"/>
        <v>-231</v>
      </c>
      <c r="Q185" s="8">
        <v>0</v>
      </c>
      <c r="R185" s="8">
        <v>0</v>
      </c>
      <c r="S185" s="8">
        <v>0</v>
      </c>
      <c r="T185" s="6">
        <f t="shared" si="52"/>
        <v>1733</v>
      </c>
      <c r="U185" s="7">
        <f t="shared" si="61"/>
        <v>694</v>
      </c>
      <c r="V185" s="7">
        <f t="shared" si="62"/>
        <v>677</v>
      </c>
      <c r="W185" s="7">
        <f t="shared" si="63"/>
        <v>689</v>
      </c>
      <c r="X185" s="6"/>
      <c r="Y185" s="5"/>
      <c r="Z185" s="5"/>
      <c r="AA185" s="5"/>
      <c r="AB185" s="5"/>
    </row>
    <row r="186" spans="1:28" ht="13.15" customHeight="1">
      <c r="A186" s="13">
        <v>172</v>
      </c>
      <c r="B186" s="4">
        <f t="shared" si="53"/>
        <v>45215</v>
      </c>
      <c r="C186" s="10">
        <f t="shared" si="54"/>
        <v>842</v>
      </c>
      <c r="D186" s="9">
        <f t="shared" si="45"/>
        <v>1570</v>
      </c>
      <c r="E186" s="8">
        <f t="shared" si="46"/>
        <v>698</v>
      </c>
      <c r="F186" s="8">
        <f t="shared" si="47"/>
        <v>715</v>
      </c>
      <c r="G186" s="8">
        <f t="shared" si="48"/>
        <v>643</v>
      </c>
      <c r="H186" s="5">
        <f t="shared" si="49"/>
        <v>1714</v>
      </c>
      <c r="I186" s="5">
        <f t="shared" si="50"/>
        <v>1697</v>
      </c>
      <c r="J186" s="5">
        <f t="shared" si="51"/>
        <v>1769</v>
      </c>
      <c r="K186" s="5">
        <f t="shared" si="55"/>
        <v>2000</v>
      </c>
      <c r="L186" s="5">
        <f t="shared" si="56"/>
        <v>2000</v>
      </c>
      <c r="M186" s="5">
        <f t="shared" si="57"/>
        <v>2000</v>
      </c>
      <c r="N186" s="5">
        <f t="shared" si="58"/>
        <v>-286</v>
      </c>
      <c r="O186" s="5">
        <f t="shared" si="59"/>
        <v>-303</v>
      </c>
      <c r="P186" s="5">
        <f t="shared" si="60"/>
        <v>-231</v>
      </c>
      <c r="Q186" s="8">
        <v>0</v>
      </c>
      <c r="R186" s="8">
        <v>0</v>
      </c>
      <c r="S186" s="8">
        <v>0</v>
      </c>
      <c r="T186" s="6">
        <f t="shared" si="52"/>
        <v>1735</v>
      </c>
      <c r="U186" s="7">
        <f t="shared" si="61"/>
        <v>694</v>
      </c>
      <c r="V186" s="7">
        <f t="shared" si="62"/>
        <v>677</v>
      </c>
      <c r="W186" s="7">
        <f t="shared" si="63"/>
        <v>689</v>
      </c>
      <c r="X186" s="6"/>
      <c r="Y186" s="5"/>
      <c r="Z186" s="5"/>
      <c r="AA186" s="5"/>
      <c r="AB186" s="5"/>
    </row>
    <row r="187" spans="1:28" ht="13.15" customHeight="1">
      <c r="A187" s="13">
        <v>173</v>
      </c>
      <c r="B187" s="4">
        <f t="shared" si="53"/>
        <v>45216</v>
      </c>
      <c r="C187" s="10">
        <f t="shared" si="54"/>
        <v>842</v>
      </c>
      <c r="D187" s="9">
        <f t="shared" si="45"/>
        <v>1572</v>
      </c>
      <c r="E187" s="8">
        <f t="shared" si="46"/>
        <v>700</v>
      </c>
      <c r="F187" s="8">
        <f t="shared" si="47"/>
        <v>717</v>
      </c>
      <c r="G187" s="8">
        <f t="shared" si="48"/>
        <v>645</v>
      </c>
      <c r="H187" s="5">
        <f t="shared" si="49"/>
        <v>1714</v>
      </c>
      <c r="I187" s="5">
        <f t="shared" si="50"/>
        <v>1697</v>
      </c>
      <c r="J187" s="5">
        <f t="shared" si="51"/>
        <v>1769</v>
      </c>
      <c r="K187" s="5">
        <f t="shared" si="55"/>
        <v>2000</v>
      </c>
      <c r="L187" s="5">
        <f t="shared" si="56"/>
        <v>2000</v>
      </c>
      <c r="M187" s="5">
        <f t="shared" si="57"/>
        <v>2000</v>
      </c>
      <c r="N187" s="5">
        <f t="shared" si="58"/>
        <v>-286</v>
      </c>
      <c r="O187" s="5">
        <f t="shared" si="59"/>
        <v>-303</v>
      </c>
      <c r="P187" s="5">
        <f t="shared" si="60"/>
        <v>-231</v>
      </c>
      <c r="Q187" s="8">
        <v>0</v>
      </c>
      <c r="R187" s="8">
        <v>0</v>
      </c>
      <c r="S187" s="8">
        <v>0</v>
      </c>
      <c r="T187" s="6">
        <f t="shared" si="52"/>
        <v>1737</v>
      </c>
      <c r="U187" s="7">
        <f t="shared" si="61"/>
        <v>694</v>
      </c>
      <c r="V187" s="7">
        <f t="shared" si="62"/>
        <v>677</v>
      </c>
      <c r="W187" s="7">
        <f t="shared" si="63"/>
        <v>689</v>
      </c>
      <c r="X187" s="6"/>
      <c r="Y187" s="5"/>
      <c r="Z187" s="5"/>
      <c r="AA187" s="5"/>
      <c r="AB187" s="5"/>
    </row>
    <row r="188" spans="1:28" ht="13.15" customHeight="1">
      <c r="A188" s="13">
        <v>174</v>
      </c>
      <c r="B188" s="4">
        <f t="shared" si="53"/>
        <v>45217</v>
      </c>
      <c r="C188" s="10">
        <f t="shared" si="54"/>
        <v>842</v>
      </c>
      <c r="D188" s="9">
        <f t="shared" si="45"/>
        <v>1574</v>
      </c>
      <c r="E188" s="8">
        <f t="shared" si="46"/>
        <v>702</v>
      </c>
      <c r="F188" s="8">
        <f t="shared" si="47"/>
        <v>719</v>
      </c>
      <c r="G188" s="8">
        <f t="shared" si="48"/>
        <v>647</v>
      </c>
      <c r="H188" s="5">
        <f t="shared" si="49"/>
        <v>1714</v>
      </c>
      <c r="I188" s="5">
        <f t="shared" si="50"/>
        <v>1697</v>
      </c>
      <c r="J188" s="5">
        <f t="shared" si="51"/>
        <v>1769</v>
      </c>
      <c r="K188" s="5">
        <f t="shared" si="55"/>
        <v>2000</v>
      </c>
      <c r="L188" s="5">
        <f t="shared" si="56"/>
        <v>2000</v>
      </c>
      <c r="M188" s="5">
        <f t="shared" si="57"/>
        <v>2000</v>
      </c>
      <c r="N188" s="5">
        <f t="shared" si="58"/>
        <v>-286</v>
      </c>
      <c r="O188" s="5">
        <f t="shared" si="59"/>
        <v>-303</v>
      </c>
      <c r="P188" s="5">
        <f t="shared" si="60"/>
        <v>-231</v>
      </c>
      <c r="Q188" s="8">
        <v>0</v>
      </c>
      <c r="R188" s="8">
        <v>0</v>
      </c>
      <c r="S188" s="8">
        <v>0</v>
      </c>
      <c r="T188" s="6">
        <f t="shared" si="52"/>
        <v>1739</v>
      </c>
      <c r="U188" s="7">
        <f t="shared" si="61"/>
        <v>694</v>
      </c>
      <c r="V188" s="7">
        <f t="shared" si="62"/>
        <v>677</v>
      </c>
      <c r="W188" s="7">
        <f t="shared" si="63"/>
        <v>689</v>
      </c>
      <c r="X188" s="6"/>
      <c r="Y188" s="5"/>
      <c r="Z188" s="5"/>
      <c r="AA188" s="5"/>
      <c r="AB188" s="5"/>
    </row>
    <row r="189" spans="1:28" ht="13.15" customHeight="1">
      <c r="A189" s="13">
        <v>175</v>
      </c>
      <c r="B189" s="4">
        <f t="shared" si="53"/>
        <v>45218</v>
      </c>
      <c r="C189" s="10">
        <f t="shared" si="54"/>
        <v>842</v>
      </c>
      <c r="D189" s="9">
        <f t="shared" si="45"/>
        <v>1576</v>
      </c>
      <c r="E189" s="8">
        <f t="shared" si="46"/>
        <v>704</v>
      </c>
      <c r="F189" s="8">
        <f t="shared" si="47"/>
        <v>721</v>
      </c>
      <c r="G189" s="8">
        <f t="shared" si="48"/>
        <v>649</v>
      </c>
      <c r="H189" s="5">
        <f t="shared" si="49"/>
        <v>1714</v>
      </c>
      <c r="I189" s="5">
        <f t="shared" si="50"/>
        <v>1697</v>
      </c>
      <c r="J189" s="5">
        <f t="shared" si="51"/>
        <v>1769</v>
      </c>
      <c r="K189" s="5">
        <f t="shared" si="55"/>
        <v>2000</v>
      </c>
      <c r="L189" s="5">
        <f t="shared" si="56"/>
        <v>2000</v>
      </c>
      <c r="M189" s="5">
        <f t="shared" si="57"/>
        <v>2000</v>
      </c>
      <c r="N189" s="5">
        <f t="shared" si="58"/>
        <v>-286</v>
      </c>
      <c r="O189" s="5">
        <f t="shared" si="59"/>
        <v>-303</v>
      </c>
      <c r="P189" s="5">
        <f t="shared" si="60"/>
        <v>-231</v>
      </c>
      <c r="Q189" s="8">
        <v>0</v>
      </c>
      <c r="R189" s="8">
        <v>0</v>
      </c>
      <c r="S189" s="8">
        <v>0</v>
      </c>
      <c r="T189" s="6">
        <f t="shared" si="52"/>
        <v>1741</v>
      </c>
      <c r="U189" s="7">
        <f t="shared" si="61"/>
        <v>694</v>
      </c>
      <c r="V189" s="7">
        <f t="shared" si="62"/>
        <v>677</v>
      </c>
      <c r="W189" s="7">
        <f t="shared" si="63"/>
        <v>689</v>
      </c>
      <c r="X189" s="6"/>
      <c r="Y189" s="5"/>
      <c r="Z189" s="5"/>
      <c r="AA189" s="5"/>
      <c r="AB189" s="5"/>
    </row>
    <row r="190" spans="1:28" ht="13.15" customHeight="1">
      <c r="A190" s="13">
        <v>176</v>
      </c>
      <c r="B190" s="4">
        <f t="shared" si="53"/>
        <v>45219</v>
      </c>
      <c r="C190" s="10">
        <f t="shared" si="54"/>
        <v>842</v>
      </c>
      <c r="D190" s="9">
        <f t="shared" si="45"/>
        <v>1578</v>
      </c>
      <c r="E190" s="8">
        <f t="shared" si="46"/>
        <v>706</v>
      </c>
      <c r="F190" s="8">
        <f t="shared" si="47"/>
        <v>723</v>
      </c>
      <c r="G190" s="8">
        <f t="shared" si="48"/>
        <v>651</v>
      </c>
      <c r="H190" s="5">
        <f t="shared" si="49"/>
        <v>1714</v>
      </c>
      <c r="I190" s="5">
        <f t="shared" si="50"/>
        <v>1697</v>
      </c>
      <c r="J190" s="5">
        <f t="shared" si="51"/>
        <v>1769</v>
      </c>
      <c r="K190" s="5">
        <f t="shared" si="55"/>
        <v>2000</v>
      </c>
      <c r="L190" s="5">
        <f t="shared" si="56"/>
        <v>2000</v>
      </c>
      <c r="M190" s="5">
        <f t="shared" si="57"/>
        <v>2000</v>
      </c>
      <c r="N190" s="5">
        <f t="shared" si="58"/>
        <v>-286</v>
      </c>
      <c r="O190" s="5">
        <f t="shared" si="59"/>
        <v>-303</v>
      </c>
      <c r="P190" s="5">
        <f t="shared" si="60"/>
        <v>-231</v>
      </c>
      <c r="Q190" s="8">
        <v>0</v>
      </c>
      <c r="R190" s="8">
        <v>0</v>
      </c>
      <c r="S190" s="8">
        <v>0</v>
      </c>
      <c r="T190" s="6">
        <f t="shared" si="52"/>
        <v>1743</v>
      </c>
      <c r="U190" s="7">
        <f t="shared" si="61"/>
        <v>694</v>
      </c>
      <c r="V190" s="7">
        <f t="shared" si="62"/>
        <v>677</v>
      </c>
      <c r="W190" s="7">
        <f t="shared" si="63"/>
        <v>689</v>
      </c>
      <c r="X190" s="6"/>
      <c r="Y190" s="5"/>
      <c r="Z190" s="5"/>
      <c r="AA190" s="5"/>
      <c r="AB190" s="5"/>
    </row>
    <row r="191" spans="1:28" ht="13.15" customHeight="1">
      <c r="A191" s="13">
        <v>177</v>
      </c>
      <c r="B191" s="4">
        <f t="shared" si="53"/>
        <v>45220</v>
      </c>
      <c r="C191" s="10">
        <f t="shared" si="54"/>
        <v>842</v>
      </c>
      <c r="D191" s="9">
        <f t="shared" ref="D191:D254" si="64">D190+2</f>
        <v>1580</v>
      </c>
      <c r="E191" s="8">
        <f t="shared" si="46"/>
        <v>708</v>
      </c>
      <c r="F191" s="8">
        <f t="shared" si="47"/>
        <v>725</v>
      </c>
      <c r="G191" s="8">
        <f t="shared" si="48"/>
        <v>653</v>
      </c>
      <c r="H191" s="5">
        <f t="shared" si="49"/>
        <v>1714</v>
      </c>
      <c r="I191" s="5">
        <f t="shared" si="50"/>
        <v>1697</v>
      </c>
      <c r="J191" s="5">
        <f t="shared" si="51"/>
        <v>1769</v>
      </c>
      <c r="K191" s="5">
        <f t="shared" si="55"/>
        <v>2000</v>
      </c>
      <c r="L191" s="5">
        <f t="shared" si="56"/>
        <v>2000</v>
      </c>
      <c r="M191" s="5">
        <f t="shared" si="57"/>
        <v>2000</v>
      </c>
      <c r="N191" s="5">
        <f t="shared" si="58"/>
        <v>-286</v>
      </c>
      <c r="O191" s="5">
        <f t="shared" si="59"/>
        <v>-303</v>
      </c>
      <c r="P191" s="5">
        <f t="shared" si="60"/>
        <v>-231</v>
      </c>
      <c r="Q191" s="8">
        <v>0</v>
      </c>
      <c r="R191" s="8">
        <v>0</v>
      </c>
      <c r="S191" s="8">
        <v>0</v>
      </c>
      <c r="T191" s="6">
        <f t="shared" si="52"/>
        <v>1745</v>
      </c>
      <c r="U191" s="7">
        <f t="shared" si="61"/>
        <v>694</v>
      </c>
      <c r="V191" s="7">
        <f t="shared" si="62"/>
        <v>677</v>
      </c>
      <c r="W191" s="7">
        <f t="shared" si="63"/>
        <v>689</v>
      </c>
      <c r="X191" s="6"/>
      <c r="Y191" s="5"/>
      <c r="Z191" s="5"/>
      <c r="AA191" s="5"/>
      <c r="AB191" s="5"/>
    </row>
    <row r="192" spans="1:28" ht="13.15" customHeight="1">
      <c r="A192" s="13">
        <v>178</v>
      </c>
      <c r="B192" s="4">
        <f t="shared" si="53"/>
        <v>45221</v>
      </c>
      <c r="C192" s="10">
        <f t="shared" si="54"/>
        <v>842</v>
      </c>
      <c r="D192" s="9">
        <f t="shared" si="64"/>
        <v>1582</v>
      </c>
      <c r="E192" s="8">
        <f t="shared" si="46"/>
        <v>710</v>
      </c>
      <c r="F192" s="8">
        <f t="shared" si="47"/>
        <v>727</v>
      </c>
      <c r="G192" s="8">
        <f t="shared" si="48"/>
        <v>655</v>
      </c>
      <c r="H192" s="5">
        <f t="shared" si="49"/>
        <v>1714</v>
      </c>
      <c r="I192" s="5">
        <f t="shared" si="50"/>
        <v>1697</v>
      </c>
      <c r="J192" s="5">
        <f t="shared" si="51"/>
        <v>1769</v>
      </c>
      <c r="K192" s="5">
        <f t="shared" si="55"/>
        <v>2000</v>
      </c>
      <c r="L192" s="5">
        <f t="shared" si="56"/>
        <v>2000</v>
      </c>
      <c r="M192" s="5">
        <f t="shared" si="57"/>
        <v>2000</v>
      </c>
      <c r="N192" s="5">
        <f t="shared" si="58"/>
        <v>-286</v>
      </c>
      <c r="O192" s="5">
        <f t="shared" si="59"/>
        <v>-303</v>
      </c>
      <c r="P192" s="5">
        <f t="shared" si="60"/>
        <v>-231</v>
      </c>
      <c r="Q192" s="8">
        <v>0</v>
      </c>
      <c r="R192" s="8">
        <v>0</v>
      </c>
      <c r="S192" s="8">
        <v>0</v>
      </c>
      <c r="T192" s="6">
        <f t="shared" si="52"/>
        <v>1747</v>
      </c>
      <c r="U192" s="7">
        <f t="shared" si="61"/>
        <v>694</v>
      </c>
      <c r="V192" s="7">
        <f t="shared" si="62"/>
        <v>677</v>
      </c>
      <c r="W192" s="7">
        <f t="shared" si="63"/>
        <v>689</v>
      </c>
      <c r="X192" s="6"/>
      <c r="Y192" s="5"/>
      <c r="Z192" s="5"/>
      <c r="AA192" s="5"/>
      <c r="AB192" s="5"/>
    </row>
    <row r="193" spans="1:28" ht="13.15" customHeight="1">
      <c r="A193" s="13">
        <v>179</v>
      </c>
      <c r="B193" s="4">
        <f t="shared" si="53"/>
        <v>45222</v>
      </c>
      <c r="C193" s="10">
        <f t="shared" si="54"/>
        <v>842</v>
      </c>
      <c r="D193" s="9">
        <f t="shared" si="64"/>
        <v>1584</v>
      </c>
      <c r="E193" s="8">
        <f t="shared" si="46"/>
        <v>712</v>
      </c>
      <c r="F193" s="8">
        <f t="shared" si="47"/>
        <v>729</v>
      </c>
      <c r="G193" s="8">
        <f t="shared" si="48"/>
        <v>657</v>
      </c>
      <c r="H193" s="5">
        <f t="shared" si="49"/>
        <v>1714</v>
      </c>
      <c r="I193" s="5">
        <f t="shared" si="50"/>
        <v>1697</v>
      </c>
      <c r="J193" s="5">
        <f t="shared" si="51"/>
        <v>1769</v>
      </c>
      <c r="K193" s="5">
        <f t="shared" si="55"/>
        <v>2000</v>
      </c>
      <c r="L193" s="5">
        <f t="shared" si="56"/>
        <v>2000</v>
      </c>
      <c r="M193" s="5">
        <f t="shared" si="57"/>
        <v>2000</v>
      </c>
      <c r="N193" s="5">
        <f t="shared" si="58"/>
        <v>-286</v>
      </c>
      <c r="O193" s="5">
        <f t="shared" si="59"/>
        <v>-303</v>
      </c>
      <c r="P193" s="5">
        <f t="shared" si="60"/>
        <v>-231</v>
      </c>
      <c r="Q193" s="8">
        <v>0</v>
      </c>
      <c r="R193" s="8">
        <v>0</v>
      </c>
      <c r="S193" s="8">
        <v>0</v>
      </c>
      <c r="T193" s="6">
        <f t="shared" si="52"/>
        <v>1749</v>
      </c>
      <c r="U193" s="7">
        <f t="shared" si="61"/>
        <v>694</v>
      </c>
      <c r="V193" s="7">
        <f t="shared" si="62"/>
        <v>677</v>
      </c>
      <c r="W193" s="7">
        <f t="shared" si="63"/>
        <v>689</v>
      </c>
      <c r="X193" s="6"/>
      <c r="Y193" s="5"/>
      <c r="Z193" s="5"/>
      <c r="AA193" s="5"/>
      <c r="AB193" s="5"/>
    </row>
    <row r="194" spans="1:28" ht="13.15" customHeight="1">
      <c r="A194" s="13">
        <v>180</v>
      </c>
      <c r="B194" s="4">
        <f t="shared" si="53"/>
        <v>45223</v>
      </c>
      <c r="C194" s="10">
        <f t="shared" si="54"/>
        <v>842</v>
      </c>
      <c r="D194" s="9">
        <f t="shared" si="64"/>
        <v>1586</v>
      </c>
      <c r="E194" s="8">
        <f t="shared" si="46"/>
        <v>714</v>
      </c>
      <c r="F194" s="8">
        <f t="shared" si="47"/>
        <v>731</v>
      </c>
      <c r="G194" s="8">
        <f t="shared" si="48"/>
        <v>659</v>
      </c>
      <c r="H194" s="5">
        <f t="shared" si="49"/>
        <v>1714</v>
      </c>
      <c r="I194" s="5">
        <f t="shared" si="50"/>
        <v>1697</v>
      </c>
      <c r="J194" s="5">
        <f t="shared" si="51"/>
        <v>1769</v>
      </c>
      <c r="K194" s="5">
        <f t="shared" si="55"/>
        <v>2000</v>
      </c>
      <c r="L194" s="5">
        <f t="shared" si="56"/>
        <v>2000</v>
      </c>
      <c r="M194" s="5">
        <f t="shared" si="57"/>
        <v>2000</v>
      </c>
      <c r="N194" s="5">
        <f t="shared" si="58"/>
        <v>-286</v>
      </c>
      <c r="O194" s="5">
        <f t="shared" si="59"/>
        <v>-303</v>
      </c>
      <c r="P194" s="5">
        <f t="shared" si="60"/>
        <v>-231</v>
      </c>
      <c r="Q194" s="8">
        <v>0</v>
      </c>
      <c r="R194" s="8">
        <v>0</v>
      </c>
      <c r="S194" s="8">
        <v>0</v>
      </c>
      <c r="T194" s="6">
        <f t="shared" si="52"/>
        <v>1751</v>
      </c>
      <c r="U194" s="7">
        <f t="shared" si="61"/>
        <v>694</v>
      </c>
      <c r="V194" s="7">
        <f t="shared" si="62"/>
        <v>677</v>
      </c>
      <c r="W194" s="7">
        <f t="shared" si="63"/>
        <v>689</v>
      </c>
      <c r="X194" s="6"/>
      <c r="Y194" s="5"/>
      <c r="Z194" s="5"/>
      <c r="AA194" s="5"/>
      <c r="AB194" s="5"/>
    </row>
    <row r="195" spans="1:28" ht="13.15" customHeight="1">
      <c r="A195" s="13">
        <v>181</v>
      </c>
      <c r="B195" s="4">
        <f t="shared" si="53"/>
        <v>45224</v>
      </c>
      <c r="C195" s="10">
        <f t="shared" si="54"/>
        <v>842</v>
      </c>
      <c r="D195" s="9">
        <f t="shared" si="64"/>
        <v>1588</v>
      </c>
      <c r="E195" s="8">
        <f t="shared" si="46"/>
        <v>716</v>
      </c>
      <c r="F195" s="8">
        <f t="shared" si="47"/>
        <v>733</v>
      </c>
      <c r="G195" s="8">
        <f t="shared" si="48"/>
        <v>661</v>
      </c>
      <c r="H195" s="5">
        <f t="shared" si="49"/>
        <v>1714</v>
      </c>
      <c r="I195" s="5">
        <f t="shared" si="50"/>
        <v>1697</v>
      </c>
      <c r="J195" s="5">
        <f t="shared" si="51"/>
        <v>1769</v>
      </c>
      <c r="K195" s="5">
        <f t="shared" si="55"/>
        <v>2000</v>
      </c>
      <c r="L195" s="5">
        <f t="shared" si="56"/>
        <v>2000</v>
      </c>
      <c r="M195" s="5">
        <f t="shared" si="57"/>
        <v>2000</v>
      </c>
      <c r="N195" s="5">
        <f t="shared" si="58"/>
        <v>-286</v>
      </c>
      <c r="O195" s="5">
        <f t="shared" si="59"/>
        <v>-303</v>
      </c>
      <c r="P195" s="5">
        <f t="shared" si="60"/>
        <v>-231</v>
      </c>
      <c r="Q195" s="8">
        <v>0</v>
      </c>
      <c r="R195" s="8">
        <v>0</v>
      </c>
      <c r="S195" s="8">
        <v>0</v>
      </c>
      <c r="T195" s="6">
        <f t="shared" si="52"/>
        <v>1753</v>
      </c>
      <c r="U195" s="7">
        <f t="shared" si="61"/>
        <v>694</v>
      </c>
      <c r="V195" s="7">
        <f t="shared" si="62"/>
        <v>677</v>
      </c>
      <c r="W195" s="7">
        <f t="shared" si="63"/>
        <v>689</v>
      </c>
      <c r="X195" s="6"/>
      <c r="Y195" s="5"/>
      <c r="Z195" s="5"/>
      <c r="AA195" s="5"/>
      <c r="AB195" s="5"/>
    </row>
    <row r="196" spans="1:28" ht="13.15" customHeight="1">
      <c r="A196" s="13">
        <v>182</v>
      </c>
      <c r="B196" s="4">
        <f t="shared" si="53"/>
        <v>45225</v>
      </c>
      <c r="C196" s="10">
        <f t="shared" si="54"/>
        <v>842</v>
      </c>
      <c r="D196" s="9">
        <f t="shared" si="64"/>
        <v>1590</v>
      </c>
      <c r="E196" s="8">
        <f t="shared" si="46"/>
        <v>718</v>
      </c>
      <c r="F196" s="8">
        <f t="shared" si="47"/>
        <v>735</v>
      </c>
      <c r="G196" s="8">
        <f t="shared" si="48"/>
        <v>663</v>
      </c>
      <c r="H196" s="5">
        <f t="shared" si="49"/>
        <v>1714</v>
      </c>
      <c r="I196" s="5">
        <f t="shared" si="50"/>
        <v>1697</v>
      </c>
      <c r="J196" s="5">
        <f t="shared" si="51"/>
        <v>1769</v>
      </c>
      <c r="K196" s="5">
        <f t="shared" si="55"/>
        <v>2000</v>
      </c>
      <c r="L196" s="5">
        <f t="shared" si="56"/>
        <v>2000</v>
      </c>
      <c r="M196" s="5">
        <f t="shared" si="57"/>
        <v>2000</v>
      </c>
      <c r="N196" s="5">
        <f t="shared" si="58"/>
        <v>-286</v>
      </c>
      <c r="O196" s="5">
        <f t="shared" si="59"/>
        <v>-303</v>
      </c>
      <c r="P196" s="5">
        <f t="shared" si="60"/>
        <v>-231</v>
      </c>
      <c r="Q196" s="8">
        <v>0</v>
      </c>
      <c r="R196" s="8">
        <v>0</v>
      </c>
      <c r="S196" s="8">
        <v>0</v>
      </c>
      <c r="T196" s="6">
        <f t="shared" si="52"/>
        <v>1755</v>
      </c>
      <c r="U196" s="7">
        <f t="shared" si="61"/>
        <v>694</v>
      </c>
      <c r="V196" s="7">
        <f t="shared" si="62"/>
        <v>677</v>
      </c>
      <c r="W196" s="7">
        <f t="shared" si="63"/>
        <v>689</v>
      </c>
      <c r="X196" s="6"/>
      <c r="Y196" s="5"/>
      <c r="Z196" s="5"/>
      <c r="AA196" s="5"/>
      <c r="AB196" s="5"/>
    </row>
    <row r="197" spans="1:28" ht="13.15" customHeight="1">
      <c r="A197" s="13">
        <v>183</v>
      </c>
      <c r="B197" s="4">
        <f t="shared" si="53"/>
        <v>45226</v>
      </c>
      <c r="C197" s="10">
        <f t="shared" si="54"/>
        <v>842</v>
      </c>
      <c r="D197" s="9">
        <f t="shared" si="64"/>
        <v>1592</v>
      </c>
      <c r="E197" s="8">
        <f t="shared" si="46"/>
        <v>720</v>
      </c>
      <c r="F197" s="8">
        <f t="shared" si="47"/>
        <v>737</v>
      </c>
      <c r="G197" s="8">
        <f t="shared" si="48"/>
        <v>665</v>
      </c>
      <c r="H197" s="5">
        <f t="shared" si="49"/>
        <v>1714</v>
      </c>
      <c r="I197" s="5">
        <f t="shared" si="50"/>
        <v>1697</v>
      </c>
      <c r="J197" s="5">
        <f t="shared" si="51"/>
        <v>1769</v>
      </c>
      <c r="K197" s="5">
        <f t="shared" si="55"/>
        <v>2000</v>
      </c>
      <c r="L197" s="5">
        <f t="shared" si="56"/>
        <v>2000</v>
      </c>
      <c r="M197" s="5">
        <f t="shared" si="57"/>
        <v>2000</v>
      </c>
      <c r="N197" s="5">
        <f t="shared" si="58"/>
        <v>-286</v>
      </c>
      <c r="O197" s="5">
        <f t="shared" si="59"/>
        <v>-303</v>
      </c>
      <c r="P197" s="5">
        <f t="shared" si="60"/>
        <v>-231</v>
      </c>
      <c r="Q197" s="8">
        <v>0</v>
      </c>
      <c r="R197" s="8">
        <v>0</v>
      </c>
      <c r="S197" s="8">
        <v>0</v>
      </c>
      <c r="T197" s="6">
        <f t="shared" si="52"/>
        <v>1757</v>
      </c>
      <c r="U197" s="7">
        <f t="shared" si="61"/>
        <v>694</v>
      </c>
      <c r="V197" s="7">
        <f t="shared" si="62"/>
        <v>677</v>
      </c>
      <c r="W197" s="7">
        <f t="shared" si="63"/>
        <v>689</v>
      </c>
      <c r="X197" s="6"/>
      <c r="Y197" s="5"/>
      <c r="Z197" s="5"/>
      <c r="AA197" s="5"/>
      <c r="AB197" s="5"/>
    </row>
    <row r="198" spans="1:28" ht="13.15" customHeight="1">
      <c r="A198" s="13">
        <v>184</v>
      </c>
      <c r="B198" s="4">
        <f t="shared" si="53"/>
        <v>45227</v>
      </c>
      <c r="C198" s="10">
        <f t="shared" si="54"/>
        <v>842</v>
      </c>
      <c r="D198" s="9">
        <f t="shared" si="64"/>
        <v>1594</v>
      </c>
      <c r="E198" s="8">
        <f t="shared" si="46"/>
        <v>722</v>
      </c>
      <c r="F198" s="8">
        <f t="shared" si="47"/>
        <v>739</v>
      </c>
      <c r="G198" s="8">
        <f t="shared" si="48"/>
        <v>667</v>
      </c>
      <c r="H198" s="5">
        <f t="shared" si="49"/>
        <v>1714</v>
      </c>
      <c r="I198" s="5">
        <f t="shared" si="50"/>
        <v>1697</v>
      </c>
      <c r="J198" s="5">
        <f t="shared" si="51"/>
        <v>1769</v>
      </c>
      <c r="K198" s="5">
        <f t="shared" si="55"/>
        <v>2000</v>
      </c>
      <c r="L198" s="5">
        <f t="shared" si="56"/>
        <v>2000</v>
      </c>
      <c r="M198" s="5">
        <f t="shared" si="57"/>
        <v>2000</v>
      </c>
      <c r="N198" s="5">
        <f t="shared" si="58"/>
        <v>-286</v>
      </c>
      <c r="O198" s="5">
        <f t="shared" si="59"/>
        <v>-303</v>
      </c>
      <c r="P198" s="5">
        <f t="shared" si="60"/>
        <v>-231</v>
      </c>
      <c r="Q198" s="8">
        <v>0</v>
      </c>
      <c r="R198" s="8">
        <v>0</v>
      </c>
      <c r="S198" s="8">
        <v>0</v>
      </c>
      <c r="T198" s="6">
        <f t="shared" si="52"/>
        <v>1759</v>
      </c>
      <c r="U198" s="7">
        <f t="shared" si="61"/>
        <v>694</v>
      </c>
      <c r="V198" s="7">
        <f t="shared" si="62"/>
        <v>677</v>
      </c>
      <c r="W198" s="7">
        <f t="shared" si="63"/>
        <v>689</v>
      </c>
      <c r="X198" s="6"/>
      <c r="Y198" s="5"/>
      <c r="Z198" s="5"/>
      <c r="AA198" s="5"/>
      <c r="AB198" s="5"/>
    </row>
    <row r="199" spans="1:28" ht="13.15" customHeight="1">
      <c r="A199" s="13">
        <v>185</v>
      </c>
      <c r="B199" s="4">
        <f t="shared" si="53"/>
        <v>45228</v>
      </c>
      <c r="C199" s="10">
        <f t="shared" si="54"/>
        <v>842</v>
      </c>
      <c r="D199" s="9">
        <f t="shared" si="64"/>
        <v>1596</v>
      </c>
      <c r="E199" s="8">
        <f t="shared" si="46"/>
        <v>724</v>
      </c>
      <c r="F199" s="8">
        <f t="shared" si="47"/>
        <v>741</v>
      </c>
      <c r="G199" s="8">
        <f t="shared" si="48"/>
        <v>669</v>
      </c>
      <c r="H199" s="5">
        <f t="shared" si="49"/>
        <v>1714</v>
      </c>
      <c r="I199" s="5">
        <f t="shared" si="50"/>
        <v>1697</v>
      </c>
      <c r="J199" s="5">
        <f t="shared" si="51"/>
        <v>1769</v>
      </c>
      <c r="K199" s="5">
        <f t="shared" si="55"/>
        <v>2000</v>
      </c>
      <c r="L199" s="5">
        <f t="shared" si="56"/>
        <v>2000</v>
      </c>
      <c r="M199" s="5">
        <f t="shared" si="57"/>
        <v>2000</v>
      </c>
      <c r="N199" s="5">
        <f t="shared" si="58"/>
        <v>-286</v>
      </c>
      <c r="O199" s="5">
        <f t="shared" si="59"/>
        <v>-303</v>
      </c>
      <c r="P199" s="5">
        <f t="shared" si="60"/>
        <v>-231</v>
      </c>
      <c r="Q199" s="8">
        <v>0</v>
      </c>
      <c r="R199" s="8">
        <v>0</v>
      </c>
      <c r="S199" s="8">
        <v>0</v>
      </c>
      <c r="T199" s="6">
        <f t="shared" si="52"/>
        <v>1761</v>
      </c>
      <c r="U199" s="7">
        <f t="shared" si="61"/>
        <v>694</v>
      </c>
      <c r="V199" s="7">
        <f t="shared" si="62"/>
        <v>677</v>
      </c>
      <c r="W199" s="7">
        <f t="shared" si="63"/>
        <v>689</v>
      </c>
      <c r="X199" s="6"/>
      <c r="Y199" s="5"/>
      <c r="Z199" s="5"/>
      <c r="AA199" s="5"/>
      <c r="AB199" s="5"/>
    </row>
    <row r="200" spans="1:28" ht="13.15" customHeight="1">
      <c r="A200" s="13">
        <v>186</v>
      </c>
      <c r="B200" s="4">
        <f t="shared" si="53"/>
        <v>45229</v>
      </c>
      <c r="C200" s="10">
        <f t="shared" si="54"/>
        <v>842</v>
      </c>
      <c r="D200" s="9">
        <f t="shared" si="64"/>
        <v>1598</v>
      </c>
      <c r="E200" s="8">
        <f t="shared" si="46"/>
        <v>726</v>
      </c>
      <c r="F200" s="8">
        <f t="shared" si="47"/>
        <v>743</v>
      </c>
      <c r="G200" s="8">
        <f t="shared" si="48"/>
        <v>671</v>
      </c>
      <c r="H200" s="5">
        <f t="shared" si="49"/>
        <v>1714</v>
      </c>
      <c r="I200" s="5">
        <f t="shared" si="50"/>
        <v>1697</v>
      </c>
      <c r="J200" s="5">
        <f t="shared" si="51"/>
        <v>1769</v>
      </c>
      <c r="K200" s="5">
        <f t="shared" si="55"/>
        <v>2000</v>
      </c>
      <c r="L200" s="5">
        <f t="shared" si="56"/>
        <v>2000</v>
      </c>
      <c r="M200" s="5">
        <f t="shared" si="57"/>
        <v>2000</v>
      </c>
      <c r="N200" s="5">
        <f t="shared" si="58"/>
        <v>-286</v>
      </c>
      <c r="O200" s="5">
        <f t="shared" si="59"/>
        <v>-303</v>
      </c>
      <c r="P200" s="5">
        <f t="shared" si="60"/>
        <v>-231</v>
      </c>
      <c r="Q200" s="8">
        <v>0</v>
      </c>
      <c r="R200" s="8">
        <v>0</v>
      </c>
      <c r="S200" s="8">
        <v>0</v>
      </c>
      <c r="T200" s="6">
        <f t="shared" si="52"/>
        <v>1763</v>
      </c>
      <c r="U200" s="7">
        <f t="shared" si="61"/>
        <v>694</v>
      </c>
      <c r="V200" s="7">
        <f t="shared" si="62"/>
        <v>677</v>
      </c>
      <c r="W200" s="7">
        <f t="shared" si="63"/>
        <v>689</v>
      </c>
      <c r="X200" s="6"/>
      <c r="Y200" s="5"/>
      <c r="Z200" s="5"/>
      <c r="AA200" s="5"/>
      <c r="AB200" s="5"/>
    </row>
    <row r="201" spans="1:28" ht="13.15" customHeight="1">
      <c r="A201" s="13">
        <v>187</v>
      </c>
      <c r="B201" s="4">
        <f t="shared" si="53"/>
        <v>45230</v>
      </c>
      <c r="C201" s="10">
        <f t="shared" si="54"/>
        <v>842</v>
      </c>
      <c r="D201" s="9">
        <f t="shared" si="64"/>
        <v>1600</v>
      </c>
      <c r="E201" s="8">
        <f t="shared" si="46"/>
        <v>728</v>
      </c>
      <c r="F201" s="8">
        <f t="shared" si="47"/>
        <v>745</v>
      </c>
      <c r="G201" s="8">
        <f t="shared" si="48"/>
        <v>673</v>
      </c>
      <c r="H201" s="5">
        <f t="shared" si="49"/>
        <v>1714</v>
      </c>
      <c r="I201" s="5">
        <f t="shared" si="50"/>
        <v>1697</v>
      </c>
      <c r="J201" s="5">
        <f t="shared" si="51"/>
        <v>1769</v>
      </c>
      <c r="K201" s="5">
        <f t="shared" si="55"/>
        <v>2000</v>
      </c>
      <c r="L201" s="5">
        <f t="shared" si="56"/>
        <v>2000</v>
      </c>
      <c r="M201" s="5">
        <f t="shared" si="57"/>
        <v>2000</v>
      </c>
      <c r="N201" s="5">
        <f t="shared" si="58"/>
        <v>-286</v>
      </c>
      <c r="O201" s="5">
        <f t="shared" si="59"/>
        <v>-303</v>
      </c>
      <c r="P201" s="5">
        <f t="shared" si="60"/>
        <v>-231</v>
      </c>
      <c r="Q201" s="8">
        <v>0</v>
      </c>
      <c r="R201" s="8">
        <v>0</v>
      </c>
      <c r="S201" s="8">
        <v>0</v>
      </c>
      <c r="T201" s="6">
        <f t="shared" si="52"/>
        <v>1765</v>
      </c>
      <c r="U201" s="7">
        <f t="shared" si="61"/>
        <v>694</v>
      </c>
      <c r="V201" s="7">
        <f t="shared" si="62"/>
        <v>677</v>
      </c>
      <c r="W201" s="7">
        <f t="shared" si="63"/>
        <v>689</v>
      </c>
      <c r="X201" s="6"/>
      <c r="Y201" s="5"/>
      <c r="Z201" s="5"/>
      <c r="AA201" s="5"/>
      <c r="AB201" s="5"/>
    </row>
    <row r="202" spans="1:28" ht="13.15" customHeight="1">
      <c r="A202" s="13">
        <v>188</v>
      </c>
      <c r="B202" s="4">
        <f t="shared" si="53"/>
        <v>45231</v>
      </c>
      <c r="C202" s="10">
        <f t="shared" si="54"/>
        <v>842</v>
      </c>
      <c r="D202" s="9">
        <f t="shared" si="64"/>
        <v>1602</v>
      </c>
      <c r="E202" s="8">
        <f t="shared" si="46"/>
        <v>730</v>
      </c>
      <c r="F202" s="8">
        <f t="shared" si="47"/>
        <v>747</v>
      </c>
      <c r="G202" s="8">
        <f t="shared" si="48"/>
        <v>675</v>
      </c>
      <c r="H202" s="5">
        <f t="shared" si="49"/>
        <v>1714</v>
      </c>
      <c r="I202" s="5">
        <f t="shared" si="50"/>
        <v>1697</v>
      </c>
      <c r="J202" s="5">
        <f t="shared" si="51"/>
        <v>1769</v>
      </c>
      <c r="K202" s="5">
        <f t="shared" si="55"/>
        <v>2000</v>
      </c>
      <c r="L202" s="5">
        <f t="shared" si="56"/>
        <v>2000</v>
      </c>
      <c r="M202" s="5">
        <f t="shared" si="57"/>
        <v>2000</v>
      </c>
      <c r="N202" s="5">
        <f t="shared" si="58"/>
        <v>-286</v>
      </c>
      <c r="O202" s="5">
        <f t="shared" si="59"/>
        <v>-303</v>
      </c>
      <c r="P202" s="5">
        <f t="shared" si="60"/>
        <v>-231</v>
      </c>
      <c r="Q202" s="8">
        <v>0</v>
      </c>
      <c r="R202" s="8">
        <v>0</v>
      </c>
      <c r="S202" s="8">
        <v>0</v>
      </c>
      <c r="T202" s="6">
        <f t="shared" si="52"/>
        <v>1767</v>
      </c>
      <c r="U202" s="7">
        <f t="shared" si="61"/>
        <v>694</v>
      </c>
      <c r="V202" s="7">
        <f t="shared" si="62"/>
        <v>677</v>
      </c>
      <c r="W202" s="7">
        <f t="shared" si="63"/>
        <v>689</v>
      </c>
      <c r="X202" s="6"/>
      <c r="Y202" s="5"/>
      <c r="Z202" s="5"/>
      <c r="AA202" s="5"/>
      <c r="AB202" s="5"/>
    </row>
    <row r="203" spans="1:28" ht="13.15" customHeight="1">
      <c r="A203" s="13">
        <v>189</v>
      </c>
      <c r="B203" s="4">
        <f t="shared" si="53"/>
        <v>45232</v>
      </c>
      <c r="C203" s="10">
        <f t="shared" si="54"/>
        <v>842</v>
      </c>
      <c r="D203" s="9">
        <f t="shared" si="64"/>
        <v>1604</v>
      </c>
      <c r="E203" s="8">
        <f t="shared" si="46"/>
        <v>732</v>
      </c>
      <c r="F203" s="8">
        <f t="shared" si="47"/>
        <v>749</v>
      </c>
      <c r="G203" s="8">
        <f t="shared" si="48"/>
        <v>677</v>
      </c>
      <c r="H203" s="5">
        <f t="shared" si="49"/>
        <v>1714</v>
      </c>
      <c r="I203" s="5">
        <f t="shared" si="50"/>
        <v>1697</v>
      </c>
      <c r="J203" s="5">
        <f t="shared" si="51"/>
        <v>1769</v>
      </c>
      <c r="K203" s="5">
        <f t="shared" si="55"/>
        <v>2000</v>
      </c>
      <c r="L203" s="5">
        <f t="shared" si="56"/>
        <v>2000</v>
      </c>
      <c r="M203" s="5">
        <f t="shared" si="57"/>
        <v>2000</v>
      </c>
      <c r="N203" s="5">
        <f t="shared" si="58"/>
        <v>-286</v>
      </c>
      <c r="O203" s="5">
        <f t="shared" si="59"/>
        <v>-303</v>
      </c>
      <c r="P203" s="5">
        <f t="shared" si="60"/>
        <v>-231</v>
      </c>
      <c r="Q203" s="8">
        <v>0</v>
      </c>
      <c r="R203" s="8">
        <v>0</v>
      </c>
      <c r="S203" s="8">
        <v>0</v>
      </c>
      <c r="T203" s="6">
        <f t="shared" si="52"/>
        <v>1769</v>
      </c>
      <c r="U203" s="7">
        <f t="shared" si="61"/>
        <v>694</v>
      </c>
      <c r="V203" s="7">
        <f t="shared" si="62"/>
        <v>677</v>
      </c>
      <c r="W203" s="7">
        <f t="shared" si="63"/>
        <v>689</v>
      </c>
      <c r="X203" s="6"/>
      <c r="Y203" s="5"/>
      <c r="Z203" s="5"/>
      <c r="AA203" s="5"/>
      <c r="AB203" s="5"/>
    </row>
    <row r="204" spans="1:28" ht="13.15" customHeight="1">
      <c r="A204" s="13">
        <v>190</v>
      </c>
      <c r="B204" s="4">
        <f t="shared" si="53"/>
        <v>45233</v>
      </c>
      <c r="C204" s="10">
        <f t="shared" si="54"/>
        <v>842</v>
      </c>
      <c r="D204" s="9">
        <f t="shared" si="64"/>
        <v>1606</v>
      </c>
      <c r="E204" s="8">
        <f t="shared" si="46"/>
        <v>734</v>
      </c>
      <c r="F204" s="8">
        <f t="shared" si="47"/>
        <v>751</v>
      </c>
      <c r="G204" s="8">
        <f t="shared" si="48"/>
        <v>679</v>
      </c>
      <c r="H204" s="5">
        <f t="shared" si="49"/>
        <v>1714</v>
      </c>
      <c r="I204" s="5">
        <f t="shared" si="50"/>
        <v>1697</v>
      </c>
      <c r="J204" s="5">
        <f t="shared" si="51"/>
        <v>1769</v>
      </c>
      <c r="K204" s="5">
        <f t="shared" si="55"/>
        <v>2000</v>
      </c>
      <c r="L204" s="5">
        <f t="shared" si="56"/>
        <v>2000</v>
      </c>
      <c r="M204" s="5">
        <f t="shared" si="57"/>
        <v>2000</v>
      </c>
      <c r="N204" s="5">
        <f t="shared" si="58"/>
        <v>-286</v>
      </c>
      <c r="O204" s="5">
        <f t="shared" si="59"/>
        <v>-303</v>
      </c>
      <c r="P204" s="5">
        <f t="shared" si="60"/>
        <v>-231</v>
      </c>
      <c r="Q204" s="8">
        <v>0</v>
      </c>
      <c r="R204" s="8">
        <v>0</v>
      </c>
      <c r="S204" s="8">
        <v>0</v>
      </c>
      <c r="T204" s="6">
        <f t="shared" si="52"/>
        <v>1771</v>
      </c>
      <c r="U204" s="7">
        <f t="shared" si="61"/>
        <v>694</v>
      </c>
      <c r="V204" s="7">
        <f t="shared" si="62"/>
        <v>677</v>
      </c>
      <c r="W204" s="7">
        <f t="shared" si="63"/>
        <v>689</v>
      </c>
      <c r="X204" s="6"/>
      <c r="Y204" s="5"/>
      <c r="Z204" s="5"/>
      <c r="AA204" s="5"/>
      <c r="AB204" s="5"/>
    </row>
    <row r="205" spans="1:28" ht="13.15" customHeight="1">
      <c r="A205" s="13">
        <v>191</v>
      </c>
      <c r="B205" s="4">
        <f t="shared" si="53"/>
        <v>45234</v>
      </c>
      <c r="C205" s="10">
        <f t="shared" si="54"/>
        <v>842</v>
      </c>
      <c r="D205" s="9">
        <f t="shared" si="64"/>
        <v>1608</v>
      </c>
      <c r="E205" s="8">
        <f t="shared" si="46"/>
        <v>736</v>
      </c>
      <c r="F205" s="8">
        <f t="shared" si="47"/>
        <v>753</v>
      </c>
      <c r="G205" s="8">
        <f t="shared" si="48"/>
        <v>681</v>
      </c>
      <c r="H205" s="5">
        <f t="shared" si="49"/>
        <v>1714</v>
      </c>
      <c r="I205" s="5">
        <f t="shared" si="50"/>
        <v>1697</v>
      </c>
      <c r="J205" s="5">
        <f t="shared" si="51"/>
        <v>1769</v>
      </c>
      <c r="K205" s="5">
        <f t="shared" si="55"/>
        <v>2000</v>
      </c>
      <c r="L205" s="5">
        <f t="shared" si="56"/>
        <v>2000</v>
      </c>
      <c r="M205" s="5">
        <f t="shared" si="57"/>
        <v>2000</v>
      </c>
      <c r="N205" s="5">
        <f t="shared" si="58"/>
        <v>-286</v>
      </c>
      <c r="O205" s="5">
        <f t="shared" si="59"/>
        <v>-303</v>
      </c>
      <c r="P205" s="5">
        <f t="shared" si="60"/>
        <v>-231</v>
      </c>
      <c r="Q205" s="8">
        <v>0</v>
      </c>
      <c r="R205" s="8">
        <v>0</v>
      </c>
      <c r="S205" s="8">
        <v>0</v>
      </c>
      <c r="T205" s="6">
        <f t="shared" si="52"/>
        <v>1773</v>
      </c>
      <c r="U205" s="7">
        <f t="shared" si="61"/>
        <v>694</v>
      </c>
      <c r="V205" s="7">
        <f t="shared" si="62"/>
        <v>677</v>
      </c>
      <c r="W205" s="7">
        <f t="shared" si="63"/>
        <v>689</v>
      </c>
      <c r="X205" s="6"/>
      <c r="Y205" s="5"/>
      <c r="Z205" s="5"/>
      <c r="AA205" s="5"/>
      <c r="AB205" s="5"/>
    </row>
    <row r="206" spans="1:28" ht="13.15" customHeight="1">
      <c r="A206" s="13">
        <v>192</v>
      </c>
      <c r="B206" s="4">
        <f t="shared" si="53"/>
        <v>45235</v>
      </c>
      <c r="C206" s="10">
        <f t="shared" si="54"/>
        <v>842</v>
      </c>
      <c r="D206" s="9">
        <f t="shared" si="64"/>
        <v>1610</v>
      </c>
      <c r="E206" s="8">
        <f t="shared" ref="E206:E269" si="65">C206+D206-H206</f>
        <v>738</v>
      </c>
      <c r="F206" s="8">
        <f t="shared" ref="F206:F269" si="66">C206+D206-I206</f>
        <v>755</v>
      </c>
      <c r="G206" s="8">
        <f t="shared" ref="G206:G269" si="67">D206+C206-J206</f>
        <v>683</v>
      </c>
      <c r="H206" s="5">
        <f t="shared" ref="H206:H269" si="68">K206+N206</f>
        <v>1714</v>
      </c>
      <c r="I206" s="5">
        <f t="shared" ref="I206:I269" si="69">L206+O206</f>
        <v>1697</v>
      </c>
      <c r="J206" s="5">
        <f t="shared" ref="J206:J269" si="70">M206+P206</f>
        <v>1769</v>
      </c>
      <c r="K206" s="5">
        <f t="shared" si="55"/>
        <v>2000</v>
      </c>
      <c r="L206" s="5">
        <f t="shared" si="56"/>
        <v>2000</v>
      </c>
      <c r="M206" s="5">
        <f t="shared" si="57"/>
        <v>2000</v>
      </c>
      <c r="N206" s="5">
        <f t="shared" si="58"/>
        <v>-286</v>
      </c>
      <c r="O206" s="5">
        <f t="shared" si="59"/>
        <v>-303</v>
      </c>
      <c r="P206" s="5">
        <f t="shared" si="60"/>
        <v>-231</v>
      </c>
      <c r="Q206" s="8">
        <v>0</v>
      </c>
      <c r="R206" s="8">
        <v>0</v>
      </c>
      <c r="S206" s="8">
        <v>0</v>
      </c>
      <c r="T206" s="6">
        <f t="shared" ref="T206:T269" si="71">D206+C206-V206</f>
        <v>1775</v>
      </c>
      <c r="U206" s="7">
        <f t="shared" si="61"/>
        <v>694</v>
      </c>
      <c r="V206" s="7">
        <f t="shared" si="62"/>
        <v>677</v>
      </c>
      <c r="W206" s="7">
        <f t="shared" si="63"/>
        <v>689</v>
      </c>
      <c r="X206" s="6"/>
      <c r="Y206" s="5"/>
      <c r="Z206" s="5"/>
      <c r="AA206" s="5"/>
      <c r="AB206" s="5"/>
    </row>
    <row r="207" spans="1:28" ht="13.15" customHeight="1">
      <c r="A207" s="13">
        <v>193</v>
      </c>
      <c r="B207" s="4">
        <f t="shared" ref="B207:B270" si="72">B206+1</f>
        <v>45236</v>
      </c>
      <c r="C207" s="10">
        <f t="shared" ref="C207:C270" si="73">C206</f>
        <v>842</v>
      </c>
      <c r="D207" s="9">
        <f t="shared" si="64"/>
        <v>1612</v>
      </c>
      <c r="E207" s="8">
        <f t="shared" si="65"/>
        <v>740</v>
      </c>
      <c r="F207" s="8">
        <f t="shared" si="66"/>
        <v>757</v>
      </c>
      <c r="G207" s="8">
        <f t="shared" si="67"/>
        <v>685</v>
      </c>
      <c r="H207" s="5">
        <f t="shared" si="68"/>
        <v>1714</v>
      </c>
      <c r="I207" s="5">
        <f t="shared" si="69"/>
        <v>1697</v>
      </c>
      <c r="J207" s="5">
        <f t="shared" si="70"/>
        <v>1769</v>
      </c>
      <c r="K207" s="5">
        <f t="shared" ref="K207:K270" si="74">K206</f>
        <v>2000</v>
      </c>
      <c r="L207" s="5">
        <f t="shared" ref="L207:L270" si="75">L206</f>
        <v>2000</v>
      </c>
      <c r="M207" s="5">
        <f t="shared" ref="M207:M270" si="76">M206</f>
        <v>2000</v>
      </c>
      <c r="N207" s="5">
        <f t="shared" ref="N207:N270" si="77">N206-Q207</f>
        <v>-286</v>
      </c>
      <c r="O207" s="5">
        <f t="shared" ref="O207:O270" si="78">O206-R207</f>
        <v>-303</v>
      </c>
      <c r="P207" s="5">
        <f t="shared" ref="P207:P270" si="79">P206-S207</f>
        <v>-231</v>
      </c>
      <c r="Q207" s="8">
        <v>0</v>
      </c>
      <c r="R207" s="8">
        <v>0</v>
      </c>
      <c r="S207" s="8">
        <v>0</v>
      </c>
      <c r="T207" s="6">
        <f t="shared" si="71"/>
        <v>1777</v>
      </c>
      <c r="U207" s="7">
        <f t="shared" si="61"/>
        <v>694</v>
      </c>
      <c r="V207" s="7">
        <f t="shared" si="62"/>
        <v>677</v>
      </c>
      <c r="W207" s="7">
        <f t="shared" si="63"/>
        <v>689</v>
      </c>
      <c r="X207" s="6"/>
      <c r="Y207" s="5"/>
      <c r="Z207" s="5"/>
      <c r="AA207" s="5"/>
      <c r="AB207" s="5"/>
    </row>
    <row r="208" spans="1:28" ht="13.15" customHeight="1">
      <c r="A208" s="13">
        <v>194</v>
      </c>
      <c r="B208" s="4">
        <f t="shared" si="72"/>
        <v>45237</v>
      </c>
      <c r="C208" s="10">
        <f t="shared" si="73"/>
        <v>842</v>
      </c>
      <c r="D208" s="9">
        <f t="shared" si="64"/>
        <v>1614</v>
      </c>
      <c r="E208" s="8">
        <f t="shared" si="65"/>
        <v>742</v>
      </c>
      <c r="F208" s="8">
        <f t="shared" si="66"/>
        <v>759</v>
      </c>
      <c r="G208" s="8">
        <f t="shared" si="67"/>
        <v>687</v>
      </c>
      <c r="H208" s="5">
        <f t="shared" si="68"/>
        <v>1714</v>
      </c>
      <c r="I208" s="5">
        <f t="shared" si="69"/>
        <v>1697</v>
      </c>
      <c r="J208" s="5">
        <f t="shared" si="70"/>
        <v>1769</v>
      </c>
      <c r="K208" s="5">
        <f t="shared" si="74"/>
        <v>2000</v>
      </c>
      <c r="L208" s="5">
        <f t="shared" si="75"/>
        <v>2000</v>
      </c>
      <c r="M208" s="5">
        <f t="shared" si="76"/>
        <v>2000</v>
      </c>
      <c r="N208" s="5">
        <f t="shared" si="77"/>
        <v>-286</v>
      </c>
      <c r="O208" s="5">
        <f t="shared" si="78"/>
        <v>-303</v>
      </c>
      <c r="P208" s="5">
        <f t="shared" si="79"/>
        <v>-231</v>
      </c>
      <c r="Q208" s="8">
        <v>0</v>
      </c>
      <c r="R208" s="8">
        <v>0</v>
      </c>
      <c r="S208" s="8">
        <v>0</v>
      </c>
      <c r="T208" s="6">
        <f t="shared" si="71"/>
        <v>1779</v>
      </c>
      <c r="U208" s="7">
        <f t="shared" si="61"/>
        <v>694</v>
      </c>
      <c r="V208" s="7">
        <f t="shared" si="62"/>
        <v>677</v>
      </c>
      <c r="W208" s="7">
        <f t="shared" si="63"/>
        <v>689</v>
      </c>
      <c r="X208" s="6"/>
      <c r="Y208" s="5"/>
      <c r="Z208" s="5"/>
      <c r="AA208" s="5"/>
      <c r="AB208" s="5"/>
    </row>
    <row r="209" spans="1:28" ht="13.15" customHeight="1">
      <c r="A209" s="13">
        <v>195</v>
      </c>
      <c r="B209" s="4">
        <f t="shared" si="72"/>
        <v>45238</v>
      </c>
      <c r="C209" s="10">
        <f t="shared" si="73"/>
        <v>842</v>
      </c>
      <c r="D209" s="9">
        <f t="shared" si="64"/>
        <v>1616</v>
      </c>
      <c r="E209" s="8">
        <f t="shared" si="65"/>
        <v>744</v>
      </c>
      <c r="F209" s="8">
        <f t="shared" si="66"/>
        <v>761</v>
      </c>
      <c r="G209" s="8">
        <f t="shared" si="67"/>
        <v>689</v>
      </c>
      <c r="H209" s="5">
        <f t="shared" si="68"/>
        <v>1714</v>
      </c>
      <c r="I209" s="5">
        <f t="shared" si="69"/>
        <v>1697</v>
      </c>
      <c r="J209" s="5">
        <f t="shared" si="70"/>
        <v>1769</v>
      </c>
      <c r="K209" s="5">
        <f t="shared" si="74"/>
        <v>2000</v>
      </c>
      <c r="L209" s="5">
        <f t="shared" si="75"/>
        <v>2000</v>
      </c>
      <c r="M209" s="5">
        <f t="shared" si="76"/>
        <v>2000</v>
      </c>
      <c r="N209" s="5">
        <f t="shared" si="77"/>
        <v>-286</v>
      </c>
      <c r="O209" s="5">
        <f t="shared" si="78"/>
        <v>-303</v>
      </c>
      <c r="P209" s="5">
        <f t="shared" si="79"/>
        <v>-231</v>
      </c>
      <c r="Q209" s="8">
        <v>0</v>
      </c>
      <c r="R209" s="8">
        <v>0</v>
      </c>
      <c r="S209" s="8">
        <v>0</v>
      </c>
      <c r="T209" s="6">
        <f t="shared" si="71"/>
        <v>1781</v>
      </c>
      <c r="U209" s="7">
        <f t="shared" si="61"/>
        <v>694</v>
      </c>
      <c r="V209" s="7">
        <f t="shared" si="62"/>
        <v>677</v>
      </c>
      <c r="W209" s="7">
        <f t="shared" si="63"/>
        <v>689</v>
      </c>
      <c r="X209" s="6"/>
      <c r="Y209" s="5"/>
      <c r="Z209" s="5"/>
      <c r="AA209" s="5"/>
      <c r="AB209" s="5"/>
    </row>
    <row r="210" spans="1:28" ht="13.15" customHeight="1">
      <c r="A210" s="13">
        <v>196</v>
      </c>
      <c r="B210" s="4">
        <f t="shared" si="72"/>
        <v>45239</v>
      </c>
      <c r="C210" s="10">
        <f t="shared" si="73"/>
        <v>842</v>
      </c>
      <c r="D210" s="9">
        <f t="shared" si="64"/>
        <v>1618</v>
      </c>
      <c r="E210" s="8">
        <f t="shared" si="65"/>
        <v>746</v>
      </c>
      <c r="F210" s="8">
        <f t="shared" si="66"/>
        <v>763</v>
      </c>
      <c r="G210" s="8">
        <f t="shared" si="67"/>
        <v>691</v>
      </c>
      <c r="H210" s="5">
        <f t="shared" si="68"/>
        <v>1714</v>
      </c>
      <c r="I210" s="5">
        <f t="shared" si="69"/>
        <v>1697</v>
      </c>
      <c r="J210" s="5">
        <f t="shared" si="70"/>
        <v>1769</v>
      </c>
      <c r="K210" s="5">
        <f t="shared" si="74"/>
        <v>2000</v>
      </c>
      <c r="L210" s="5">
        <f t="shared" si="75"/>
        <v>2000</v>
      </c>
      <c r="M210" s="5">
        <f t="shared" si="76"/>
        <v>2000</v>
      </c>
      <c r="N210" s="5">
        <f t="shared" si="77"/>
        <v>-286</v>
      </c>
      <c r="O210" s="5">
        <f t="shared" si="78"/>
        <v>-303</v>
      </c>
      <c r="P210" s="5">
        <f t="shared" si="79"/>
        <v>-231</v>
      </c>
      <c r="Q210" s="8">
        <v>0</v>
      </c>
      <c r="R210" s="8">
        <v>0</v>
      </c>
      <c r="S210" s="8">
        <v>0</v>
      </c>
      <c r="T210" s="6">
        <f t="shared" si="71"/>
        <v>1783</v>
      </c>
      <c r="U210" s="7">
        <f t="shared" si="61"/>
        <v>694</v>
      </c>
      <c r="V210" s="7">
        <f t="shared" si="62"/>
        <v>677</v>
      </c>
      <c r="W210" s="7">
        <f t="shared" si="63"/>
        <v>689</v>
      </c>
      <c r="X210" s="6"/>
      <c r="Y210" s="5"/>
      <c r="Z210" s="5"/>
      <c r="AA210" s="5"/>
      <c r="AB210" s="5"/>
    </row>
    <row r="211" spans="1:28" ht="13.15" customHeight="1">
      <c r="A211" s="13">
        <v>197</v>
      </c>
      <c r="B211" s="4">
        <f t="shared" si="72"/>
        <v>45240</v>
      </c>
      <c r="C211" s="10">
        <f t="shared" si="73"/>
        <v>842</v>
      </c>
      <c r="D211" s="9">
        <f t="shared" si="64"/>
        <v>1620</v>
      </c>
      <c r="E211" s="8">
        <f t="shared" si="65"/>
        <v>748</v>
      </c>
      <c r="F211" s="8">
        <f t="shared" si="66"/>
        <v>765</v>
      </c>
      <c r="G211" s="8">
        <f t="shared" si="67"/>
        <v>693</v>
      </c>
      <c r="H211" s="5">
        <f t="shared" si="68"/>
        <v>1714</v>
      </c>
      <c r="I211" s="5">
        <f t="shared" si="69"/>
        <v>1697</v>
      </c>
      <c r="J211" s="5">
        <f t="shared" si="70"/>
        <v>1769</v>
      </c>
      <c r="K211" s="5">
        <f t="shared" si="74"/>
        <v>2000</v>
      </c>
      <c r="L211" s="5">
        <f t="shared" si="75"/>
        <v>2000</v>
      </c>
      <c r="M211" s="5">
        <f t="shared" si="76"/>
        <v>2000</v>
      </c>
      <c r="N211" s="5">
        <f t="shared" si="77"/>
        <v>-286</v>
      </c>
      <c r="O211" s="5">
        <f t="shared" si="78"/>
        <v>-303</v>
      </c>
      <c r="P211" s="5">
        <f t="shared" si="79"/>
        <v>-231</v>
      </c>
      <c r="Q211" s="8">
        <v>0</v>
      </c>
      <c r="R211" s="8">
        <v>0</v>
      </c>
      <c r="S211" s="8">
        <v>0</v>
      </c>
      <c r="T211" s="6">
        <f t="shared" si="71"/>
        <v>1785</v>
      </c>
      <c r="U211" s="7">
        <f t="shared" si="61"/>
        <v>694</v>
      </c>
      <c r="V211" s="7">
        <f t="shared" si="62"/>
        <v>677</v>
      </c>
      <c r="W211" s="7">
        <f t="shared" si="63"/>
        <v>689</v>
      </c>
      <c r="X211" s="6"/>
      <c r="Y211" s="5"/>
      <c r="Z211" s="5"/>
      <c r="AA211" s="5"/>
      <c r="AB211" s="5"/>
    </row>
    <row r="212" spans="1:28" ht="13.15" customHeight="1">
      <c r="A212" s="13">
        <v>198</v>
      </c>
      <c r="B212" s="4">
        <f t="shared" si="72"/>
        <v>45241</v>
      </c>
      <c r="C212" s="10">
        <f t="shared" si="73"/>
        <v>842</v>
      </c>
      <c r="D212" s="9">
        <f t="shared" si="64"/>
        <v>1622</v>
      </c>
      <c r="E212" s="8">
        <f t="shared" si="65"/>
        <v>750</v>
      </c>
      <c r="F212" s="8">
        <f t="shared" si="66"/>
        <v>767</v>
      </c>
      <c r="G212" s="8">
        <f t="shared" si="67"/>
        <v>695</v>
      </c>
      <c r="H212" s="5">
        <f t="shared" si="68"/>
        <v>1714</v>
      </c>
      <c r="I212" s="5">
        <f t="shared" si="69"/>
        <v>1697</v>
      </c>
      <c r="J212" s="5">
        <f t="shared" si="70"/>
        <v>1769</v>
      </c>
      <c r="K212" s="5">
        <f t="shared" si="74"/>
        <v>2000</v>
      </c>
      <c r="L212" s="5">
        <f t="shared" si="75"/>
        <v>2000</v>
      </c>
      <c r="M212" s="5">
        <f t="shared" si="76"/>
        <v>2000</v>
      </c>
      <c r="N212" s="5">
        <f t="shared" si="77"/>
        <v>-286</v>
      </c>
      <c r="O212" s="5">
        <f t="shared" si="78"/>
        <v>-303</v>
      </c>
      <c r="P212" s="5">
        <f t="shared" si="79"/>
        <v>-231</v>
      </c>
      <c r="Q212" s="8">
        <v>0</v>
      </c>
      <c r="R212" s="8">
        <v>0</v>
      </c>
      <c r="S212" s="8">
        <v>0</v>
      </c>
      <c r="T212" s="6">
        <f t="shared" si="71"/>
        <v>1787</v>
      </c>
      <c r="U212" s="7">
        <f t="shared" si="61"/>
        <v>694</v>
      </c>
      <c r="V212" s="7">
        <f t="shared" si="62"/>
        <v>677</v>
      </c>
      <c r="W212" s="7">
        <f t="shared" si="63"/>
        <v>689</v>
      </c>
      <c r="X212" s="6"/>
      <c r="Y212" s="5"/>
      <c r="Z212" s="5"/>
      <c r="AA212" s="5"/>
      <c r="AB212" s="5"/>
    </row>
    <row r="213" spans="1:28" ht="13.15" customHeight="1">
      <c r="A213" s="13">
        <v>199</v>
      </c>
      <c r="B213" s="4">
        <f t="shared" si="72"/>
        <v>45242</v>
      </c>
      <c r="C213" s="10">
        <f t="shared" si="73"/>
        <v>842</v>
      </c>
      <c r="D213" s="9">
        <f t="shared" si="64"/>
        <v>1624</v>
      </c>
      <c r="E213" s="8">
        <f t="shared" si="65"/>
        <v>752</v>
      </c>
      <c r="F213" s="8">
        <f t="shared" si="66"/>
        <v>769</v>
      </c>
      <c r="G213" s="8">
        <f t="shared" si="67"/>
        <v>697</v>
      </c>
      <c r="H213" s="5">
        <f t="shared" si="68"/>
        <v>1714</v>
      </c>
      <c r="I213" s="5">
        <f t="shared" si="69"/>
        <v>1697</v>
      </c>
      <c r="J213" s="5">
        <f t="shared" si="70"/>
        <v>1769</v>
      </c>
      <c r="K213" s="5">
        <f t="shared" si="74"/>
        <v>2000</v>
      </c>
      <c r="L213" s="5">
        <f t="shared" si="75"/>
        <v>2000</v>
      </c>
      <c r="M213" s="5">
        <f t="shared" si="76"/>
        <v>2000</v>
      </c>
      <c r="N213" s="5">
        <f t="shared" si="77"/>
        <v>-286</v>
      </c>
      <c r="O213" s="5">
        <f t="shared" si="78"/>
        <v>-303</v>
      </c>
      <c r="P213" s="5">
        <f t="shared" si="79"/>
        <v>-231</v>
      </c>
      <c r="Q213" s="8">
        <v>0</v>
      </c>
      <c r="R213" s="8">
        <v>0</v>
      </c>
      <c r="S213" s="8">
        <v>0</v>
      </c>
      <c r="T213" s="6">
        <f t="shared" si="71"/>
        <v>1789</v>
      </c>
      <c r="U213" s="7">
        <f t="shared" si="61"/>
        <v>694</v>
      </c>
      <c r="V213" s="7">
        <f t="shared" si="62"/>
        <v>677</v>
      </c>
      <c r="W213" s="7">
        <f t="shared" si="63"/>
        <v>689</v>
      </c>
      <c r="X213" s="6"/>
      <c r="Y213" s="5"/>
      <c r="Z213" s="5"/>
      <c r="AA213" s="5"/>
      <c r="AB213" s="5"/>
    </row>
    <row r="214" spans="1:28" ht="13.15" customHeight="1">
      <c r="A214" s="13">
        <v>200</v>
      </c>
      <c r="B214" s="4">
        <f t="shared" si="72"/>
        <v>45243</v>
      </c>
      <c r="C214" s="10">
        <f t="shared" si="73"/>
        <v>842</v>
      </c>
      <c r="D214" s="9">
        <f t="shared" si="64"/>
        <v>1626</v>
      </c>
      <c r="E214" s="8">
        <f t="shared" si="65"/>
        <v>754</v>
      </c>
      <c r="F214" s="8">
        <f t="shared" si="66"/>
        <v>771</v>
      </c>
      <c r="G214" s="8">
        <f t="shared" si="67"/>
        <v>699</v>
      </c>
      <c r="H214" s="5">
        <f t="shared" si="68"/>
        <v>1714</v>
      </c>
      <c r="I214" s="5">
        <f t="shared" si="69"/>
        <v>1697</v>
      </c>
      <c r="J214" s="5">
        <f t="shared" si="70"/>
        <v>1769</v>
      </c>
      <c r="K214" s="5">
        <f t="shared" si="74"/>
        <v>2000</v>
      </c>
      <c r="L214" s="5">
        <f t="shared" si="75"/>
        <v>2000</v>
      </c>
      <c r="M214" s="5">
        <f t="shared" si="76"/>
        <v>2000</v>
      </c>
      <c r="N214" s="5">
        <f t="shared" si="77"/>
        <v>-286</v>
      </c>
      <c r="O214" s="5">
        <f t="shared" si="78"/>
        <v>-303</v>
      </c>
      <c r="P214" s="5">
        <f t="shared" si="79"/>
        <v>-231</v>
      </c>
      <c r="Q214" s="8">
        <v>0</v>
      </c>
      <c r="R214" s="8">
        <v>0</v>
      </c>
      <c r="S214" s="8">
        <v>0</v>
      </c>
      <c r="T214" s="6">
        <f t="shared" si="71"/>
        <v>1791</v>
      </c>
      <c r="U214" s="7">
        <f t="shared" si="61"/>
        <v>694</v>
      </c>
      <c r="V214" s="7">
        <f t="shared" si="62"/>
        <v>677</v>
      </c>
      <c r="W214" s="7">
        <f t="shared" si="63"/>
        <v>689</v>
      </c>
      <c r="X214" s="6"/>
      <c r="Y214" s="5"/>
      <c r="Z214" s="5"/>
      <c r="AA214" s="5"/>
      <c r="AB214" s="5"/>
    </row>
    <row r="215" spans="1:28" ht="13.15" customHeight="1">
      <c r="A215" s="13">
        <v>201</v>
      </c>
      <c r="B215" s="4">
        <f t="shared" si="72"/>
        <v>45244</v>
      </c>
      <c r="C215" s="10">
        <f t="shared" si="73"/>
        <v>842</v>
      </c>
      <c r="D215" s="9">
        <f t="shared" si="64"/>
        <v>1628</v>
      </c>
      <c r="E215" s="8">
        <f t="shared" si="65"/>
        <v>756</v>
      </c>
      <c r="F215" s="8">
        <f t="shared" si="66"/>
        <v>773</v>
      </c>
      <c r="G215" s="8">
        <f t="shared" si="67"/>
        <v>701</v>
      </c>
      <c r="H215" s="5">
        <f t="shared" si="68"/>
        <v>1714</v>
      </c>
      <c r="I215" s="5">
        <f t="shared" si="69"/>
        <v>1697</v>
      </c>
      <c r="J215" s="5">
        <f t="shared" si="70"/>
        <v>1769</v>
      </c>
      <c r="K215" s="5">
        <f t="shared" si="74"/>
        <v>2000</v>
      </c>
      <c r="L215" s="5">
        <f t="shared" si="75"/>
        <v>2000</v>
      </c>
      <c r="M215" s="5">
        <f t="shared" si="76"/>
        <v>2000</v>
      </c>
      <c r="N215" s="5">
        <f t="shared" si="77"/>
        <v>-286</v>
      </c>
      <c r="O215" s="5">
        <f t="shared" si="78"/>
        <v>-303</v>
      </c>
      <c r="P215" s="5">
        <f t="shared" si="79"/>
        <v>-231</v>
      </c>
      <c r="Q215" s="8">
        <v>0</v>
      </c>
      <c r="R215" s="8">
        <v>0</v>
      </c>
      <c r="S215" s="8">
        <v>0</v>
      </c>
      <c r="T215" s="6">
        <f t="shared" si="71"/>
        <v>1793</v>
      </c>
      <c r="U215" s="7">
        <f t="shared" si="61"/>
        <v>694</v>
      </c>
      <c r="V215" s="7">
        <f t="shared" si="62"/>
        <v>677</v>
      </c>
      <c r="W215" s="7">
        <f t="shared" si="63"/>
        <v>689</v>
      </c>
      <c r="X215" s="6"/>
      <c r="Y215" s="5"/>
      <c r="Z215" s="5"/>
      <c r="AA215" s="5"/>
      <c r="AB215" s="5"/>
    </row>
    <row r="216" spans="1:28" ht="13.15" customHeight="1">
      <c r="A216" s="13">
        <v>202</v>
      </c>
      <c r="B216" s="4">
        <f t="shared" si="72"/>
        <v>45245</v>
      </c>
      <c r="C216" s="10">
        <f t="shared" si="73"/>
        <v>842</v>
      </c>
      <c r="D216" s="9">
        <f t="shared" si="64"/>
        <v>1630</v>
      </c>
      <c r="E216" s="8">
        <f t="shared" si="65"/>
        <v>758</v>
      </c>
      <c r="F216" s="8">
        <f t="shared" si="66"/>
        <v>775</v>
      </c>
      <c r="G216" s="8">
        <f t="shared" si="67"/>
        <v>703</v>
      </c>
      <c r="H216" s="5">
        <f t="shared" si="68"/>
        <v>1714</v>
      </c>
      <c r="I216" s="5">
        <f t="shared" si="69"/>
        <v>1697</v>
      </c>
      <c r="J216" s="5">
        <f t="shared" si="70"/>
        <v>1769</v>
      </c>
      <c r="K216" s="5">
        <f t="shared" si="74"/>
        <v>2000</v>
      </c>
      <c r="L216" s="5">
        <f t="shared" si="75"/>
        <v>2000</v>
      </c>
      <c r="M216" s="5">
        <f t="shared" si="76"/>
        <v>2000</v>
      </c>
      <c r="N216" s="5">
        <f t="shared" si="77"/>
        <v>-286</v>
      </c>
      <c r="O216" s="5">
        <f t="shared" si="78"/>
        <v>-303</v>
      </c>
      <c r="P216" s="5">
        <f t="shared" si="79"/>
        <v>-231</v>
      </c>
      <c r="Q216" s="8">
        <v>0</v>
      </c>
      <c r="R216" s="8">
        <v>0</v>
      </c>
      <c r="S216" s="8">
        <v>0</v>
      </c>
      <c r="T216" s="6">
        <f t="shared" si="71"/>
        <v>1795</v>
      </c>
      <c r="U216" s="7">
        <f t="shared" si="61"/>
        <v>694</v>
      </c>
      <c r="V216" s="7">
        <f t="shared" si="62"/>
        <v>677</v>
      </c>
      <c r="W216" s="7">
        <f t="shared" si="63"/>
        <v>689</v>
      </c>
      <c r="X216" s="6"/>
      <c r="Y216" s="5"/>
      <c r="Z216" s="5"/>
      <c r="AA216" s="5"/>
      <c r="AB216" s="5"/>
    </row>
    <row r="217" spans="1:28" ht="13.15" customHeight="1">
      <c r="A217" s="13">
        <v>203</v>
      </c>
      <c r="B217" s="4">
        <f t="shared" si="72"/>
        <v>45246</v>
      </c>
      <c r="C217" s="10">
        <f t="shared" si="73"/>
        <v>842</v>
      </c>
      <c r="D217" s="9">
        <f t="shared" si="64"/>
        <v>1632</v>
      </c>
      <c r="E217" s="8">
        <f t="shared" si="65"/>
        <v>760</v>
      </c>
      <c r="F217" s="8">
        <f t="shared" si="66"/>
        <v>777</v>
      </c>
      <c r="G217" s="8">
        <f t="shared" si="67"/>
        <v>705</v>
      </c>
      <c r="H217" s="5">
        <f t="shared" si="68"/>
        <v>1714</v>
      </c>
      <c r="I217" s="5">
        <f t="shared" si="69"/>
        <v>1697</v>
      </c>
      <c r="J217" s="5">
        <f t="shared" si="70"/>
        <v>1769</v>
      </c>
      <c r="K217" s="5">
        <f t="shared" si="74"/>
        <v>2000</v>
      </c>
      <c r="L217" s="5">
        <f t="shared" si="75"/>
        <v>2000</v>
      </c>
      <c r="M217" s="5">
        <f t="shared" si="76"/>
        <v>2000</v>
      </c>
      <c r="N217" s="5">
        <f t="shared" si="77"/>
        <v>-286</v>
      </c>
      <c r="O217" s="5">
        <f t="shared" si="78"/>
        <v>-303</v>
      </c>
      <c r="P217" s="5">
        <f t="shared" si="79"/>
        <v>-231</v>
      </c>
      <c r="Q217" s="8">
        <v>0</v>
      </c>
      <c r="R217" s="8">
        <v>0</v>
      </c>
      <c r="S217" s="8">
        <v>0</v>
      </c>
      <c r="T217" s="6">
        <f t="shared" si="71"/>
        <v>1797</v>
      </c>
      <c r="U217" s="7">
        <f t="shared" si="61"/>
        <v>694</v>
      </c>
      <c r="V217" s="7">
        <f t="shared" si="62"/>
        <v>677</v>
      </c>
      <c r="W217" s="7">
        <f t="shared" si="63"/>
        <v>689</v>
      </c>
      <c r="X217" s="6"/>
      <c r="Y217" s="5"/>
      <c r="Z217" s="5"/>
      <c r="AA217" s="5"/>
      <c r="AB217" s="5"/>
    </row>
    <row r="218" spans="1:28" ht="13.15" customHeight="1">
      <c r="A218" s="13">
        <v>204</v>
      </c>
      <c r="B218" s="4">
        <f t="shared" si="72"/>
        <v>45247</v>
      </c>
      <c r="C218" s="10">
        <f t="shared" si="73"/>
        <v>842</v>
      </c>
      <c r="D218" s="9">
        <f t="shared" si="64"/>
        <v>1634</v>
      </c>
      <c r="E218" s="8">
        <f t="shared" si="65"/>
        <v>762</v>
      </c>
      <c r="F218" s="8">
        <f t="shared" si="66"/>
        <v>779</v>
      </c>
      <c r="G218" s="8">
        <f t="shared" si="67"/>
        <v>707</v>
      </c>
      <c r="H218" s="5">
        <f t="shared" si="68"/>
        <v>1714</v>
      </c>
      <c r="I218" s="5">
        <f t="shared" si="69"/>
        <v>1697</v>
      </c>
      <c r="J218" s="5">
        <f t="shared" si="70"/>
        <v>1769</v>
      </c>
      <c r="K218" s="5">
        <f t="shared" si="74"/>
        <v>2000</v>
      </c>
      <c r="L218" s="5">
        <f t="shared" si="75"/>
        <v>2000</v>
      </c>
      <c r="M218" s="5">
        <f t="shared" si="76"/>
        <v>2000</v>
      </c>
      <c r="N218" s="5">
        <f t="shared" si="77"/>
        <v>-286</v>
      </c>
      <c r="O218" s="5">
        <f t="shared" si="78"/>
        <v>-303</v>
      </c>
      <c r="P218" s="5">
        <f t="shared" si="79"/>
        <v>-231</v>
      </c>
      <c r="Q218" s="8">
        <v>0</v>
      </c>
      <c r="R218" s="8">
        <v>0</v>
      </c>
      <c r="S218" s="8">
        <v>0</v>
      </c>
      <c r="T218" s="6">
        <f t="shared" si="71"/>
        <v>1799</v>
      </c>
      <c r="U218" s="7">
        <f t="shared" si="61"/>
        <v>694</v>
      </c>
      <c r="V218" s="7">
        <f t="shared" si="62"/>
        <v>677</v>
      </c>
      <c r="W218" s="7">
        <f t="shared" si="63"/>
        <v>689</v>
      </c>
      <c r="X218" s="6"/>
      <c r="Y218" s="5"/>
      <c r="Z218" s="5"/>
      <c r="AA218" s="5"/>
      <c r="AB218" s="5"/>
    </row>
    <row r="219" spans="1:28" ht="13.15" customHeight="1">
      <c r="A219" s="13">
        <v>205</v>
      </c>
      <c r="B219" s="4">
        <f t="shared" si="72"/>
        <v>45248</v>
      </c>
      <c r="C219" s="10">
        <f t="shared" si="73"/>
        <v>842</v>
      </c>
      <c r="D219" s="9">
        <f t="shared" si="64"/>
        <v>1636</v>
      </c>
      <c r="E219" s="8">
        <f t="shared" si="65"/>
        <v>764</v>
      </c>
      <c r="F219" s="8">
        <f t="shared" si="66"/>
        <v>781</v>
      </c>
      <c r="G219" s="8">
        <f t="shared" si="67"/>
        <v>709</v>
      </c>
      <c r="H219" s="5">
        <f t="shared" si="68"/>
        <v>1714</v>
      </c>
      <c r="I219" s="5">
        <f t="shared" si="69"/>
        <v>1697</v>
      </c>
      <c r="J219" s="5">
        <f t="shared" si="70"/>
        <v>1769</v>
      </c>
      <c r="K219" s="5">
        <f t="shared" si="74"/>
        <v>2000</v>
      </c>
      <c r="L219" s="5">
        <f t="shared" si="75"/>
        <v>2000</v>
      </c>
      <c r="M219" s="5">
        <f t="shared" si="76"/>
        <v>2000</v>
      </c>
      <c r="N219" s="5">
        <f t="shared" si="77"/>
        <v>-286</v>
      </c>
      <c r="O219" s="5">
        <f t="shared" si="78"/>
        <v>-303</v>
      </c>
      <c r="P219" s="5">
        <f t="shared" si="79"/>
        <v>-231</v>
      </c>
      <c r="Q219" s="8">
        <v>0</v>
      </c>
      <c r="R219" s="8">
        <v>0</v>
      </c>
      <c r="S219" s="8">
        <v>0</v>
      </c>
      <c r="T219" s="6">
        <f t="shared" si="71"/>
        <v>1801</v>
      </c>
      <c r="U219" s="7">
        <f t="shared" si="61"/>
        <v>694</v>
      </c>
      <c r="V219" s="7">
        <f t="shared" si="62"/>
        <v>677</v>
      </c>
      <c r="W219" s="7">
        <f t="shared" si="63"/>
        <v>689</v>
      </c>
      <c r="X219" s="6"/>
      <c r="Y219" s="5"/>
      <c r="Z219" s="5"/>
      <c r="AA219" s="5"/>
      <c r="AB219" s="5"/>
    </row>
    <row r="220" spans="1:28" ht="13.15" customHeight="1">
      <c r="A220" s="13">
        <v>206</v>
      </c>
      <c r="B220" s="4">
        <f t="shared" si="72"/>
        <v>45249</v>
      </c>
      <c r="C220" s="10">
        <f t="shared" si="73"/>
        <v>842</v>
      </c>
      <c r="D220" s="9">
        <f t="shared" si="64"/>
        <v>1638</v>
      </c>
      <c r="E220" s="8">
        <f t="shared" si="65"/>
        <v>766</v>
      </c>
      <c r="F220" s="8">
        <f t="shared" si="66"/>
        <v>783</v>
      </c>
      <c r="G220" s="8">
        <f t="shared" si="67"/>
        <v>711</v>
      </c>
      <c r="H220" s="5">
        <f t="shared" si="68"/>
        <v>1714</v>
      </c>
      <c r="I220" s="5">
        <f t="shared" si="69"/>
        <v>1697</v>
      </c>
      <c r="J220" s="5">
        <f t="shared" si="70"/>
        <v>1769</v>
      </c>
      <c r="K220" s="5">
        <f t="shared" si="74"/>
        <v>2000</v>
      </c>
      <c r="L220" s="5">
        <f t="shared" si="75"/>
        <v>2000</v>
      </c>
      <c r="M220" s="5">
        <f t="shared" si="76"/>
        <v>2000</v>
      </c>
      <c r="N220" s="5">
        <f t="shared" si="77"/>
        <v>-286</v>
      </c>
      <c r="O220" s="5">
        <f t="shared" si="78"/>
        <v>-303</v>
      </c>
      <c r="P220" s="5">
        <f t="shared" si="79"/>
        <v>-231</v>
      </c>
      <c r="Q220" s="8">
        <v>0</v>
      </c>
      <c r="R220" s="8">
        <v>0</v>
      </c>
      <c r="S220" s="8">
        <v>0</v>
      </c>
      <c r="T220" s="6">
        <f t="shared" si="71"/>
        <v>1803</v>
      </c>
      <c r="U220" s="7">
        <f t="shared" si="61"/>
        <v>694</v>
      </c>
      <c r="V220" s="7">
        <f t="shared" si="62"/>
        <v>677</v>
      </c>
      <c r="W220" s="7">
        <f t="shared" si="63"/>
        <v>689</v>
      </c>
      <c r="X220" s="6"/>
      <c r="Y220" s="5"/>
      <c r="Z220" s="5"/>
      <c r="AA220" s="5"/>
      <c r="AB220" s="5"/>
    </row>
    <row r="221" spans="1:28" ht="13.15" customHeight="1">
      <c r="A221" s="13">
        <v>207</v>
      </c>
      <c r="B221" s="4">
        <f t="shared" si="72"/>
        <v>45250</v>
      </c>
      <c r="C221" s="10">
        <f t="shared" si="73"/>
        <v>842</v>
      </c>
      <c r="D221" s="9">
        <f t="shared" si="64"/>
        <v>1640</v>
      </c>
      <c r="E221" s="8">
        <f t="shared" si="65"/>
        <v>768</v>
      </c>
      <c r="F221" s="8">
        <f t="shared" si="66"/>
        <v>785</v>
      </c>
      <c r="G221" s="8">
        <f t="shared" si="67"/>
        <v>713</v>
      </c>
      <c r="H221" s="5">
        <f t="shared" si="68"/>
        <v>1714</v>
      </c>
      <c r="I221" s="5">
        <f t="shared" si="69"/>
        <v>1697</v>
      </c>
      <c r="J221" s="5">
        <f t="shared" si="70"/>
        <v>1769</v>
      </c>
      <c r="K221" s="5">
        <f t="shared" si="74"/>
        <v>2000</v>
      </c>
      <c r="L221" s="5">
        <f t="shared" si="75"/>
        <v>2000</v>
      </c>
      <c r="M221" s="5">
        <f t="shared" si="76"/>
        <v>2000</v>
      </c>
      <c r="N221" s="5">
        <f t="shared" si="77"/>
        <v>-286</v>
      </c>
      <c r="O221" s="5">
        <f t="shared" si="78"/>
        <v>-303</v>
      </c>
      <c r="P221" s="5">
        <f t="shared" si="79"/>
        <v>-231</v>
      </c>
      <c r="Q221" s="8">
        <v>0</v>
      </c>
      <c r="R221" s="8">
        <v>0</v>
      </c>
      <c r="S221" s="8">
        <v>0</v>
      </c>
      <c r="T221" s="6">
        <f t="shared" si="71"/>
        <v>1805</v>
      </c>
      <c r="U221" s="7">
        <f t="shared" si="61"/>
        <v>694</v>
      </c>
      <c r="V221" s="7">
        <f t="shared" si="62"/>
        <v>677</v>
      </c>
      <c r="W221" s="7">
        <f t="shared" si="63"/>
        <v>689</v>
      </c>
      <c r="X221" s="6"/>
      <c r="Y221" s="5"/>
      <c r="Z221" s="5"/>
      <c r="AA221" s="5"/>
      <c r="AB221" s="5"/>
    </row>
    <row r="222" spans="1:28" ht="13.15" customHeight="1">
      <c r="A222" s="13">
        <v>208</v>
      </c>
      <c r="B222" s="4">
        <f t="shared" si="72"/>
        <v>45251</v>
      </c>
      <c r="C222" s="10">
        <f t="shared" si="73"/>
        <v>842</v>
      </c>
      <c r="D222" s="9">
        <f t="shared" si="64"/>
        <v>1642</v>
      </c>
      <c r="E222" s="8">
        <f t="shared" si="65"/>
        <v>770</v>
      </c>
      <c r="F222" s="8">
        <f t="shared" si="66"/>
        <v>787</v>
      </c>
      <c r="G222" s="8">
        <f t="shared" si="67"/>
        <v>715</v>
      </c>
      <c r="H222" s="5">
        <f t="shared" si="68"/>
        <v>1714</v>
      </c>
      <c r="I222" s="5">
        <f t="shared" si="69"/>
        <v>1697</v>
      </c>
      <c r="J222" s="5">
        <f t="shared" si="70"/>
        <v>1769</v>
      </c>
      <c r="K222" s="5">
        <f t="shared" si="74"/>
        <v>2000</v>
      </c>
      <c r="L222" s="5">
        <f t="shared" si="75"/>
        <v>2000</v>
      </c>
      <c r="M222" s="5">
        <f t="shared" si="76"/>
        <v>2000</v>
      </c>
      <c r="N222" s="5">
        <f t="shared" si="77"/>
        <v>-286</v>
      </c>
      <c r="O222" s="5">
        <f t="shared" si="78"/>
        <v>-303</v>
      </c>
      <c r="P222" s="5">
        <f t="shared" si="79"/>
        <v>-231</v>
      </c>
      <c r="Q222" s="8">
        <v>0</v>
      </c>
      <c r="R222" s="8">
        <v>0</v>
      </c>
      <c r="S222" s="8">
        <v>0</v>
      </c>
      <c r="T222" s="6">
        <f t="shared" si="71"/>
        <v>1807</v>
      </c>
      <c r="U222" s="7">
        <f t="shared" si="61"/>
        <v>694</v>
      </c>
      <c r="V222" s="7">
        <f t="shared" si="62"/>
        <v>677</v>
      </c>
      <c r="W222" s="7">
        <f t="shared" si="63"/>
        <v>689</v>
      </c>
      <c r="X222" s="6"/>
      <c r="Y222" s="5"/>
      <c r="Z222" s="5"/>
      <c r="AA222" s="5"/>
      <c r="AB222" s="5"/>
    </row>
    <row r="223" spans="1:28" ht="13.15" customHeight="1">
      <c r="A223" s="13">
        <v>209</v>
      </c>
      <c r="B223" s="4">
        <f t="shared" si="72"/>
        <v>45252</v>
      </c>
      <c r="C223" s="10">
        <f t="shared" si="73"/>
        <v>842</v>
      </c>
      <c r="D223" s="9">
        <f t="shared" si="64"/>
        <v>1644</v>
      </c>
      <c r="E223" s="8">
        <f t="shared" si="65"/>
        <v>772</v>
      </c>
      <c r="F223" s="8">
        <f t="shared" si="66"/>
        <v>789</v>
      </c>
      <c r="G223" s="8">
        <f t="shared" si="67"/>
        <v>717</v>
      </c>
      <c r="H223" s="5">
        <f t="shared" si="68"/>
        <v>1714</v>
      </c>
      <c r="I223" s="5">
        <f t="shared" si="69"/>
        <v>1697</v>
      </c>
      <c r="J223" s="5">
        <f t="shared" si="70"/>
        <v>1769</v>
      </c>
      <c r="K223" s="5">
        <f t="shared" si="74"/>
        <v>2000</v>
      </c>
      <c r="L223" s="5">
        <f t="shared" si="75"/>
        <v>2000</v>
      </c>
      <c r="M223" s="5">
        <f t="shared" si="76"/>
        <v>2000</v>
      </c>
      <c r="N223" s="5">
        <f t="shared" si="77"/>
        <v>-286</v>
      </c>
      <c r="O223" s="5">
        <f t="shared" si="78"/>
        <v>-303</v>
      </c>
      <c r="P223" s="5">
        <f t="shared" si="79"/>
        <v>-231</v>
      </c>
      <c r="Q223" s="8">
        <v>0</v>
      </c>
      <c r="R223" s="8">
        <v>0</v>
      </c>
      <c r="S223" s="8">
        <v>0</v>
      </c>
      <c r="T223" s="6">
        <f t="shared" si="71"/>
        <v>1809</v>
      </c>
      <c r="U223" s="7">
        <f t="shared" si="61"/>
        <v>694</v>
      </c>
      <c r="V223" s="7">
        <f t="shared" si="62"/>
        <v>677</v>
      </c>
      <c r="W223" s="7">
        <f t="shared" si="63"/>
        <v>689</v>
      </c>
      <c r="X223" s="6"/>
      <c r="Y223" s="5"/>
      <c r="Z223" s="5"/>
      <c r="AA223" s="5"/>
      <c r="AB223" s="5"/>
    </row>
    <row r="224" spans="1:28" ht="13.15" customHeight="1">
      <c r="A224" s="13">
        <v>210</v>
      </c>
      <c r="B224" s="4">
        <f t="shared" si="72"/>
        <v>45253</v>
      </c>
      <c r="C224" s="10">
        <f t="shared" si="73"/>
        <v>842</v>
      </c>
      <c r="D224" s="9">
        <f t="shared" si="64"/>
        <v>1646</v>
      </c>
      <c r="E224" s="8">
        <f t="shared" si="65"/>
        <v>774</v>
      </c>
      <c r="F224" s="8">
        <f t="shared" si="66"/>
        <v>791</v>
      </c>
      <c r="G224" s="8">
        <f t="shared" si="67"/>
        <v>719</v>
      </c>
      <c r="H224" s="5">
        <f t="shared" si="68"/>
        <v>1714</v>
      </c>
      <c r="I224" s="5">
        <f t="shared" si="69"/>
        <v>1697</v>
      </c>
      <c r="J224" s="5">
        <f t="shared" si="70"/>
        <v>1769</v>
      </c>
      <c r="K224" s="5">
        <f t="shared" si="74"/>
        <v>2000</v>
      </c>
      <c r="L224" s="5">
        <f t="shared" si="75"/>
        <v>2000</v>
      </c>
      <c r="M224" s="5">
        <f t="shared" si="76"/>
        <v>2000</v>
      </c>
      <c r="N224" s="5">
        <f t="shared" si="77"/>
        <v>-286</v>
      </c>
      <c r="O224" s="5">
        <f t="shared" si="78"/>
        <v>-303</v>
      </c>
      <c r="P224" s="5">
        <f t="shared" si="79"/>
        <v>-231</v>
      </c>
      <c r="Q224" s="8">
        <v>0</v>
      </c>
      <c r="R224" s="8">
        <v>0</v>
      </c>
      <c r="S224" s="8">
        <v>0</v>
      </c>
      <c r="T224" s="6">
        <f t="shared" si="71"/>
        <v>1811</v>
      </c>
      <c r="U224" s="7">
        <f t="shared" si="61"/>
        <v>694</v>
      </c>
      <c r="V224" s="7">
        <f t="shared" si="62"/>
        <v>677</v>
      </c>
      <c r="W224" s="7">
        <f t="shared" si="63"/>
        <v>689</v>
      </c>
      <c r="X224" s="6"/>
      <c r="Y224" s="5"/>
      <c r="Z224" s="5"/>
      <c r="AA224" s="5"/>
      <c r="AB224" s="5"/>
    </row>
    <row r="225" spans="1:28" ht="13.15" customHeight="1">
      <c r="A225" s="13">
        <v>211</v>
      </c>
      <c r="B225" s="4">
        <f t="shared" si="72"/>
        <v>45254</v>
      </c>
      <c r="C225" s="10">
        <f t="shared" si="73"/>
        <v>842</v>
      </c>
      <c r="D225" s="9">
        <f t="shared" si="64"/>
        <v>1648</v>
      </c>
      <c r="E225" s="8">
        <f t="shared" si="65"/>
        <v>776</v>
      </c>
      <c r="F225" s="8">
        <f t="shared" si="66"/>
        <v>793</v>
      </c>
      <c r="G225" s="8">
        <f t="shared" si="67"/>
        <v>721</v>
      </c>
      <c r="H225" s="5">
        <f t="shared" si="68"/>
        <v>1714</v>
      </c>
      <c r="I225" s="5">
        <f t="shared" si="69"/>
        <v>1697</v>
      </c>
      <c r="J225" s="5">
        <f t="shared" si="70"/>
        <v>1769</v>
      </c>
      <c r="K225" s="5">
        <f t="shared" si="74"/>
        <v>2000</v>
      </c>
      <c r="L225" s="5">
        <f t="shared" si="75"/>
        <v>2000</v>
      </c>
      <c r="M225" s="5">
        <f t="shared" si="76"/>
        <v>2000</v>
      </c>
      <c r="N225" s="5">
        <f t="shared" si="77"/>
        <v>-286</v>
      </c>
      <c r="O225" s="5">
        <f t="shared" si="78"/>
        <v>-303</v>
      </c>
      <c r="P225" s="5">
        <f t="shared" si="79"/>
        <v>-231</v>
      </c>
      <c r="Q225" s="8">
        <v>0</v>
      </c>
      <c r="R225" s="8">
        <v>0</v>
      </c>
      <c r="S225" s="8">
        <v>0</v>
      </c>
      <c r="T225" s="6">
        <f t="shared" si="71"/>
        <v>1813</v>
      </c>
      <c r="U225" s="7">
        <f t="shared" si="61"/>
        <v>694</v>
      </c>
      <c r="V225" s="7">
        <f t="shared" si="62"/>
        <v>677</v>
      </c>
      <c r="W225" s="7">
        <f t="shared" si="63"/>
        <v>689</v>
      </c>
      <c r="X225" s="6"/>
      <c r="Y225" s="5"/>
      <c r="Z225" s="5"/>
      <c r="AA225" s="5"/>
      <c r="AB225" s="5"/>
    </row>
    <row r="226" spans="1:28" ht="13.15" customHeight="1">
      <c r="A226" s="13">
        <v>212</v>
      </c>
      <c r="B226" s="4">
        <f t="shared" si="72"/>
        <v>45255</v>
      </c>
      <c r="C226" s="10">
        <f t="shared" si="73"/>
        <v>842</v>
      </c>
      <c r="D226" s="9">
        <f t="shared" si="64"/>
        <v>1650</v>
      </c>
      <c r="E226" s="8">
        <f t="shared" si="65"/>
        <v>778</v>
      </c>
      <c r="F226" s="8">
        <f t="shared" si="66"/>
        <v>795</v>
      </c>
      <c r="G226" s="8">
        <f t="shared" si="67"/>
        <v>723</v>
      </c>
      <c r="H226" s="5">
        <f t="shared" si="68"/>
        <v>1714</v>
      </c>
      <c r="I226" s="5">
        <f t="shared" si="69"/>
        <v>1697</v>
      </c>
      <c r="J226" s="5">
        <f t="shared" si="70"/>
        <v>1769</v>
      </c>
      <c r="K226" s="5">
        <f t="shared" si="74"/>
        <v>2000</v>
      </c>
      <c r="L226" s="5">
        <f t="shared" si="75"/>
        <v>2000</v>
      </c>
      <c r="M226" s="5">
        <f t="shared" si="76"/>
        <v>2000</v>
      </c>
      <c r="N226" s="5">
        <f t="shared" si="77"/>
        <v>-286</v>
      </c>
      <c r="O226" s="5">
        <f t="shared" si="78"/>
        <v>-303</v>
      </c>
      <c r="P226" s="5">
        <f t="shared" si="79"/>
        <v>-231</v>
      </c>
      <c r="Q226" s="8">
        <v>0</v>
      </c>
      <c r="R226" s="8">
        <v>0</v>
      </c>
      <c r="S226" s="8">
        <v>0</v>
      </c>
      <c r="T226" s="6">
        <f t="shared" si="71"/>
        <v>1815</v>
      </c>
      <c r="U226" s="7">
        <f t="shared" si="61"/>
        <v>694</v>
      </c>
      <c r="V226" s="7">
        <f t="shared" si="62"/>
        <v>677</v>
      </c>
      <c r="W226" s="7">
        <f t="shared" si="63"/>
        <v>689</v>
      </c>
      <c r="X226" s="6"/>
      <c r="Y226" s="5"/>
      <c r="Z226" s="5"/>
      <c r="AA226" s="5"/>
      <c r="AB226" s="5"/>
    </row>
    <row r="227" spans="1:28" ht="13.15" customHeight="1">
      <c r="A227" s="13">
        <v>213</v>
      </c>
      <c r="B227" s="4">
        <f t="shared" si="72"/>
        <v>45256</v>
      </c>
      <c r="C227" s="10">
        <f t="shared" si="73"/>
        <v>842</v>
      </c>
      <c r="D227" s="9">
        <f t="shared" si="64"/>
        <v>1652</v>
      </c>
      <c r="E227" s="8">
        <f t="shared" si="65"/>
        <v>780</v>
      </c>
      <c r="F227" s="8">
        <f t="shared" si="66"/>
        <v>797</v>
      </c>
      <c r="G227" s="8">
        <f t="shared" si="67"/>
        <v>725</v>
      </c>
      <c r="H227" s="5">
        <f t="shared" si="68"/>
        <v>1714</v>
      </c>
      <c r="I227" s="5">
        <f t="shared" si="69"/>
        <v>1697</v>
      </c>
      <c r="J227" s="5">
        <f t="shared" si="70"/>
        <v>1769</v>
      </c>
      <c r="K227" s="5">
        <f t="shared" si="74"/>
        <v>2000</v>
      </c>
      <c r="L227" s="5">
        <f t="shared" si="75"/>
        <v>2000</v>
      </c>
      <c r="M227" s="5">
        <f t="shared" si="76"/>
        <v>2000</v>
      </c>
      <c r="N227" s="5">
        <f t="shared" si="77"/>
        <v>-286</v>
      </c>
      <c r="O227" s="5">
        <f t="shared" si="78"/>
        <v>-303</v>
      </c>
      <c r="P227" s="5">
        <f t="shared" si="79"/>
        <v>-231</v>
      </c>
      <c r="Q227" s="8">
        <v>0</v>
      </c>
      <c r="R227" s="8">
        <v>0</v>
      </c>
      <c r="S227" s="8">
        <v>0</v>
      </c>
      <c r="T227" s="6">
        <f t="shared" si="71"/>
        <v>1817</v>
      </c>
      <c r="U227" s="7">
        <f t="shared" si="61"/>
        <v>694</v>
      </c>
      <c r="V227" s="7">
        <f t="shared" si="62"/>
        <v>677</v>
      </c>
      <c r="W227" s="7">
        <f t="shared" si="63"/>
        <v>689</v>
      </c>
      <c r="X227" s="6"/>
      <c r="Y227" s="5"/>
      <c r="Z227" s="5"/>
      <c r="AA227" s="5"/>
      <c r="AB227" s="5"/>
    </row>
    <row r="228" spans="1:28" ht="13.15" customHeight="1">
      <c r="A228" s="13">
        <v>214</v>
      </c>
      <c r="B228" s="4">
        <f t="shared" si="72"/>
        <v>45257</v>
      </c>
      <c r="C228" s="10">
        <f t="shared" si="73"/>
        <v>842</v>
      </c>
      <c r="D228" s="9">
        <f t="shared" si="64"/>
        <v>1654</v>
      </c>
      <c r="E228" s="8">
        <f t="shared" si="65"/>
        <v>782</v>
      </c>
      <c r="F228" s="8">
        <f t="shared" si="66"/>
        <v>799</v>
      </c>
      <c r="G228" s="8">
        <f t="shared" si="67"/>
        <v>727</v>
      </c>
      <c r="H228" s="5">
        <f t="shared" si="68"/>
        <v>1714</v>
      </c>
      <c r="I228" s="5">
        <f t="shared" si="69"/>
        <v>1697</v>
      </c>
      <c r="J228" s="5">
        <f t="shared" si="70"/>
        <v>1769</v>
      </c>
      <c r="K228" s="5">
        <f t="shared" si="74"/>
        <v>2000</v>
      </c>
      <c r="L228" s="5">
        <f t="shared" si="75"/>
        <v>2000</v>
      </c>
      <c r="M228" s="5">
        <f t="shared" si="76"/>
        <v>2000</v>
      </c>
      <c r="N228" s="5">
        <f t="shared" si="77"/>
        <v>-286</v>
      </c>
      <c r="O228" s="5">
        <f t="shared" si="78"/>
        <v>-303</v>
      </c>
      <c r="P228" s="5">
        <f t="shared" si="79"/>
        <v>-231</v>
      </c>
      <c r="Q228" s="8">
        <v>0</v>
      </c>
      <c r="R228" s="8">
        <v>0</v>
      </c>
      <c r="S228" s="8">
        <v>0</v>
      </c>
      <c r="T228" s="6">
        <f t="shared" si="71"/>
        <v>1819</v>
      </c>
      <c r="U228" s="7">
        <f t="shared" si="61"/>
        <v>694</v>
      </c>
      <c r="V228" s="7">
        <f t="shared" si="62"/>
        <v>677</v>
      </c>
      <c r="W228" s="7">
        <f t="shared" si="63"/>
        <v>689</v>
      </c>
      <c r="X228" s="6"/>
      <c r="Y228" s="5"/>
      <c r="Z228" s="5"/>
      <c r="AA228" s="5"/>
      <c r="AB228" s="5"/>
    </row>
    <row r="229" spans="1:28" ht="13.15" customHeight="1">
      <c r="A229" s="13">
        <v>215</v>
      </c>
      <c r="B229" s="4">
        <f t="shared" si="72"/>
        <v>45258</v>
      </c>
      <c r="C229" s="10">
        <f t="shared" si="73"/>
        <v>842</v>
      </c>
      <c r="D229" s="9">
        <f t="shared" si="64"/>
        <v>1656</v>
      </c>
      <c r="E229" s="8">
        <f t="shared" si="65"/>
        <v>784</v>
      </c>
      <c r="F229" s="8">
        <f t="shared" si="66"/>
        <v>801</v>
      </c>
      <c r="G229" s="8">
        <f t="shared" si="67"/>
        <v>729</v>
      </c>
      <c r="H229" s="5">
        <f t="shared" si="68"/>
        <v>1714</v>
      </c>
      <c r="I229" s="5">
        <f t="shared" si="69"/>
        <v>1697</v>
      </c>
      <c r="J229" s="5">
        <f t="shared" si="70"/>
        <v>1769</v>
      </c>
      <c r="K229" s="5">
        <f t="shared" si="74"/>
        <v>2000</v>
      </c>
      <c r="L229" s="5">
        <f t="shared" si="75"/>
        <v>2000</v>
      </c>
      <c r="M229" s="5">
        <f t="shared" si="76"/>
        <v>2000</v>
      </c>
      <c r="N229" s="5">
        <f t="shared" si="77"/>
        <v>-286</v>
      </c>
      <c r="O229" s="5">
        <f t="shared" si="78"/>
        <v>-303</v>
      </c>
      <c r="P229" s="5">
        <f t="shared" si="79"/>
        <v>-231</v>
      </c>
      <c r="Q229" s="8">
        <v>0</v>
      </c>
      <c r="R229" s="8">
        <v>0</v>
      </c>
      <c r="S229" s="8">
        <v>0</v>
      </c>
      <c r="T229" s="6">
        <f t="shared" si="71"/>
        <v>1821</v>
      </c>
      <c r="U229" s="7">
        <f t="shared" si="61"/>
        <v>694</v>
      </c>
      <c r="V229" s="7">
        <f t="shared" si="62"/>
        <v>677</v>
      </c>
      <c r="W229" s="7">
        <f t="shared" si="63"/>
        <v>689</v>
      </c>
      <c r="X229" s="6"/>
      <c r="Y229" s="5"/>
      <c r="Z229" s="5"/>
      <c r="AA229" s="5"/>
      <c r="AB229" s="5"/>
    </row>
    <row r="230" spans="1:28" ht="13.15" customHeight="1">
      <c r="A230" s="13">
        <v>216</v>
      </c>
      <c r="B230" s="4">
        <f t="shared" si="72"/>
        <v>45259</v>
      </c>
      <c r="C230" s="10">
        <f t="shared" si="73"/>
        <v>842</v>
      </c>
      <c r="D230" s="9">
        <f t="shared" si="64"/>
        <v>1658</v>
      </c>
      <c r="E230" s="8">
        <f t="shared" si="65"/>
        <v>786</v>
      </c>
      <c r="F230" s="8">
        <f t="shared" si="66"/>
        <v>803</v>
      </c>
      <c r="G230" s="8">
        <f t="shared" si="67"/>
        <v>731</v>
      </c>
      <c r="H230" s="5">
        <f t="shared" si="68"/>
        <v>1714</v>
      </c>
      <c r="I230" s="5">
        <f t="shared" si="69"/>
        <v>1697</v>
      </c>
      <c r="J230" s="5">
        <f t="shared" si="70"/>
        <v>1769</v>
      </c>
      <c r="K230" s="5">
        <f t="shared" si="74"/>
        <v>2000</v>
      </c>
      <c r="L230" s="5">
        <f t="shared" si="75"/>
        <v>2000</v>
      </c>
      <c r="M230" s="5">
        <f t="shared" si="76"/>
        <v>2000</v>
      </c>
      <c r="N230" s="5">
        <f t="shared" si="77"/>
        <v>-286</v>
      </c>
      <c r="O230" s="5">
        <f t="shared" si="78"/>
        <v>-303</v>
      </c>
      <c r="P230" s="5">
        <f t="shared" si="79"/>
        <v>-231</v>
      </c>
      <c r="Q230" s="8">
        <v>0</v>
      </c>
      <c r="R230" s="8">
        <v>0</v>
      </c>
      <c r="S230" s="8">
        <v>0</v>
      </c>
      <c r="T230" s="6">
        <f t="shared" si="71"/>
        <v>1823</v>
      </c>
      <c r="U230" s="7">
        <f t="shared" si="61"/>
        <v>694</v>
      </c>
      <c r="V230" s="7">
        <f t="shared" si="62"/>
        <v>677</v>
      </c>
      <c r="W230" s="7">
        <f t="shared" si="63"/>
        <v>689</v>
      </c>
      <c r="X230" s="6"/>
      <c r="Y230" s="5"/>
      <c r="Z230" s="5"/>
      <c r="AA230" s="5"/>
      <c r="AB230" s="5"/>
    </row>
    <row r="231" spans="1:28" ht="13.15" customHeight="1">
      <c r="A231" s="13">
        <v>217</v>
      </c>
      <c r="B231" s="4">
        <f t="shared" si="72"/>
        <v>45260</v>
      </c>
      <c r="C231" s="10">
        <f t="shared" si="73"/>
        <v>842</v>
      </c>
      <c r="D231" s="9">
        <f t="shared" si="64"/>
        <v>1660</v>
      </c>
      <c r="E231" s="8">
        <f t="shared" si="65"/>
        <v>788</v>
      </c>
      <c r="F231" s="8">
        <f t="shared" si="66"/>
        <v>805</v>
      </c>
      <c r="G231" s="8">
        <f t="shared" si="67"/>
        <v>733</v>
      </c>
      <c r="H231" s="5">
        <f t="shared" si="68"/>
        <v>1714</v>
      </c>
      <c r="I231" s="5">
        <f t="shared" si="69"/>
        <v>1697</v>
      </c>
      <c r="J231" s="5">
        <f t="shared" si="70"/>
        <v>1769</v>
      </c>
      <c r="K231" s="5">
        <f t="shared" si="74"/>
        <v>2000</v>
      </c>
      <c r="L231" s="5">
        <f t="shared" si="75"/>
        <v>2000</v>
      </c>
      <c r="M231" s="5">
        <f t="shared" si="76"/>
        <v>2000</v>
      </c>
      <c r="N231" s="5">
        <f t="shared" si="77"/>
        <v>-286</v>
      </c>
      <c r="O231" s="5">
        <f t="shared" si="78"/>
        <v>-303</v>
      </c>
      <c r="P231" s="5">
        <f t="shared" si="79"/>
        <v>-231</v>
      </c>
      <c r="Q231" s="8">
        <v>0</v>
      </c>
      <c r="R231" s="8">
        <v>0</v>
      </c>
      <c r="S231" s="8">
        <v>0</v>
      </c>
      <c r="T231" s="6">
        <f t="shared" si="71"/>
        <v>1825</v>
      </c>
      <c r="U231" s="7">
        <f t="shared" si="61"/>
        <v>694</v>
      </c>
      <c r="V231" s="7">
        <f t="shared" si="62"/>
        <v>677</v>
      </c>
      <c r="W231" s="7">
        <f t="shared" si="63"/>
        <v>689</v>
      </c>
      <c r="X231" s="6"/>
      <c r="Y231" s="5"/>
      <c r="Z231" s="5"/>
      <c r="AA231" s="5"/>
      <c r="AB231" s="5"/>
    </row>
    <row r="232" spans="1:28" ht="13.15" customHeight="1">
      <c r="A232" s="13">
        <v>218</v>
      </c>
      <c r="B232" s="4">
        <f t="shared" si="72"/>
        <v>45261</v>
      </c>
      <c r="C232" s="10">
        <f t="shared" si="73"/>
        <v>842</v>
      </c>
      <c r="D232" s="9">
        <f t="shared" si="64"/>
        <v>1662</v>
      </c>
      <c r="E232" s="8">
        <f t="shared" si="65"/>
        <v>790</v>
      </c>
      <c r="F232" s="8">
        <f t="shared" si="66"/>
        <v>807</v>
      </c>
      <c r="G232" s="8">
        <f t="shared" si="67"/>
        <v>735</v>
      </c>
      <c r="H232" s="5">
        <f t="shared" si="68"/>
        <v>1714</v>
      </c>
      <c r="I232" s="5">
        <f t="shared" si="69"/>
        <v>1697</v>
      </c>
      <c r="J232" s="5">
        <f t="shared" si="70"/>
        <v>1769</v>
      </c>
      <c r="K232" s="5">
        <f t="shared" si="74"/>
        <v>2000</v>
      </c>
      <c r="L232" s="5">
        <f t="shared" si="75"/>
        <v>2000</v>
      </c>
      <c r="M232" s="5">
        <f t="shared" si="76"/>
        <v>2000</v>
      </c>
      <c r="N232" s="5">
        <f t="shared" si="77"/>
        <v>-286</v>
      </c>
      <c r="O232" s="5">
        <f t="shared" si="78"/>
        <v>-303</v>
      </c>
      <c r="P232" s="5">
        <f t="shared" si="79"/>
        <v>-231</v>
      </c>
      <c r="Q232" s="8">
        <v>0</v>
      </c>
      <c r="R232" s="8">
        <v>0</v>
      </c>
      <c r="S232" s="8">
        <v>0</v>
      </c>
      <c r="T232" s="6">
        <f t="shared" si="71"/>
        <v>1827</v>
      </c>
      <c r="U232" s="7">
        <f t="shared" ref="U232:U295" si="80">U231+$X232*1000-Q232</f>
        <v>694</v>
      </c>
      <c r="V232" s="7">
        <f t="shared" ref="V232:V295" si="81">V231+$X232*1000-R232</f>
        <v>677</v>
      </c>
      <c r="W232" s="7">
        <f t="shared" ref="W232:W295" si="82">W231+$X232*1000-S232</f>
        <v>689</v>
      </c>
      <c r="X232" s="6"/>
      <c r="Y232" s="5"/>
      <c r="Z232" s="5"/>
      <c r="AA232" s="5"/>
      <c r="AB232" s="5"/>
    </row>
    <row r="233" spans="1:28" ht="13.15" customHeight="1">
      <c r="A233" s="13">
        <v>219</v>
      </c>
      <c r="B233" s="4">
        <f t="shared" si="72"/>
        <v>45262</v>
      </c>
      <c r="C233" s="10">
        <f t="shared" si="73"/>
        <v>842</v>
      </c>
      <c r="D233" s="9">
        <f t="shared" si="64"/>
        <v>1664</v>
      </c>
      <c r="E233" s="8">
        <f t="shared" si="65"/>
        <v>792</v>
      </c>
      <c r="F233" s="8">
        <f t="shared" si="66"/>
        <v>809</v>
      </c>
      <c r="G233" s="8">
        <f t="shared" si="67"/>
        <v>737</v>
      </c>
      <c r="H233" s="5">
        <f t="shared" si="68"/>
        <v>1714</v>
      </c>
      <c r="I233" s="5">
        <f t="shared" si="69"/>
        <v>1697</v>
      </c>
      <c r="J233" s="5">
        <f t="shared" si="70"/>
        <v>1769</v>
      </c>
      <c r="K233" s="5">
        <f t="shared" si="74"/>
        <v>2000</v>
      </c>
      <c r="L233" s="5">
        <f t="shared" si="75"/>
        <v>2000</v>
      </c>
      <c r="M233" s="5">
        <f t="shared" si="76"/>
        <v>2000</v>
      </c>
      <c r="N233" s="5">
        <f t="shared" si="77"/>
        <v>-286</v>
      </c>
      <c r="O233" s="5">
        <f t="shared" si="78"/>
        <v>-303</v>
      </c>
      <c r="P233" s="5">
        <f t="shared" si="79"/>
        <v>-231</v>
      </c>
      <c r="Q233" s="8">
        <v>0</v>
      </c>
      <c r="R233" s="8">
        <v>0</v>
      </c>
      <c r="S233" s="8">
        <v>0</v>
      </c>
      <c r="T233" s="6">
        <f t="shared" si="71"/>
        <v>1829</v>
      </c>
      <c r="U233" s="7">
        <f t="shared" si="80"/>
        <v>694</v>
      </c>
      <c r="V233" s="7">
        <f t="shared" si="81"/>
        <v>677</v>
      </c>
      <c r="W233" s="7">
        <f t="shared" si="82"/>
        <v>689</v>
      </c>
      <c r="X233" s="6"/>
      <c r="Y233" s="5"/>
      <c r="Z233" s="5"/>
      <c r="AA233" s="5"/>
      <c r="AB233" s="5"/>
    </row>
    <row r="234" spans="1:28" ht="13.15" customHeight="1">
      <c r="A234" s="13">
        <v>220</v>
      </c>
      <c r="B234" s="4">
        <f t="shared" si="72"/>
        <v>45263</v>
      </c>
      <c r="C234" s="10">
        <f t="shared" si="73"/>
        <v>842</v>
      </c>
      <c r="D234" s="9">
        <f t="shared" si="64"/>
        <v>1666</v>
      </c>
      <c r="E234" s="8">
        <f t="shared" si="65"/>
        <v>794</v>
      </c>
      <c r="F234" s="8">
        <f t="shared" si="66"/>
        <v>811</v>
      </c>
      <c r="G234" s="8">
        <f t="shared" si="67"/>
        <v>739</v>
      </c>
      <c r="H234" s="5">
        <f t="shared" si="68"/>
        <v>1714</v>
      </c>
      <c r="I234" s="5">
        <f t="shared" si="69"/>
        <v>1697</v>
      </c>
      <c r="J234" s="5">
        <f t="shared" si="70"/>
        <v>1769</v>
      </c>
      <c r="K234" s="5">
        <f t="shared" si="74"/>
        <v>2000</v>
      </c>
      <c r="L234" s="5">
        <f t="shared" si="75"/>
        <v>2000</v>
      </c>
      <c r="M234" s="5">
        <f t="shared" si="76"/>
        <v>2000</v>
      </c>
      <c r="N234" s="5">
        <f t="shared" si="77"/>
        <v>-286</v>
      </c>
      <c r="O234" s="5">
        <f t="shared" si="78"/>
        <v>-303</v>
      </c>
      <c r="P234" s="5">
        <f t="shared" si="79"/>
        <v>-231</v>
      </c>
      <c r="Q234" s="8">
        <v>0</v>
      </c>
      <c r="R234" s="8">
        <v>0</v>
      </c>
      <c r="S234" s="8">
        <v>0</v>
      </c>
      <c r="T234" s="6">
        <f t="shared" si="71"/>
        <v>1831</v>
      </c>
      <c r="U234" s="7">
        <f t="shared" si="80"/>
        <v>694</v>
      </c>
      <c r="V234" s="7">
        <f t="shared" si="81"/>
        <v>677</v>
      </c>
      <c r="W234" s="7">
        <f t="shared" si="82"/>
        <v>689</v>
      </c>
      <c r="X234" s="6"/>
      <c r="Y234" s="5"/>
      <c r="Z234" s="5"/>
      <c r="AA234" s="5"/>
      <c r="AB234" s="5"/>
    </row>
    <row r="235" spans="1:28" ht="13.15" customHeight="1">
      <c r="A235" s="13">
        <v>221</v>
      </c>
      <c r="B235" s="4">
        <f t="shared" si="72"/>
        <v>45264</v>
      </c>
      <c r="C235" s="10">
        <f t="shared" si="73"/>
        <v>842</v>
      </c>
      <c r="D235" s="9">
        <f t="shared" si="64"/>
        <v>1668</v>
      </c>
      <c r="E235" s="8">
        <f t="shared" si="65"/>
        <v>796</v>
      </c>
      <c r="F235" s="8">
        <f t="shared" si="66"/>
        <v>813</v>
      </c>
      <c r="G235" s="8">
        <f t="shared" si="67"/>
        <v>741</v>
      </c>
      <c r="H235" s="5">
        <f t="shared" si="68"/>
        <v>1714</v>
      </c>
      <c r="I235" s="5">
        <f t="shared" si="69"/>
        <v>1697</v>
      </c>
      <c r="J235" s="5">
        <f t="shared" si="70"/>
        <v>1769</v>
      </c>
      <c r="K235" s="5">
        <f t="shared" si="74"/>
        <v>2000</v>
      </c>
      <c r="L235" s="5">
        <f t="shared" si="75"/>
        <v>2000</v>
      </c>
      <c r="M235" s="5">
        <f t="shared" si="76"/>
        <v>2000</v>
      </c>
      <c r="N235" s="5">
        <f t="shared" si="77"/>
        <v>-286</v>
      </c>
      <c r="O235" s="5">
        <f t="shared" si="78"/>
        <v>-303</v>
      </c>
      <c r="P235" s="5">
        <f t="shared" si="79"/>
        <v>-231</v>
      </c>
      <c r="Q235" s="8">
        <v>0</v>
      </c>
      <c r="R235" s="8">
        <v>0</v>
      </c>
      <c r="S235" s="8">
        <v>0</v>
      </c>
      <c r="T235" s="6">
        <f t="shared" si="71"/>
        <v>1833</v>
      </c>
      <c r="U235" s="7">
        <f t="shared" si="80"/>
        <v>694</v>
      </c>
      <c r="V235" s="7">
        <f t="shared" si="81"/>
        <v>677</v>
      </c>
      <c r="W235" s="7">
        <f t="shared" si="82"/>
        <v>689</v>
      </c>
      <c r="X235" s="6"/>
      <c r="Y235" s="5"/>
      <c r="Z235" s="5"/>
      <c r="AA235" s="5"/>
      <c r="AB235" s="5"/>
    </row>
    <row r="236" spans="1:28" ht="13.15" customHeight="1">
      <c r="A236" s="13">
        <v>222</v>
      </c>
      <c r="B236" s="4">
        <f t="shared" si="72"/>
        <v>45265</v>
      </c>
      <c r="C236" s="10">
        <f t="shared" si="73"/>
        <v>842</v>
      </c>
      <c r="D236" s="9">
        <f t="shared" si="64"/>
        <v>1670</v>
      </c>
      <c r="E236" s="8">
        <f t="shared" si="65"/>
        <v>798</v>
      </c>
      <c r="F236" s="8">
        <f t="shared" si="66"/>
        <v>815</v>
      </c>
      <c r="G236" s="8">
        <f t="shared" si="67"/>
        <v>743</v>
      </c>
      <c r="H236" s="5">
        <f t="shared" si="68"/>
        <v>1714</v>
      </c>
      <c r="I236" s="5">
        <f t="shared" si="69"/>
        <v>1697</v>
      </c>
      <c r="J236" s="5">
        <f t="shared" si="70"/>
        <v>1769</v>
      </c>
      <c r="K236" s="5">
        <f t="shared" si="74"/>
        <v>2000</v>
      </c>
      <c r="L236" s="5">
        <f t="shared" si="75"/>
        <v>2000</v>
      </c>
      <c r="M236" s="5">
        <f t="shared" si="76"/>
        <v>2000</v>
      </c>
      <c r="N236" s="5">
        <f t="shared" si="77"/>
        <v>-286</v>
      </c>
      <c r="O236" s="5">
        <f t="shared" si="78"/>
        <v>-303</v>
      </c>
      <c r="P236" s="5">
        <f t="shared" si="79"/>
        <v>-231</v>
      </c>
      <c r="Q236" s="8">
        <v>0</v>
      </c>
      <c r="R236" s="8">
        <v>0</v>
      </c>
      <c r="S236" s="8">
        <v>0</v>
      </c>
      <c r="T236" s="6">
        <f t="shared" si="71"/>
        <v>1835</v>
      </c>
      <c r="U236" s="7">
        <f t="shared" si="80"/>
        <v>694</v>
      </c>
      <c r="V236" s="7">
        <f t="shared" si="81"/>
        <v>677</v>
      </c>
      <c r="W236" s="7">
        <f t="shared" si="82"/>
        <v>689</v>
      </c>
      <c r="X236" s="6"/>
      <c r="Y236" s="5"/>
      <c r="Z236" s="5"/>
      <c r="AA236" s="5"/>
      <c r="AB236" s="5"/>
    </row>
    <row r="237" spans="1:28" ht="13.15" customHeight="1">
      <c r="A237" s="13">
        <v>223</v>
      </c>
      <c r="B237" s="4">
        <f t="shared" si="72"/>
        <v>45266</v>
      </c>
      <c r="C237" s="10">
        <f t="shared" si="73"/>
        <v>842</v>
      </c>
      <c r="D237" s="9">
        <f t="shared" si="64"/>
        <v>1672</v>
      </c>
      <c r="E237" s="8">
        <f t="shared" si="65"/>
        <v>800</v>
      </c>
      <c r="F237" s="8">
        <f t="shared" si="66"/>
        <v>817</v>
      </c>
      <c r="G237" s="8">
        <f t="shared" si="67"/>
        <v>745</v>
      </c>
      <c r="H237" s="5">
        <f t="shared" si="68"/>
        <v>1714</v>
      </c>
      <c r="I237" s="5">
        <f t="shared" si="69"/>
        <v>1697</v>
      </c>
      <c r="J237" s="5">
        <f t="shared" si="70"/>
        <v>1769</v>
      </c>
      <c r="K237" s="5">
        <f t="shared" si="74"/>
        <v>2000</v>
      </c>
      <c r="L237" s="5">
        <f t="shared" si="75"/>
        <v>2000</v>
      </c>
      <c r="M237" s="5">
        <f t="shared" si="76"/>
        <v>2000</v>
      </c>
      <c r="N237" s="5">
        <f t="shared" si="77"/>
        <v>-286</v>
      </c>
      <c r="O237" s="5">
        <f t="shared" si="78"/>
        <v>-303</v>
      </c>
      <c r="P237" s="5">
        <f t="shared" si="79"/>
        <v>-231</v>
      </c>
      <c r="Q237" s="8">
        <v>0</v>
      </c>
      <c r="R237" s="8">
        <v>0</v>
      </c>
      <c r="S237" s="8">
        <v>0</v>
      </c>
      <c r="T237" s="6">
        <f t="shared" si="71"/>
        <v>1837</v>
      </c>
      <c r="U237" s="7">
        <f t="shared" si="80"/>
        <v>694</v>
      </c>
      <c r="V237" s="7">
        <f t="shared" si="81"/>
        <v>677</v>
      </c>
      <c r="W237" s="7">
        <f t="shared" si="82"/>
        <v>689</v>
      </c>
      <c r="X237" s="6"/>
      <c r="Y237" s="5"/>
      <c r="Z237" s="5"/>
      <c r="AA237" s="5"/>
      <c r="AB237" s="5"/>
    </row>
    <row r="238" spans="1:28" ht="13.15" customHeight="1">
      <c r="A238" s="13">
        <v>224</v>
      </c>
      <c r="B238" s="4">
        <f t="shared" si="72"/>
        <v>45267</v>
      </c>
      <c r="C238" s="10">
        <f t="shared" si="73"/>
        <v>842</v>
      </c>
      <c r="D238" s="9">
        <f t="shared" si="64"/>
        <v>1674</v>
      </c>
      <c r="E238" s="8">
        <f t="shared" si="65"/>
        <v>802</v>
      </c>
      <c r="F238" s="8">
        <f t="shared" si="66"/>
        <v>819</v>
      </c>
      <c r="G238" s="8">
        <f t="shared" si="67"/>
        <v>747</v>
      </c>
      <c r="H238" s="5">
        <f t="shared" si="68"/>
        <v>1714</v>
      </c>
      <c r="I238" s="5">
        <f t="shared" si="69"/>
        <v>1697</v>
      </c>
      <c r="J238" s="5">
        <f t="shared" si="70"/>
        <v>1769</v>
      </c>
      <c r="K238" s="5">
        <f t="shared" si="74"/>
        <v>2000</v>
      </c>
      <c r="L238" s="5">
        <f t="shared" si="75"/>
        <v>2000</v>
      </c>
      <c r="M238" s="5">
        <f t="shared" si="76"/>
        <v>2000</v>
      </c>
      <c r="N238" s="5">
        <f t="shared" si="77"/>
        <v>-286</v>
      </c>
      <c r="O238" s="5">
        <f t="shared" si="78"/>
        <v>-303</v>
      </c>
      <c r="P238" s="5">
        <f t="shared" si="79"/>
        <v>-231</v>
      </c>
      <c r="Q238" s="8">
        <v>0</v>
      </c>
      <c r="R238" s="8">
        <v>0</v>
      </c>
      <c r="S238" s="8">
        <v>0</v>
      </c>
      <c r="T238" s="6">
        <f t="shared" si="71"/>
        <v>1839</v>
      </c>
      <c r="U238" s="7">
        <f t="shared" si="80"/>
        <v>694</v>
      </c>
      <c r="V238" s="7">
        <f t="shared" si="81"/>
        <v>677</v>
      </c>
      <c r="W238" s="7">
        <f t="shared" si="82"/>
        <v>689</v>
      </c>
      <c r="X238" s="6"/>
      <c r="Y238" s="5"/>
      <c r="Z238" s="5"/>
      <c r="AA238" s="5"/>
      <c r="AB238" s="5"/>
    </row>
    <row r="239" spans="1:28" ht="13.15" customHeight="1">
      <c r="A239" s="13">
        <v>225</v>
      </c>
      <c r="B239" s="4">
        <f t="shared" si="72"/>
        <v>45268</v>
      </c>
      <c r="C239" s="10">
        <f t="shared" si="73"/>
        <v>842</v>
      </c>
      <c r="D239" s="9">
        <f t="shared" si="64"/>
        <v>1676</v>
      </c>
      <c r="E239" s="8">
        <f t="shared" si="65"/>
        <v>804</v>
      </c>
      <c r="F239" s="8">
        <f t="shared" si="66"/>
        <v>821</v>
      </c>
      <c r="G239" s="8">
        <f t="shared" si="67"/>
        <v>749</v>
      </c>
      <c r="H239" s="5">
        <f t="shared" si="68"/>
        <v>1714</v>
      </c>
      <c r="I239" s="5">
        <f t="shared" si="69"/>
        <v>1697</v>
      </c>
      <c r="J239" s="5">
        <f t="shared" si="70"/>
        <v>1769</v>
      </c>
      <c r="K239" s="5">
        <f t="shared" si="74"/>
        <v>2000</v>
      </c>
      <c r="L239" s="5">
        <f t="shared" si="75"/>
        <v>2000</v>
      </c>
      <c r="M239" s="5">
        <f t="shared" si="76"/>
        <v>2000</v>
      </c>
      <c r="N239" s="5">
        <f t="shared" si="77"/>
        <v>-286</v>
      </c>
      <c r="O239" s="5">
        <f t="shared" si="78"/>
        <v>-303</v>
      </c>
      <c r="P239" s="5">
        <f t="shared" si="79"/>
        <v>-231</v>
      </c>
      <c r="Q239" s="8">
        <v>0</v>
      </c>
      <c r="R239" s="8">
        <v>0</v>
      </c>
      <c r="S239" s="8">
        <v>0</v>
      </c>
      <c r="T239" s="6">
        <f t="shared" si="71"/>
        <v>1841</v>
      </c>
      <c r="U239" s="7">
        <f t="shared" si="80"/>
        <v>694</v>
      </c>
      <c r="V239" s="7">
        <f t="shared" si="81"/>
        <v>677</v>
      </c>
      <c r="W239" s="7">
        <f t="shared" si="82"/>
        <v>689</v>
      </c>
      <c r="X239" s="6"/>
      <c r="Y239" s="5"/>
      <c r="Z239" s="5"/>
      <c r="AA239" s="5"/>
      <c r="AB239" s="5"/>
    </row>
    <row r="240" spans="1:28" ht="13.15" customHeight="1">
      <c r="A240" s="13">
        <v>226</v>
      </c>
      <c r="B240" s="4">
        <f t="shared" si="72"/>
        <v>45269</v>
      </c>
      <c r="C240" s="10">
        <f t="shared" si="73"/>
        <v>842</v>
      </c>
      <c r="D240" s="9">
        <f t="shared" si="64"/>
        <v>1678</v>
      </c>
      <c r="E240" s="8">
        <f t="shared" si="65"/>
        <v>806</v>
      </c>
      <c r="F240" s="8">
        <f t="shared" si="66"/>
        <v>823</v>
      </c>
      <c r="G240" s="8">
        <f t="shared" si="67"/>
        <v>751</v>
      </c>
      <c r="H240" s="5">
        <f t="shared" si="68"/>
        <v>1714</v>
      </c>
      <c r="I240" s="5">
        <f t="shared" si="69"/>
        <v>1697</v>
      </c>
      <c r="J240" s="5">
        <f t="shared" si="70"/>
        <v>1769</v>
      </c>
      <c r="K240" s="5">
        <f t="shared" si="74"/>
        <v>2000</v>
      </c>
      <c r="L240" s="5">
        <f t="shared" si="75"/>
        <v>2000</v>
      </c>
      <c r="M240" s="5">
        <f t="shared" si="76"/>
        <v>2000</v>
      </c>
      <c r="N240" s="5">
        <f t="shared" si="77"/>
        <v>-286</v>
      </c>
      <c r="O240" s="5">
        <f t="shared" si="78"/>
        <v>-303</v>
      </c>
      <c r="P240" s="5">
        <f t="shared" si="79"/>
        <v>-231</v>
      </c>
      <c r="Q240" s="8">
        <v>0</v>
      </c>
      <c r="R240" s="8">
        <v>0</v>
      </c>
      <c r="S240" s="8">
        <v>0</v>
      </c>
      <c r="T240" s="6">
        <f t="shared" si="71"/>
        <v>1843</v>
      </c>
      <c r="U240" s="7">
        <f t="shared" si="80"/>
        <v>694</v>
      </c>
      <c r="V240" s="7">
        <f t="shared" si="81"/>
        <v>677</v>
      </c>
      <c r="W240" s="7">
        <f t="shared" si="82"/>
        <v>689</v>
      </c>
      <c r="X240" s="6"/>
      <c r="Y240" s="5"/>
      <c r="Z240" s="5"/>
      <c r="AA240" s="5"/>
      <c r="AB240" s="5"/>
    </row>
    <row r="241" spans="1:28" ht="13.15" customHeight="1">
      <c r="A241" s="13">
        <v>227</v>
      </c>
      <c r="B241" s="4">
        <f t="shared" si="72"/>
        <v>45270</v>
      </c>
      <c r="C241" s="10">
        <f t="shared" si="73"/>
        <v>842</v>
      </c>
      <c r="D241" s="9">
        <f t="shared" si="64"/>
        <v>1680</v>
      </c>
      <c r="E241" s="8">
        <f t="shared" si="65"/>
        <v>808</v>
      </c>
      <c r="F241" s="8">
        <f t="shared" si="66"/>
        <v>825</v>
      </c>
      <c r="G241" s="8">
        <f t="shared" si="67"/>
        <v>753</v>
      </c>
      <c r="H241" s="5">
        <f t="shared" si="68"/>
        <v>1714</v>
      </c>
      <c r="I241" s="5">
        <f t="shared" si="69"/>
        <v>1697</v>
      </c>
      <c r="J241" s="5">
        <f t="shared" si="70"/>
        <v>1769</v>
      </c>
      <c r="K241" s="5">
        <f t="shared" si="74"/>
        <v>2000</v>
      </c>
      <c r="L241" s="5">
        <f t="shared" si="75"/>
        <v>2000</v>
      </c>
      <c r="M241" s="5">
        <f t="shared" si="76"/>
        <v>2000</v>
      </c>
      <c r="N241" s="5">
        <f t="shared" si="77"/>
        <v>-286</v>
      </c>
      <c r="O241" s="5">
        <f t="shared" si="78"/>
        <v>-303</v>
      </c>
      <c r="P241" s="5">
        <f t="shared" si="79"/>
        <v>-231</v>
      </c>
      <c r="Q241" s="8">
        <v>0</v>
      </c>
      <c r="R241" s="8">
        <v>0</v>
      </c>
      <c r="S241" s="8">
        <v>0</v>
      </c>
      <c r="T241" s="6">
        <f t="shared" si="71"/>
        <v>1845</v>
      </c>
      <c r="U241" s="7">
        <f t="shared" si="80"/>
        <v>694</v>
      </c>
      <c r="V241" s="7">
        <f t="shared" si="81"/>
        <v>677</v>
      </c>
      <c r="W241" s="7">
        <f t="shared" si="82"/>
        <v>689</v>
      </c>
      <c r="X241" s="6"/>
      <c r="Y241" s="5"/>
      <c r="Z241" s="5"/>
      <c r="AA241" s="5"/>
      <c r="AB241" s="5"/>
    </row>
    <row r="242" spans="1:28" ht="13.15" customHeight="1">
      <c r="A242" s="13">
        <v>228</v>
      </c>
      <c r="B242" s="4">
        <f t="shared" si="72"/>
        <v>45271</v>
      </c>
      <c r="C242" s="10">
        <f t="shared" si="73"/>
        <v>842</v>
      </c>
      <c r="D242" s="9">
        <f t="shared" si="64"/>
        <v>1682</v>
      </c>
      <c r="E242" s="8">
        <f t="shared" si="65"/>
        <v>810</v>
      </c>
      <c r="F242" s="8">
        <f t="shared" si="66"/>
        <v>827</v>
      </c>
      <c r="G242" s="8">
        <f t="shared" si="67"/>
        <v>755</v>
      </c>
      <c r="H242" s="5">
        <f t="shared" si="68"/>
        <v>1714</v>
      </c>
      <c r="I242" s="5">
        <f t="shared" si="69"/>
        <v>1697</v>
      </c>
      <c r="J242" s="5">
        <f t="shared" si="70"/>
        <v>1769</v>
      </c>
      <c r="K242" s="5">
        <f t="shared" si="74"/>
        <v>2000</v>
      </c>
      <c r="L242" s="5">
        <f t="shared" si="75"/>
        <v>2000</v>
      </c>
      <c r="M242" s="5">
        <f t="shared" si="76"/>
        <v>2000</v>
      </c>
      <c r="N242" s="5">
        <f t="shared" si="77"/>
        <v>-286</v>
      </c>
      <c r="O242" s="5">
        <f t="shared" si="78"/>
        <v>-303</v>
      </c>
      <c r="P242" s="5">
        <f t="shared" si="79"/>
        <v>-231</v>
      </c>
      <c r="Q242" s="8">
        <v>0</v>
      </c>
      <c r="R242" s="8">
        <v>0</v>
      </c>
      <c r="S242" s="8">
        <v>0</v>
      </c>
      <c r="T242" s="6">
        <f t="shared" si="71"/>
        <v>1847</v>
      </c>
      <c r="U242" s="7">
        <f t="shared" si="80"/>
        <v>694</v>
      </c>
      <c r="V242" s="7">
        <f t="shared" si="81"/>
        <v>677</v>
      </c>
      <c r="W242" s="7">
        <f t="shared" si="82"/>
        <v>689</v>
      </c>
      <c r="X242" s="6"/>
      <c r="Y242" s="5"/>
      <c r="Z242" s="5"/>
      <c r="AA242" s="5"/>
      <c r="AB242" s="5"/>
    </row>
    <row r="243" spans="1:28" ht="13.15" customHeight="1">
      <c r="A243" s="13">
        <v>229</v>
      </c>
      <c r="B243" s="4">
        <f t="shared" si="72"/>
        <v>45272</v>
      </c>
      <c r="C243" s="10">
        <f t="shared" si="73"/>
        <v>842</v>
      </c>
      <c r="D243" s="9">
        <f t="shared" si="64"/>
        <v>1684</v>
      </c>
      <c r="E243" s="8">
        <f t="shared" si="65"/>
        <v>812</v>
      </c>
      <c r="F243" s="8">
        <f t="shared" si="66"/>
        <v>829</v>
      </c>
      <c r="G243" s="8">
        <f t="shared" si="67"/>
        <v>757</v>
      </c>
      <c r="H243" s="5">
        <f t="shared" si="68"/>
        <v>1714</v>
      </c>
      <c r="I243" s="5">
        <f t="shared" si="69"/>
        <v>1697</v>
      </c>
      <c r="J243" s="5">
        <f t="shared" si="70"/>
        <v>1769</v>
      </c>
      <c r="K243" s="5">
        <f t="shared" si="74"/>
        <v>2000</v>
      </c>
      <c r="L243" s="5">
        <f t="shared" si="75"/>
        <v>2000</v>
      </c>
      <c r="M243" s="5">
        <f t="shared" si="76"/>
        <v>2000</v>
      </c>
      <c r="N243" s="5">
        <f t="shared" si="77"/>
        <v>-286</v>
      </c>
      <c r="O243" s="5">
        <f t="shared" si="78"/>
        <v>-303</v>
      </c>
      <c r="P243" s="5">
        <f t="shared" si="79"/>
        <v>-231</v>
      </c>
      <c r="Q243" s="8">
        <v>0</v>
      </c>
      <c r="R243" s="8">
        <v>0</v>
      </c>
      <c r="S243" s="8">
        <v>0</v>
      </c>
      <c r="T243" s="6">
        <f t="shared" si="71"/>
        <v>1849</v>
      </c>
      <c r="U243" s="7">
        <f t="shared" si="80"/>
        <v>694</v>
      </c>
      <c r="V243" s="7">
        <f t="shared" si="81"/>
        <v>677</v>
      </c>
      <c r="W243" s="7">
        <f t="shared" si="82"/>
        <v>689</v>
      </c>
      <c r="X243" s="6"/>
      <c r="Y243" s="5"/>
      <c r="Z243" s="5"/>
      <c r="AA243" s="5"/>
      <c r="AB243" s="5"/>
    </row>
    <row r="244" spans="1:28" ht="13.15" customHeight="1">
      <c r="A244" s="13">
        <v>230</v>
      </c>
      <c r="B244" s="4">
        <f t="shared" si="72"/>
        <v>45273</v>
      </c>
      <c r="C244" s="10">
        <f t="shared" si="73"/>
        <v>842</v>
      </c>
      <c r="D244" s="9">
        <f t="shared" si="64"/>
        <v>1686</v>
      </c>
      <c r="E244" s="8">
        <f t="shared" si="65"/>
        <v>814</v>
      </c>
      <c r="F244" s="8">
        <f t="shared" si="66"/>
        <v>831</v>
      </c>
      <c r="G244" s="8">
        <f t="shared" si="67"/>
        <v>759</v>
      </c>
      <c r="H244" s="5">
        <f t="shared" si="68"/>
        <v>1714</v>
      </c>
      <c r="I244" s="5">
        <f t="shared" si="69"/>
        <v>1697</v>
      </c>
      <c r="J244" s="5">
        <f t="shared" si="70"/>
        <v>1769</v>
      </c>
      <c r="K244" s="5">
        <f t="shared" si="74"/>
        <v>2000</v>
      </c>
      <c r="L244" s="5">
        <f t="shared" si="75"/>
        <v>2000</v>
      </c>
      <c r="M244" s="5">
        <f t="shared" si="76"/>
        <v>2000</v>
      </c>
      <c r="N244" s="5">
        <f t="shared" si="77"/>
        <v>-286</v>
      </c>
      <c r="O244" s="5">
        <f t="shared" si="78"/>
        <v>-303</v>
      </c>
      <c r="P244" s="5">
        <f t="shared" si="79"/>
        <v>-231</v>
      </c>
      <c r="Q244" s="8">
        <v>0</v>
      </c>
      <c r="R244" s="8">
        <v>0</v>
      </c>
      <c r="S244" s="8">
        <v>0</v>
      </c>
      <c r="T244" s="6">
        <f t="shared" si="71"/>
        <v>1851</v>
      </c>
      <c r="U244" s="7">
        <f t="shared" si="80"/>
        <v>694</v>
      </c>
      <c r="V244" s="7">
        <f t="shared" si="81"/>
        <v>677</v>
      </c>
      <c r="W244" s="7">
        <f t="shared" si="82"/>
        <v>689</v>
      </c>
      <c r="X244" s="6"/>
      <c r="Y244" s="5"/>
      <c r="Z244" s="5"/>
      <c r="AA244" s="5"/>
      <c r="AB244" s="5"/>
    </row>
    <row r="245" spans="1:28" ht="13.15" customHeight="1">
      <c r="A245" s="13">
        <v>231</v>
      </c>
      <c r="B245" s="4">
        <f t="shared" si="72"/>
        <v>45274</v>
      </c>
      <c r="C245" s="10">
        <f t="shared" si="73"/>
        <v>842</v>
      </c>
      <c r="D245" s="9">
        <f t="shared" si="64"/>
        <v>1688</v>
      </c>
      <c r="E245" s="8">
        <f t="shared" si="65"/>
        <v>816</v>
      </c>
      <c r="F245" s="8">
        <f t="shared" si="66"/>
        <v>833</v>
      </c>
      <c r="G245" s="8">
        <f t="shared" si="67"/>
        <v>761</v>
      </c>
      <c r="H245" s="5">
        <f t="shared" si="68"/>
        <v>1714</v>
      </c>
      <c r="I245" s="5">
        <f t="shared" si="69"/>
        <v>1697</v>
      </c>
      <c r="J245" s="5">
        <f t="shared" si="70"/>
        <v>1769</v>
      </c>
      <c r="K245" s="5">
        <f t="shared" si="74"/>
        <v>2000</v>
      </c>
      <c r="L245" s="5">
        <f t="shared" si="75"/>
        <v>2000</v>
      </c>
      <c r="M245" s="5">
        <f t="shared" si="76"/>
        <v>2000</v>
      </c>
      <c r="N245" s="5">
        <f t="shared" si="77"/>
        <v>-286</v>
      </c>
      <c r="O245" s="5">
        <f t="shared" si="78"/>
        <v>-303</v>
      </c>
      <c r="P245" s="5">
        <f t="shared" si="79"/>
        <v>-231</v>
      </c>
      <c r="Q245" s="8">
        <v>0</v>
      </c>
      <c r="R245" s="8">
        <v>0</v>
      </c>
      <c r="S245" s="8">
        <v>0</v>
      </c>
      <c r="T245" s="6">
        <f t="shared" si="71"/>
        <v>1853</v>
      </c>
      <c r="U245" s="7">
        <f t="shared" si="80"/>
        <v>694</v>
      </c>
      <c r="V245" s="7">
        <f t="shared" si="81"/>
        <v>677</v>
      </c>
      <c r="W245" s="7">
        <f t="shared" si="82"/>
        <v>689</v>
      </c>
      <c r="X245" s="6"/>
      <c r="Y245" s="5"/>
      <c r="Z245" s="5"/>
      <c r="AA245" s="5"/>
      <c r="AB245" s="5"/>
    </row>
    <row r="246" spans="1:28" ht="13.15" customHeight="1">
      <c r="A246" s="13">
        <v>232</v>
      </c>
      <c r="B246" s="4">
        <f t="shared" si="72"/>
        <v>45275</v>
      </c>
      <c r="C246" s="10">
        <f t="shared" si="73"/>
        <v>842</v>
      </c>
      <c r="D246" s="9">
        <f t="shared" si="64"/>
        <v>1690</v>
      </c>
      <c r="E246" s="8">
        <f t="shared" si="65"/>
        <v>818</v>
      </c>
      <c r="F246" s="8">
        <f t="shared" si="66"/>
        <v>835</v>
      </c>
      <c r="G246" s="8">
        <f t="shared" si="67"/>
        <v>763</v>
      </c>
      <c r="H246" s="5">
        <f t="shared" si="68"/>
        <v>1714</v>
      </c>
      <c r="I246" s="5">
        <f t="shared" si="69"/>
        <v>1697</v>
      </c>
      <c r="J246" s="5">
        <f t="shared" si="70"/>
        <v>1769</v>
      </c>
      <c r="K246" s="5">
        <f t="shared" si="74"/>
        <v>2000</v>
      </c>
      <c r="L246" s="5">
        <f t="shared" si="75"/>
        <v>2000</v>
      </c>
      <c r="M246" s="5">
        <f t="shared" si="76"/>
        <v>2000</v>
      </c>
      <c r="N246" s="5">
        <f t="shared" si="77"/>
        <v>-286</v>
      </c>
      <c r="O246" s="5">
        <f t="shared" si="78"/>
        <v>-303</v>
      </c>
      <c r="P246" s="5">
        <f t="shared" si="79"/>
        <v>-231</v>
      </c>
      <c r="Q246" s="8">
        <v>0</v>
      </c>
      <c r="R246" s="8">
        <v>0</v>
      </c>
      <c r="S246" s="8">
        <v>0</v>
      </c>
      <c r="T246" s="6">
        <f t="shared" si="71"/>
        <v>1855</v>
      </c>
      <c r="U246" s="7">
        <f t="shared" si="80"/>
        <v>694</v>
      </c>
      <c r="V246" s="7">
        <f t="shared" si="81"/>
        <v>677</v>
      </c>
      <c r="W246" s="7">
        <f t="shared" si="82"/>
        <v>689</v>
      </c>
      <c r="X246" s="6"/>
      <c r="Y246" s="5"/>
      <c r="Z246" s="5"/>
      <c r="AA246" s="5"/>
      <c r="AB246" s="5"/>
    </row>
    <row r="247" spans="1:28" ht="13.15" customHeight="1">
      <c r="A247" s="13">
        <v>233</v>
      </c>
      <c r="B247" s="4">
        <f t="shared" si="72"/>
        <v>45276</v>
      </c>
      <c r="C247" s="10">
        <f t="shared" si="73"/>
        <v>842</v>
      </c>
      <c r="D247" s="9">
        <f t="shared" si="64"/>
        <v>1692</v>
      </c>
      <c r="E247" s="8">
        <f t="shared" si="65"/>
        <v>820</v>
      </c>
      <c r="F247" s="8">
        <f t="shared" si="66"/>
        <v>837</v>
      </c>
      <c r="G247" s="8">
        <f t="shared" si="67"/>
        <v>765</v>
      </c>
      <c r="H247" s="5">
        <f t="shared" si="68"/>
        <v>1714</v>
      </c>
      <c r="I247" s="5">
        <f t="shared" si="69"/>
        <v>1697</v>
      </c>
      <c r="J247" s="5">
        <f t="shared" si="70"/>
        <v>1769</v>
      </c>
      <c r="K247" s="5">
        <f t="shared" si="74"/>
        <v>2000</v>
      </c>
      <c r="L247" s="5">
        <f t="shared" si="75"/>
        <v>2000</v>
      </c>
      <c r="M247" s="5">
        <f t="shared" si="76"/>
        <v>2000</v>
      </c>
      <c r="N247" s="5">
        <f t="shared" si="77"/>
        <v>-286</v>
      </c>
      <c r="O247" s="5">
        <f t="shared" si="78"/>
        <v>-303</v>
      </c>
      <c r="P247" s="5">
        <f t="shared" si="79"/>
        <v>-231</v>
      </c>
      <c r="Q247" s="8">
        <v>0</v>
      </c>
      <c r="R247" s="8">
        <v>0</v>
      </c>
      <c r="S247" s="8">
        <v>0</v>
      </c>
      <c r="T247" s="6">
        <f t="shared" si="71"/>
        <v>1857</v>
      </c>
      <c r="U247" s="7">
        <f t="shared" si="80"/>
        <v>694</v>
      </c>
      <c r="V247" s="7">
        <f t="shared" si="81"/>
        <v>677</v>
      </c>
      <c r="W247" s="7">
        <f t="shared" si="82"/>
        <v>689</v>
      </c>
      <c r="X247" s="6"/>
      <c r="Y247" s="5"/>
      <c r="Z247" s="5"/>
      <c r="AA247" s="5"/>
      <c r="AB247" s="5"/>
    </row>
    <row r="248" spans="1:28" ht="13.15" customHeight="1">
      <c r="A248" s="13">
        <v>234</v>
      </c>
      <c r="B248" s="4">
        <f t="shared" si="72"/>
        <v>45277</v>
      </c>
      <c r="C248" s="10">
        <f t="shared" si="73"/>
        <v>842</v>
      </c>
      <c r="D248" s="9">
        <f t="shared" si="64"/>
        <v>1694</v>
      </c>
      <c r="E248" s="8">
        <f t="shared" si="65"/>
        <v>822</v>
      </c>
      <c r="F248" s="8">
        <f t="shared" si="66"/>
        <v>839</v>
      </c>
      <c r="G248" s="8">
        <f t="shared" si="67"/>
        <v>767</v>
      </c>
      <c r="H248" s="5">
        <f t="shared" si="68"/>
        <v>1714</v>
      </c>
      <c r="I248" s="5">
        <f t="shared" si="69"/>
        <v>1697</v>
      </c>
      <c r="J248" s="5">
        <f t="shared" si="70"/>
        <v>1769</v>
      </c>
      <c r="K248" s="5">
        <f t="shared" si="74"/>
        <v>2000</v>
      </c>
      <c r="L248" s="5">
        <f t="shared" si="75"/>
        <v>2000</v>
      </c>
      <c r="M248" s="5">
        <f t="shared" si="76"/>
        <v>2000</v>
      </c>
      <c r="N248" s="5">
        <f t="shared" si="77"/>
        <v>-286</v>
      </c>
      <c r="O248" s="5">
        <f t="shared" si="78"/>
        <v>-303</v>
      </c>
      <c r="P248" s="5">
        <f t="shared" si="79"/>
        <v>-231</v>
      </c>
      <c r="Q248" s="8">
        <v>0</v>
      </c>
      <c r="R248" s="8">
        <v>0</v>
      </c>
      <c r="S248" s="8">
        <v>0</v>
      </c>
      <c r="T248" s="6">
        <f t="shared" si="71"/>
        <v>1859</v>
      </c>
      <c r="U248" s="7">
        <f t="shared" si="80"/>
        <v>694</v>
      </c>
      <c r="V248" s="7">
        <f t="shared" si="81"/>
        <v>677</v>
      </c>
      <c r="W248" s="7">
        <f t="shared" si="82"/>
        <v>689</v>
      </c>
      <c r="X248" s="6"/>
      <c r="Y248" s="5"/>
      <c r="Z248" s="5"/>
      <c r="AA248" s="5"/>
      <c r="AB248" s="5"/>
    </row>
    <row r="249" spans="1:28" ht="13.15" customHeight="1">
      <c r="A249" s="13">
        <v>235</v>
      </c>
      <c r="B249" s="4">
        <f t="shared" si="72"/>
        <v>45278</v>
      </c>
      <c r="C249" s="10">
        <f t="shared" si="73"/>
        <v>842</v>
      </c>
      <c r="D249" s="9">
        <f t="shared" si="64"/>
        <v>1696</v>
      </c>
      <c r="E249" s="8">
        <f t="shared" si="65"/>
        <v>824</v>
      </c>
      <c r="F249" s="8">
        <f t="shared" si="66"/>
        <v>841</v>
      </c>
      <c r="G249" s="8">
        <f t="shared" si="67"/>
        <v>769</v>
      </c>
      <c r="H249" s="5">
        <f t="shared" si="68"/>
        <v>1714</v>
      </c>
      <c r="I249" s="5">
        <f t="shared" si="69"/>
        <v>1697</v>
      </c>
      <c r="J249" s="5">
        <f t="shared" si="70"/>
        <v>1769</v>
      </c>
      <c r="K249" s="5">
        <f t="shared" si="74"/>
        <v>2000</v>
      </c>
      <c r="L249" s="5">
        <f t="shared" si="75"/>
        <v>2000</v>
      </c>
      <c r="M249" s="5">
        <f t="shared" si="76"/>
        <v>2000</v>
      </c>
      <c r="N249" s="5">
        <f t="shared" si="77"/>
        <v>-286</v>
      </c>
      <c r="O249" s="5">
        <f t="shared" si="78"/>
        <v>-303</v>
      </c>
      <c r="P249" s="5">
        <f t="shared" si="79"/>
        <v>-231</v>
      </c>
      <c r="Q249" s="8">
        <v>0</v>
      </c>
      <c r="R249" s="8">
        <v>0</v>
      </c>
      <c r="S249" s="8">
        <v>0</v>
      </c>
      <c r="T249" s="6">
        <f t="shared" si="71"/>
        <v>1861</v>
      </c>
      <c r="U249" s="7">
        <f t="shared" si="80"/>
        <v>694</v>
      </c>
      <c r="V249" s="7">
        <f t="shared" si="81"/>
        <v>677</v>
      </c>
      <c r="W249" s="7">
        <f t="shared" si="82"/>
        <v>689</v>
      </c>
      <c r="X249" s="6"/>
      <c r="Y249" s="5"/>
      <c r="Z249" s="5"/>
      <c r="AA249" s="5"/>
      <c r="AB249" s="5"/>
    </row>
    <row r="250" spans="1:28" ht="13.15" customHeight="1">
      <c r="A250" s="13">
        <v>236</v>
      </c>
      <c r="B250" s="4">
        <f t="shared" si="72"/>
        <v>45279</v>
      </c>
      <c r="C250" s="10">
        <f t="shared" si="73"/>
        <v>842</v>
      </c>
      <c r="D250" s="9">
        <f t="shared" si="64"/>
        <v>1698</v>
      </c>
      <c r="E250" s="8">
        <f t="shared" si="65"/>
        <v>826</v>
      </c>
      <c r="F250" s="8">
        <f t="shared" si="66"/>
        <v>843</v>
      </c>
      <c r="G250" s="8">
        <f t="shared" si="67"/>
        <v>771</v>
      </c>
      <c r="H250" s="5">
        <f t="shared" si="68"/>
        <v>1714</v>
      </c>
      <c r="I250" s="5">
        <f t="shared" si="69"/>
        <v>1697</v>
      </c>
      <c r="J250" s="5">
        <f t="shared" si="70"/>
        <v>1769</v>
      </c>
      <c r="K250" s="5">
        <f t="shared" si="74"/>
        <v>2000</v>
      </c>
      <c r="L250" s="5">
        <f t="shared" si="75"/>
        <v>2000</v>
      </c>
      <c r="M250" s="5">
        <f t="shared" si="76"/>
        <v>2000</v>
      </c>
      <c r="N250" s="5">
        <f t="shared" si="77"/>
        <v>-286</v>
      </c>
      <c r="O250" s="5">
        <f t="shared" si="78"/>
        <v>-303</v>
      </c>
      <c r="P250" s="5">
        <f t="shared" si="79"/>
        <v>-231</v>
      </c>
      <c r="Q250" s="8">
        <v>0</v>
      </c>
      <c r="R250" s="8">
        <v>0</v>
      </c>
      <c r="S250" s="8">
        <v>0</v>
      </c>
      <c r="T250" s="6">
        <f t="shared" si="71"/>
        <v>1863</v>
      </c>
      <c r="U250" s="7">
        <f t="shared" si="80"/>
        <v>694</v>
      </c>
      <c r="V250" s="7">
        <f t="shared" si="81"/>
        <v>677</v>
      </c>
      <c r="W250" s="7">
        <f t="shared" si="82"/>
        <v>689</v>
      </c>
      <c r="X250" s="6"/>
      <c r="Y250" s="5"/>
      <c r="Z250" s="5"/>
      <c r="AA250" s="5"/>
      <c r="AB250" s="5"/>
    </row>
    <row r="251" spans="1:28" ht="13.15" customHeight="1">
      <c r="A251" s="13">
        <v>237</v>
      </c>
      <c r="B251" s="4">
        <f t="shared" si="72"/>
        <v>45280</v>
      </c>
      <c r="C251" s="10">
        <f t="shared" si="73"/>
        <v>842</v>
      </c>
      <c r="D251" s="9">
        <f t="shared" si="64"/>
        <v>1700</v>
      </c>
      <c r="E251" s="8">
        <f t="shared" si="65"/>
        <v>828</v>
      </c>
      <c r="F251" s="8">
        <f t="shared" si="66"/>
        <v>845</v>
      </c>
      <c r="G251" s="8">
        <f t="shared" si="67"/>
        <v>773</v>
      </c>
      <c r="H251" s="5">
        <f t="shared" si="68"/>
        <v>1714</v>
      </c>
      <c r="I251" s="5">
        <f t="shared" si="69"/>
        <v>1697</v>
      </c>
      <c r="J251" s="5">
        <f t="shared" si="70"/>
        <v>1769</v>
      </c>
      <c r="K251" s="5">
        <f t="shared" si="74"/>
        <v>2000</v>
      </c>
      <c r="L251" s="5">
        <f t="shared" si="75"/>
        <v>2000</v>
      </c>
      <c r="M251" s="5">
        <f t="shared" si="76"/>
        <v>2000</v>
      </c>
      <c r="N251" s="5">
        <f t="shared" si="77"/>
        <v>-286</v>
      </c>
      <c r="O251" s="5">
        <f t="shared" si="78"/>
        <v>-303</v>
      </c>
      <c r="P251" s="5">
        <f t="shared" si="79"/>
        <v>-231</v>
      </c>
      <c r="Q251" s="8">
        <v>0</v>
      </c>
      <c r="R251" s="8">
        <v>0</v>
      </c>
      <c r="S251" s="8">
        <v>0</v>
      </c>
      <c r="T251" s="6">
        <f t="shared" si="71"/>
        <v>1865</v>
      </c>
      <c r="U251" s="7">
        <f t="shared" si="80"/>
        <v>694</v>
      </c>
      <c r="V251" s="7">
        <f t="shared" si="81"/>
        <v>677</v>
      </c>
      <c r="W251" s="7">
        <f t="shared" si="82"/>
        <v>689</v>
      </c>
      <c r="X251" s="6"/>
      <c r="Y251" s="5"/>
      <c r="Z251" s="5"/>
      <c r="AA251" s="5"/>
      <c r="AB251" s="5"/>
    </row>
    <row r="252" spans="1:28" ht="13.15" customHeight="1">
      <c r="A252" s="13">
        <v>238</v>
      </c>
      <c r="B252" s="4">
        <f t="shared" si="72"/>
        <v>45281</v>
      </c>
      <c r="C252" s="10">
        <f t="shared" si="73"/>
        <v>842</v>
      </c>
      <c r="D252" s="9">
        <f t="shared" si="64"/>
        <v>1702</v>
      </c>
      <c r="E252" s="8">
        <f t="shared" si="65"/>
        <v>830</v>
      </c>
      <c r="F252" s="8">
        <f t="shared" si="66"/>
        <v>847</v>
      </c>
      <c r="G252" s="8">
        <f t="shared" si="67"/>
        <v>775</v>
      </c>
      <c r="H252" s="5">
        <f t="shared" si="68"/>
        <v>1714</v>
      </c>
      <c r="I252" s="5">
        <f t="shared" si="69"/>
        <v>1697</v>
      </c>
      <c r="J252" s="5">
        <f t="shared" si="70"/>
        <v>1769</v>
      </c>
      <c r="K252" s="5">
        <f t="shared" si="74"/>
        <v>2000</v>
      </c>
      <c r="L252" s="5">
        <f t="shared" si="75"/>
        <v>2000</v>
      </c>
      <c r="M252" s="5">
        <f t="shared" si="76"/>
        <v>2000</v>
      </c>
      <c r="N252" s="5">
        <f t="shared" si="77"/>
        <v>-286</v>
      </c>
      <c r="O252" s="5">
        <f t="shared" si="78"/>
        <v>-303</v>
      </c>
      <c r="P252" s="5">
        <f t="shared" si="79"/>
        <v>-231</v>
      </c>
      <c r="Q252" s="8">
        <v>0</v>
      </c>
      <c r="R252" s="8">
        <v>0</v>
      </c>
      <c r="S252" s="8">
        <v>0</v>
      </c>
      <c r="T252" s="6">
        <f t="shared" si="71"/>
        <v>1867</v>
      </c>
      <c r="U252" s="7">
        <f t="shared" si="80"/>
        <v>694</v>
      </c>
      <c r="V252" s="7">
        <f t="shared" si="81"/>
        <v>677</v>
      </c>
      <c r="W252" s="7">
        <f t="shared" si="82"/>
        <v>689</v>
      </c>
      <c r="X252" s="6"/>
      <c r="Y252" s="5"/>
      <c r="Z252" s="5"/>
      <c r="AA252" s="5"/>
      <c r="AB252" s="5"/>
    </row>
    <row r="253" spans="1:28" ht="13.15" customHeight="1">
      <c r="A253" s="13">
        <v>239</v>
      </c>
      <c r="B253" s="4">
        <f t="shared" si="72"/>
        <v>45282</v>
      </c>
      <c r="C253" s="10">
        <f t="shared" si="73"/>
        <v>842</v>
      </c>
      <c r="D253" s="9">
        <f t="shared" si="64"/>
        <v>1704</v>
      </c>
      <c r="E253" s="8">
        <f t="shared" si="65"/>
        <v>832</v>
      </c>
      <c r="F253" s="8">
        <f t="shared" si="66"/>
        <v>849</v>
      </c>
      <c r="G253" s="8">
        <f t="shared" si="67"/>
        <v>777</v>
      </c>
      <c r="H253" s="5">
        <f t="shared" si="68"/>
        <v>1714</v>
      </c>
      <c r="I253" s="5">
        <f t="shared" si="69"/>
        <v>1697</v>
      </c>
      <c r="J253" s="5">
        <f t="shared" si="70"/>
        <v>1769</v>
      </c>
      <c r="K253" s="5">
        <f t="shared" si="74"/>
        <v>2000</v>
      </c>
      <c r="L253" s="5">
        <f t="shared" si="75"/>
        <v>2000</v>
      </c>
      <c r="M253" s="5">
        <f t="shared" si="76"/>
        <v>2000</v>
      </c>
      <c r="N253" s="5">
        <f t="shared" si="77"/>
        <v>-286</v>
      </c>
      <c r="O253" s="5">
        <f t="shared" si="78"/>
        <v>-303</v>
      </c>
      <c r="P253" s="5">
        <f t="shared" si="79"/>
        <v>-231</v>
      </c>
      <c r="Q253" s="8">
        <v>0</v>
      </c>
      <c r="R253" s="8">
        <v>0</v>
      </c>
      <c r="S253" s="8">
        <v>0</v>
      </c>
      <c r="T253" s="6">
        <f t="shared" si="71"/>
        <v>1869</v>
      </c>
      <c r="U253" s="7">
        <f t="shared" si="80"/>
        <v>694</v>
      </c>
      <c r="V253" s="7">
        <f t="shared" si="81"/>
        <v>677</v>
      </c>
      <c r="W253" s="7">
        <f t="shared" si="82"/>
        <v>689</v>
      </c>
      <c r="X253" s="6"/>
      <c r="Y253" s="5"/>
      <c r="Z253" s="5"/>
      <c r="AA253" s="5"/>
      <c r="AB253" s="5"/>
    </row>
    <row r="254" spans="1:28" ht="13.15" customHeight="1">
      <c r="A254" s="13">
        <v>240</v>
      </c>
      <c r="B254" s="4">
        <f t="shared" si="72"/>
        <v>45283</v>
      </c>
      <c r="C254" s="10">
        <f t="shared" si="73"/>
        <v>842</v>
      </c>
      <c r="D254" s="9">
        <f t="shared" si="64"/>
        <v>1706</v>
      </c>
      <c r="E254" s="8">
        <f t="shared" si="65"/>
        <v>834</v>
      </c>
      <c r="F254" s="8">
        <f t="shared" si="66"/>
        <v>851</v>
      </c>
      <c r="G254" s="8">
        <f t="shared" si="67"/>
        <v>779</v>
      </c>
      <c r="H254" s="5">
        <f t="shared" si="68"/>
        <v>1714</v>
      </c>
      <c r="I254" s="5">
        <f t="shared" si="69"/>
        <v>1697</v>
      </c>
      <c r="J254" s="5">
        <f t="shared" si="70"/>
        <v>1769</v>
      </c>
      <c r="K254" s="5">
        <f t="shared" si="74"/>
        <v>2000</v>
      </c>
      <c r="L254" s="5">
        <f t="shared" si="75"/>
        <v>2000</v>
      </c>
      <c r="M254" s="5">
        <f t="shared" si="76"/>
        <v>2000</v>
      </c>
      <c r="N254" s="5">
        <f t="shared" si="77"/>
        <v>-286</v>
      </c>
      <c r="O254" s="5">
        <f t="shared" si="78"/>
        <v>-303</v>
      </c>
      <c r="P254" s="5">
        <f t="shared" si="79"/>
        <v>-231</v>
      </c>
      <c r="Q254" s="8">
        <v>0</v>
      </c>
      <c r="R254" s="8">
        <v>0</v>
      </c>
      <c r="S254" s="8">
        <v>0</v>
      </c>
      <c r="T254" s="6">
        <f t="shared" si="71"/>
        <v>1871</v>
      </c>
      <c r="U254" s="7">
        <f t="shared" si="80"/>
        <v>694</v>
      </c>
      <c r="V254" s="7">
        <f t="shared" si="81"/>
        <v>677</v>
      </c>
      <c r="W254" s="7">
        <f t="shared" si="82"/>
        <v>689</v>
      </c>
      <c r="X254" s="6"/>
      <c r="Y254" s="5"/>
      <c r="Z254" s="5"/>
      <c r="AA254" s="5"/>
      <c r="AB254" s="5"/>
    </row>
    <row r="255" spans="1:28" ht="13.15" customHeight="1">
      <c r="A255" s="13">
        <v>241</v>
      </c>
      <c r="B255" s="4">
        <f t="shared" si="72"/>
        <v>45284</v>
      </c>
      <c r="C255" s="10">
        <f t="shared" si="73"/>
        <v>842</v>
      </c>
      <c r="D255" s="9">
        <f t="shared" ref="D255:D318" si="83">D254+2</f>
        <v>1708</v>
      </c>
      <c r="E255" s="8">
        <f t="shared" si="65"/>
        <v>836</v>
      </c>
      <c r="F255" s="8">
        <f t="shared" si="66"/>
        <v>853</v>
      </c>
      <c r="G255" s="8">
        <f t="shared" si="67"/>
        <v>781</v>
      </c>
      <c r="H255" s="5">
        <f t="shared" si="68"/>
        <v>1714</v>
      </c>
      <c r="I255" s="5">
        <f t="shared" si="69"/>
        <v>1697</v>
      </c>
      <c r="J255" s="5">
        <f t="shared" si="70"/>
        <v>1769</v>
      </c>
      <c r="K255" s="5">
        <f t="shared" si="74"/>
        <v>2000</v>
      </c>
      <c r="L255" s="5">
        <f t="shared" si="75"/>
        <v>2000</v>
      </c>
      <c r="M255" s="5">
        <f t="shared" si="76"/>
        <v>2000</v>
      </c>
      <c r="N255" s="5">
        <f t="shared" si="77"/>
        <v>-286</v>
      </c>
      <c r="O255" s="5">
        <f t="shared" si="78"/>
        <v>-303</v>
      </c>
      <c r="P255" s="5">
        <f t="shared" si="79"/>
        <v>-231</v>
      </c>
      <c r="Q255" s="8">
        <v>0</v>
      </c>
      <c r="R255" s="8">
        <v>0</v>
      </c>
      <c r="S255" s="8">
        <v>0</v>
      </c>
      <c r="T255" s="6">
        <f t="shared" si="71"/>
        <v>1873</v>
      </c>
      <c r="U255" s="7">
        <f t="shared" si="80"/>
        <v>694</v>
      </c>
      <c r="V255" s="7">
        <f t="shared" si="81"/>
        <v>677</v>
      </c>
      <c r="W255" s="7">
        <f t="shared" si="82"/>
        <v>689</v>
      </c>
      <c r="X255" s="6"/>
      <c r="Y255" s="5"/>
      <c r="Z255" s="5"/>
      <c r="AA255" s="5"/>
      <c r="AB255" s="5"/>
    </row>
    <row r="256" spans="1:28" ht="13.15" customHeight="1">
      <c r="A256" s="13">
        <v>242</v>
      </c>
      <c r="B256" s="4">
        <f t="shared" si="72"/>
        <v>45285</v>
      </c>
      <c r="C256" s="10">
        <f t="shared" si="73"/>
        <v>842</v>
      </c>
      <c r="D256" s="9">
        <f t="shared" si="83"/>
        <v>1710</v>
      </c>
      <c r="E256" s="8">
        <f t="shared" si="65"/>
        <v>838</v>
      </c>
      <c r="F256" s="8">
        <f t="shared" si="66"/>
        <v>855</v>
      </c>
      <c r="G256" s="8">
        <f t="shared" si="67"/>
        <v>783</v>
      </c>
      <c r="H256" s="5">
        <f t="shared" si="68"/>
        <v>1714</v>
      </c>
      <c r="I256" s="5">
        <f t="shared" si="69"/>
        <v>1697</v>
      </c>
      <c r="J256" s="5">
        <f t="shared" si="70"/>
        <v>1769</v>
      </c>
      <c r="K256" s="5">
        <f t="shared" si="74"/>
        <v>2000</v>
      </c>
      <c r="L256" s="5">
        <f t="shared" si="75"/>
        <v>2000</v>
      </c>
      <c r="M256" s="5">
        <f t="shared" si="76"/>
        <v>2000</v>
      </c>
      <c r="N256" s="5">
        <f t="shared" si="77"/>
        <v>-286</v>
      </c>
      <c r="O256" s="5">
        <f t="shared" si="78"/>
        <v>-303</v>
      </c>
      <c r="P256" s="5">
        <f t="shared" si="79"/>
        <v>-231</v>
      </c>
      <c r="Q256" s="8">
        <v>0</v>
      </c>
      <c r="R256" s="8">
        <v>0</v>
      </c>
      <c r="S256" s="8">
        <v>0</v>
      </c>
      <c r="T256" s="6">
        <f t="shared" si="71"/>
        <v>1875</v>
      </c>
      <c r="U256" s="7">
        <f t="shared" si="80"/>
        <v>694</v>
      </c>
      <c r="V256" s="7">
        <f t="shared" si="81"/>
        <v>677</v>
      </c>
      <c r="W256" s="7">
        <f t="shared" si="82"/>
        <v>689</v>
      </c>
      <c r="X256" s="6"/>
      <c r="Y256" s="5"/>
      <c r="Z256" s="5"/>
      <c r="AA256" s="5"/>
      <c r="AB256" s="5"/>
    </row>
    <row r="257" spans="1:28" ht="13.15" customHeight="1">
      <c r="A257" s="13">
        <v>243</v>
      </c>
      <c r="B257" s="4">
        <f t="shared" si="72"/>
        <v>45286</v>
      </c>
      <c r="C257" s="10">
        <f t="shared" si="73"/>
        <v>842</v>
      </c>
      <c r="D257" s="9">
        <f t="shared" si="83"/>
        <v>1712</v>
      </c>
      <c r="E257" s="8">
        <f t="shared" si="65"/>
        <v>840</v>
      </c>
      <c r="F257" s="8">
        <f t="shared" si="66"/>
        <v>857</v>
      </c>
      <c r="G257" s="8">
        <f t="shared" si="67"/>
        <v>785</v>
      </c>
      <c r="H257" s="5">
        <f t="shared" si="68"/>
        <v>1714</v>
      </c>
      <c r="I257" s="5">
        <f t="shared" si="69"/>
        <v>1697</v>
      </c>
      <c r="J257" s="5">
        <f t="shared" si="70"/>
        <v>1769</v>
      </c>
      <c r="K257" s="5">
        <f t="shared" si="74"/>
        <v>2000</v>
      </c>
      <c r="L257" s="5">
        <f t="shared" si="75"/>
        <v>2000</v>
      </c>
      <c r="M257" s="5">
        <f t="shared" si="76"/>
        <v>2000</v>
      </c>
      <c r="N257" s="5">
        <f t="shared" si="77"/>
        <v>-286</v>
      </c>
      <c r="O257" s="5">
        <f t="shared" si="78"/>
        <v>-303</v>
      </c>
      <c r="P257" s="5">
        <f t="shared" si="79"/>
        <v>-231</v>
      </c>
      <c r="Q257" s="8">
        <v>0</v>
      </c>
      <c r="R257" s="8">
        <v>0</v>
      </c>
      <c r="S257" s="8">
        <v>0</v>
      </c>
      <c r="T257" s="6">
        <f t="shared" si="71"/>
        <v>1877</v>
      </c>
      <c r="U257" s="7">
        <f t="shared" si="80"/>
        <v>694</v>
      </c>
      <c r="V257" s="7">
        <f t="shared" si="81"/>
        <v>677</v>
      </c>
      <c r="W257" s="7">
        <f t="shared" si="82"/>
        <v>689</v>
      </c>
      <c r="X257" s="6"/>
      <c r="Y257" s="5"/>
      <c r="Z257" s="5"/>
      <c r="AA257" s="5"/>
      <c r="AB257" s="5"/>
    </row>
    <row r="258" spans="1:28" ht="13.15" customHeight="1">
      <c r="A258" s="13">
        <v>244</v>
      </c>
      <c r="B258" s="4">
        <f t="shared" si="72"/>
        <v>45287</v>
      </c>
      <c r="C258" s="10">
        <f t="shared" si="73"/>
        <v>842</v>
      </c>
      <c r="D258" s="9">
        <f t="shared" si="83"/>
        <v>1714</v>
      </c>
      <c r="E258" s="8">
        <f t="shared" si="65"/>
        <v>842</v>
      </c>
      <c r="F258" s="8">
        <f t="shared" si="66"/>
        <v>859</v>
      </c>
      <c r="G258" s="8">
        <f t="shared" si="67"/>
        <v>787</v>
      </c>
      <c r="H258" s="5">
        <f t="shared" si="68"/>
        <v>1714</v>
      </c>
      <c r="I258" s="5">
        <f t="shared" si="69"/>
        <v>1697</v>
      </c>
      <c r="J258" s="5">
        <f t="shared" si="70"/>
        <v>1769</v>
      </c>
      <c r="K258" s="5">
        <f t="shared" si="74"/>
        <v>2000</v>
      </c>
      <c r="L258" s="5">
        <f t="shared" si="75"/>
        <v>2000</v>
      </c>
      <c r="M258" s="5">
        <f t="shared" si="76"/>
        <v>2000</v>
      </c>
      <c r="N258" s="5">
        <f t="shared" si="77"/>
        <v>-286</v>
      </c>
      <c r="O258" s="5">
        <f t="shared" si="78"/>
        <v>-303</v>
      </c>
      <c r="P258" s="5">
        <f t="shared" si="79"/>
        <v>-231</v>
      </c>
      <c r="Q258" s="8">
        <v>0</v>
      </c>
      <c r="R258" s="8">
        <v>0</v>
      </c>
      <c r="S258" s="8">
        <v>0</v>
      </c>
      <c r="T258" s="6">
        <f t="shared" si="71"/>
        <v>1879</v>
      </c>
      <c r="U258" s="7">
        <f t="shared" si="80"/>
        <v>694</v>
      </c>
      <c r="V258" s="7">
        <f t="shared" si="81"/>
        <v>677</v>
      </c>
      <c r="W258" s="7">
        <f t="shared" si="82"/>
        <v>689</v>
      </c>
      <c r="X258" s="6"/>
      <c r="Y258" s="5"/>
      <c r="Z258" s="5"/>
      <c r="AA258" s="5"/>
      <c r="AB258" s="5"/>
    </row>
    <row r="259" spans="1:28" ht="13.15" customHeight="1">
      <c r="A259" s="13">
        <v>245</v>
      </c>
      <c r="B259" s="4">
        <f t="shared" si="72"/>
        <v>45288</v>
      </c>
      <c r="C259" s="10">
        <f t="shared" si="73"/>
        <v>842</v>
      </c>
      <c r="D259" s="9">
        <f t="shared" si="83"/>
        <v>1716</v>
      </c>
      <c r="E259" s="8">
        <f t="shared" si="65"/>
        <v>844</v>
      </c>
      <c r="F259" s="8">
        <f t="shared" si="66"/>
        <v>861</v>
      </c>
      <c r="G259" s="8">
        <f t="shared" si="67"/>
        <v>789</v>
      </c>
      <c r="H259" s="5">
        <f t="shared" si="68"/>
        <v>1714</v>
      </c>
      <c r="I259" s="5">
        <f t="shared" si="69"/>
        <v>1697</v>
      </c>
      <c r="J259" s="5">
        <f t="shared" si="70"/>
        <v>1769</v>
      </c>
      <c r="K259" s="5">
        <f t="shared" si="74"/>
        <v>2000</v>
      </c>
      <c r="L259" s="5">
        <f t="shared" si="75"/>
        <v>2000</v>
      </c>
      <c r="M259" s="5">
        <f t="shared" si="76"/>
        <v>2000</v>
      </c>
      <c r="N259" s="5">
        <f t="shared" si="77"/>
        <v>-286</v>
      </c>
      <c r="O259" s="5">
        <f t="shared" si="78"/>
        <v>-303</v>
      </c>
      <c r="P259" s="5">
        <f t="shared" si="79"/>
        <v>-231</v>
      </c>
      <c r="Q259" s="8">
        <v>0</v>
      </c>
      <c r="R259" s="8">
        <v>0</v>
      </c>
      <c r="S259" s="8">
        <v>0</v>
      </c>
      <c r="T259" s="6">
        <f t="shared" si="71"/>
        <v>1881</v>
      </c>
      <c r="U259" s="7">
        <f t="shared" si="80"/>
        <v>694</v>
      </c>
      <c r="V259" s="7">
        <f t="shared" si="81"/>
        <v>677</v>
      </c>
      <c r="W259" s="7">
        <f t="shared" si="82"/>
        <v>689</v>
      </c>
      <c r="X259" s="6"/>
      <c r="Y259" s="5"/>
      <c r="Z259" s="5"/>
      <c r="AA259" s="5"/>
      <c r="AB259" s="5"/>
    </row>
    <row r="260" spans="1:28" ht="13.15" customHeight="1">
      <c r="A260" s="13">
        <v>246</v>
      </c>
      <c r="B260" s="4">
        <f t="shared" si="72"/>
        <v>45289</v>
      </c>
      <c r="C260" s="10">
        <f t="shared" si="73"/>
        <v>842</v>
      </c>
      <c r="D260" s="9">
        <f t="shared" si="83"/>
        <v>1718</v>
      </c>
      <c r="E260" s="8">
        <f t="shared" si="65"/>
        <v>846</v>
      </c>
      <c r="F260" s="8">
        <f t="shared" si="66"/>
        <v>863</v>
      </c>
      <c r="G260" s="8">
        <f t="shared" si="67"/>
        <v>791</v>
      </c>
      <c r="H260" s="5">
        <f t="shared" si="68"/>
        <v>1714</v>
      </c>
      <c r="I260" s="5">
        <f t="shared" si="69"/>
        <v>1697</v>
      </c>
      <c r="J260" s="5">
        <f t="shared" si="70"/>
        <v>1769</v>
      </c>
      <c r="K260" s="5">
        <f t="shared" si="74"/>
        <v>2000</v>
      </c>
      <c r="L260" s="5">
        <f t="shared" si="75"/>
        <v>2000</v>
      </c>
      <c r="M260" s="5">
        <f t="shared" si="76"/>
        <v>2000</v>
      </c>
      <c r="N260" s="5">
        <f t="shared" si="77"/>
        <v>-286</v>
      </c>
      <c r="O260" s="5">
        <f t="shared" si="78"/>
        <v>-303</v>
      </c>
      <c r="P260" s="5">
        <f t="shared" si="79"/>
        <v>-231</v>
      </c>
      <c r="Q260" s="8">
        <v>0</v>
      </c>
      <c r="R260" s="8">
        <v>0</v>
      </c>
      <c r="S260" s="8">
        <v>0</v>
      </c>
      <c r="T260" s="6">
        <f t="shared" si="71"/>
        <v>1883</v>
      </c>
      <c r="U260" s="7">
        <f t="shared" si="80"/>
        <v>694</v>
      </c>
      <c r="V260" s="7">
        <f t="shared" si="81"/>
        <v>677</v>
      </c>
      <c r="W260" s="7">
        <f t="shared" si="82"/>
        <v>689</v>
      </c>
      <c r="X260" s="6"/>
      <c r="Y260" s="5"/>
      <c r="Z260" s="5"/>
      <c r="AA260" s="5"/>
      <c r="AB260" s="5"/>
    </row>
    <row r="261" spans="1:28" ht="13.15" customHeight="1">
      <c r="A261" s="13">
        <v>247</v>
      </c>
      <c r="B261" s="4">
        <f t="shared" si="72"/>
        <v>45290</v>
      </c>
      <c r="C261" s="10">
        <f t="shared" si="73"/>
        <v>842</v>
      </c>
      <c r="D261" s="9">
        <f t="shared" si="83"/>
        <v>1720</v>
      </c>
      <c r="E261" s="8">
        <f t="shared" si="65"/>
        <v>848</v>
      </c>
      <c r="F261" s="8">
        <f t="shared" si="66"/>
        <v>865</v>
      </c>
      <c r="G261" s="8">
        <f t="shared" si="67"/>
        <v>793</v>
      </c>
      <c r="H261" s="5">
        <f t="shared" si="68"/>
        <v>1714</v>
      </c>
      <c r="I261" s="5">
        <f t="shared" si="69"/>
        <v>1697</v>
      </c>
      <c r="J261" s="5">
        <f t="shared" si="70"/>
        <v>1769</v>
      </c>
      <c r="K261" s="5">
        <f t="shared" si="74"/>
        <v>2000</v>
      </c>
      <c r="L261" s="5">
        <f t="shared" si="75"/>
        <v>2000</v>
      </c>
      <c r="M261" s="5">
        <f t="shared" si="76"/>
        <v>2000</v>
      </c>
      <c r="N261" s="5">
        <f t="shared" si="77"/>
        <v>-286</v>
      </c>
      <c r="O261" s="5">
        <f t="shared" si="78"/>
        <v>-303</v>
      </c>
      <c r="P261" s="5">
        <f t="shared" si="79"/>
        <v>-231</v>
      </c>
      <c r="Q261" s="8">
        <v>0</v>
      </c>
      <c r="R261" s="8">
        <v>0</v>
      </c>
      <c r="S261" s="8">
        <v>0</v>
      </c>
      <c r="T261" s="6">
        <f t="shared" si="71"/>
        <v>1885</v>
      </c>
      <c r="U261" s="7">
        <f t="shared" si="80"/>
        <v>694</v>
      </c>
      <c r="V261" s="7">
        <f t="shared" si="81"/>
        <v>677</v>
      </c>
      <c r="W261" s="7">
        <f t="shared" si="82"/>
        <v>689</v>
      </c>
      <c r="X261" s="6"/>
      <c r="Y261" s="5"/>
      <c r="Z261" s="5"/>
      <c r="AA261" s="5"/>
      <c r="AB261" s="5"/>
    </row>
    <row r="262" spans="1:28" ht="13.15" customHeight="1">
      <c r="A262" s="13">
        <v>248</v>
      </c>
      <c r="B262" s="4">
        <f t="shared" si="72"/>
        <v>45291</v>
      </c>
      <c r="C262" s="10">
        <f t="shared" si="73"/>
        <v>842</v>
      </c>
      <c r="D262" s="9">
        <f t="shared" si="83"/>
        <v>1722</v>
      </c>
      <c r="E262" s="8">
        <f t="shared" si="65"/>
        <v>850</v>
      </c>
      <c r="F262" s="8">
        <f t="shared" si="66"/>
        <v>867</v>
      </c>
      <c r="G262" s="8">
        <f t="shared" si="67"/>
        <v>795</v>
      </c>
      <c r="H262" s="5">
        <f t="shared" si="68"/>
        <v>1714</v>
      </c>
      <c r="I262" s="5">
        <f t="shared" si="69"/>
        <v>1697</v>
      </c>
      <c r="J262" s="5">
        <f t="shared" si="70"/>
        <v>1769</v>
      </c>
      <c r="K262" s="5">
        <f t="shared" si="74"/>
        <v>2000</v>
      </c>
      <c r="L262" s="5">
        <f t="shared" si="75"/>
        <v>2000</v>
      </c>
      <c r="M262" s="5">
        <f t="shared" si="76"/>
        <v>2000</v>
      </c>
      <c r="N262" s="5">
        <f t="shared" si="77"/>
        <v>-286</v>
      </c>
      <c r="O262" s="5">
        <f t="shared" si="78"/>
        <v>-303</v>
      </c>
      <c r="P262" s="5">
        <f t="shared" si="79"/>
        <v>-231</v>
      </c>
      <c r="Q262" s="8">
        <v>0</v>
      </c>
      <c r="R262" s="8">
        <v>0</v>
      </c>
      <c r="S262" s="8">
        <v>0</v>
      </c>
      <c r="T262" s="6">
        <f t="shared" si="71"/>
        <v>1887</v>
      </c>
      <c r="U262" s="7">
        <f t="shared" si="80"/>
        <v>694</v>
      </c>
      <c r="V262" s="7">
        <f t="shared" si="81"/>
        <v>677</v>
      </c>
      <c r="W262" s="7">
        <f t="shared" si="82"/>
        <v>689</v>
      </c>
      <c r="X262" s="6"/>
      <c r="Y262" s="5"/>
      <c r="Z262" s="5"/>
      <c r="AA262" s="5"/>
      <c r="AB262" s="5"/>
    </row>
    <row r="263" spans="1:28" ht="13.15" customHeight="1">
      <c r="A263" s="13">
        <v>249</v>
      </c>
      <c r="B263" s="4">
        <f t="shared" si="72"/>
        <v>45292</v>
      </c>
      <c r="C263" s="10">
        <f t="shared" si="73"/>
        <v>842</v>
      </c>
      <c r="D263" s="9">
        <f t="shared" si="83"/>
        <v>1724</v>
      </c>
      <c r="E263" s="8">
        <f t="shared" si="65"/>
        <v>852</v>
      </c>
      <c r="F263" s="8">
        <f t="shared" si="66"/>
        <v>869</v>
      </c>
      <c r="G263" s="8">
        <f t="shared" si="67"/>
        <v>797</v>
      </c>
      <c r="H263" s="5">
        <f t="shared" si="68"/>
        <v>1714</v>
      </c>
      <c r="I263" s="5">
        <f t="shared" si="69"/>
        <v>1697</v>
      </c>
      <c r="J263" s="5">
        <f t="shared" si="70"/>
        <v>1769</v>
      </c>
      <c r="K263" s="5">
        <f t="shared" si="74"/>
        <v>2000</v>
      </c>
      <c r="L263" s="5">
        <f t="shared" si="75"/>
        <v>2000</v>
      </c>
      <c r="M263" s="5">
        <f t="shared" si="76"/>
        <v>2000</v>
      </c>
      <c r="N263" s="5">
        <f t="shared" si="77"/>
        <v>-286</v>
      </c>
      <c r="O263" s="5">
        <f t="shared" si="78"/>
        <v>-303</v>
      </c>
      <c r="P263" s="5">
        <f t="shared" si="79"/>
        <v>-231</v>
      </c>
      <c r="Q263" s="8">
        <v>0</v>
      </c>
      <c r="R263" s="8">
        <v>0</v>
      </c>
      <c r="S263" s="8">
        <v>0</v>
      </c>
      <c r="T263" s="6">
        <f t="shared" si="71"/>
        <v>1889</v>
      </c>
      <c r="U263" s="7">
        <f t="shared" si="80"/>
        <v>694</v>
      </c>
      <c r="V263" s="7">
        <f t="shared" si="81"/>
        <v>677</v>
      </c>
      <c r="W263" s="7">
        <f t="shared" si="82"/>
        <v>689</v>
      </c>
      <c r="X263" s="6"/>
      <c r="Y263" s="5"/>
      <c r="Z263" s="5"/>
      <c r="AA263" s="5"/>
      <c r="AB263" s="5"/>
    </row>
    <row r="264" spans="1:28" ht="13.15" customHeight="1">
      <c r="A264" s="13">
        <v>250</v>
      </c>
      <c r="B264" s="4">
        <f t="shared" si="72"/>
        <v>45293</v>
      </c>
      <c r="C264" s="10">
        <f t="shared" si="73"/>
        <v>842</v>
      </c>
      <c r="D264" s="9">
        <f t="shared" si="83"/>
        <v>1726</v>
      </c>
      <c r="E264" s="8">
        <f t="shared" si="65"/>
        <v>854</v>
      </c>
      <c r="F264" s="8">
        <f t="shared" si="66"/>
        <v>871</v>
      </c>
      <c r="G264" s="8">
        <f t="shared" si="67"/>
        <v>799</v>
      </c>
      <c r="H264" s="5">
        <f t="shared" si="68"/>
        <v>1714</v>
      </c>
      <c r="I264" s="5">
        <f t="shared" si="69"/>
        <v>1697</v>
      </c>
      <c r="J264" s="5">
        <f t="shared" si="70"/>
        <v>1769</v>
      </c>
      <c r="K264" s="5">
        <f t="shared" si="74"/>
        <v>2000</v>
      </c>
      <c r="L264" s="5">
        <f t="shared" si="75"/>
        <v>2000</v>
      </c>
      <c r="M264" s="5">
        <f t="shared" si="76"/>
        <v>2000</v>
      </c>
      <c r="N264" s="5">
        <f t="shared" si="77"/>
        <v>-286</v>
      </c>
      <c r="O264" s="5">
        <f t="shared" si="78"/>
        <v>-303</v>
      </c>
      <c r="P264" s="5">
        <f t="shared" si="79"/>
        <v>-231</v>
      </c>
      <c r="Q264" s="8">
        <v>0</v>
      </c>
      <c r="R264" s="8">
        <v>0</v>
      </c>
      <c r="S264" s="8">
        <v>0</v>
      </c>
      <c r="T264" s="6">
        <f t="shared" si="71"/>
        <v>1891</v>
      </c>
      <c r="U264" s="7">
        <f t="shared" si="80"/>
        <v>694</v>
      </c>
      <c r="V264" s="7">
        <f t="shared" si="81"/>
        <v>677</v>
      </c>
      <c r="W264" s="7">
        <f t="shared" si="82"/>
        <v>689</v>
      </c>
      <c r="X264" s="6"/>
      <c r="Y264" s="5"/>
      <c r="Z264" s="5"/>
      <c r="AA264" s="5"/>
      <c r="AB264" s="5"/>
    </row>
    <row r="265" spans="1:28" ht="13.15" customHeight="1">
      <c r="A265" s="13">
        <v>251</v>
      </c>
      <c r="B265" s="4">
        <f t="shared" si="72"/>
        <v>45294</v>
      </c>
      <c r="C265" s="10">
        <f t="shared" si="73"/>
        <v>842</v>
      </c>
      <c r="D265" s="9">
        <f t="shared" si="83"/>
        <v>1728</v>
      </c>
      <c r="E265" s="8">
        <f t="shared" si="65"/>
        <v>856</v>
      </c>
      <c r="F265" s="8">
        <f t="shared" si="66"/>
        <v>873</v>
      </c>
      <c r="G265" s="8">
        <f t="shared" si="67"/>
        <v>801</v>
      </c>
      <c r="H265" s="5">
        <f t="shared" si="68"/>
        <v>1714</v>
      </c>
      <c r="I265" s="5">
        <f t="shared" si="69"/>
        <v>1697</v>
      </c>
      <c r="J265" s="5">
        <f t="shared" si="70"/>
        <v>1769</v>
      </c>
      <c r="K265" s="5">
        <f t="shared" si="74"/>
        <v>2000</v>
      </c>
      <c r="L265" s="5">
        <f t="shared" si="75"/>
        <v>2000</v>
      </c>
      <c r="M265" s="5">
        <f t="shared" si="76"/>
        <v>2000</v>
      </c>
      <c r="N265" s="5">
        <f t="shared" si="77"/>
        <v>-286</v>
      </c>
      <c r="O265" s="5">
        <f t="shared" si="78"/>
        <v>-303</v>
      </c>
      <c r="P265" s="5">
        <f t="shared" si="79"/>
        <v>-231</v>
      </c>
      <c r="Q265" s="8">
        <v>0</v>
      </c>
      <c r="R265" s="8">
        <v>0</v>
      </c>
      <c r="S265" s="8">
        <v>0</v>
      </c>
      <c r="T265" s="6">
        <f t="shared" si="71"/>
        <v>1893</v>
      </c>
      <c r="U265" s="7">
        <f t="shared" si="80"/>
        <v>694</v>
      </c>
      <c r="V265" s="7">
        <f t="shared" si="81"/>
        <v>677</v>
      </c>
      <c r="W265" s="7">
        <f t="shared" si="82"/>
        <v>689</v>
      </c>
      <c r="X265" s="6"/>
      <c r="Y265" s="5"/>
      <c r="Z265" s="5"/>
      <c r="AA265" s="5"/>
      <c r="AB265" s="5"/>
    </row>
    <row r="266" spans="1:28" ht="13.15" customHeight="1">
      <c r="A266" s="13">
        <v>252</v>
      </c>
      <c r="B266" s="4">
        <f t="shared" si="72"/>
        <v>45295</v>
      </c>
      <c r="C266" s="10">
        <f t="shared" si="73"/>
        <v>842</v>
      </c>
      <c r="D266" s="9">
        <f t="shared" si="83"/>
        <v>1730</v>
      </c>
      <c r="E266" s="8">
        <f t="shared" si="65"/>
        <v>858</v>
      </c>
      <c r="F266" s="8">
        <f t="shared" si="66"/>
        <v>875</v>
      </c>
      <c r="G266" s="8">
        <f t="shared" si="67"/>
        <v>803</v>
      </c>
      <c r="H266" s="5">
        <f t="shared" si="68"/>
        <v>1714</v>
      </c>
      <c r="I266" s="5">
        <f t="shared" si="69"/>
        <v>1697</v>
      </c>
      <c r="J266" s="5">
        <f t="shared" si="70"/>
        <v>1769</v>
      </c>
      <c r="K266" s="5">
        <f t="shared" si="74"/>
        <v>2000</v>
      </c>
      <c r="L266" s="5">
        <f t="shared" si="75"/>
        <v>2000</v>
      </c>
      <c r="M266" s="5">
        <f t="shared" si="76"/>
        <v>2000</v>
      </c>
      <c r="N266" s="5">
        <f t="shared" si="77"/>
        <v>-286</v>
      </c>
      <c r="O266" s="5">
        <f t="shared" si="78"/>
        <v>-303</v>
      </c>
      <c r="P266" s="5">
        <f t="shared" si="79"/>
        <v>-231</v>
      </c>
      <c r="Q266" s="8">
        <v>0</v>
      </c>
      <c r="R266" s="8">
        <v>0</v>
      </c>
      <c r="S266" s="8">
        <v>0</v>
      </c>
      <c r="T266" s="6">
        <f t="shared" si="71"/>
        <v>1895</v>
      </c>
      <c r="U266" s="7">
        <f t="shared" si="80"/>
        <v>694</v>
      </c>
      <c r="V266" s="7">
        <f t="shared" si="81"/>
        <v>677</v>
      </c>
      <c r="W266" s="7">
        <f t="shared" si="82"/>
        <v>689</v>
      </c>
      <c r="X266" s="6"/>
      <c r="Y266" s="5"/>
      <c r="Z266" s="5"/>
      <c r="AA266" s="5"/>
      <c r="AB266" s="5"/>
    </row>
    <row r="267" spans="1:28" ht="13.15" customHeight="1">
      <c r="A267" s="13">
        <v>253</v>
      </c>
      <c r="B267" s="4">
        <f t="shared" si="72"/>
        <v>45296</v>
      </c>
      <c r="C267" s="10">
        <f t="shared" si="73"/>
        <v>842</v>
      </c>
      <c r="D267" s="9">
        <f t="shared" si="83"/>
        <v>1732</v>
      </c>
      <c r="E267" s="8">
        <f t="shared" si="65"/>
        <v>860</v>
      </c>
      <c r="F267" s="8">
        <f t="shared" si="66"/>
        <v>877</v>
      </c>
      <c r="G267" s="8">
        <f t="shared" si="67"/>
        <v>805</v>
      </c>
      <c r="H267" s="5">
        <f t="shared" si="68"/>
        <v>1714</v>
      </c>
      <c r="I267" s="5">
        <f t="shared" si="69"/>
        <v>1697</v>
      </c>
      <c r="J267" s="5">
        <f t="shared" si="70"/>
        <v>1769</v>
      </c>
      <c r="K267" s="5">
        <f t="shared" si="74"/>
        <v>2000</v>
      </c>
      <c r="L267" s="5">
        <f t="shared" si="75"/>
        <v>2000</v>
      </c>
      <c r="M267" s="5">
        <f t="shared" si="76"/>
        <v>2000</v>
      </c>
      <c r="N267" s="5">
        <f t="shared" si="77"/>
        <v>-286</v>
      </c>
      <c r="O267" s="5">
        <f t="shared" si="78"/>
        <v>-303</v>
      </c>
      <c r="P267" s="5">
        <f t="shared" si="79"/>
        <v>-231</v>
      </c>
      <c r="Q267" s="8">
        <v>0</v>
      </c>
      <c r="R267" s="8">
        <v>0</v>
      </c>
      <c r="S267" s="8">
        <v>0</v>
      </c>
      <c r="T267" s="6">
        <f t="shared" si="71"/>
        <v>1897</v>
      </c>
      <c r="U267" s="7">
        <f t="shared" si="80"/>
        <v>694</v>
      </c>
      <c r="V267" s="7">
        <f t="shared" si="81"/>
        <v>677</v>
      </c>
      <c r="W267" s="7">
        <f t="shared" si="82"/>
        <v>689</v>
      </c>
      <c r="X267" s="6"/>
      <c r="Y267" s="5"/>
      <c r="Z267" s="5"/>
      <c r="AA267" s="5"/>
      <c r="AB267" s="5"/>
    </row>
    <row r="268" spans="1:28" ht="13.15" customHeight="1">
      <c r="A268" s="13">
        <v>254</v>
      </c>
      <c r="B268" s="4">
        <f t="shared" si="72"/>
        <v>45297</v>
      </c>
      <c r="C268" s="10">
        <f t="shared" si="73"/>
        <v>842</v>
      </c>
      <c r="D268" s="9">
        <f t="shared" si="83"/>
        <v>1734</v>
      </c>
      <c r="E268" s="8">
        <f t="shared" si="65"/>
        <v>862</v>
      </c>
      <c r="F268" s="8">
        <f t="shared" si="66"/>
        <v>879</v>
      </c>
      <c r="G268" s="8">
        <f t="shared" si="67"/>
        <v>807</v>
      </c>
      <c r="H268" s="5">
        <f t="shared" si="68"/>
        <v>1714</v>
      </c>
      <c r="I268" s="5">
        <f t="shared" si="69"/>
        <v>1697</v>
      </c>
      <c r="J268" s="5">
        <f t="shared" si="70"/>
        <v>1769</v>
      </c>
      <c r="K268" s="5">
        <f t="shared" si="74"/>
        <v>2000</v>
      </c>
      <c r="L268" s="5">
        <f t="shared" si="75"/>
        <v>2000</v>
      </c>
      <c r="M268" s="5">
        <f t="shared" si="76"/>
        <v>2000</v>
      </c>
      <c r="N268" s="5">
        <f t="shared" si="77"/>
        <v>-286</v>
      </c>
      <c r="O268" s="5">
        <f t="shared" si="78"/>
        <v>-303</v>
      </c>
      <c r="P268" s="5">
        <f t="shared" si="79"/>
        <v>-231</v>
      </c>
      <c r="Q268" s="8">
        <v>0</v>
      </c>
      <c r="R268" s="8">
        <v>0</v>
      </c>
      <c r="S268" s="8">
        <v>0</v>
      </c>
      <c r="T268" s="6">
        <f t="shared" si="71"/>
        <v>1899</v>
      </c>
      <c r="U268" s="7">
        <f t="shared" si="80"/>
        <v>694</v>
      </c>
      <c r="V268" s="7">
        <f t="shared" si="81"/>
        <v>677</v>
      </c>
      <c r="W268" s="7">
        <f t="shared" si="82"/>
        <v>689</v>
      </c>
      <c r="X268" s="6"/>
      <c r="Y268" s="5"/>
      <c r="Z268" s="5"/>
      <c r="AA268" s="5"/>
      <c r="AB268" s="5"/>
    </row>
    <row r="269" spans="1:28" ht="13.15" customHeight="1">
      <c r="A269" s="13">
        <v>255</v>
      </c>
      <c r="B269" s="4">
        <f t="shared" si="72"/>
        <v>45298</v>
      </c>
      <c r="C269" s="10">
        <f t="shared" si="73"/>
        <v>842</v>
      </c>
      <c r="D269" s="9">
        <f t="shared" si="83"/>
        <v>1736</v>
      </c>
      <c r="E269" s="8">
        <f t="shared" si="65"/>
        <v>864</v>
      </c>
      <c r="F269" s="8">
        <f t="shared" si="66"/>
        <v>881</v>
      </c>
      <c r="G269" s="8">
        <f t="shared" si="67"/>
        <v>809</v>
      </c>
      <c r="H269" s="5">
        <f t="shared" si="68"/>
        <v>1714</v>
      </c>
      <c r="I269" s="5">
        <f t="shared" si="69"/>
        <v>1697</v>
      </c>
      <c r="J269" s="5">
        <f t="shared" si="70"/>
        <v>1769</v>
      </c>
      <c r="K269" s="5">
        <f t="shared" si="74"/>
        <v>2000</v>
      </c>
      <c r="L269" s="5">
        <f t="shared" si="75"/>
        <v>2000</v>
      </c>
      <c r="M269" s="5">
        <f t="shared" si="76"/>
        <v>2000</v>
      </c>
      <c r="N269" s="5">
        <f t="shared" si="77"/>
        <v>-286</v>
      </c>
      <c r="O269" s="5">
        <f t="shared" si="78"/>
        <v>-303</v>
      </c>
      <c r="P269" s="5">
        <f t="shared" si="79"/>
        <v>-231</v>
      </c>
      <c r="Q269" s="8">
        <v>0</v>
      </c>
      <c r="R269" s="8">
        <v>0</v>
      </c>
      <c r="S269" s="8">
        <v>0</v>
      </c>
      <c r="T269" s="6">
        <f t="shared" si="71"/>
        <v>1901</v>
      </c>
      <c r="U269" s="7">
        <f t="shared" si="80"/>
        <v>694</v>
      </c>
      <c r="V269" s="7">
        <f t="shared" si="81"/>
        <v>677</v>
      </c>
      <c r="W269" s="7">
        <f t="shared" si="82"/>
        <v>689</v>
      </c>
      <c r="X269" s="6"/>
      <c r="Y269" s="5"/>
      <c r="Z269" s="5"/>
      <c r="AA269" s="5"/>
      <c r="AB269" s="5"/>
    </row>
    <row r="270" spans="1:28" ht="13.15" customHeight="1">
      <c r="A270" s="13">
        <v>256</v>
      </c>
      <c r="B270" s="4">
        <f t="shared" si="72"/>
        <v>45299</v>
      </c>
      <c r="C270" s="10">
        <f t="shared" si="73"/>
        <v>842</v>
      </c>
      <c r="D270" s="9">
        <f t="shared" si="83"/>
        <v>1738</v>
      </c>
      <c r="E270" s="8">
        <f t="shared" ref="E270:E333" si="84">C270+D270-H270</f>
        <v>866</v>
      </c>
      <c r="F270" s="8">
        <f t="shared" ref="F270:F333" si="85">C270+D270-I270</f>
        <v>883</v>
      </c>
      <c r="G270" s="8">
        <f t="shared" ref="G270:G333" si="86">D270+C270-J270</f>
        <v>811</v>
      </c>
      <c r="H270" s="5">
        <f t="shared" ref="H270:H333" si="87">K270+N270</f>
        <v>1714</v>
      </c>
      <c r="I270" s="5">
        <f t="shared" ref="I270:I333" si="88">L270+O270</f>
        <v>1697</v>
      </c>
      <c r="J270" s="5">
        <f t="shared" ref="J270:J333" si="89">M270+P270</f>
        <v>1769</v>
      </c>
      <c r="K270" s="5">
        <f t="shared" si="74"/>
        <v>2000</v>
      </c>
      <c r="L270" s="5">
        <f t="shared" si="75"/>
        <v>2000</v>
      </c>
      <c r="M270" s="5">
        <f t="shared" si="76"/>
        <v>2000</v>
      </c>
      <c r="N270" s="5">
        <f t="shared" si="77"/>
        <v>-286</v>
      </c>
      <c r="O270" s="5">
        <f t="shared" si="78"/>
        <v>-303</v>
      </c>
      <c r="P270" s="5">
        <f t="shared" si="79"/>
        <v>-231</v>
      </c>
      <c r="Q270" s="8">
        <v>0</v>
      </c>
      <c r="R270" s="8">
        <v>0</v>
      </c>
      <c r="S270" s="8">
        <v>0</v>
      </c>
      <c r="T270" s="6">
        <f t="shared" ref="T270:T333" si="90">D270+C270-V270</f>
        <v>1903</v>
      </c>
      <c r="U270" s="7">
        <f t="shared" si="80"/>
        <v>694</v>
      </c>
      <c r="V270" s="7">
        <f t="shared" si="81"/>
        <v>677</v>
      </c>
      <c r="W270" s="7">
        <f t="shared" si="82"/>
        <v>689</v>
      </c>
      <c r="X270" s="6"/>
      <c r="Y270" s="5"/>
      <c r="Z270" s="5"/>
      <c r="AA270" s="5"/>
      <c r="AB270" s="5"/>
    </row>
    <row r="271" spans="1:28" ht="13.15" customHeight="1">
      <c r="A271" s="13">
        <v>257</v>
      </c>
      <c r="B271" s="4">
        <f t="shared" ref="B271:B334" si="91">B270+1</f>
        <v>45300</v>
      </c>
      <c r="C271" s="10">
        <f t="shared" ref="C271:C334" si="92">C270</f>
        <v>842</v>
      </c>
      <c r="D271" s="9">
        <f t="shared" si="83"/>
        <v>1740</v>
      </c>
      <c r="E271" s="8">
        <f t="shared" si="84"/>
        <v>868</v>
      </c>
      <c r="F271" s="8">
        <f t="shared" si="85"/>
        <v>885</v>
      </c>
      <c r="G271" s="8">
        <f t="shared" si="86"/>
        <v>813</v>
      </c>
      <c r="H271" s="5">
        <f t="shared" si="87"/>
        <v>1714</v>
      </c>
      <c r="I271" s="5">
        <f t="shared" si="88"/>
        <v>1697</v>
      </c>
      <c r="J271" s="5">
        <f t="shared" si="89"/>
        <v>1769</v>
      </c>
      <c r="K271" s="5">
        <f t="shared" ref="K271:K334" si="93">K270</f>
        <v>2000</v>
      </c>
      <c r="L271" s="5">
        <f t="shared" ref="L271:L334" si="94">L270</f>
        <v>2000</v>
      </c>
      <c r="M271" s="5">
        <f t="shared" ref="M271:M334" si="95">M270</f>
        <v>2000</v>
      </c>
      <c r="N271" s="5">
        <f t="shared" ref="N271:N334" si="96">N270-Q271</f>
        <v>-286</v>
      </c>
      <c r="O271" s="5">
        <f t="shared" ref="O271:O334" si="97">O270-R271</f>
        <v>-303</v>
      </c>
      <c r="P271" s="5">
        <f t="shared" ref="P271:P334" si="98">P270-S271</f>
        <v>-231</v>
      </c>
      <c r="Q271" s="8">
        <v>0</v>
      </c>
      <c r="R271" s="8">
        <v>0</v>
      </c>
      <c r="S271" s="8">
        <v>0</v>
      </c>
      <c r="T271" s="6">
        <f t="shared" si="90"/>
        <v>1905</v>
      </c>
      <c r="U271" s="7">
        <f t="shared" si="80"/>
        <v>694</v>
      </c>
      <c r="V271" s="7">
        <f t="shared" si="81"/>
        <v>677</v>
      </c>
      <c r="W271" s="7">
        <f t="shared" si="82"/>
        <v>689</v>
      </c>
      <c r="X271" s="6"/>
      <c r="Y271" s="5"/>
      <c r="Z271" s="5"/>
      <c r="AA271" s="5"/>
      <c r="AB271" s="5"/>
    </row>
    <row r="272" spans="1:28" ht="13.15" customHeight="1">
      <c r="A272" s="13">
        <v>258</v>
      </c>
      <c r="B272" s="4">
        <f t="shared" si="91"/>
        <v>45301</v>
      </c>
      <c r="C272" s="10">
        <f t="shared" si="92"/>
        <v>842</v>
      </c>
      <c r="D272" s="9">
        <f t="shared" si="83"/>
        <v>1742</v>
      </c>
      <c r="E272" s="8">
        <f t="shared" si="84"/>
        <v>870</v>
      </c>
      <c r="F272" s="8">
        <f t="shared" si="85"/>
        <v>887</v>
      </c>
      <c r="G272" s="8">
        <f t="shared" si="86"/>
        <v>815</v>
      </c>
      <c r="H272" s="5">
        <f t="shared" si="87"/>
        <v>1714</v>
      </c>
      <c r="I272" s="5">
        <f t="shared" si="88"/>
        <v>1697</v>
      </c>
      <c r="J272" s="5">
        <f t="shared" si="89"/>
        <v>1769</v>
      </c>
      <c r="K272" s="5">
        <f t="shared" si="93"/>
        <v>2000</v>
      </c>
      <c r="L272" s="5">
        <f t="shared" si="94"/>
        <v>2000</v>
      </c>
      <c r="M272" s="5">
        <f t="shared" si="95"/>
        <v>2000</v>
      </c>
      <c r="N272" s="5">
        <f t="shared" si="96"/>
        <v>-286</v>
      </c>
      <c r="O272" s="5">
        <f t="shared" si="97"/>
        <v>-303</v>
      </c>
      <c r="P272" s="5">
        <f t="shared" si="98"/>
        <v>-231</v>
      </c>
      <c r="Q272" s="8">
        <v>0</v>
      </c>
      <c r="R272" s="8">
        <v>0</v>
      </c>
      <c r="S272" s="8">
        <v>0</v>
      </c>
      <c r="T272" s="6">
        <f t="shared" si="90"/>
        <v>1907</v>
      </c>
      <c r="U272" s="7">
        <f t="shared" si="80"/>
        <v>694</v>
      </c>
      <c r="V272" s="7">
        <f t="shared" si="81"/>
        <v>677</v>
      </c>
      <c r="W272" s="7">
        <f t="shared" si="82"/>
        <v>689</v>
      </c>
      <c r="X272" s="6"/>
      <c r="Y272" s="5"/>
      <c r="Z272" s="5"/>
      <c r="AA272" s="5"/>
      <c r="AB272" s="5"/>
    </row>
    <row r="273" spans="1:28" ht="13.15" customHeight="1">
      <c r="A273" s="13">
        <v>259</v>
      </c>
      <c r="B273" s="4">
        <f t="shared" si="91"/>
        <v>45302</v>
      </c>
      <c r="C273" s="10">
        <f t="shared" si="92"/>
        <v>842</v>
      </c>
      <c r="D273" s="9">
        <f t="shared" si="83"/>
        <v>1744</v>
      </c>
      <c r="E273" s="8">
        <f t="shared" si="84"/>
        <v>872</v>
      </c>
      <c r="F273" s="8">
        <f t="shared" si="85"/>
        <v>889</v>
      </c>
      <c r="G273" s="8">
        <f t="shared" si="86"/>
        <v>817</v>
      </c>
      <c r="H273" s="5">
        <f t="shared" si="87"/>
        <v>1714</v>
      </c>
      <c r="I273" s="5">
        <f t="shared" si="88"/>
        <v>1697</v>
      </c>
      <c r="J273" s="5">
        <f t="shared" si="89"/>
        <v>1769</v>
      </c>
      <c r="K273" s="5">
        <f t="shared" si="93"/>
        <v>2000</v>
      </c>
      <c r="L273" s="5">
        <f t="shared" si="94"/>
        <v>2000</v>
      </c>
      <c r="M273" s="5">
        <f t="shared" si="95"/>
        <v>2000</v>
      </c>
      <c r="N273" s="5">
        <f t="shared" si="96"/>
        <v>-286</v>
      </c>
      <c r="O273" s="5">
        <f t="shared" si="97"/>
        <v>-303</v>
      </c>
      <c r="P273" s="5">
        <f t="shared" si="98"/>
        <v>-231</v>
      </c>
      <c r="Q273" s="8">
        <v>0</v>
      </c>
      <c r="R273" s="8">
        <v>0</v>
      </c>
      <c r="S273" s="8">
        <v>0</v>
      </c>
      <c r="T273" s="6">
        <f t="shared" si="90"/>
        <v>1909</v>
      </c>
      <c r="U273" s="7">
        <f t="shared" si="80"/>
        <v>694</v>
      </c>
      <c r="V273" s="7">
        <f t="shared" si="81"/>
        <v>677</v>
      </c>
      <c r="W273" s="7">
        <f t="shared" si="82"/>
        <v>689</v>
      </c>
      <c r="X273" s="6"/>
      <c r="Y273" s="5"/>
      <c r="Z273" s="5"/>
      <c r="AA273" s="5"/>
      <c r="AB273" s="5"/>
    </row>
    <row r="274" spans="1:28" ht="13.15" customHeight="1">
      <c r="A274" s="13">
        <v>260</v>
      </c>
      <c r="B274" s="4">
        <f t="shared" si="91"/>
        <v>45303</v>
      </c>
      <c r="C274" s="10">
        <f t="shared" si="92"/>
        <v>842</v>
      </c>
      <c r="D274" s="9">
        <f t="shared" si="83"/>
        <v>1746</v>
      </c>
      <c r="E274" s="8">
        <f t="shared" si="84"/>
        <v>874</v>
      </c>
      <c r="F274" s="8">
        <f t="shared" si="85"/>
        <v>891</v>
      </c>
      <c r="G274" s="8">
        <f t="shared" si="86"/>
        <v>819</v>
      </c>
      <c r="H274" s="5">
        <f t="shared" si="87"/>
        <v>1714</v>
      </c>
      <c r="I274" s="5">
        <f t="shared" si="88"/>
        <v>1697</v>
      </c>
      <c r="J274" s="5">
        <f t="shared" si="89"/>
        <v>1769</v>
      </c>
      <c r="K274" s="5">
        <f t="shared" si="93"/>
        <v>2000</v>
      </c>
      <c r="L274" s="5">
        <f t="shared" si="94"/>
        <v>2000</v>
      </c>
      <c r="M274" s="5">
        <f t="shared" si="95"/>
        <v>2000</v>
      </c>
      <c r="N274" s="5">
        <f t="shared" si="96"/>
        <v>-286</v>
      </c>
      <c r="O274" s="5">
        <f t="shared" si="97"/>
        <v>-303</v>
      </c>
      <c r="P274" s="5">
        <f t="shared" si="98"/>
        <v>-231</v>
      </c>
      <c r="Q274" s="8">
        <v>0</v>
      </c>
      <c r="R274" s="8">
        <v>0</v>
      </c>
      <c r="S274" s="8">
        <v>0</v>
      </c>
      <c r="T274" s="6">
        <f t="shared" si="90"/>
        <v>1911</v>
      </c>
      <c r="U274" s="7">
        <f t="shared" si="80"/>
        <v>694</v>
      </c>
      <c r="V274" s="7">
        <f t="shared" si="81"/>
        <v>677</v>
      </c>
      <c r="W274" s="7">
        <f t="shared" si="82"/>
        <v>689</v>
      </c>
      <c r="X274" s="6"/>
      <c r="Y274" s="5"/>
      <c r="Z274" s="5"/>
      <c r="AA274" s="5"/>
      <c r="AB274" s="5"/>
    </row>
    <row r="275" spans="1:28" ht="13.15" customHeight="1">
      <c r="A275" s="13">
        <v>261</v>
      </c>
      <c r="B275" s="4">
        <f t="shared" si="91"/>
        <v>45304</v>
      </c>
      <c r="C275" s="10">
        <f t="shared" si="92"/>
        <v>842</v>
      </c>
      <c r="D275" s="9">
        <f t="shared" si="83"/>
        <v>1748</v>
      </c>
      <c r="E275" s="8">
        <f t="shared" si="84"/>
        <v>876</v>
      </c>
      <c r="F275" s="8">
        <f t="shared" si="85"/>
        <v>893</v>
      </c>
      <c r="G275" s="8">
        <f t="shared" si="86"/>
        <v>821</v>
      </c>
      <c r="H275" s="5">
        <f t="shared" si="87"/>
        <v>1714</v>
      </c>
      <c r="I275" s="5">
        <f t="shared" si="88"/>
        <v>1697</v>
      </c>
      <c r="J275" s="5">
        <f t="shared" si="89"/>
        <v>1769</v>
      </c>
      <c r="K275" s="5">
        <f t="shared" si="93"/>
        <v>2000</v>
      </c>
      <c r="L275" s="5">
        <f t="shared" si="94"/>
        <v>2000</v>
      </c>
      <c r="M275" s="5">
        <f t="shared" si="95"/>
        <v>2000</v>
      </c>
      <c r="N275" s="5">
        <f t="shared" si="96"/>
        <v>-286</v>
      </c>
      <c r="O275" s="5">
        <f t="shared" si="97"/>
        <v>-303</v>
      </c>
      <c r="P275" s="5">
        <f t="shared" si="98"/>
        <v>-231</v>
      </c>
      <c r="Q275" s="8">
        <v>0</v>
      </c>
      <c r="R275" s="8">
        <v>0</v>
      </c>
      <c r="S275" s="8">
        <v>0</v>
      </c>
      <c r="T275" s="6">
        <f t="shared" si="90"/>
        <v>1913</v>
      </c>
      <c r="U275" s="7">
        <f t="shared" si="80"/>
        <v>694</v>
      </c>
      <c r="V275" s="7">
        <f t="shared" si="81"/>
        <v>677</v>
      </c>
      <c r="W275" s="7">
        <f t="shared" si="82"/>
        <v>689</v>
      </c>
      <c r="X275" s="6"/>
      <c r="Y275" s="5"/>
      <c r="Z275" s="5"/>
      <c r="AA275" s="5"/>
      <c r="AB275" s="5"/>
    </row>
    <row r="276" spans="1:28" ht="13.15" customHeight="1">
      <c r="A276" s="13">
        <v>262</v>
      </c>
      <c r="B276" s="4">
        <f t="shared" si="91"/>
        <v>45305</v>
      </c>
      <c r="C276" s="10">
        <f t="shared" si="92"/>
        <v>842</v>
      </c>
      <c r="D276" s="9">
        <f t="shared" si="83"/>
        <v>1750</v>
      </c>
      <c r="E276" s="8">
        <f t="shared" si="84"/>
        <v>878</v>
      </c>
      <c r="F276" s="8">
        <f t="shared" si="85"/>
        <v>895</v>
      </c>
      <c r="G276" s="8">
        <f t="shared" si="86"/>
        <v>823</v>
      </c>
      <c r="H276" s="5">
        <f t="shared" si="87"/>
        <v>1714</v>
      </c>
      <c r="I276" s="5">
        <f t="shared" si="88"/>
        <v>1697</v>
      </c>
      <c r="J276" s="5">
        <f t="shared" si="89"/>
        <v>1769</v>
      </c>
      <c r="K276" s="5">
        <f t="shared" si="93"/>
        <v>2000</v>
      </c>
      <c r="L276" s="5">
        <f t="shared" si="94"/>
        <v>2000</v>
      </c>
      <c r="M276" s="5">
        <f t="shared" si="95"/>
        <v>2000</v>
      </c>
      <c r="N276" s="5">
        <f t="shared" si="96"/>
        <v>-286</v>
      </c>
      <c r="O276" s="5">
        <f t="shared" si="97"/>
        <v>-303</v>
      </c>
      <c r="P276" s="5">
        <f t="shared" si="98"/>
        <v>-231</v>
      </c>
      <c r="Q276" s="8">
        <v>0</v>
      </c>
      <c r="R276" s="8">
        <v>0</v>
      </c>
      <c r="S276" s="8">
        <v>0</v>
      </c>
      <c r="T276" s="6">
        <f t="shared" si="90"/>
        <v>1915</v>
      </c>
      <c r="U276" s="7">
        <f t="shared" si="80"/>
        <v>694</v>
      </c>
      <c r="V276" s="7">
        <f t="shared" si="81"/>
        <v>677</v>
      </c>
      <c r="W276" s="7">
        <f t="shared" si="82"/>
        <v>689</v>
      </c>
      <c r="X276" s="6"/>
      <c r="Y276" s="5"/>
      <c r="Z276" s="5"/>
      <c r="AA276" s="5"/>
      <c r="AB276" s="5"/>
    </row>
    <row r="277" spans="1:28" ht="13.15" customHeight="1">
      <c r="A277" s="13">
        <v>263</v>
      </c>
      <c r="B277" s="4">
        <f t="shared" si="91"/>
        <v>45306</v>
      </c>
      <c r="C277" s="10">
        <f t="shared" si="92"/>
        <v>842</v>
      </c>
      <c r="D277" s="9">
        <f t="shared" si="83"/>
        <v>1752</v>
      </c>
      <c r="E277" s="8">
        <f t="shared" si="84"/>
        <v>880</v>
      </c>
      <c r="F277" s="8">
        <f t="shared" si="85"/>
        <v>897</v>
      </c>
      <c r="G277" s="8">
        <f t="shared" si="86"/>
        <v>825</v>
      </c>
      <c r="H277" s="5">
        <f t="shared" si="87"/>
        <v>1714</v>
      </c>
      <c r="I277" s="5">
        <f t="shared" si="88"/>
        <v>1697</v>
      </c>
      <c r="J277" s="5">
        <f t="shared" si="89"/>
        <v>1769</v>
      </c>
      <c r="K277" s="5">
        <f t="shared" si="93"/>
        <v>2000</v>
      </c>
      <c r="L277" s="5">
        <f t="shared" si="94"/>
        <v>2000</v>
      </c>
      <c r="M277" s="5">
        <f t="shared" si="95"/>
        <v>2000</v>
      </c>
      <c r="N277" s="5">
        <f t="shared" si="96"/>
        <v>-286</v>
      </c>
      <c r="O277" s="5">
        <f t="shared" si="97"/>
        <v>-303</v>
      </c>
      <c r="P277" s="5">
        <f t="shared" si="98"/>
        <v>-231</v>
      </c>
      <c r="Q277" s="8">
        <v>0</v>
      </c>
      <c r="R277" s="8">
        <v>0</v>
      </c>
      <c r="S277" s="8">
        <v>0</v>
      </c>
      <c r="T277" s="6">
        <f t="shared" si="90"/>
        <v>1917</v>
      </c>
      <c r="U277" s="7">
        <f t="shared" si="80"/>
        <v>694</v>
      </c>
      <c r="V277" s="7">
        <f t="shared" si="81"/>
        <v>677</v>
      </c>
      <c r="W277" s="7">
        <f t="shared" si="82"/>
        <v>689</v>
      </c>
      <c r="X277" s="6"/>
      <c r="Y277" s="5"/>
      <c r="Z277" s="5"/>
      <c r="AA277" s="5"/>
      <c r="AB277" s="5"/>
    </row>
    <row r="278" spans="1:28" ht="13.15" customHeight="1">
      <c r="A278" s="13">
        <v>264</v>
      </c>
      <c r="B278" s="4">
        <f t="shared" si="91"/>
        <v>45307</v>
      </c>
      <c r="C278" s="10">
        <f t="shared" si="92"/>
        <v>842</v>
      </c>
      <c r="D278" s="9">
        <f t="shared" si="83"/>
        <v>1754</v>
      </c>
      <c r="E278" s="8">
        <f t="shared" si="84"/>
        <v>882</v>
      </c>
      <c r="F278" s="8">
        <f t="shared" si="85"/>
        <v>899</v>
      </c>
      <c r="G278" s="8">
        <f t="shared" si="86"/>
        <v>827</v>
      </c>
      <c r="H278" s="5">
        <f t="shared" si="87"/>
        <v>1714</v>
      </c>
      <c r="I278" s="5">
        <f t="shared" si="88"/>
        <v>1697</v>
      </c>
      <c r="J278" s="5">
        <f t="shared" si="89"/>
        <v>1769</v>
      </c>
      <c r="K278" s="5">
        <f t="shared" si="93"/>
        <v>2000</v>
      </c>
      <c r="L278" s="5">
        <f t="shared" si="94"/>
        <v>2000</v>
      </c>
      <c r="M278" s="5">
        <f t="shared" si="95"/>
        <v>2000</v>
      </c>
      <c r="N278" s="5">
        <f t="shared" si="96"/>
        <v>-286</v>
      </c>
      <c r="O278" s="5">
        <f t="shared" si="97"/>
        <v>-303</v>
      </c>
      <c r="P278" s="5">
        <f t="shared" si="98"/>
        <v>-231</v>
      </c>
      <c r="Q278" s="8">
        <v>0</v>
      </c>
      <c r="R278" s="8">
        <v>0</v>
      </c>
      <c r="S278" s="8">
        <v>0</v>
      </c>
      <c r="T278" s="6">
        <f t="shared" si="90"/>
        <v>1919</v>
      </c>
      <c r="U278" s="7">
        <f t="shared" si="80"/>
        <v>694</v>
      </c>
      <c r="V278" s="7">
        <f t="shared" si="81"/>
        <v>677</v>
      </c>
      <c r="W278" s="7">
        <f t="shared" si="82"/>
        <v>689</v>
      </c>
      <c r="X278" s="6"/>
      <c r="Y278" s="5"/>
      <c r="Z278" s="5"/>
      <c r="AA278" s="5"/>
      <c r="AB278" s="5"/>
    </row>
    <row r="279" spans="1:28" ht="13.15" customHeight="1">
      <c r="A279" s="13">
        <v>265</v>
      </c>
      <c r="B279" s="4">
        <f t="shared" si="91"/>
        <v>45308</v>
      </c>
      <c r="C279" s="10">
        <f t="shared" si="92"/>
        <v>842</v>
      </c>
      <c r="D279" s="9">
        <f t="shared" si="83"/>
        <v>1756</v>
      </c>
      <c r="E279" s="8">
        <f t="shared" si="84"/>
        <v>884</v>
      </c>
      <c r="F279" s="8">
        <f t="shared" si="85"/>
        <v>901</v>
      </c>
      <c r="G279" s="8">
        <f t="shared" si="86"/>
        <v>829</v>
      </c>
      <c r="H279" s="5">
        <f t="shared" si="87"/>
        <v>1714</v>
      </c>
      <c r="I279" s="5">
        <f t="shared" si="88"/>
        <v>1697</v>
      </c>
      <c r="J279" s="5">
        <f t="shared" si="89"/>
        <v>1769</v>
      </c>
      <c r="K279" s="5">
        <f t="shared" si="93"/>
        <v>2000</v>
      </c>
      <c r="L279" s="5">
        <f t="shared" si="94"/>
        <v>2000</v>
      </c>
      <c r="M279" s="5">
        <f t="shared" si="95"/>
        <v>2000</v>
      </c>
      <c r="N279" s="5">
        <f t="shared" si="96"/>
        <v>-286</v>
      </c>
      <c r="O279" s="5">
        <f t="shared" si="97"/>
        <v>-303</v>
      </c>
      <c r="P279" s="5">
        <f t="shared" si="98"/>
        <v>-231</v>
      </c>
      <c r="Q279" s="8">
        <v>0</v>
      </c>
      <c r="R279" s="8">
        <v>0</v>
      </c>
      <c r="S279" s="8">
        <v>0</v>
      </c>
      <c r="T279" s="6">
        <f t="shared" si="90"/>
        <v>1921</v>
      </c>
      <c r="U279" s="7">
        <f t="shared" si="80"/>
        <v>694</v>
      </c>
      <c r="V279" s="7">
        <f t="shared" si="81"/>
        <v>677</v>
      </c>
      <c r="W279" s="7">
        <f t="shared" si="82"/>
        <v>689</v>
      </c>
      <c r="X279" s="6"/>
      <c r="Y279" s="5"/>
      <c r="Z279" s="5"/>
      <c r="AA279" s="5"/>
      <c r="AB279" s="5"/>
    </row>
    <row r="280" spans="1:28" ht="13.15" customHeight="1">
      <c r="A280" s="13">
        <v>266</v>
      </c>
      <c r="B280" s="4">
        <f t="shared" si="91"/>
        <v>45309</v>
      </c>
      <c r="C280" s="10">
        <f t="shared" si="92"/>
        <v>842</v>
      </c>
      <c r="D280" s="9">
        <f t="shared" si="83"/>
        <v>1758</v>
      </c>
      <c r="E280" s="8">
        <f t="shared" si="84"/>
        <v>886</v>
      </c>
      <c r="F280" s="8">
        <f t="shared" si="85"/>
        <v>903</v>
      </c>
      <c r="G280" s="8">
        <f t="shared" si="86"/>
        <v>831</v>
      </c>
      <c r="H280" s="5">
        <f t="shared" si="87"/>
        <v>1714</v>
      </c>
      <c r="I280" s="5">
        <f t="shared" si="88"/>
        <v>1697</v>
      </c>
      <c r="J280" s="5">
        <f t="shared" si="89"/>
        <v>1769</v>
      </c>
      <c r="K280" s="5">
        <f t="shared" si="93"/>
        <v>2000</v>
      </c>
      <c r="L280" s="5">
        <f t="shared" si="94"/>
        <v>2000</v>
      </c>
      <c r="M280" s="5">
        <f t="shared" si="95"/>
        <v>2000</v>
      </c>
      <c r="N280" s="5">
        <f t="shared" si="96"/>
        <v>-286</v>
      </c>
      <c r="O280" s="5">
        <f t="shared" si="97"/>
        <v>-303</v>
      </c>
      <c r="P280" s="5">
        <f t="shared" si="98"/>
        <v>-231</v>
      </c>
      <c r="Q280" s="8">
        <v>0</v>
      </c>
      <c r="R280" s="8">
        <v>0</v>
      </c>
      <c r="S280" s="8">
        <v>0</v>
      </c>
      <c r="T280" s="6">
        <f t="shared" si="90"/>
        <v>1923</v>
      </c>
      <c r="U280" s="7">
        <f t="shared" si="80"/>
        <v>694</v>
      </c>
      <c r="V280" s="7">
        <f t="shared" si="81"/>
        <v>677</v>
      </c>
      <c r="W280" s="7">
        <f t="shared" si="82"/>
        <v>689</v>
      </c>
      <c r="X280" s="6"/>
      <c r="Y280" s="5"/>
      <c r="Z280" s="5"/>
      <c r="AA280" s="5"/>
      <c r="AB280" s="5"/>
    </row>
    <row r="281" spans="1:28" ht="13.15" customHeight="1">
      <c r="A281" s="13">
        <v>267</v>
      </c>
      <c r="B281" s="4">
        <f t="shared" si="91"/>
        <v>45310</v>
      </c>
      <c r="C281" s="10">
        <f t="shared" si="92"/>
        <v>842</v>
      </c>
      <c r="D281" s="9">
        <f t="shared" si="83"/>
        <v>1760</v>
      </c>
      <c r="E281" s="8">
        <f t="shared" si="84"/>
        <v>888</v>
      </c>
      <c r="F281" s="8">
        <f t="shared" si="85"/>
        <v>905</v>
      </c>
      <c r="G281" s="8">
        <f t="shared" si="86"/>
        <v>833</v>
      </c>
      <c r="H281" s="5">
        <f t="shared" si="87"/>
        <v>1714</v>
      </c>
      <c r="I281" s="5">
        <f t="shared" si="88"/>
        <v>1697</v>
      </c>
      <c r="J281" s="5">
        <f t="shared" si="89"/>
        <v>1769</v>
      </c>
      <c r="K281" s="5">
        <f t="shared" si="93"/>
        <v>2000</v>
      </c>
      <c r="L281" s="5">
        <f t="shared" si="94"/>
        <v>2000</v>
      </c>
      <c r="M281" s="5">
        <f t="shared" si="95"/>
        <v>2000</v>
      </c>
      <c r="N281" s="5">
        <f t="shared" si="96"/>
        <v>-286</v>
      </c>
      <c r="O281" s="5">
        <f t="shared" si="97"/>
        <v>-303</v>
      </c>
      <c r="P281" s="5">
        <f t="shared" si="98"/>
        <v>-231</v>
      </c>
      <c r="Q281" s="8">
        <v>0</v>
      </c>
      <c r="R281" s="8">
        <v>0</v>
      </c>
      <c r="S281" s="8">
        <v>0</v>
      </c>
      <c r="T281" s="6">
        <f t="shared" si="90"/>
        <v>1925</v>
      </c>
      <c r="U281" s="7">
        <f t="shared" si="80"/>
        <v>694</v>
      </c>
      <c r="V281" s="7">
        <f t="shared" si="81"/>
        <v>677</v>
      </c>
      <c r="W281" s="7">
        <f t="shared" si="82"/>
        <v>689</v>
      </c>
      <c r="X281" s="6"/>
      <c r="Y281" s="5"/>
      <c r="Z281" s="5"/>
      <c r="AA281" s="5"/>
      <c r="AB281" s="5"/>
    </row>
    <row r="282" spans="1:28" ht="13.15" customHeight="1">
      <c r="A282" s="13">
        <v>268</v>
      </c>
      <c r="B282" s="4">
        <f t="shared" si="91"/>
        <v>45311</v>
      </c>
      <c r="C282" s="10">
        <f t="shared" si="92"/>
        <v>842</v>
      </c>
      <c r="D282" s="9">
        <f t="shared" si="83"/>
        <v>1762</v>
      </c>
      <c r="E282" s="8">
        <f t="shared" si="84"/>
        <v>890</v>
      </c>
      <c r="F282" s="8">
        <f t="shared" si="85"/>
        <v>907</v>
      </c>
      <c r="G282" s="8">
        <f t="shared" si="86"/>
        <v>835</v>
      </c>
      <c r="H282" s="5">
        <f t="shared" si="87"/>
        <v>1714</v>
      </c>
      <c r="I282" s="5">
        <f t="shared" si="88"/>
        <v>1697</v>
      </c>
      <c r="J282" s="5">
        <f t="shared" si="89"/>
        <v>1769</v>
      </c>
      <c r="K282" s="5">
        <f t="shared" si="93"/>
        <v>2000</v>
      </c>
      <c r="L282" s="5">
        <f t="shared" si="94"/>
        <v>2000</v>
      </c>
      <c r="M282" s="5">
        <f t="shared" si="95"/>
        <v>2000</v>
      </c>
      <c r="N282" s="5">
        <f t="shared" si="96"/>
        <v>-286</v>
      </c>
      <c r="O282" s="5">
        <f t="shared" si="97"/>
        <v>-303</v>
      </c>
      <c r="P282" s="5">
        <f t="shared" si="98"/>
        <v>-231</v>
      </c>
      <c r="Q282" s="8">
        <v>0</v>
      </c>
      <c r="R282" s="8">
        <v>0</v>
      </c>
      <c r="S282" s="8">
        <v>0</v>
      </c>
      <c r="T282" s="6">
        <f t="shared" si="90"/>
        <v>1927</v>
      </c>
      <c r="U282" s="7">
        <f t="shared" si="80"/>
        <v>694</v>
      </c>
      <c r="V282" s="7">
        <f t="shared" si="81"/>
        <v>677</v>
      </c>
      <c r="W282" s="7">
        <f t="shared" si="82"/>
        <v>689</v>
      </c>
      <c r="X282" s="6"/>
      <c r="Y282" s="5"/>
      <c r="Z282" s="5"/>
      <c r="AA282" s="5"/>
      <c r="AB282" s="5"/>
    </row>
    <row r="283" spans="1:28" ht="13.15" customHeight="1">
      <c r="A283" s="13">
        <v>269</v>
      </c>
      <c r="B283" s="4">
        <f t="shared" si="91"/>
        <v>45312</v>
      </c>
      <c r="C283" s="10">
        <f t="shared" si="92"/>
        <v>842</v>
      </c>
      <c r="D283" s="9">
        <f t="shared" si="83"/>
        <v>1764</v>
      </c>
      <c r="E283" s="8">
        <f t="shared" si="84"/>
        <v>892</v>
      </c>
      <c r="F283" s="8">
        <f t="shared" si="85"/>
        <v>909</v>
      </c>
      <c r="G283" s="8">
        <f t="shared" si="86"/>
        <v>837</v>
      </c>
      <c r="H283" s="5">
        <f t="shared" si="87"/>
        <v>1714</v>
      </c>
      <c r="I283" s="5">
        <f t="shared" si="88"/>
        <v>1697</v>
      </c>
      <c r="J283" s="5">
        <f t="shared" si="89"/>
        <v>1769</v>
      </c>
      <c r="K283" s="5">
        <f t="shared" si="93"/>
        <v>2000</v>
      </c>
      <c r="L283" s="5">
        <f t="shared" si="94"/>
        <v>2000</v>
      </c>
      <c r="M283" s="5">
        <f t="shared" si="95"/>
        <v>2000</v>
      </c>
      <c r="N283" s="5">
        <f t="shared" si="96"/>
        <v>-286</v>
      </c>
      <c r="O283" s="5">
        <f t="shared" si="97"/>
        <v>-303</v>
      </c>
      <c r="P283" s="5">
        <f t="shared" si="98"/>
        <v>-231</v>
      </c>
      <c r="Q283" s="8">
        <v>0</v>
      </c>
      <c r="R283" s="8">
        <v>0</v>
      </c>
      <c r="S283" s="8">
        <v>0</v>
      </c>
      <c r="T283" s="6">
        <f t="shared" si="90"/>
        <v>1929</v>
      </c>
      <c r="U283" s="7">
        <f t="shared" si="80"/>
        <v>694</v>
      </c>
      <c r="V283" s="7">
        <f t="shared" si="81"/>
        <v>677</v>
      </c>
      <c r="W283" s="7">
        <f t="shared" si="82"/>
        <v>689</v>
      </c>
      <c r="X283" s="6"/>
      <c r="Y283" s="5"/>
      <c r="Z283" s="5"/>
      <c r="AA283" s="5"/>
      <c r="AB283" s="5"/>
    </row>
    <row r="284" spans="1:28" ht="13.15" customHeight="1">
      <c r="A284" s="13">
        <v>270</v>
      </c>
      <c r="B284" s="4">
        <f t="shared" si="91"/>
        <v>45313</v>
      </c>
      <c r="C284" s="10">
        <f t="shared" si="92"/>
        <v>842</v>
      </c>
      <c r="D284" s="9">
        <f t="shared" si="83"/>
        <v>1766</v>
      </c>
      <c r="E284" s="8">
        <f t="shared" si="84"/>
        <v>894</v>
      </c>
      <c r="F284" s="8">
        <f t="shared" si="85"/>
        <v>911</v>
      </c>
      <c r="G284" s="8">
        <f t="shared" si="86"/>
        <v>839</v>
      </c>
      <c r="H284" s="5">
        <f t="shared" si="87"/>
        <v>1714</v>
      </c>
      <c r="I284" s="5">
        <f t="shared" si="88"/>
        <v>1697</v>
      </c>
      <c r="J284" s="5">
        <f t="shared" si="89"/>
        <v>1769</v>
      </c>
      <c r="K284" s="5">
        <f t="shared" si="93"/>
        <v>2000</v>
      </c>
      <c r="L284" s="5">
        <f t="shared" si="94"/>
        <v>2000</v>
      </c>
      <c r="M284" s="5">
        <f t="shared" si="95"/>
        <v>2000</v>
      </c>
      <c r="N284" s="5">
        <f t="shared" si="96"/>
        <v>-286</v>
      </c>
      <c r="O284" s="5">
        <f t="shared" si="97"/>
        <v>-303</v>
      </c>
      <c r="P284" s="5">
        <f t="shared" si="98"/>
        <v>-231</v>
      </c>
      <c r="Q284" s="8">
        <v>0</v>
      </c>
      <c r="R284" s="8">
        <v>0</v>
      </c>
      <c r="S284" s="8">
        <v>0</v>
      </c>
      <c r="T284" s="6">
        <f t="shared" si="90"/>
        <v>1931</v>
      </c>
      <c r="U284" s="7">
        <f t="shared" si="80"/>
        <v>694</v>
      </c>
      <c r="V284" s="7">
        <f t="shared" si="81"/>
        <v>677</v>
      </c>
      <c r="W284" s="7">
        <f t="shared" si="82"/>
        <v>689</v>
      </c>
      <c r="X284" s="6"/>
      <c r="Y284" s="5"/>
      <c r="Z284" s="5"/>
      <c r="AA284" s="5"/>
      <c r="AB284" s="5"/>
    </row>
    <row r="285" spans="1:28" ht="13.15" customHeight="1">
      <c r="A285" s="13">
        <v>271</v>
      </c>
      <c r="B285" s="4">
        <f t="shared" si="91"/>
        <v>45314</v>
      </c>
      <c r="C285" s="10">
        <f t="shared" si="92"/>
        <v>842</v>
      </c>
      <c r="D285" s="9">
        <f t="shared" si="83"/>
        <v>1768</v>
      </c>
      <c r="E285" s="8">
        <f t="shared" si="84"/>
        <v>896</v>
      </c>
      <c r="F285" s="8">
        <f t="shared" si="85"/>
        <v>913</v>
      </c>
      <c r="G285" s="8">
        <f t="shared" si="86"/>
        <v>841</v>
      </c>
      <c r="H285" s="5">
        <f t="shared" si="87"/>
        <v>1714</v>
      </c>
      <c r="I285" s="5">
        <f t="shared" si="88"/>
        <v>1697</v>
      </c>
      <c r="J285" s="5">
        <f t="shared" si="89"/>
        <v>1769</v>
      </c>
      <c r="K285" s="5">
        <f t="shared" si="93"/>
        <v>2000</v>
      </c>
      <c r="L285" s="5">
        <f t="shared" si="94"/>
        <v>2000</v>
      </c>
      <c r="M285" s="5">
        <f t="shared" si="95"/>
        <v>2000</v>
      </c>
      <c r="N285" s="5">
        <f t="shared" si="96"/>
        <v>-286</v>
      </c>
      <c r="O285" s="5">
        <f t="shared" si="97"/>
        <v>-303</v>
      </c>
      <c r="P285" s="5">
        <f t="shared" si="98"/>
        <v>-231</v>
      </c>
      <c r="Q285" s="8">
        <v>0</v>
      </c>
      <c r="R285" s="8">
        <v>0</v>
      </c>
      <c r="S285" s="8">
        <v>0</v>
      </c>
      <c r="T285" s="6">
        <f t="shared" si="90"/>
        <v>1933</v>
      </c>
      <c r="U285" s="7">
        <f t="shared" si="80"/>
        <v>694</v>
      </c>
      <c r="V285" s="7">
        <f t="shared" si="81"/>
        <v>677</v>
      </c>
      <c r="W285" s="7">
        <f t="shared" si="82"/>
        <v>689</v>
      </c>
      <c r="X285" s="6"/>
      <c r="Y285" s="5"/>
      <c r="Z285" s="5"/>
      <c r="AA285" s="5"/>
      <c r="AB285" s="5"/>
    </row>
    <row r="286" spans="1:28" ht="13.15" customHeight="1">
      <c r="A286" s="13">
        <v>272</v>
      </c>
      <c r="B286" s="4">
        <f t="shared" si="91"/>
        <v>45315</v>
      </c>
      <c r="C286" s="10">
        <f t="shared" si="92"/>
        <v>842</v>
      </c>
      <c r="D286" s="9">
        <f t="shared" si="83"/>
        <v>1770</v>
      </c>
      <c r="E286" s="8">
        <f t="shared" si="84"/>
        <v>898</v>
      </c>
      <c r="F286" s="8">
        <f t="shared" si="85"/>
        <v>915</v>
      </c>
      <c r="G286" s="8">
        <f t="shared" si="86"/>
        <v>843</v>
      </c>
      <c r="H286" s="5">
        <f t="shared" si="87"/>
        <v>1714</v>
      </c>
      <c r="I286" s="5">
        <f t="shared" si="88"/>
        <v>1697</v>
      </c>
      <c r="J286" s="5">
        <f t="shared" si="89"/>
        <v>1769</v>
      </c>
      <c r="K286" s="5">
        <f t="shared" si="93"/>
        <v>2000</v>
      </c>
      <c r="L286" s="5">
        <f t="shared" si="94"/>
        <v>2000</v>
      </c>
      <c r="M286" s="5">
        <f t="shared" si="95"/>
        <v>2000</v>
      </c>
      <c r="N286" s="5">
        <f t="shared" si="96"/>
        <v>-286</v>
      </c>
      <c r="O286" s="5">
        <f t="shared" si="97"/>
        <v>-303</v>
      </c>
      <c r="P286" s="5">
        <f t="shared" si="98"/>
        <v>-231</v>
      </c>
      <c r="Q286" s="8">
        <v>0</v>
      </c>
      <c r="R286" s="8">
        <v>0</v>
      </c>
      <c r="S286" s="8">
        <v>0</v>
      </c>
      <c r="T286" s="6">
        <f t="shared" si="90"/>
        <v>1935</v>
      </c>
      <c r="U286" s="7">
        <f t="shared" si="80"/>
        <v>694</v>
      </c>
      <c r="V286" s="7">
        <f t="shared" si="81"/>
        <v>677</v>
      </c>
      <c r="W286" s="7">
        <f t="shared" si="82"/>
        <v>689</v>
      </c>
      <c r="X286" s="6"/>
      <c r="Y286" s="5"/>
      <c r="Z286" s="5"/>
      <c r="AA286" s="5"/>
      <c r="AB286" s="5"/>
    </row>
    <row r="287" spans="1:28" ht="13.15" customHeight="1">
      <c r="A287" s="13">
        <v>273</v>
      </c>
      <c r="B287" s="4">
        <f t="shared" si="91"/>
        <v>45316</v>
      </c>
      <c r="C287" s="10">
        <f t="shared" si="92"/>
        <v>842</v>
      </c>
      <c r="D287" s="9">
        <f t="shared" si="83"/>
        <v>1772</v>
      </c>
      <c r="E287" s="8">
        <f t="shared" si="84"/>
        <v>900</v>
      </c>
      <c r="F287" s="8">
        <f t="shared" si="85"/>
        <v>917</v>
      </c>
      <c r="G287" s="8">
        <f t="shared" si="86"/>
        <v>845</v>
      </c>
      <c r="H287" s="5">
        <f t="shared" si="87"/>
        <v>1714</v>
      </c>
      <c r="I287" s="5">
        <f t="shared" si="88"/>
        <v>1697</v>
      </c>
      <c r="J287" s="5">
        <f t="shared" si="89"/>
        <v>1769</v>
      </c>
      <c r="K287" s="5">
        <f t="shared" si="93"/>
        <v>2000</v>
      </c>
      <c r="L287" s="5">
        <f t="shared" si="94"/>
        <v>2000</v>
      </c>
      <c r="M287" s="5">
        <f t="shared" si="95"/>
        <v>2000</v>
      </c>
      <c r="N287" s="5">
        <f t="shared" si="96"/>
        <v>-286</v>
      </c>
      <c r="O287" s="5">
        <f t="shared" si="97"/>
        <v>-303</v>
      </c>
      <c r="P287" s="5">
        <f t="shared" si="98"/>
        <v>-231</v>
      </c>
      <c r="Q287" s="8">
        <v>0</v>
      </c>
      <c r="R287" s="8">
        <v>0</v>
      </c>
      <c r="S287" s="8">
        <v>0</v>
      </c>
      <c r="T287" s="6">
        <f t="shared" si="90"/>
        <v>1937</v>
      </c>
      <c r="U287" s="7">
        <f t="shared" si="80"/>
        <v>694</v>
      </c>
      <c r="V287" s="7">
        <f t="shared" si="81"/>
        <v>677</v>
      </c>
      <c r="W287" s="7">
        <f t="shared" si="82"/>
        <v>689</v>
      </c>
      <c r="X287" s="6"/>
      <c r="Y287" s="5"/>
      <c r="Z287" s="5"/>
      <c r="AA287" s="5"/>
      <c r="AB287" s="5"/>
    </row>
    <row r="288" spans="1:28" ht="13.15" customHeight="1">
      <c r="A288" s="13">
        <v>274</v>
      </c>
      <c r="B288" s="4">
        <f t="shared" si="91"/>
        <v>45317</v>
      </c>
      <c r="C288" s="10">
        <f t="shared" si="92"/>
        <v>842</v>
      </c>
      <c r="D288" s="9">
        <f t="shared" si="83"/>
        <v>1774</v>
      </c>
      <c r="E288" s="8">
        <f t="shared" si="84"/>
        <v>902</v>
      </c>
      <c r="F288" s="8">
        <f t="shared" si="85"/>
        <v>919</v>
      </c>
      <c r="G288" s="8">
        <f t="shared" si="86"/>
        <v>847</v>
      </c>
      <c r="H288" s="5">
        <f t="shared" si="87"/>
        <v>1714</v>
      </c>
      <c r="I288" s="5">
        <f t="shared" si="88"/>
        <v>1697</v>
      </c>
      <c r="J288" s="5">
        <f t="shared" si="89"/>
        <v>1769</v>
      </c>
      <c r="K288" s="5">
        <f t="shared" si="93"/>
        <v>2000</v>
      </c>
      <c r="L288" s="5">
        <f t="shared" si="94"/>
        <v>2000</v>
      </c>
      <c r="M288" s="5">
        <f t="shared" si="95"/>
        <v>2000</v>
      </c>
      <c r="N288" s="5">
        <f t="shared" si="96"/>
        <v>-286</v>
      </c>
      <c r="O288" s="5">
        <f t="shared" si="97"/>
        <v>-303</v>
      </c>
      <c r="P288" s="5">
        <f t="shared" si="98"/>
        <v>-231</v>
      </c>
      <c r="Q288" s="8">
        <v>0</v>
      </c>
      <c r="R288" s="8">
        <v>0</v>
      </c>
      <c r="S288" s="8">
        <v>0</v>
      </c>
      <c r="T288" s="6">
        <f t="shared" si="90"/>
        <v>1939</v>
      </c>
      <c r="U288" s="7">
        <f t="shared" si="80"/>
        <v>694</v>
      </c>
      <c r="V288" s="7">
        <f t="shared" si="81"/>
        <v>677</v>
      </c>
      <c r="W288" s="7">
        <f t="shared" si="82"/>
        <v>689</v>
      </c>
      <c r="X288" s="6"/>
      <c r="Y288" s="5"/>
      <c r="Z288" s="5"/>
      <c r="AA288" s="5"/>
      <c r="AB288" s="5"/>
    </row>
    <row r="289" spans="1:28" ht="13.15" customHeight="1">
      <c r="A289" s="13">
        <v>275</v>
      </c>
      <c r="B289" s="4">
        <f t="shared" si="91"/>
        <v>45318</v>
      </c>
      <c r="C289" s="10">
        <f t="shared" si="92"/>
        <v>842</v>
      </c>
      <c r="D289" s="9">
        <f t="shared" si="83"/>
        <v>1776</v>
      </c>
      <c r="E289" s="8">
        <f t="shared" si="84"/>
        <v>904</v>
      </c>
      <c r="F289" s="8">
        <f t="shared" si="85"/>
        <v>921</v>
      </c>
      <c r="G289" s="8">
        <f t="shared" si="86"/>
        <v>849</v>
      </c>
      <c r="H289" s="5">
        <f t="shared" si="87"/>
        <v>1714</v>
      </c>
      <c r="I289" s="5">
        <f t="shared" si="88"/>
        <v>1697</v>
      </c>
      <c r="J289" s="5">
        <f t="shared" si="89"/>
        <v>1769</v>
      </c>
      <c r="K289" s="5">
        <f t="shared" si="93"/>
        <v>2000</v>
      </c>
      <c r="L289" s="5">
        <f t="shared" si="94"/>
        <v>2000</v>
      </c>
      <c r="M289" s="5">
        <f t="shared" si="95"/>
        <v>2000</v>
      </c>
      <c r="N289" s="5">
        <f t="shared" si="96"/>
        <v>-286</v>
      </c>
      <c r="O289" s="5">
        <f t="shared" si="97"/>
        <v>-303</v>
      </c>
      <c r="P289" s="5">
        <f t="shared" si="98"/>
        <v>-231</v>
      </c>
      <c r="Q289" s="8">
        <v>0</v>
      </c>
      <c r="R289" s="8">
        <v>0</v>
      </c>
      <c r="S289" s="8">
        <v>0</v>
      </c>
      <c r="T289" s="6">
        <f t="shared" si="90"/>
        <v>1941</v>
      </c>
      <c r="U289" s="7">
        <f t="shared" si="80"/>
        <v>694</v>
      </c>
      <c r="V289" s="7">
        <f t="shared" si="81"/>
        <v>677</v>
      </c>
      <c r="W289" s="7">
        <f t="shared" si="82"/>
        <v>689</v>
      </c>
      <c r="X289" s="6"/>
      <c r="Y289" s="5"/>
      <c r="Z289" s="5"/>
      <c r="AA289" s="5"/>
      <c r="AB289" s="5"/>
    </row>
    <row r="290" spans="1:28" ht="13.15" customHeight="1">
      <c r="A290" s="13">
        <v>276</v>
      </c>
      <c r="B290" s="4">
        <f t="shared" si="91"/>
        <v>45319</v>
      </c>
      <c r="C290" s="10">
        <f t="shared" si="92"/>
        <v>842</v>
      </c>
      <c r="D290" s="9">
        <f t="shared" si="83"/>
        <v>1778</v>
      </c>
      <c r="E290" s="8">
        <f t="shared" si="84"/>
        <v>906</v>
      </c>
      <c r="F290" s="8">
        <f t="shared" si="85"/>
        <v>923</v>
      </c>
      <c r="G290" s="8">
        <f t="shared" si="86"/>
        <v>851</v>
      </c>
      <c r="H290" s="5">
        <f t="shared" si="87"/>
        <v>1714</v>
      </c>
      <c r="I290" s="5">
        <f t="shared" si="88"/>
        <v>1697</v>
      </c>
      <c r="J290" s="5">
        <f t="shared" si="89"/>
        <v>1769</v>
      </c>
      <c r="K290" s="5">
        <f t="shared" si="93"/>
        <v>2000</v>
      </c>
      <c r="L290" s="5">
        <f t="shared" si="94"/>
        <v>2000</v>
      </c>
      <c r="M290" s="5">
        <f t="shared" si="95"/>
        <v>2000</v>
      </c>
      <c r="N290" s="5">
        <f t="shared" si="96"/>
        <v>-286</v>
      </c>
      <c r="O290" s="5">
        <f t="shared" si="97"/>
        <v>-303</v>
      </c>
      <c r="P290" s="5">
        <f t="shared" si="98"/>
        <v>-231</v>
      </c>
      <c r="Q290" s="8">
        <v>0</v>
      </c>
      <c r="R290" s="8">
        <v>0</v>
      </c>
      <c r="S290" s="8">
        <v>0</v>
      </c>
      <c r="T290" s="6">
        <f t="shared" si="90"/>
        <v>1943</v>
      </c>
      <c r="U290" s="7">
        <f t="shared" si="80"/>
        <v>694</v>
      </c>
      <c r="V290" s="7">
        <f t="shared" si="81"/>
        <v>677</v>
      </c>
      <c r="W290" s="7">
        <f t="shared" si="82"/>
        <v>689</v>
      </c>
      <c r="X290" s="6"/>
      <c r="Y290" s="5"/>
      <c r="Z290" s="5"/>
      <c r="AA290" s="5"/>
      <c r="AB290" s="5"/>
    </row>
    <row r="291" spans="1:28" ht="13.15" customHeight="1">
      <c r="A291" s="13">
        <v>277</v>
      </c>
      <c r="B291" s="4">
        <f t="shared" si="91"/>
        <v>45320</v>
      </c>
      <c r="C291" s="10">
        <f t="shared" si="92"/>
        <v>842</v>
      </c>
      <c r="D291" s="9">
        <f t="shared" si="83"/>
        <v>1780</v>
      </c>
      <c r="E291" s="8">
        <f t="shared" si="84"/>
        <v>908</v>
      </c>
      <c r="F291" s="8">
        <f t="shared" si="85"/>
        <v>925</v>
      </c>
      <c r="G291" s="8">
        <f t="shared" si="86"/>
        <v>853</v>
      </c>
      <c r="H291" s="5">
        <f t="shared" si="87"/>
        <v>1714</v>
      </c>
      <c r="I291" s="5">
        <f t="shared" si="88"/>
        <v>1697</v>
      </c>
      <c r="J291" s="5">
        <f t="shared" si="89"/>
        <v>1769</v>
      </c>
      <c r="K291" s="5">
        <f t="shared" si="93"/>
        <v>2000</v>
      </c>
      <c r="L291" s="5">
        <f t="shared" si="94"/>
        <v>2000</v>
      </c>
      <c r="M291" s="5">
        <f t="shared" si="95"/>
        <v>2000</v>
      </c>
      <c r="N291" s="5">
        <f t="shared" si="96"/>
        <v>-286</v>
      </c>
      <c r="O291" s="5">
        <f t="shared" si="97"/>
        <v>-303</v>
      </c>
      <c r="P291" s="5">
        <f t="shared" si="98"/>
        <v>-231</v>
      </c>
      <c r="Q291" s="8">
        <v>0</v>
      </c>
      <c r="R291" s="8">
        <v>0</v>
      </c>
      <c r="S291" s="8">
        <v>0</v>
      </c>
      <c r="T291" s="6">
        <f t="shared" si="90"/>
        <v>1945</v>
      </c>
      <c r="U291" s="7">
        <f t="shared" si="80"/>
        <v>694</v>
      </c>
      <c r="V291" s="7">
        <f t="shared" si="81"/>
        <v>677</v>
      </c>
      <c r="W291" s="7">
        <f t="shared" si="82"/>
        <v>689</v>
      </c>
      <c r="X291" s="6"/>
      <c r="Y291" s="5"/>
      <c r="Z291" s="5"/>
      <c r="AA291" s="5"/>
      <c r="AB291" s="5"/>
    </row>
    <row r="292" spans="1:28" ht="13.15" customHeight="1">
      <c r="A292" s="13">
        <v>278</v>
      </c>
      <c r="B292" s="4">
        <f t="shared" si="91"/>
        <v>45321</v>
      </c>
      <c r="C292" s="10">
        <f t="shared" si="92"/>
        <v>842</v>
      </c>
      <c r="D292" s="9">
        <f t="shared" si="83"/>
        <v>1782</v>
      </c>
      <c r="E292" s="8">
        <f t="shared" si="84"/>
        <v>910</v>
      </c>
      <c r="F292" s="8">
        <f t="shared" si="85"/>
        <v>927</v>
      </c>
      <c r="G292" s="8">
        <f t="shared" si="86"/>
        <v>855</v>
      </c>
      <c r="H292" s="5">
        <f t="shared" si="87"/>
        <v>1714</v>
      </c>
      <c r="I292" s="5">
        <f t="shared" si="88"/>
        <v>1697</v>
      </c>
      <c r="J292" s="5">
        <f t="shared" si="89"/>
        <v>1769</v>
      </c>
      <c r="K292" s="5">
        <f t="shared" si="93"/>
        <v>2000</v>
      </c>
      <c r="L292" s="5">
        <f t="shared" si="94"/>
        <v>2000</v>
      </c>
      <c r="M292" s="5">
        <f t="shared" si="95"/>
        <v>2000</v>
      </c>
      <c r="N292" s="5">
        <f t="shared" si="96"/>
        <v>-286</v>
      </c>
      <c r="O292" s="5">
        <f t="shared" si="97"/>
        <v>-303</v>
      </c>
      <c r="P292" s="5">
        <f t="shared" si="98"/>
        <v>-231</v>
      </c>
      <c r="Q292" s="8">
        <v>0</v>
      </c>
      <c r="R292" s="8">
        <v>0</v>
      </c>
      <c r="S292" s="8">
        <v>0</v>
      </c>
      <c r="T292" s="6">
        <f t="shared" si="90"/>
        <v>1947</v>
      </c>
      <c r="U292" s="7">
        <f t="shared" si="80"/>
        <v>694</v>
      </c>
      <c r="V292" s="7">
        <f t="shared" si="81"/>
        <v>677</v>
      </c>
      <c r="W292" s="7">
        <f t="shared" si="82"/>
        <v>689</v>
      </c>
      <c r="X292" s="6"/>
      <c r="Y292" s="5"/>
      <c r="Z292" s="5"/>
      <c r="AA292" s="5"/>
      <c r="AB292" s="5"/>
    </row>
    <row r="293" spans="1:28" ht="13.15" customHeight="1">
      <c r="A293" s="13">
        <v>279</v>
      </c>
      <c r="B293" s="4">
        <f t="shared" si="91"/>
        <v>45322</v>
      </c>
      <c r="C293" s="10">
        <f t="shared" si="92"/>
        <v>842</v>
      </c>
      <c r="D293" s="9">
        <f t="shared" si="83"/>
        <v>1784</v>
      </c>
      <c r="E293" s="8">
        <f t="shared" si="84"/>
        <v>912</v>
      </c>
      <c r="F293" s="8">
        <f t="shared" si="85"/>
        <v>929</v>
      </c>
      <c r="G293" s="8">
        <f t="shared" si="86"/>
        <v>857</v>
      </c>
      <c r="H293" s="5">
        <f t="shared" si="87"/>
        <v>1714</v>
      </c>
      <c r="I293" s="5">
        <f t="shared" si="88"/>
        <v>1697</v>
      </c>
      <c r="J293" s="5">
        <f t="shared" si="89"/>
        <v>1769</v>
      </c>
      <c r="K293" s="5">
        <f t="shared" si="93"/>
        <v>2000</v>
      </c>
      <c r="L293" s="5">
        <f t="shared" si="94"/>
        <v>2000</v>
      </c>
      <c r="M293" s="5">
        <f t="shared" si="95"/>
        <v>2000</v>
      </c>
      <c r="N293" s="5">
        <f t="shared" si="96"/>
        <v>-286</v>
      </c>
      <c r="O293" s="5">
        <f t="shared" si="97"/>
        <v>-303</v>
      </c>
      <c r="P293" s="5">
        <f t="shared" si="98"/>
        <v>-231</v>
      </c>
      <c r="Q293" s="8">
        <v>0</v>
      </c>
      <c r="R293" s="8">
        <v>0</v>
      </c>
      <c r="S293" s="8">
        <v>0</v>
      </c>
      <c r="T293" s="6">
        <f t="shared" si="90"/>
        <v>1949</v>
      </c>
      <c r="U293" s="7">
        <f t="shared" si="80"/>
        <v>694</v>
      </c>
      <c r="V293" s="7">
        <f t="shared" si="81"/>
        <v>677</v>
      </c>
      <c r="W293" s="7">
        <f t="shared" si="82"/>
        <v>689</v>
      </c>
      <c r="X293" s="6"/>
      <c r="Y293" s="5"/>
      <c r="Z293" s="5"/>
      <c r="AA293" s="5"/>
      <c r="AB293" s="5"/>
    </row>
    <row r="294" spans="1:28" ht="13.15" customHeight="1">
      <c r="A294" s="13">
        <v>280</v>
      </c>
      <c r="B294" s="4">
        <f t="shared" si="91"/>
        <v>45323</v>
      </c>
      <c r="C294" s="10">
        <f t="shared" si="92"/>
        <v>842</v>
      </c>
      <c r="D294" s="9">
        <f t="shared" si="83"/>
        <v>1786</v>
      </c>
      <c r="E294" s="8">
        <f t="shared" si="84"/>
        <v>914</v>
      </c>
      <c r="F294" s="8">
        <f t="shared" si="85"/>
        <v>931</v>
      </c>
      <c r="G294" s="8">
        <f t="shared" si="86"/>
        <v>859</v>
      </c>
      <c r="H294" s="5">
        <f t="shared" si="87"/>
        <v>1714</v>
      </c>
      <c r="I294" s="5">
        <f t="shared" si="88"/>
        <v>1697</v>
      </c>
      <c r="J294" s="5">
        <f t="shared" si="89"/>
        <v>1769</v>
      </c>
      <c r="K294" s="5">
        <f t="shared" si="93"/>
        <v>2000</v>
      </c>
      <c r="L294" s="5">
        <f t="shared" si="94"/>
        <v>2000</v>
      </c>
      <c r="M294" s="5">
        <f t="shared" si="95"/>
        <v>2000</v>
      </c>
      <c r="N294" s="5">
        <f t="shared" si="96"/>
        <v>-286</v>
      </c>
      <c r="O294" s="5">
        <f t="shared" si="97"/>
        <v>-303</v>
      </c>
      <c r="P294" s="5">
        <f t="shared" si="98"/>
        <v>-231</v>
      </c>
      <c r="Q294" s="8">
        <v>0</v>
      </c>
      <c r="R294" s="8">
        <v>0</v>
      </c>
      <c r="S294" s="8">
        <v>0</v>
      </c>
      <c r="T294" s="6">
        <f t="shared" si="90"/>
        <v>1951</v>
      </c>
      <c r="U294" s="7">
        <f t="shared" si="80"/>
        <v>694</v>
      </c>
      <c r="V294" s="7">
        <f t="shared" si="81"/>
        <v>677</v>
      </c>
      <c r="W294" s="7">
        <f t="shared" si="82"/>
        <v>689</v>
      </c>
      <c r="X294" s="6"/>
      <c r="Y294" s="5"/>
      <c r="Z294" s="5"/>
      <c r="AA294" s="5"/>
      <c r="AB294" s="5"/>
    </row>
    <row r="295" spans="1:28" ht="13.15" customHeight="1">
      <c r="A295" s="13">
        <v>281</v>
      </c>
      <c r="B295" s="4">
        <f t="shared" si="91"/>
        <v>45324</v>
      </c>
      <c r="C295" s="10">
        <f t="shared" si="92"/>
        <v>842</v>
      </c>
      <c r="D295" s="9">
        <f t="shared" si="83"/>
        <v>1788</v>
      </c>
      <c r="E295" s="8">
        <f t="shared" si="84"/>
        <v>916</v>
      </c>
      <c r="F295" s="8">
        <f t="shared" si="85"/>
        <v>933</v>
      </c>
      <c r="G295" s="8">
        <f t="shared" si="86"/>
        <v>861</v>
      </c>
      <c r="H295" s="5">
        <f t="shared" si="87"/>
        <v>1714</v>
      </c>
      <c r="I295" s="5">
        <f t="shared" si="88"/>
        <v>1697</v>
      </c>
      <c r="J295" s="5">
        <f t="shared" si="89"/>
        <v>1769</v>
      </c>
      <c r="K295" s="5">
        <f t="shared" si="93"/>
        <v>2000</v>
      </c>
      <c r="L295" s="5">
        <f t="shared" si="94"/>
        <v>2000</v>
      </c>
      <c r="M295" s="5">
        <f t="shared" si="95"/>
        <v>2000</v>
      </c>
      <c r="N295" s="5">
        <f t="shared" si="96"/>
        <v>-286</v>
      </c>
      <c r="O295" s="5">
        <f t="shared" si="97"/>
        <v>-303</v>
      </c>
      <c r="P295" s="5">
        <f t="shared" si="98"/>
        <v>-231</v>
      </c>
      <c r="Q295" s="8">
        <v>0</v>
      </c>
      <c r="R295" s="8">
        <v>0</v>
      </c>
      <c r="S295" s="8">
        <v>0</v>
      </c>
      <c r="T295" s="6">
        <f t="shared" si="90"/>
        <v>1953</v>
      </c>
      <c r="U295" s="7">
        <f t="shared" si="80"/>
        <v>694</v>
      </c>
      <c r="V295" s="7">
        <f t="shared" si="81"/>
        <v>677</v>
      </c>
      <c r="W295" s="7">
        <f t="shared" si="82"/>
        <v>689</v>
      </c>
      <c r="X295" s="6"/>
      <c r="Y295" s="5"/>
      <c r="Z295" s="5"/>
      <c r="AA295" s="5"/>
      <c r="AB295" s="5"/>
    </row>
    <row r="296" spans="1:28" ht="13.15" customHeight="1">
      <c r="A296" s="13">
        <v>282</v>
      </c>
      <c r="B296" s="4">
        <f t="shared" si="91"/>
        <v>45325</v>
      </c>
      <c r="C296" s="10">
        <f t="shared" si="92"/>
        <v>842</v>
      </c>
      <c r="D296" s="9">
        <f t="shared" si="83"/>
        <v>1790</v>
      </c>
      <c r="E296" s="8">
        <f t="shared" si="84"/>
        <v>918</v>
      </c>
      <c r="F296" s="8">
        <f t="shared" si="85"/>
        <v>935</v>
      </c>
      <c r="G296" s="8">
        <f t="shared" si="86"/>
        <v>863</v>
      </c>
      <c r="H296" s="5">
        <f t="shared" si="87"/>
        <v>1714</v>
      </c>
      <c r="I296" s="5">
        <f t="shared" si="88"/>
        <v>1697</v>
      </c>
      <c r="J296" s="5">
        <f t="shared" si="89"/>
        <v>1769</v>
      </c>
      <c r="K296" s="5">
        <f t="shared" si="93"/>
        <v>2000</v>
      </c>
      <c r="L296" s="5">
        <f t="shared" si="94"/>
        <v>2000</v>
      </c>
      <c r="M296" s="5">
        <f t="shared" si="95"/>
        <v>2000</v>
      </c>
      <c r="N296" s="5">
        <f t="shared" si="96"/>
        <v>-286</v>
      </c>
      <c r="O296" s="5">
        <f t="shared" si="97"/>
        <v>-303</v>
      </c>
      <c r="P296" s="5">
        <f t="shared" si="98"/>
        <v>-231</v>
      </c>
      <c r="Q296" s="8">
        <v>0</v>
      </c>
      <c r="R296" s="8">
        <v>0</v>
      </c>
      <c r="S296" s="8">
        <v>0</v>
      </c>
      <c r="T296" s="6">
        <f t="shared" si="90"/>
        <v>1955</v>
      </c>
      <c r="U296" s="7">
        <f t="shared" ref="U296:U359" si="99">U295+$X296*1000-Q296</f>
        <v>694</v>
      </c>
      <c r="V296" s="7">
        <f t="shared" ref="V296:V359" si="100">V295+$X296*1000-R296</f>
        <v>677</v>
      </c>
      <c r="W296" s="7">
        <f t="shared" ref="W296:W359" si="101">W295+$X296*1000-S296</f>
        <v>689</v>
      </c>
      <c r="X296" s="6"/>
      <c r="Y296" s="5"/>
      <c r="Z296" s="5"/>
      <c r="AA296" s="5"/>
      <c r="AB296" s="5"/>
    </row>
    <row r="297" spans="1:28" ht="13.15" customHeight="1">
      <c r="A297" s="13">
        <v>283</v>
      </c>
      <c r="B297" s="4">
        <f t="shared" si="91"/>
        <v>45326</v>
      </c>
      <c r="C297" s="10">
        <f t="shared" si="92"/>
        <v>842</v>
      </c>
      <c r="D297" s="9">
        <f t="shared" si="83"/>
        <v>1792</v>
      </c>
      <c r="E297" s="8">
        <f t="shared" si="84"/>
        <v>920</v>
      </c>
      <c r="F297" s="8">
        <f t="shared" si="85"/>
        <v>937</v>
      </c>
      <c r="G297" s="8">
        <f t="shared" si="86"/>
        <v>865</v>
      </c>
      <c r="H297" s="5">
        <f t="shared" si="87"/>
        <v>1714</v>
      </c>
      <c r="I297" s="5">
        <f t="shared" si="88"/>
        <v>1697</v>
      </c>
      <c r="J297" s="5">
        <f t="shared" si="89"/>
        <v>1769</v>
      </c>
      <c r="K297" s="5">
        <f t="shared" si="93"/>
        <v>2000</v>
      </c>
      <c r="L297" s="5">
        <f t="shared" si="94"/>
        <v>2000</v>
      </c>
      <c r="M297" s="5">
        <f t="shared" si="95"/>
        <v>2000</v>
      </c>
      <c r="N297" s="5">
        <f t="shared" si="96"/>
        <v>-286</v>
      </c>
      <c r="O297" s="5">
        <f t="shared" si="97"/>
        <v>-303</v>
      </c>
      <c r="P297" s="5">
        <f t="shared" si="98"/>
        <v>-231</v>
      </c>
      <c r="Q297" s="8">
        <v>0</v>
      </c>
      <c r="R297" s="8">
        <v>0</v>
      </c>
      <c r="S297" s="8">
        <v>0</v>
      </c>
      <c r="T297" s="6">
        <f t="shared" si="90"/>
        <v>1957</v>
      </c>
      <c r="U297" s="7">
        <f t="shared" si="99"/>
        <v>694</v>
      </c>
      <c r="V297" s="7">
        <f t="shared" si="100"/>
        <v>677</v>
      </c>
      <c r="W297" s="7">
        <f t="shared" si="101"/>
        <v>689</v>
      </c>
      <c r="X297" s="6"/>
      <c r="Y297" s="5"/>
      <c r="Z297" s="5"/>
      <c r="AA297" s="5"/>
      <c r="AB297" s="5"/>
    </row>
    <row r="298" spans="1:28" ht="13.15" customHeight="1">
      <c r="A298" s="13">
        <v>284</v>
      </c>
      <c r="B298" s="4">
        <f t="shared" si="91"/>
        <v>45327</v>
      </c>
      <c r="C298" s="10">
        <f t="shared" si="92"/>
        <v>842</v>
      </c>
      <c r="D298" s="9">
        <f t="shared" si="83"/>
        <v>1794</v>
      </c>
      <c r="E298" s="8">
        <f t="shared" si="84"/>
        <v>922</v>
      </c>
      <c r="F298" s="8">
        <f t="shared" si="85"/>
        <v>939</v>
      </c>
      <c r="G298" s="8">
        <f t="shared" si="86"/>
        <v>867</v>
      </c>
      <c r="H298" s="5">
        <f t="shared" si="87"/>
        <v>1714</v>
      </c>
      <c r="I298" s="5">
        <f t="shared" si="88"/>
        <v>1697</v>
      </c>
      <c r="J298" s="5">
        <f t="shared" si="89"/>
        <v>1769</v>
      </c>
      <c r="K298" s="5">
        <f t="shared" si="93"/>
        <v>2000</v>
      </c>
      <c r="L298" s="5">
        <f t="shared" si="94"/>
        <v>2000</v>
      </c>
      <c r="M298" s="5">
        <f t="shared" si="95"/>
        <v>2000</v>
      </c>
      <c r="N298" s="5">
        <f t="shared" si="96"/>
        <v>-286</v>
      </c>
      <c r="O298" s="5">
        <f t="shared" si="97"/>
        <v>-303</v>
      </c>
      <c r="P298" s="5">
        <f t="shared" si="98"/>
        <v>-231</v>
      </c>
      <c r="Q298" s="8">
        <v>0</v>
      </c>
      <c r="R298" s="8">
        <v>0</v>
      </c>
      <c r="S298" s="8">
        <v>0</v>
      </c>
      <c r="T298" s="6">
        <f t="shared" si="90"/>
        <v>1959</v>
      </c>
      <c r="U298" s="7">
        <f t="shared" si="99"/>
        <v>694</v>
      </c>
      <c r="V298" s="7">
        <f t="shared" si="100"/>
        <v>677</v>
      </c>
      <c r="W298" s="7">
        <f t="shared" si="101"/>
        <v>689</v>
      </c>
      <c r="X298" s="6"/>
      <c r="Y298" s="5"/>
      <c r="Z298" s="5"/>
      <c r="AA298" s="5"/>
      <c r="AB298" s="5"/>
    </row>
    <row r="299" spans="1:28" ht="13.15" customHeight="1">
      <c r="A299" s="13">
        <v>285</v>
      </c>
      <c r="B299" s="4">
        <f t="shared" si="91"/>
        <v>45328</v>
      </c>
      <c r="C299" s="10">
        <f t="shared" si="92"/>
        <v>842</v>
      </c>
      <c r="D299" s="9">
        <f t="shared" si="83"/>
        <v>1796</v>
      </c>
      <c r="E299" s="8">
        <f t="shared" si="84"/>
        <v>924</v>
      </c>
      <c r="F299" s="8">
        <f t="shared" si="85"/>
        <v>941</v>
      </c>
      <c r="G299" s="8">
        <f t="shared" si="86"/>
        <v>869</v>
      </c>
      <c r="H299" s="5">
        <f t="shared" si="87"/>
        <v>1714</v>
      </c>
      <c r="I299" s="5">
        <f t="shared" si="88"/>
        <v>1697</v>
      </c>
      <c r="J299" s="5">
        <f t="shared" si="89"/>
        <v>1769</v>
      </c>
      <c r="K299" s="5">
        <f t="shared" si="93"/>
        <v>2000</v>
      </c>
      <c r="L299" s="5">
        <f t="shared" si="94"/>
        <v>2000</v>
      </c>
      <c r="M299" s="5">
        <f t="shared" si="95"/>
        <v>2000</v>
      </c>
      <c r="N299" s="5">
        <f t="shared" si="96"/>
        <v>-286</v>
      </c>
      <c r="O299" s="5">
        <f t="shared" si="97"/>
        <v>-303</v>
      </c>
      <c r="P299" s="5">
        <f t="shared" si="98"/>
        <v>-231</v>
      </c>
      <c r="Q299" s="8">
        <v>0</v>
      </c>
      <c r="R299" s="8">
        <v>0</v>
      </c>
      <c r="S299" s="8">
        <v>0</v>
      </c>
      <c r="T299" s="6">
        <f t="shared" si="90"/>
        <v>1961</v>
      </c>
      <c r="U299" s="7">
        <f t="shared" si="99"/>
        <v>694</v>
      </c>
      <c r="V299" s="7">
        <f t="shared" si="100"/>
        <v>677</v>
      </c>
      <c r="W299" s="7">
        <f t="shared" si="101"/>
        <v>689</v>
      </c>
      <c r="X299" s="6"/>
      <c r="Y299" s="5"/>
      <c r="Z299" s="5"/>
      <c r="AA299" s="5"/>
      <c r="AB299" s="5"/>
    </row>
    <row r="300" spans="1:28" ht="13.15" customHeight="1">
      <c r="A300" s="13">
        <v>286</v>
      </c>
      <c r="B300" s="4">
        <f t="shared" si="91"/>
        <v>45329</v>
      </c>
      <c r="C300" s="10">
        <f t="shared" si="92"/>
        <v>842</v>
      </c>
      <c r="D300" s="9">
        <f t="shared" si="83"/>
        <v>1798</v>
      </c>
      <c r="E300" s="8">
        <f t="shared" si="84"/>
        <v>926</v>
      </c>
      <c r="F300" s="8">
        <f t="shared" si="85"/>
        <v>943</v>
      </c>
      <c r="G300" s="8">
        <f t="shared" si="86"/>
        <v>871</v>
      </c>
      <c r="H300" s="5">
        <f t="shared" si="87"/>
        <v>1714</v>
      </c>
      <c r="I300" s="5">
        <f t="shared" si="88"/>
        <v>1697</v>
      </c>
      <c r="J300" s="5">
        <f t="shared" si="89"/>
        <v>1769</v>
      </c>
      <c r="K300" s="5">
        <f t="shared" si="93"/>
        <v>2000</v>
      </c>
      <c r="L300" s="5">
        <f t="shared" si="94"/>
        <v>2000</v>
      </c>
      <c r="M300" s="5">
        <f t="shared" si="95"/>
        <v>2000</v>
      </c>
      <c r="N300" s="5">
        <f t="shared" si="96"/>
        <v>-286</v>
      </c>
      <c r="O300" s="5">
        <f t="shared" si="97"/>
        <v>-303</v>
      </c>
      <c r="P300" s="5">
        <f t="shared" si="98"/>
        <v>-231</v>
      </c>
      <c r="Q300" s="8">
        <v>0</v>
      </c>
      <c r="R300" s="8">
        <v>0</v>
      </c>
      <c r="S300" s="8">
        <v>0</v>
      </c>
      <c r="T300" s="6">
        <f t="shared" si="90"/>
        <v>1963</v>
      </c>
      <c r="U300" s="7">
        <f t="shared" si="99"/>
        <v>694</v>
      </c>
      <c r="V300" s="7">
        <f t="shared" si="100"/>
        <v>677</v>
      </c>
      <c r="W300" s="7">
        <f t="shared" si="101"/>
        <v>689</v>
      </c>
      <c r="X300" s="6"/>
      <c r="Y300" s="5"/>
      <c r="Z300" s="5"/>
      <c r="AA300" s="5"/>
      <c r="AB300" s="5"/>
    </row>
    <row r="301" spans="1:28" ht="13.15" customHeight="1">
      <c r="A301" s="13">
        <v>287</v>
      </c>
      <c r="B301" s="4">
        <f t="shared" si="91"/>
        <v>45330</v>
      </c>
      <c r="C301" s="10">
        <f t="shared" si="92"/>
        <v>842</v>
      </c>
      <c r="D301" s="9">
        <f t="shared" si="83"/>
        <v>1800</v>
      </c>
      <c r="E301" s="8">
        <f t="shared" si="84"/>
        <v>928</v>
      </c>
      <c r="F301" s="8">
        <f t="shared" si="85"/>
        <v>945</v>
      </c>
      <c r="G301" s="8">
        <f t="shared" si="86"/>
        <v>873</v>
      </c>
      <c r="H301" s="5">
        <f t="shared" si="87"/>
        <v>1714</v>
      </c>
      <c r="I301" s="5">
        <f t="shared" si="88"/>
        <v>1697</v>
      </c>
      <c r="J301" s="5">
        <f t="shared" si="89"/>
        <v>1769</v>
      </c>
      <c r="K301" s="5">
        <f t="shared" si="93"/>
        <v>2000</v>
      </c>
      <c r="L301" s="5">
        <f t="shared" si="94"/>
        <v>2000</v>
      </c>
      <c r="M301" s="5">
        <f t="shared" si="95"/>
        <v>2000</v>
      </c>
      <c r="N301" s="5">
        <f t="shared" si="96"/>
        <v>-286</v>
      </c>
      <c r="O301" s="5">
        <f t="shared" si="97"/>
        <v>-303</v>
      </c>
      <c r="P301" s="5">
        <f t="shared" si="98"/>
        <v>-231</v>
      </c>
      <c r="Q301" s="8">
        <v>0</v>
      </c>
      <c r="R301" s="8">
        <v>0</v>
      </c>
      <c r="S301" s="8">
        <v>0</v>
      </c>
      <c r="T301" s="6">
        <f t="shared" si="90"/>
        <v>1965</v>
      </c>
      <c r="U301" s="7">
        <f t="shared" si="99"/>
        <v>694</v>
      </c>
      <c r="V301" s="7">
        <f t="shared" si="100"/>
        <v>677</v>
      </c>
      <c r="W301" s="7">
        <f t="shared" si="101"/>
        <v>689</v>
      </c>
      <c r="X301" s="6"/>
      <c r="Y301" s="5"/>
      <c r="Z301" s="5"/>
      <c r="AA301" s="5"/>
      <c r="AB301" s="5"/>
    </row>
    <row r="302" spans="1:28" ht="13.15" customHeight="1">
      <c r="A302" s="13">
        <v>288</v>
      </c>
      <c r="B302" s="4">
        <f t="shared" si="91"/>
        <v>45331</v>
      </c>
      <c r="C302" s="10">
        <f t="shared" si="92"/>
        <v>842</v>
      </c>
      <c r="D302" s="9">
        <f t="shared" si="83"/>
        <v>1802</v>
      </c>
      <c r="E302" s="8">
        <f t="shared" si="84"/>
        <v>930</v>
      </c>
      <c r="F302" s="8">
        <f t="shared" si="85"/>
        <v>947</v>
      </c>
      <c r="G302" s="8">
        <f t="shared" si="86"/>
        <v>875</v>
      </c>
      <c r="H302" s="5">
        <f t="shared" si="87"/>
        <v>1714</v>
      </c>
      <c r="I302" s="5">
        <f t="shared" si="88"/>
        <v>1697</v>
      </c>
      <c r="J302" s="5">
        <f t="shared" si="89"/>
        <v>1769</v>
      </c>
      <c r="K302" s="5">
        <f t="shared" si="93"/>
        <v>2000</v>
      </c>
      <c r="L302" s="5">
        <f t="shared" si="94"/>
        <v>2000</v>
      </c>
      <c r="M302" s="5">
        <f t="shared" si="95"/>
        <v>2000</v>
      </c>
      <c r="N302" s="5">
        <f t="shared" si="96"/>
        <v>-286</v>
      </c>
      <c r="O302" s="5">
        <f t="shared" si="97"/>
        <v>-303</v>
      </c>
      <c r="P302" s="5">
        <f t="shared" si="98"/>
        <v>-231</v>
      </c>
      <c r="Q302" s="8">
        <v>0</v>
      </c>
      <c r="R302" s="8">
        <v>0</v>
      </c>
      <c r="S302" s="8">
        <v>0</v>
      </c>
      <c r="T302" s="6">
        <f t="shared" si="90"/>
        <v>1967</v>
      </c>
      <c r="U302" s="7">
        <f t="shared" si="99"/>
        <v>694</v>
      </c>
      <c r="V302" s="7">
        <f t="shared" si="100"/>
        <v>677</v>
      </c>
      <c r="W302" s="7">
        <f t="shared" si="101"/>
        <v>689</v>
      </c>
      <c r="X302" s="6"/>
      <c r="Y302" s="5"/>
      <c r="Z302" s="5"/>
      <c r="AA302" s="5"/>
      <c r="AB302" s="5"/>
    </row>
    <row r="303" spans="1:28" ht="13.15" customHeight="1">
      <c r="A303" s="13">
        <v>289</v>
      </c>
      <c r="B303" s="4">
        <f t="shared" si="91"/>
        <v>45332</v>
      </c>
      <c r="C303" s="10">
        <f t="shared" si="92"/>
        <v>842</v>
      </c>
      <c r="D303" s="9">
        <f t="shared" si="83"/>
        <v>1804</v>
      </c>
      <c r="E303" s="8">
        <f t="shared" si="84"/>
        <v>932</v>
      </c>
      <c r="F303" s="8">
        <f t="shared" si="85"/>
        <v>949</v>
      </c>
      <c r="G303" s="8">
        <f t="shared" si="86"/>
        <v>877</v>
      </c>
      <c r="H303" s="5">
        <f t="shared" si="87"/>
        <v>1714</v>
      </c>
      <c r="I303" s="5">
        <f t="shared" si="88"/>
        <v>1697</v>
      </c>
      <c r="J303" s="5">
        <f t="shared" si="89"/>
        <v>1769</v>
      </c>
      <c r="K303" s="5">
        <f t="shared" si="93"/>
        <v>2000</v>
      </c>
      <c r="L303" s="5">
        <f t="shared" si="94"/>
        <v>2000</v>
      </c>
      <c r="M303" s="5">
        <f t="shared" si="95"/>
        <v>2000</v>
      </c>
      <c r="N303" s="5">
        <f t="shared" si="96"/>
        <v>-286</v>
      </c>
      <c r="O303" s="5">
        <f t="shared" si="97"/>
        <v>-303</v>
      </c>
      <c r="P303" s="5">
        <f t="shared" si="98"/>
        <v>-231</v>
      </c>
      <c r="Q303" s="8">
        <v>0</v>
      </c>
      <c r="R303" s="8">
        <v>0</v>
      </c>
      <c r="S303" s="8">
        <v>0</v>
      </c>
      <c r="T303" s="6">
        <f t="shared" si="90"/>
        <v>1969</v>
      </c>
      <c r="U303" s="7">
        <f t="shared" si="99"/>
        <v>694</v>
      </c>
      <c r="V303" s="7">
        <f t="shared" si="100"/>
        <v>677</v>
      </c>
      <c r="W303" s="7">
        <f t="shared" si="101"/>
        <v>689</v>
      </c>
      <c r="X303" s="6"/>
      <c r="Y303" s="5"/>
      <c r="Z303" s="5"/>
      <c r="AA303" s="5"/>
      <c r="AB303" s="5"/>
    </row>
    <row r="304" spans="1:28" ht="13.15" customHeight="1">
      <c r="A304" s="13">
        <v>290</v>
      </c>
      <c r="B304" s="4">
        <f t="shared" si="91"/>
        <v>45333</v>
      </c>
      <c r="C304" s="10">
        <f t="shared" si="92"/>
        <v>842</v>
      </c>
      <c r="D304" s="9">
        <f t="shared" si="83"/>
        <v>1806</v>
      </c>
      <c r="E304" s="8">
        <f t="shared" si="84"/>
        <v>934</v>
      </c>
      <c r="F304" s="8">
        <f t="shared" si="85"/>
        <v>951</v>
      </c>
      <c r="G304" s="8">
        <f t="shared" si="86"/>
        <v>879</v>
      </c>
      <c r="H304" s="5">
        <f t="shared" si="87"/>
        <v>1714</v>
      </c>
      <c r="I304" s="5">
        <f t="shared" si="88"/>
        <v>1697</v>
      </c>
      <c r="J304" s="5">
        <f t="shared" si="89"/>
        <v>1769</v>
      </c>
      <c r="K304" s="5">
        <f t="shared" si="93"/>
        <v>2000</v>
      </c>
      <c r="L304" s="5">
        <f t="shared" si="94"/>
        <v>2000</v>
      </c>
      <c r="M304" s="5">
        <f t="shared" si="95"/>
        <v>2000</v>
      </c>
      <c r="N304" s="5">
        <f t="shared" si="96"/>
        <v>-286</v>
      </c>
      <c r="O304" s="5">
        <f t="shared" si="97"/>
        <v>-303</v>
      </c>
      <c r="P304" s="5">
        <f t="shared" si="98"/>
        <v>-231</v>
      </c>
      <c r="Q304" s="8">
        <v>0</v>
      </c>
      <c r="R304" s="8">
        <v>0</v>
      </c>
      <c r="S304" s="8">
        <v>0</v>
      </c>
      <c r="T304" s="6">
        <f t="shared" si="90"/>
        <v>1971</v>
      </c>
      <c r="U304" s="7">
        <f t="shared" si="99"/>
        <v>694</v>
      </c>
      <c r="V304" s="7">
        <f t="shared" si="100"/>
        <v>677</v>
      </c>
      <c r="W304" s="7">
        <f t="shared" si="101"/>
        <v>689</v>
      </c>
      <c r="X304" s="6"/>
      <c r="Y304" s="5"/>
      <c r="Z304" s="5"/>
      <c r="AA304" s="5"/>
      <c r="AB304" s="5"/>
    </row>
    <row r="305" spans="1:28" ht="13.15" customHeight="1">
      <c r="A305" s="13">
        <v>291</v>
      </c>
      <c r="B305" s="4">
        <f t="shared" si="91"/>
        <v>45334</v>
      </c>
      <c r="C305" s="10">
        <f t="shared" si="92"/>
        <v>842</v>
      </c>
      <c r="D305" s="9">
        <f t="shared" si="83"/>
        <v>1808</v>
      </c>
      <c r="E305" s="8">
        <f t="shared" si="84"/>
        <v>936</v>
      </c>
      <c r="F305" s="8">
        <f t="shared" si="85"/>
        <v>953</v>
      </c>
      <c r="G305" s="8">
        <f t="shared" si="86"/>
        <v>881</v>
      </c>
      <c r="H305" s="5">
        <f t="shared" si="87"/>
        <v>1714</v>
      </c>
      <c r="I305" s="5">
        <f t="shared" si="88"/>
        <v>1697</v>
      </c>
      <c r="J305" s="5">
        <f t="shared" si="89"/>
        <v>1769</v>
      </c>
      <c r="K305" s="5">
        <f t="shared" si="93"/>
        <v>2000</v>
      </c>
      <c r="L305" s="5">
        <f t="shared" si="94"/>
        <v>2000</v>
      </c>
      <c r="M305" s="5">
        <f t="shared" si="95"/>
        <v>2000</v>
      </c>
      <c r="N305" s="5">
        <f t="shared" si="96"/>
        <v>-286</v>
      </c>
      <c r="O305" s="5">
        <f t="shared" si="97"/>
        <v>-303</v>
      </c>
      <c r="P305" s="5">
        <f t="shared" si="98"/>
        <v>-231</v>
      </c>
      <c r="Q305" s="8">
        <v>0</v>
      </c>
      <c r="R305" s="8">
        <v>0</v>
      </c>
      <c r="S305" s="8">
        <v>0</v>
      </c>
      <c r="T305" s="6">
        <f t="shared" si="90"/>
        <v>1973</v>
      </c>
      <c r="U305" s="7">
        <f t="shared" si="99"/>
        <v>694</v>
      </c>
      <c r="V305" s="7">
        <f t="shared" si="100"/>
        <v>677</v>
      </c>
      <c r="W305" s="7">
        <f t="shared" si="101"/>
        <v>689</v>
      </c>
      <c r="X305" s="6"/>
      <c r="Y305" s="5"/>
      <c r="Z305" s="5"/>
      <c r="AA305" s="5"/>
      <c r="AB305" s="5"/>
    </row>
    <row r="306" spans="1:28" ht="13.15" customHeight="1">
      <c r="A306" s="13">
        <v>292</v>
      </c>
      <c r="B306" s="4">
        <f t="shared" si="91"/>
        <v>45335</v>
      </c>
      <c r="C306" s="10">
        <f t="shared" si="92"/>
        <v>842</v>
      </c>
      <c r="D306" s="9">
        <f t="shared" si="83"/>
        <v>1810</v>
      </c>
      <c r="E306" s="8">
        <f t="shared" si="84"/>
        <v>938</v>
      </c>
      <c r="F306" s="8">
        <f t="shared" si="85"/>
        <v>955</v>
      </c>
      <c r="G306" s="8">
        <f t="shared" si="86"/>
        <v>883</v>
      </c>
      <c r="H306" s="5">
        <f t="shared" si="87"/>
        <v>1714</v>
      </c>
      <c r="I306" s="5">
        <f t="shared" si="88"/>
        <v>1697</v>
      </c>
      <c r="J306" s="5">
        <f t="shared" si="89"/>
        <v>1769</v>
      </c>
      <c r="K306" s="5">
        <f t="shared" si="93"/>
        <v>2000</v>
      </c>
      <c r="L306" s="5">
        <f t="shared" si="94"/>
        <v>2000</v>
      </c>
      <c r="M306" s="5">
        <f t="shared" si="95"/>
        <v>2000</v>
      </c>
      <c r="N306" s="5">
        <f t="shared" si="96"/>
        <v>-286</v>
      </c>
      <c r="O306" s="5">
        <f t="shared" si="97"/>
        <v>-303</v>
      </c>
      <c r="P306" s="5">
        <f t="shared" si="98"/>
        <v>-231</v>
      </c>
      <c r="Q306" s="8">
        <v>0</v>
      </c>
      <c r="R306" s="8">
        <v>0</v>
      </c>
      <c r="S306" s="8">
        <v>0</v>
      </c>
      <c r="T306" s="6">
        <f t="shared" si="90"/>
        <v>1975</v>
      </c>
      <c r="U306" s="7">
        <f t="shared" si="99"/>
        <v>694</v>
      </c>
      <c r="V306" s="7">
        <f t="shared" si="100"/>
        <v>677</v>
      </c>
      <c r="W306" s="7">
        <f t="shared" si="101"/>
        <v>689</v>
      </c>
      <c r="X306" s="6"/>
      <c r="Y306" s="5"/>
      <c r="Z306" s="5"/>
      <c r="AA306" s="5"/>
      <c r="AB306" s="5"/>
    </row>
    <row r="307" spans="1:28" ht="13.15" customHeight="1">
      <c r="A307" s="13">
        <v>293</v>
      </c>
      <c r="B307" s="4">
        <f t="shared" si="91"/>
        <v>45336</v>
      </c>
      <c r="C307" s="10">
        <f t="shared" si="92"/>
        <v>842</v>
      </c>
      <c r="D307" s="9">
        <f t="shared" si="83"/>
        <v>1812</v>
      </c>
      <c r="E307" s="8">
        <f t="shared" si="84"/>
        <v>940</v>
      </c>
      <c r="F307" s="8">
        <f t="shared" si="85"/>
        <v>957</v>
      </c>
      <c r="G307" s="8">
        <f t="shared" si="86"/>
        <v>885</v>
      </c>
      <c r="H307" s="5">
        <f t="shared" si="87"/>
        <v>1714</v>
      </c>
      <c r="I307" s="5">
        <f t="shared" si="88"/>
        <v>1697</v>
      </c>
      <c r="J307" s="5">
        <f t="shared" si="89"/>
        <v>1769</v>
      </c>
      <c r="K307" s="5">
        <f t="shared" si="93"/>
        <v>2000</v>
      </c>
      <c r="L307" s="5">
        <f t="shared" si="94"/>
        <v>2000</v>
      </c>
      <c r="M307" s="5">
        <f t="shared" si="95"/>
        <v>2000</v>
      </c>
      <c r="N307" s="5">
        <f t="shared" si="96"/>
        <v>-286</v>
      </c>
      <c r="O307" s="5">
        <f t="shared" si="97"/>
        <v>-303</v>
      </c>
      <c r="P307" s="5">
        <f t="shared" si="98"/>
        <v>-231</v>
      </c>
      <c r="Q307" s="8">
        <v>0</v>
      </c>
      <c r="R307" s="8">
        <v>0</v>
      </c>
      <c r="S307" s="8">
        <v>0</v>
      </c>
      <c r="T307" s="6">
        <f t="shared" si="90"/>
        <v>1977</v>
      </c>
      <c r="U307" s="7">
        <f t="shared" si="99"/>
        <v>694</v>
      </c>
      <c r="V307" s="7">
        <f t="shared" si="100"/>
        <v>677</v>
      </c>
      <c r="W307" s="7">
        <f t="shared" si="101"/>
        <v>689</v>
      </c>
      <c r="X307" s="6"/>
      <c r="Y307" s="5"/>
      <c r="Z307" s="5"/>
      <c r="AA307" s="5"/>
      <c r="AB307" s="5"/>
    </row>
    <row r="308" spans="1:28" ht="13.15" customHeight="1">
      <c r="A308" s="13">
        <v>294</v>
      </c>
      <c r="B308" s="4">
        <f t="shared" si="91"/>
        <v>45337</v>
      </c>
      <c r="C308" s="10">
        <f t="shared" si="92"/>
        <v>842</v>
      </c>
      <c r="D308" s="9">
        <f t="shared" si="83"/>
        <v>1814</v>
      </c>
      <c r="E308" s="8">
        <f t="shared" si="84"/>
        <v>942</v>
      </c>
      <c r="F308" s="8">
        <f t="shared" si="85"/>
        <v>959</v>
      </c>
      <c r="G308" s="8">
        <f t="shared" si="86"/>
        <v>887</v>
      </c>
      <c r="H308" s="5">
        <f t="shared" si="87"/>
        <v>1714</v>
      </c>
      <c r="I308" s="5">
        <f t="shared" si="88"/>
        <v>1697</v>
      </c>
      <c r="J308" s="5">
        <f t="shared" si="89"/>
        <v>1769</v>
      </c>
      <c r="K308" s="5">
        <f t="shared" si="93"/>
        <v>2000</v>
      </c>
      <c r="L308" s="5">
        <f t="shared" si="94"/>
        <v>2000</v>
      </c>
      <c r="M308" s="5">
        <f t="shared" si="95"/>
        <v>2000</v>
      </c>
      <c r="N308" s="5">
        <f t="shared" si="96"/>
        <v>-286</v>
      </c>
      <c r="O308" s="5">
        <f t="shared" si="97"/>
        <v>-303</v>
      </c>
      <c r="P308" s="5">
        <f t="shared" si="98"/>
        <v>-231</v>
      </c>
      <c r="Q308" s="8">
        <v>0</v>
      </c>
      <c r="R308" s="8">
        <v>0</v>
      </c>
      <c r="S308" s="8">
        <v>0</v>
      </c>
      <c r="T308" s="6">
        <f t="shared" si="90"/>
        <v>1979</v>
      </c>
      <c r="U308" s="7">
        <f t="shared" si="99"/>
        <v>694</v>
      </c>
      <c r="V308" s="7">
        <f t="shared" si="100"/>
        <v>677</v>
      </c>
      <c r="W308" s="7">
        <f t="shared" si="101"/>
        <v>689</v>
      </c>
      <c r="X308" s="6"/>
      <c r="Y308" s="5"/>
      <c r="Z308" s="5"/>
      <c r="AA308" s="5"/>
      <c r="AB308" s="5"/>
    </row>
    <row r="309" spans="1:28" ht="13.15" customHeight="1">
      <c r="A309" s="13">
        <v>295</v>
      </c>
      <c r="B309" s="4">
        <f t="shared" si="91"/>
        <v>45338</v>
      </c>
      <c r="C309" s="10">
        <f t="shared" si="92"/>
        <v>842</v>
      </c>
      <c r="D309" s="9">
        <f t="shared" si="83"/>
        <v>1816</v>
      </c>
      <c r="E309" s="8">
        <f t="shared" si="84"/>
        <v>944</v>
      </c>
      <c r="F309" s="8">
        <f t="shared" si="85"/>
        <v>961</v>
      </c>
      <c r="G309" s="8">
        <f t="shared" si="86"/>
        <v>889</v>
      </c>
      <c r="H309" s="5">
        <f t="shared" si="87"/>
        <v>1714</v>
      </c>
      <c r="I309" s="5">
        <f t="shared" si="88"/>
        <v>1697</v>
      </c>
      <c r="J309" s="5">
        <f t="shared" si="89"/>
        <v>1769</v>
      </c>
      <c r="K309" s="5">
        <f t="shared" si="93"/>
        <v>2000</v>
      </c>
      <c r="L309" s="5">
        <f t="shared" si="94"/>
        <v>2000</v>
      </c>
      <c r="M309" s="5">
        <f t="shared" si="95"/>
        <v>2000</v>
      </c>
      <c r="N309" s="5">
        <f t="shared" si="96"/>
        <v>-286</v>
      </c>
      <c r="O309" s="5">
        <f t="shared" si="97"/>
        <v>-303</v>
      </c>
      <c r="P309" s="5">
        <f t="shared" si="98"/>
        <v>-231</v>
      </c>
      <c r="Q309" s="8">
        <v>0</v>
      </c>
      <c r="R309" s="8">
        <v>0</v>
      </c>
      <c r="S309" s="8">
        <v>0</v>
      </c>
      <c r="T309" s="6">
        <f t="shared" si="90"/>
        <v>1981</v>
      </c>
      <c r="U309" s="7">
        <f t="shared" si="99"/>
        <v>694</v>
      </c>
      <c r="V309" s="7">
        <f t="shared" si="100"/>
        <v>677</v>
      </c>
      <c r="W309" s="7">
        <f t="shared" si="101"/>
        <v>689</v>
      </c>
      <c r="X309" s="6"/>
      <c r="Y309" s="5"/>
      <c r="Z309" s="5"/>
      <c r="AA309" s="5"/>
      <c r="AB309" s="5"/>
    </row>
    <row r="310" spans="1:28" ht="13.15" customHeight="1">
      <c r="A310" s="13">
        <v>296</v>
      </c>
      <c r="B310" s="4">
        <f t="shared" si="91"/>
        <v>45339</v>
      </c>
      <c r="C310" s="10">
        <f t="shared" si="92"/>
        <v>842</v>
      </c>
      <c r="D310" s="9">
        <f t="shared" si="83"/>
        <v>1818</v>
      </c>
      <c r="E310" s="8">
        <f t="shared" si="84"/>
        <v>946</v>
      </c>
      <c r="F310" s="8">
        <f t="shared" si="85"/>
        <v>963</v>
      </c>
      <c r="G310" s="8">
        <f t="shared" si="86"/>
        <v>891</v>
      </c>
      <c r="H310" s="5">
        <f t="shared" si="87"/>
        <v>1714</v>
      </c>
      <c r="I310" s="5">
        <f t="shared" si="88"/>
        <v>1697</v>
      </c>
      <c r="J310" s="5">
        <f t="shared" si="89"/>
        <v>1769</v>
      </c>
      <c r="K310" s="5">
        <f t="shared" si="93"/>
        <v>2000</v>
      </c>
      <c r="L310" s="5">
        <f t="shared" si="94"/>
        <v>2000</v>
      </c>
      <c r="M310" s="5">
        <f t="shared" si="95"/>
        <v>2000</v>
      </c>
      <c r="N310" s="5">
        <f t="shared" si="96"/>
        <v>-286</v>
      </c>
      <c r="O310" s="5">
        <f t="shared" si="97"/>
        <v>-303</v>
      </c>
      <c r="P310" s="5">
        <f t="shared" si="98"/>
        <v>-231</v>
      </c>
      <c r="Q310" s="8">
        <v>0</v>
      </c>
      <c r="R310" s="8">
        <v>0</v>
      </c>
      <c r="S310" s="8">
        <v>0</v>
      </c>
      <c r="T310" s="6">
        <f t="shared" si="90"/>
        <v>1983</v>
      </c>
      <c r="U310" s="7">
        <f t="shared" si="99"/>
        <v>694</v>
      </c>
      <c r="V310" s="7">
        <f t="shared" si="100"/>
        <v>677</v>
      </c>
      <c r="W310" s="7">
        <f t="shared" si="101"/>
        <v>689</v>
      </c>
      <c r="X310" s="6"/>
      <c r="Y310" s="5"/>
      <c r="Z310" s="5"/>
      <c r="AA310" s="5"/>
      <c r="AB310" s="5"/>
    </row>
    <row r="311" spans="1:28" ht="13.15" customHeight="1">
      <c r="A311" s="13">
        <v>297</v>
      </c>
      <c r="B311" s="4">
        <f t="shared" si="91"/>
        <v>45340</v>
      </c>
      <c r="C311" s="10">
        <f t="shared" si="92"/>
        <v>842</v>
      </c>
      <c r="D311" s="9">
        <f t="shared" si="83"/>
        <v>1820</v>
      </c>
      <c r="E311" s="8">
        <f t="shared" si="84"/>
        <v>948</v>
      </c>
      <c r="F311" s="8">
        <f t="shared" si="85"/>
        <v>965</v>
      </c>
      <c r="G311" s="8">
        <f t="shared" si="86"/>
        <v>893</v>
      </c>
      <c r="H311" s="5">
        <f t="shared" si="87"/>
        <v>1714</v>
      </c>
      <c r="I311" s="5">
        <f t="shared" si="88"/>
        <v>1697</v>
      </c>
      <c r="J311" s="5">
        <f t="shared" si="89"/>
        <v>1769</v>
      </c>
      <c r="K311" s="5">
        <f t="shared" si="93"/>
        <v>2000</v>
      </c>
      <c r="L311" s="5">
        <f t="shared" si="94"/>
        <v>2000</v>
      </c>
      <c r="M311" s="5">
        <f t="shared" si="95"/>
        <v>2000</v>
      </c>
      <c r="N311" s="5">
        <f t="shared" si="96"/>
        <v>-286</v>
      </c>
      <c r="O311" s="5">
        <f t="shared" si="97"/>
        <v>-303</v>
      </c>
      <c r="P311" s="5">
        <f t="shared" si="98"/>
        <v>-231</v>
      </c>
      <c r="Q311" s="8">
        <v>0</v>
      </c>
      <c r="R311" s="8">
        <v>0</v>
      </c>
      <c r="S311" s="8">
        <v>0</v>
      </c>
      <c r="T311" s="6">
        <f t="shared" si="90"/>
        <v>1985</v>
      </c>
      <c r="U311" s="7">
        <f t="shared" si="99"/>
        <v>694</v>
      </c>
      <c r="V311" s="7">
        <f t="shared" si="100"/>
        <v>677</v>
      </c>
      <c r="W311" s="7">
        <f t="shared" si="101"/>
        <v>689</v>
      </c>
      <c r="X311" s="6"/>
      <c r="Y311" s="5"/>
      <c r="Z311" s="5"/>
      <c r="AA311" s="5"/>
      <c r="AB311" s="5"/>
    </row>
    <row r="312" spans="1:28" ht="13.15" customHeight="1">
      <c r="A312" s="13">
        <v>298</v>
      </c>
      <c r="B312" s="4">
        <f t="shared" si="91"/>
        <v>45341</v>
      </c>
      <c r="C312" s="10">
        <f t="shared" si="92"/>
        <v>842</v>
      </c>
      <c r="D312" s="9">
        <f t="shared" si="83"/>
        <v>1822</v>
      </c>
      <c r="E312" s="8">
        <f t="shared" si="84"/>
        <v>950</v>
      </c>
      <c r="F312" s="8">
        <f t="shared" si="85"/>
        <v>967</v>
      </c>
      <c r="G312" s="8">
        <f t="shared" si="86"/>
        <v>895</v>
      </c>
      <c r="H312" s="5">
        <f t="shared" si="87"/>
        <v>1714</v>
      </c>
      <c r="I312" s="5">
        <f t="shared" si="88"/>
        <v>1697</v>
      </c>
      <c r="J312" s="5">
        <f t="shared" si="89"/>
        <v>1769</v>
      </c>
      <c r="K312" s="5">
        <f t="shared" si="93"/>
        <v>2000</v>
      </c>
      <c r="L312" s="5">
        <f t="shared" si="94"/>
        <v>2000</v>
      </c>
      <c r="M312" s="5">
        <f t="shared" si="95"/>
        <v>2000</v>
      </c>
      <c r="N312" s="5">
        <f t="shared" si="96"/>
        <v>-286</v>
      </c>
      <c r="O312" s="5">
        <f t="shared" si="97"/>
        <v>-303</v>
      </c>
      <c r="P312" s="5">
        <f t="shared" si="98"/>
        <v>-231</v>
      </c>
      <c r="Q312" s="8">
        <v>0</v>
      </c>
      <c r="R312" s="8">
        <v>0</v>
      </c>
      <c r="S312" s="8">
        <v>0</v>
      </c>
      <c r="T312" s="6">
        <f t="shared" si="90"/>
        <v>1987</v>
      </c>
      <c r="U312" s="7">
        <f t="shared" si="99"/>
        <v>694</v>
      </c>
      <c r="V312" s="7">
        <f t="shared" si="100"/>
        <v>677</v>
      </c>
      <c r="W312" s="7">
        <f t="shared" si="101"/>
        <v>689</v>
      </c>
      <c r="X312" s="6"/>
      <c r="Y312" s="5"/>
      <c r="Z312" s="5"/>
      <c r="AA312" s="5"/>
      <c r="AB312" s="5"/>
    </row>
    <row r="313" spans="1:28" ht="13.15" customHeight="1">
      <c r="A313" s="13">
        <v>299</v>
      </c>
      <c r="B313" s="4">
        <f t="shared" si="91"/>
        <v>45342</v>
      </c>
      <c r="C313" s="10">
        <f t="shared" si="92"/>
        <v>842</v>
      </c>
      <c r="D313" s="9">
        <f t="shared" si="83"/>
        <v>1824</v>
      </c>
      <c r="E313" s="8">
        <f t="shared" si="84"/>
        <v>952</v>
      </c>
      <c r="F313" s="8">
        <f t="shared" si="85"/>
        <v>969</v>
      </c>
      <c r="G313" s="8">
        <f t="shared" si="86"/>
        <v>897</v>
      </c>
      <c r="H313" s="5">
        <f t="shared" si="87"/>
        <v>1714</v>
      </c>
      <c r="I313" s="5">
        <f t="shared" si="88"/>
        <v>1697</v>
      </c>
      <c r="J313" s="5">
        <f t="shared" si="89"/>
        <v>1769</v>
      </c>
      <c r="K313" s="5">
        <f t="shared" si="93"/>
        <v>2000</v>
      </c>
      <c r="L313" s="5">
        <f t="shared" si="94"/>
        <v>2000</v>
      </c>
      <c r="M313" s="5">
        <f t="shared" si="95"/>
        <v>2000</v>
      </c>
      <c r="N313" s="5">
        <f t="shared" si="96"/>
        <v>-286</v>
      </c>
      <c r="O313" s="5">
        <f t="shared" si="97"/>
        <v>-303</v>
      </c>
      <c r="P313" s="5">
        <f t="shared" si="98"/>
        <v>-231</v>
      </c>
      <c r="Q313" s="8">
        <v>0</v>
      </c>
      <c r="R313" s="8">
        <v>0</v>
      </c>
      <c r="S313" s="8">
        <v>0</v>
      </c>
      <c r="T313" s="6">
        <f t="shared" si="90"/>
        <v>1989</v>
      </c>
      <c r="U313" s="7">
        <f t="shared" si="99"/>
        <v>694</v>
      </c>
      <c r="V313" s="7">
        <f t="shared" si="100"/>
        <v>677</v>
      </c>
      <c r="W313" s="7">
        <f t="shared" si="101"/>
        <v>689</v>
      </c>
      <c r="X313" s="6"/>
      <c r="Y313" s="5"/>
      <c r="Z313" s="5"/>
      <c r="AA313" s="5"/>
      <c r="AB313" s="5"/>
    </row>
    <row r="314" spans="1:28" ht="13.15" customHeight="1">
      <c r="A314" s="13">
        <v>300</v>
      </c>
      <c r="B314" s="4">
        <f t="shared" si="91"/>
        <v>45343</v>
      </c>
      <c r="C314" s="10">
        <f t="shared" si="92"/>
        <v>842</v>
      </c>
      <c r="D314" s="9">
        <f t="shared" si="83"/>
        <v>1826</v>
      </c>
      <c r="E314" s="8">
        <f t="shared" si="84"/>
        <v>954</v>
      </c>
      <c r="F314" s="8">
        <f t="shared" si="85"/>
        <v>971</v>
      </c>
      <c r="G314" s="8">
        <f t="shared" si="86"/>
        <v>899</v>
      </c>
      <c r="H314" s="5">
        <f t="shared" si="87"/>
        <v>1714</v>
      </c>
      <c r="I314" s="5">
        <f t="shared" si="88"/>
        <v>1697</v>
      </c>
      <c r="J314" s="5">
        <f t="shared" si="89"/>
        <v>1769</v>
      </c>
      <c r="K314" s="5">
        <f t="shared" si="93"/>
        <v>2000</v>
      </c>
      <c r="L314" s="5">
        <f t="shared" si="94"/>
        <v>2000</v>
      </c>
      <c r="M314" s="5">
        <f t="shared" si="95"/>
        <v>2000</v>
      </c>
      <c r="N314" s="5">
        <f t="shared" si="96"/>
        <v>-286</v>
      </c>
      <c r="O314" s="5">
        <f t="shared" si="97"/>
        <v>-303</v>
      </c>
      <c r="P314" s="5">
        <f t="shared" si="98"/>
        <v>-231</v>
      </c>
      <c r="Q314" s="8">
        <v>0</v>
      </c>
      <c r="R314" s="8">
        <v>0</v>
      </c>
      <c r="S314" s="8">
        <v>0</v>
      </c>
      <c r="T314" s="6">
        <f t="shared" si="90"/>
        <v>1991</v>
      </c>
      <c r="U314" s="7">
        <f t="shared" si="99"/>
        <v>694</v>
      </c>
      <c r="V314" s="7">
        <f t="shared" si="100"/>
        <v>677</v>
      </c>
      <c r="W314" s="7">
        <f t="shared" si="101"/>
        <v>689</v>
      </c>
      <c r="X314" s="6"/>
      <c r="Y314" s="5"/>
      <c r="Z314" s="5"/>
      <c r="AA314" s="5"/>
      <c r="AB314" s="5"/>
    </row>
    <row r="315" spans="1:28" ht="13.15" customHeight="1">
      <c r="A315" s="13">
        <v>301</v>
      </c>
      <c r="B315" s="4">
        <f t="shared" si="91"/>
        <v>45344</v>
      </c>
      <c r="C315" s="10">
        <f t="shared" si="92"/>
        <v>842</v>
      </c>
      <c r="D315" s="9">
        <f t="shared" si="83"/>
        <v>1828</v>
      </c>
      <c r="E315" s="8">
        <f t="shared" si="84"/>
        <v>956</v>
      </c>
      <c r="F315" s="8">
        <f t="shared" si="85"/>
        <v>973</v>
      </c>
      <c r="G315" s="8">
        <f t="shared" si="86"/>
        <v>901</v>
      </c>
      <c r="H315" s="5">
        <f t="shared" si="87"/>
        <v>1714</v>
      </c>
      <c r="I315" s="5">
        <f t="shared" si="88"/>
        <v>1697</v>
      </c>
      <c r="J315" s="5">
        <f t="shared" si="89"/>
        <v>1769</v>
      </c>
      <c r="K315" s="5">
        <f t="shared" si="93"/>
        <v>2000</v>
      </c>
      <c r="L315" s="5">
        <f t="shared" si="94"/>
        <v>2000</v>
      </c>
      <c r="M315" s="5">
        <f t="shared" si="95"/>
        <v>2000</v>
      </c>
      <c r="N315" s="5">
        <f t="shared" si="96"/>
        <v>-286</v>
      </c>
      <c r="O315" s="5">
        <f t="shared" si="97"/>
        <v>-303</v>
      </c>
      <c r="P315" s="5">
        <f t="shared" si="98"/>
        <v>-231</v>
      </c>
      <c r="Q315" s="8">
        <v>0</v>
      </c>
      <c r="R315" s="8">
        <v>0</v>
      </c>
      <c r="S315" s="8">
        <v>0</v>
      </c>
      <c r="T315" s="6">
        <f t="shared" si="90"/>
        <v>1993</v>
      </c>
      <c r="U315" s="7">
        <f t="shared" si="99"/>
        <v>694</v>
      </c>
      <c r="V315" s="7">
        <f t="shared" si="100"/>
        <v>677</v>
      </c>
      <c r="W315" s="7">
        <f t="shared" si="101"/>
        <v>689</v>
      </c>
      <c r="X315" s="6"/>
      <c r="Y315" s="5"/>
      <c r="Z315" s="5"/>
      <c r="AA315" s="5"/>
      <c r="AB315" s="5"/>
    </row>
    <row r="316" spans="1:28" ht="13.15" customHeight="1">
      <c r="A316" s="13">
        <v>302</v>
      </c>
      <c r="B316" s="4">
        <f t="shared" si="91"/>
        <v>45345</v>
      </c>
      <c r="C316" s="10">
        <f t="shared" si="92"/>
        <v>842</v>
      </c>
      <c r="D316" s="9">
        <f t="shared" si="83"/>
        <v>1830</v>
      </c>
      <c r="E316" s="8">
        <f t="shared" si="84"/>
        <v>958</v>
      </c>
      <c r="F316" s="8">
        <f t="shared" si="85"/>
        <v>975</v>
      </c>
      <c r="G316" s="8">
        <f t="shared" si="86"/>
        <v>903</v>
      </c>
      <c r="H316" s="5">
        <f t="shared" si="87"/>
        <v>1714</v>
      </c>
      <c r="I316" s="5">
        <f t="shared" si="88"/>
        <v>1697</v>
      </c>
      <c r="J316" s="5">
        <f t="shared" si="89"/>
        <v>1769</v>
      </c>
      <c r="K316" s="5">
        <f t="shared" si="93"/>
        <v>2000</v>
      </c>
      <c r="L316" s="5">
        <f t="shared" si="94"/>
        <v>2000</v>
      </c>
      <c r="M316" s="5">
        <f t="shared" si="95"/>
        <v>2000</v>
      </c>
      <c r="N316" s="5">
        <f t="shared" si="96"/>
        <v>-286</v>
      </c>
      <c r="O316" s="5">
        <f t="shared" si="97"/>
        <v>-303</v>
      </c>
      <c r="P316" s="5">
        <f t="shared" si="98"/>
        <v>-231</v>
      </c>
      <c r="Q316" s="8">
        <v>0</v>
      </c>
      <c r="R316" s="8">
        <v>0</v>
      </c>
      <c r="S316" s="8">
        <v>0</v>
      </c>
      <c r="T316" s="6">
        <f t="shared" si="90"/>
        <v>1995</v>
      </c>
      <c r="U316" s="7">
        <f t="shared" si="99"/>
        <v>694</v>
      </c>
      <c r="V316" s="7">
        <f t="shared" si="100"/>
        <v>677</v>
      </c>
      <c r="W316" s="7">
        <f t="shared" si="101"/>
        <v>689</v>
      </c>
      <c r="X316" s="6"/>
      <c r="Y316" s="5"/>
      <c r="Z316" s="5"/>
      <c r="AA316" s="5"/>
      <c r="AB316" s="5"/>
    </row>
    <row r="317" spans="1:28" ht="13.15" customHeight="1">
      <c r="A317" s="13">
        <v>303</v>
      </c>
      <c r="B317" s="4">
        <f t="shared" si="91"/>
        <v>45346</v>
      </c>
      <c r="C317" s="10">
        <f t="shared" si="92"/>
        <v>842</v>
      </c>
      <c r="D317" s="9">
        <f t="shared" si="83"/>
        <v>1832</v>
      </c>
      <c r="E317" s="8">
        <f t="shared" si="84"/>
        <v>960</v>
      </c>
      <c r="F317" s="8">
        <f t="shared" si="85"/>
        <v>977</v>
      </c>
      <c r="G317" s="8">
        <f t="shared" si="86"/>
        <v>905</v>
      </c>
      <c r="H317" s="5">
        <f t="shared" si="87"/>
        <v>1714</v>
      </c>
      <c r="I317" s="5">
        <f t="shared" si="88"/>
        <v>1697</v>
      </c>
      <c r="J317" s="5">
        <f t="shared" si="89"/>
        <v>1769</v>
      </c>
      <c r="K317" s="5">
        <f t="shared" si="93"/>
        <v>2000</v>
      </c>
      <c r="L317" s="5">
        <f t="shared" si="94"/>
        <v>2000</v>
      </c>
      <c r="M317" s="5">
        <f t="shared" si="95"/>
        <v>2000</v>
      </c>
      <c r="N317" s="5">
        <f t="shared" si="96"/>
        <v>-286</v>
      </c>
      <c r="O317" s="5">
        <f t="shared" si="97"/>
        <v>-303</v>
      </c>
      <c r="P317" s="5">
        <f t="shared" si="98"/>
        <v>-231</v>
      </c>
      <c r="Q317" s="8">
        <v>0</v>
      </c>
      <c r="R317" s="8">
        <v>0</v>
      </c>
      <c r="S317" s="8">
        <v>0</v>
      </c>
      <c r="T317" s="6">
        <f t="shared" si="90"/>
        <v>1997</v>
      </c>
      <c r="U317" s="7">
        <f t="shared" si="99"/>
        <v>694</v>
      </c>
      <c r="V317" s="7">
        <f t="shared" si="100"/>
        <v>677</v>
      </c>
      <c r="W317" s="7">
        <f t="shared" si="101"/>
        <v>689</v>
      </c>
      <c r="X317" s="6"/>
      <c r="Y317" s="5"/>
      <c r="Z317" s="5"/>
      <c r="AA317" s="5"/>
      <c r="AB317" s="5"/>
    </row>
    <row r="318" spans="1:28" ht="13.15" customHeight="1">
      <c r="A318" s="13">
        <v>304</v>
      </c>
      <c r="B318" s="4">
        <f t="shared" si="91"/>
        <v>45347</v>
      </c>
      <c r="C318" s="10">
        <f t="shared" si="92"/>
        <v>842</v>
      </c>
      <c r="D318" s="9">
        <f t="shared" si="83"/>
        <v>1834</v>
      </c>
      <c r="E318" s="8">
        <f t="shared" si="84"/>
        <v>962</v>
      </c>
      <c r="F318" s="8">
        <f t="shared" si="85"/>
        <v>979</v>
      </c>
      <c r="G318" s="8">
        <f t="shared" si="86"/>
        <v>907</v>
      </c>
      <c r="H318" s="5">
        <f t="shared" si="87"/>
        <v>1714</v>
      </c>
      <c r="I318" s="5">
        <f t="shared" si="88"/>
        <v>1697</v>
      </c>
      <c r="J318" s="5">
        <f t="shared" si="89"/>
        <v>1769</v>
      </c>
      <c r="K318" s="5">
        <f t="shared" si="93"/>
        <v>2000</v>
      </c>
      <c r="L318" s="5">
        <f t="shared" si="94"/>
        <v>2000</v>
      </c>
      <c r="M318" s="5">
        <f t="shared" si="95"/>
        <v>2000</v>
      </c>
      <c r="N318" s="5">
        <f t="shared" si="96"/>
        <v>-286</v>
      </c>
      <c r="O318" s="5">
        <f t="shared" si="97"/>
        <v>-303</v>
      </c>
      <c r="P318" s="5">
        <f t="shared" si="98"/>
        <v>-231</v>
      </c>
      <c r="Q318" s="8">
        <v>0</v>
      </c>
      <c r="R318" s="8">
        <v>0</v>
      </c>
      <c r="S318" s="8">
        <v>0</v>
      </c>
      <c r="T318" s="6">
        <f t="shared" si="90"/>
        <v>1999</v>
      </c>
      <c r="U318" s="7">
        <f t="shared" si="99"/>
        <v>694</v>
      </c>
      <c r="V318" s="7">
        <f t="shared" si="100"/>
        <v>677</v>
      </c>
      <c r="W318" s="7">
        <f t="shared" si="101"/>
        <v>689</v>
      </c>
      <c r="X318" s="6"/>
      <c r="Y318" s="5"/>
      <c r="Z318" s="5"/>
      <c r="AA318" s="5"/>
      <c r="AB318" s="5"/>
    </row>
    <row r="319" spans="1:28" ht="13.15" customHeight="1">
      <c r="A319" s="13">
        <v>305</v>
      </c>
      <c r="B319" s="4">
        <f t="shared" si="91"/>
        <v>45348</v>
      </c>
      <c r="C319" s="10">
        <f t="shared" si="92"/>
        <v>842</v>
      </c>
      <c r="D319" s="9">
        <f t="shared" ref="D319:D382" si="102">D318+2</f>
        <v>1836</v>
      </c>
      <c r="E319" s="8">
        <f t="shared" si="84"/>
        <v>964</v>
      </c>
      <c r="F319" s="8">
        <f t="shared" si="85"/>
        <v>981</v>
      </c>
      <c r="G319" s="8">
        <f t="shared" si="86"/>
        <v>909</v>
      </c>
      <c r="H319" s="5">
        <f t="shared" si="87"/>
        <v>1714</v>
      </c>
      <c r="I319" s="5">
        <f t="shared" si="88"/>
        <v>1697</v>
      </c>
      <c r="J319" s="5">
        <f t="shared" si="89"/>
        <v>1769</v>
      </c>
      <c r="K319" s="5">
        <f t="shared" si="93"/>
        <v>2000</v>
      </c>
      <c r="L319" s="5">
        <f t="shared" si="94"/>
        <v>2000</v>
      </c>
      <c r="M319" s="5">
        <f t="shared" si="95"/>
        <v>2000</v>
      </c>
      <c r="N319" s="5">
        <f t="shared" si="96"/>
        <v>-286</v>
      </c>
      <c r="O319" s="5">
        <f t="shared" si="97"/>
        <v>-303</v>
      </c>
      <c r="P319" s="5">
        <f t="shared" si="98"/>
        <v>-231</v>
      </c>
      <c r="Q319" s="8">
        <v>0</v>
      </c>
      <c r="R319" s="8">
        <v>0</v>
      </c>
      <c r="S319" s="8">
        <v>0</v>
      </c>
      <c r="T319" s="6">
        <f t="shared" si="90"/>
        <v>2001</v>
      </c>
      <c r="U319" s="7">
        <f t="shared" si="99"/>
        <v>694</v>
      </c>
      <c r="V319" s="7">
        <f t="shared" si="100"/>
        <v>677</v>
      </c>
      <c r="W319" s="7">
        <f t="shared" si="101"/>
        <v>689</v>
      </c>
      <c r="X319" s="6"/>
      <c r="Y319" s="5"/>
      <c r="Z319" s="5"/>
      <c r="AA319" s="5"/>
      <c r="AB319" s="5"/>
    </row>
    <row r="320" spans="1:28" ht="13.15" customHeight="1">
      <c r="A320" s="13">
        <v>306</v>
      </c>
      <c r="B320" s="4">
        <f t="shared" si="91"/>
        <v>45349</v>
      </c>
      <c r="C320" s="10">
        <f t="shared" si="92"/>
        <v>842</v>
      </c>
      <c r="D320" s="9">
        <f t="shared" si="102"/>
        <v>1838</v>
      </c>
      <c r="E320" s="8">
        <f t="shared" si="84"/>
        <v>966</v>
      </c>
      <c r="F320" s="8">
        <f t="shared" si="85"/>
        <v>983</v>
      </c>
      <c r="G320" s="8">
        <f t="shared" si="86"/>
        <v>911</v>
      </c>
      <c r="H320" s="5">
        <f t="shared" si="87"/>
        <v>1714</v>
      </c>
      <c r="I320" s="5">
        <f t="shared" si="88"/>
        <v>1697</v>
      </c>
      <c r="J320" s="5">
        <f t="shared" si="89"/>
        <v>1769</v>
      </c>
      <c r="K320" s="5">
        <f t="shared" si="93"/>
        <v>2000</v>
      </c>
      <c r="L320" s="5">
        <f t="shared" si="94"/>
        <v>2000</v>
      </c>
      <c r="M320" s="5">
        <f t="shared" si="95"/>
        <v>2000</v>
      </c>
      <c r="N320" s="5">
        <f t="shared" si="96"/>
        <v>-286</v>
      </c>
      <c r="O320" s="5">
        <f t="shared" si="97"/>
        <v>-303</v>
      </c>
      <c r="P320" s="5">
        <f t="shared" si="98"/>
        <v>-231</v>
      </c>
      <c r="Q320" s="8">
        <v>0</v>
      </c>
      <c r="R320" s="8">
        <v>0</v>
      </c>
      <c r="S320" s="8">
        <v>0</v>
      </c>
      <c r="T320" s="6">
        <f t="shared" si="90"/>
        <v>2003</v>
      </c>
      <c r="U320" s="7">
        <f t="shared" si="99"/>
        <v>694</v>
      </c>
      <c r="V320" s="7">
        <f t="shared" si="100"/>
        <v>677</v>
      </c>
      <c r="W320" s="7">
        <f t="shared" si="101"/>
        <v>689</v>
      </c>
      <c r="X320" s="6"/>
      <c r="Y320" s="5"/>
      <c r="Z320" s="5"/>
      <c r="AA320" s="5"/>
      <c r="AB320" s="5"/>
    </row>
    <row r="321" spans="1:28" ht="13.15" customHeight="1">
      <c r="A321" s="13">
        <v>307</v>
      </c>
      <c r="B321" s="4">
        <f t="shared" si="91"/>
        <v>45350</v>
      </c>
      <c r="C321" s="10">
        <f t="shared" si="92"/>
        <v>842</v>
      </c>
      <c r="D321" s="9">
        <f t="shared" si="102"/>
        <v>1840</v>
      </c>
      <c r="E321" s="8">
        <f t="shared" si="84"/>
        <v>968</v>
      </c>
      <c r="F321" s="8">
        <f t="shared" si="85"/>
        <v>985</v>
      </c>
      <c r="G321" s="8">
        <f t="shared" si="86"/>
        <v>913</v>
      </c>
      <c r="H321" s="5">
        <f t="shared" si="87"/>
        <v>1714</v>
      </c>
      <c r="I321" s="5">
        <f t="shared" si="88"/>
        <v>1697</v>
      </c>
      <c r="J321" s="5">
        <f t="shared" si="89"/>
        <v>1769</v>
      </c>
      <c r="K321" s="5">
        <f t="shared" si="93"/>
        <v>2000</v>
      </c>
      <c r="L321" s="5">
        <f t="shared" si="94"/>
        <v>2000</v>
      </c>
      <c r="M321" s="5">
        <f t="shared" si="95"/>
        <v>2000</v>
      </c>
      <c r="N321" s="5">
        <f t="shared" si="96"/>
        <v>-286</v>
      </c>
      <c r="O321" s="5">
        <f t="shared" si="97"/>
        <v>-303</v>
      </c>
      <c r="P321" s="5">
        <f t="shared" si="98"/>
        <v>-231</v>
      </c>
      <c r="Q321" s="8">
        <v>0</v>
      </c>
      <c r="R321" s="8">
        <v>0</v>
      </c>
      <c r="S321" s="8">
        <v>0</v>
      </c>
      <c r="T321" s="6">
        <f t="shared" si="90"/>
        <v>2005</v>
      </c>
      <c r="U321" s="7">
        <f t="shared" si="99"/>
        <v>694</v>
      </c>
      <c r="V321" s="7">
        <f t="shared" si="100"/>
        <v>677</v>
      </c>
      <c r="W321" s="7">
        <f t="shared" si="101"/>
        <v>689</v>
      </c>
      <c r="X321" s="6"/>
      <c r="Y321" s="5"/>
      <c r="Z321" s="5"/>
      <c r="AA321" s="5"/>
      <c r="AB321" s="5"/>
    </row>
    <row r="322" spans="1:28" ht="13.15" customHeight="1">
      <c r="A322" s="13">
        <v>308</v>
      </c>
      <c r="B322" s="4">
        <f t="shared" si="91"/>
        <v>45351</v>
      </c>
      <c r="C322" s="10">
        <f t="shared" si="92"/>
        <v>842</v>
      </c>
      <c r="D322" s="9">
        <f t="shared" si="102"/>
        <v>1842</v>
      </c>
      <c r="E322" s="8">
        <f t="shared" si="84"/>
        <v>970</v>
      </c>
      <c r="F322" s="8">
        <f t="shared" si="85"/>
        <v>987</v>
      </c>
      <c r="G322" s="8">
        <f t="shared" si="86"/>
        <v>915</v>
      </c>
      <c r="H322" s="5">
        <f t="shared" si="87"/>
        <v>1714</v>
      </c>
      <c r="I322" s="5">
        <f t="shared" si="88"/>
        <v>1697</v>
      </c>
      <c r="J322" s="5">
        <f t="shared" si="89"/>
        <v>1769</v>
      </c>
      <c r="K322" s="5">
        <f t="shared" si="93"/>
        <v>2000</v>
      </c>
      <c r="L322" s="5">
        <f t="shared" si="94"/>
        <v>2000</v>
      </c>
      <c r="M322" s="5">
        <f t="shared" si="95"/>
        <v>2000</v>
      </c>
      <c r="N322" s="5">
        <f t="shared" si="96"/>
        <v>-286</v>
      </c>
      <c r="O322" s="5">
        <f t="shared" si="97"/>
        <v>-303</v>
      </c>
      <c r="P322" s="5">
        <f t="shared" si="98"/>
        <v>-231</v>
      </c>
      <c r="Q322" s="8">
        <v>0</v>
      </c>
      <c r="R322" s="8">
        <v>0</v>
      </c>
      <c r="S322" s="8">
        <v>0</v>
      </c>
      <c r="T322" s="6">
        <f t="shared" si="90"/>
        <v>2007</v>
      </c>
      <c r="U322" s="7">
        <f t="shared" si="99"/>
        <v>694</v>
      </c>
      <c r="V322" s="7">
        <f t="shared" si="100"/>
        <v>677</v>
      </c>
      <c r="W322" s="7">
        <f t="shared" si="101"/>
        <v>689</v>
      </c>
      <c r="X322" s="6"/>
      <c r="Y322" s="5"/>
      <c r="Z322" s="5"/>
      <c r="AA322" s="5"/>
      <c r="AB322" s="5"/>
    </row>
    <row r="323" spans="1:28" ht="13.15" customHeight="1">
      <c r="A323" s="13">
        <v>309</v>
      </c>
      <c r="B323" s="4">
        <f t="shared" si="91"/>
        <v>45352</v>
      </c>
      <c r="C323" s="10">
        <f t="shared" si="92"/>
        <v>842</v>
      </c>
      <c r="D323" s="9">
        <f t="shared" si="102"/>
        <v>1844</v>
      </c>
      <c r="E323" s="8">
        <f t="shared" si="84"/>
        <v>972</v>
      </c>
      <c r="F323" s="8">
        <f t="shared" si="85"/>
        <v>989</v>
      </c>
      <c r="G323" s="8">
        <f t="shared" si="86"/>
        <v>917</v>
      </c>
      <c r="H323" s="5">
        <f t="shared" si="87"/>
        <v>1714</v>
      </c>
      <c r="I323" s="5">
        <f t="shared" si="88"/>
        <v>1697</v>
      </c>
      <c r="J323" s="5">
        <f t="shared" si="89"/>
        <v>1769</v>
      </c>
      <c r="K323" s="5">
        <f t="shared" si="93"/>
        <v>2000</v>
      </c>
      <c r="L323" s="5">
        <f t="shared" si="94"/>
        <v>2000</v>
      </c>
      <c r="M323" s="5">
        <f t="shared" si="95"/>
        <v>2000</v>
      </c>
      <c r="N323" s="5">
        <f t="shared" si="96"/>
        <v>-286</v>
      </c>
      <c r="O323" s="5">
        <f t="shared" si="97"/>
        <v>-303</v>
      </c>
      <c r="P323" s="5">
        <f t="shared" si="98"/>
        <v>-231</v>
      </c>
      <c r="Q323" s="8">
        <v>0</v>
      </c>
      <c r="R323" s="8">
        <v>0</v>
      </c>
      <c r="S323" s="8">
        <v>0</v>
      </c>
      <c r="T323" s="6">
        <f t="shared" si="90"/>
        <v>2009</v>
      </c>
      <c r="U323" s="7">
        <f t="shared" si="99"/>
        <v>694</v>
      </c>
      <c r="V323" s="7">
        <f t="shared" si="100"/>
        <v>677</v>
      </c>
      <c r="W323" s="7">
        <f t="shared" si="101"/>
        <v>689</v>
      </c>
      <c r="X323" s="6"/>
      <c r="Y323" s="5"/>
      <c r="Z323" s="5"/>
      <c r="AA323" s="5"/>
      <c r="AB323" s="5"/>
    </row>
    <row r="324" spans="1:28" ht="13.15" customHeight="1">
      <c r="A324" s="13">
        <v>310</v>
      </c>
      <c r="B324" s="4">
        <f t="shared" si="91"/>
        <v>45353</v>
      </c>
      <c r="C324" s="10">
        <f t="shared" si="92"/>
        <v>842</v>
      </c>
      <c r="D324" s="9">
        <f t="shared" si="102"/>
        <v>1846</v>
      </c>
      <c r="E324" s="8">
        <f t="shared" si="84"/>
        <v>974</v>
      </c>
      <c r="F324" s="8">
        <f t="shared" si="85"/>
        <v>991</v>
      </c>
      <c r="G324" s="8">
        <f t="shared" si="86"/>
        <v>919</v>
      </c>
      <c r="H324" s="5">
        <f t="shared" si="87"/>
        <v>1714</v>
      </c>
      <c r="I324" s="5">
        <f t="shared" si="88"/>
        <v>1697</v>
      </c>
      <c r="J324" s="5">
        <f t="shared" si="89"/>
        <v>1769</v>
      </c>
      <c r="K324" s="5">
        <f t="shared" si="93"/>
        <v>2000</v>
      </c>
      <c r="L324" s="5">
        <f t="shared" si="94"/>
        <v>2000</v>
      </c>
      <c r="M324" s="5">
        <f t="shared" si="95"/>
        <v>2000</v>
      </c>
      <c r="N324" s="5">
        <f t="shared" si="96"/>
        <v>-286</v>
      </c>
      <c r="O324" s="5">
        <f t="shared" si="97"/>
        <v>-303</v>
      </c>
      <c r="P324" s="5">
        <f t="shared" si="98"/>
        <v>-231</v>
      </c>
      <c r="Q324" s="8">
        <v>0</v>
      </c>
      <c r="R324" s="8">
        <v>0</v>
      </c>
      <c r="S324" s="8">
        <v>0</v>
      </c>
      <c r="T324" s="6">
        <f t="shared" si="90"/>
        <v>2011</v>
      </c>
      <c r="U324" s="7">
        <f t="shared" si="99"/>
        <v>694</v>
      </c>
      <c r="V324" s="7">
        <f t="shared" si="100"/>
        <v>677</v>
      </c>
      <c r="W324" s="7">
        <f t="shared" si="101"/>
        <v>689</v>
      </c>
      <c r="X324" s="6"/>
      <c r="Y324" s="5"/>
      <c r="Z324" s="5"/>
      <c r="AA324" s="5"/>
      <c r="AB324" s="5"/>
    </row>
    <row r="325" spans="1:28" ht="13.15" customHeight="1">
      <c r="A325" s="13">
        <v>311</v>
      </c>
      <c r="B325" s="4">
        <f t="shared" si="91"/>
        <v>45354</v>
      </c>
      <c r="C325" s="10">
        <f t="shared" si="92"/>
        <v>842</v>
      </c>
      <c r="D325" s="9">
        <f t="shared" si="102"/>
        <v>1848</v>
      </c>
      <c r="E325" s="8">
        <f t="shared" si="84"/>
        <v>976</v>
      </c>
      <c r="F325" s="8">
        <f t="shared" si="85"/>
        <v>993</v>
      </c>
      <c r="G325" s="8">
        <f t="shared" si="86"/>
        <v>921</v>
      </c>
      <c r="H325" s="5">
        <f t="shared" si="87"/>
        <v>1714</v>
      </c>
      <c r="I325" s="5">
        <f t="shared" si="88"/>
        <v>1697</v>
      </c>
      <c r="J325" s="5">
        <f t="shared" si="89"/>
        <v>1769</v>
      </c>
      <c r="K325" s="5">
        <f t="shared" si="93"/>
        <v>2000</v>
      </c>
      <c r="L325" s="5">
        <f t="shared" si="94"/>
        <v>2000</v>
      </c>
      <c r="M325" s="5">
        <f t="shared" si="95"/>
        <v>2000</v>
      </c>
      <c r="N325" s="5">
        <f t="shared" si="96"/>
        <v>-286</v>
      </c>
      <c r="O325" s="5">
        <f t="shared" si="97"/>
        <v>-303</v>
      </c>
      <c r="P325" s="5">
        <f t="shared" si="98"/>
        <v>-231</v>
      </c>
      <c r="Q325" s="8">
        <v>0</v>
      </c>
      <c r="R325" s="8">
        <v>0</v>
      </c>
      <c r="S325" s="8">
        <v>0</v>
      </c>
      <c r="T325" s="6">
        <f t="shared" si="90"/>
        <v>2013</v>
      </c>
      <c r="U325" s="7">
        <f t="shared" si="99"/>
        <v>694</v>
      </c>
      <c r="V325" s="7">
        <f t="shared" si="100"/>
        <v>677</v>
      </c>
      <c r="W325" s="7">
        <f t="shared" si="101"/>
        <v>689</v>
      </c>
      <c r="X325" s="6"/>
      <c r="Y325" s="5"/>
      <c r="Z325" s="5"/>
      <c r="AA325" s="5"/>
      <c r="AB325" s="5"/>
    </row>
    <row r="326" spans="1:28" ht="13.15" customHeight="1">
      <c r="A326" s="13">
        <v>312</v>
      </c>
      <c r="B326" s="4">
        <f t="shared" si="91"/>
        <v>45355</v>
      </c>
      <c r="C326" s="10">
        <f t="shared" si="92"/>
        <v>842</v>
      </c>
      <c r="D326" s="9">
        <f t="shared" si="102"/>
        <v>1850</v>
      </c>
      <c r="E326" s="8">
        <f t="shared" si="84"/>
        <v>978</v>
      </c>
      <c r="F326" s="8">
        <f t="shared" si="85"/>
        <v>995</v>
      </c>
      <c r="G326" s="8">
        <f t="shared" si="86"/>
        <v>923</v>
      </c>
      <c r="H326" s="5">
        <f t="shared" si="87"/>
        <v>1714</v>
      </c>
      <c r="I326" s="5">
        <f t="shared" si="88"/>
        <v>1697</v>
      </c>
      <c r="J326" s="5">
        <f t="shared" si="89"/>
        <v>1769</v>
      </c>
      <c r="K326" s="5">
        <f t="shared" si="93"/>
        <v>2000</v>
      </c>
      <c r="L326" s="5">
        <f t="shared" si="94"/>
        <v>2000</v>
      </c>
      <c r="M326" s="5">
        <f t="shared" si="95"/>
        <v>2000</v>
      </c>
      <c r="N326" s="5">
        <f t="shared" si="96"/>
        <v>-286</v>
      </c>
      <c r="O326" s="5">
        <f t="shared" si="97"/>
        <v>-303</v>
      </c>
      <c r="P326" s="5">
        <f t="shared" si="98"/>
        <v>-231</v>
      </c>
      <c r="Q326" s="8">
        <v>0</v>
      </c>
      <c r="R326" s="8">
        <v>0</v>
      </c>
      <c r="S326" s="8">
        <v>0</v>
      </c>
      <c r="T326" s="6">
        <f t="shared" si="90"/>
        <v>2015</v>
      </c>
      <c r="U326" s="7">
        <f t="shared" si="99"/>
        <v>694</v>
      </c>
      <c r="V326" s="7">
        <f t="shared" si="100"/>
        <v>677</v>
      </c>
      <c r="W326" s="7">
        <f t="shared" si="101"/>
        <v>689</v>
      </c>
      <c r="X326" s="6"/>
      <c r="Y326" s="5"/>
      <c r="Z326" s="5"/>
      <c r="AA326" s="5"/>
      <c r="AB326" s="5"/>
    </row>
    <row r="327" spans="1:28" ht="13.15" customHeight="1">
      <c r="A327" s="13">
        <v>313</v>
      </c>
      <c r="B327" s="4">
        <f t="shared" si="91"/>
        <v>45356</v>
      </c>
      <c r="C327" s="10">
        <f t="shared" si="92"/>
        <v>842</v>
      </c>
      <c r="D327" s="9">
        <f t="shared" si="102"/>
        <v>1852</v>
      </c>
      <c r="E327" s="8">
        <f t="shared" si="84"/>
        <v>980</v>
      </c>
      <c r="F327" s="8">
        <f t="shared" si="85"/>
        <v>997</v>
      </c>
      <c r="G327" s="8">
        <f t="shared" si="86"/>
        <v>925</v>
      </c>
      <c r="H327" s="5">
        <f t="shared" si="87"/>
        <v>1714</v>
      </c>
      <c r="I327" s="5">
        <f t="shared" si="88"/>
        <v>1697</v>
      </c>
      <c r="J327" s="5">
        <f t="shared" si="89"/>
        <v>1769</v>
      </c>
      <c r="K327" s="5">
        <f t="shared" si="93"/>
        <v>2000</v>
      </c>
      <c r="L327" s="5">
        <f t="shared" si="94"/>
        <v>2000</v>
      </c>
      <c r="M327" s="5">
        <f t="shared" si="95"/>
        <v>2000</v>
      </c>
      <c r="N327" s="5">
        <f t="shared" si="96"/>
        <v>-286</v>
      </c>
      <c r="O327" s="5">
        <f t="shared" si="97"/>
        <v>-303</v>
      </c>
      <c r="P327" s="5">
        <f t="shared" si="98"/>
        <v>-231</v>
      </c>
      <c r="Q327" s="8">
        <v>0</v>
      </c>
      <c r="R327" s="8">
        <v>0</v>
      </c>
      <c r="S327" s="8">
        <v>0</v>
      </c>
      <c r="T327" s="6">
        <f t="shared" si="90"/>
        <v>2017</v>
      </c>
      <c r="U327" s="7">
        <f t="shared" si="99"/>
        <v>694</v>
      </c>
      <c r="V327" s="7">
        <f t="shared" si="100"/>
        <v>677</v>
      </c>
      <c r="W327" s="7">
        <f t="shared" si="101"/>
        <v>689</v>
      </c>
      <c r="X327" s="6"/>
      <c r="Y327" s="5"/>
      <c r="Z327" s="5"/>
      <c r="AA327" s="5"/>
      <c r="AB327" s="5"/>
    </row>
    <row r="328" spans="1:28" ht="13.15" customHeight="1">
      <c r="A328" s="13">
        <v>314</v>
      </c>
      <c r="B328" s="4">
        <f t="shared" si="91"/>
        <v>45357</v>
      </c>
      <c r="C328" s="10">
        <f t="shared" si="92"/>
        <v>842</v>
      </c>
      <c r="D328" s="9">
        <f t="shared" si="102"/>
        <v>1854</v>
      </c>
      <c r="E328" s="8">
        <f t="shared" si="84"/>
        <v>982</v>
      </c>
      <c r="F328" s="8">
        <f t="shared" si="85"/>
        <v>999</v>
      </c>
      <c r="G328" s="8">
        <f t="shared" si="86"/>
        <v>927</v>
      </c>
      <c r="H328" s="5">
        <f t="shared" si="87"/>
        <v>1714</v>
      </c>
      <c r="I328" s="5">
        <f t="shared" si="88"/>
        <v>1697</v>
      </c>
      <c r="J328" s="5">
        <f t="shared" si="89"/>
        <v>1769</v>
      </c>
      <c r="K328" s="5">
        <f t="shared" si="93"/>
        <v>2000</v>
      </c>
      <c r="L328" s="5">
        <f t="shared" si="94"/>
        <v>2000</v>
      </c>
      <c r="M328" s="5">
        <f t="shared" si="95"/>
        <v>2000</v>
      </c>
      <c r="N328" s="5">
        <f t="shared" si="96"/>
        <v>-286</v>
      </c>
      <c r="O328" s="5">
        <f t="shared" si="97"/>
        <v>-303</v>
      </c>
      <c r="P328" s="5">
        <f t="shared" si="98"/>
        <v>-231</v>
      </c>
      <c r="Q328" s="8">
        <v>0</v>
      </c>
      <c r="R328" s="8">
        <v>0</v>
      </c>
      <c r="S328" s="8">
        <v>0</v>
      </c>
      <c r="T328" s="6">
        <f t="shared" si="90"/>
        <v>2019</v>
      </c>
      <c r="U328" s="7">
        <f t="shared" si="99"/>
        <v>694</v>
      </c>
      <c r="V328" s="7">
        <f t="shared" si="100"/>
        <v>677</v>
      </c>
      <c r="W328" s="7">
        <f t="shared" si="101"/>
        <v>689</v>
      </c>
      <c r="X328" s="6"/>
      <c r="Y328" s="5"/>
      <c r="Z328" s="5"/>
      <c r="AA328" s="5"/>
      <c r="AB328" s="5"/>
    </row>
    <row r="329" spans="1:28" ht="13.15" customHeight="1">
      <c r="A329" s="13">
        <v>315</v>
      </c>
      <c r="B329" s="4">
        <f t="shared" si="91"/>
        <v>45358</v>
      </c>
      <c r="C329" s="10">
        <f t="shared" si="92"/>
        <v>842</v>
      </c>
      <c r="D329" s="9">
        <f t="shared" si="102"/>
        <v>1856</v>
      </c>
      <c r="E329" s="8">
        <f t="shared" si="84"/>
        <v>984</v>
      </c>
      <c r="F329" s="8">
        <f t="shared" si="85"/>
        <v>1001</v>
      </c>
      <c r="G329" s="8">
        <f t="shared" si="86"/>
        <v>929</v>
      </c>
      <c r="H329" s="5">
        <f t="shared" si="87"/>
        <v>1714</v>
      </c>
      <c r="I329" s="5">
        <f t="shared" si="88"/>
        <v>1697</v>
      </c>
      <c r="J329" s="5">
        <f t="shared" si="89"/>
        <v>1769</v>
      </c>
      <c r="K329" s="5">
        <f t="shared" si="93"/>
        <v>2000</v>
      </c>
      <c r="L329" s="5">
        <f t="shared" si="94"/>
        <v>2000</v>
      </c>
      <c r="M329" s="5">
        <f t="shared" si="95"/>
        <v>2000</v>
      </c>
      <c r="N329" s="5">
        <f t="shared" si="96"/>
        <v>-286</v>
      </c>
      <c r="O329" s="5">
        <f t="shared" si="97"/>
        <v>-303</v>
      </c>
      <c r="P329" s="5">
        <f t="shared" si="98"/>
        <v>-231</v>
      </c>
      <c r="Q329" s="8">
        <v>0</v>
      </c>
      <c r="R329" s="8">
        <v>0</v>
      </c>
      <c r="S329" s="8">
        <v>0</v>
      </c>
      <c r="T329" s="6">
        <f t="shared" si="90"/>
        <v>2021</v>
      </c>
      <c r="U329" s="7">
        <f t="shared" si="99"/>
        <v>694</v>
      </c>
      <c r="V329" s="7">
        <f t="shared" si="100"/>
        <v>677</v>
      </c>
      <c r="W329" s="7">
        <f t="shared" si="101"/>
        <v>689</v>
      </c>
      <c r="X329" s="6"/>
      <c r="Y329" s="5"/>
      <c r="Z329" s="5"/>
      <c r="AA329" s="5"/>
      <c r="AB329" s="5"/>
    </row>
    <row r="330" spans="1:28" ht="13.15" customHeight="1">
      <c r="A330" s="13">
        <v>316</v>
      </c>
      <c r="B330" s="4">
        <f t="shared" si="91"/>
        <v>45359</v>
      </c>
      <c r="C330" s="10">
        <f t="shared" si="92"/>
        <v>842</v>
      </c>
      <c r="D330" s="9">
        <f t="shared" si="102"/>
        <v>1858</v>
      </c>
      <c r="E330" s="8">
        <f t="shared" si="84"/>
        <v>986</v>
      </c>
      <c r="F330" s="8">
        <f t="shared" si="85"/>
        <v>1003</v>
      </c>
      <c r="G330" s="8">
        <f t="shared" si="86"/>
        <v>931</v>
      </c>
      <c r="H330" s="5">
        <f t="shared" si="87"/>
        <v>1714</v>
      </c>
      <c r="I330" s="5">
        <f t="shared" si="88"/>
        <v>1697</v>
      </c>
      <c r="J330" s="5">
        <f t="shared" si="89"/>
        <v>1769</v>
      </c>
      <c r="K330" s="5">
        <f t="shared" si="93"/>
        <v>2000</v>
      </c>
      <c r="L330" s="5">
        <f t="shared" si="94"/>
        <v>2000</v>
      </c>
      <c r="M330" s="5">
        <f t="shared" si="95"/>
        <v>2000</v>
      </c>
      <c r="N330" s="5">
        <f t="shared" si="96"/>
        <v>-286</v>
      </c>
      <c r="O330" s="5">
        <f t="shared" si="97"/>
        <v>-303</v>
      </c>
      <c r="P330" s="5">
        <f t="shared" si="98"/>
        <v>-231</v>
      </c>
      <c r="Q330" s="8">
        <v>0</v>
      </c>
      <c r="R330" s="8">
        <v>0</v>
      </c>
      <c r="S330" s="8">
        <v>0</v>
      </c>
      <c r="T330" s="6">
        <f t="shared" si="90"/>
        <v>2023</v>
      </c>
      <c r="U330" s="7">
        <f t="shared" si="99"/>
        <v>694</v>
      </c>
      <c r="V330" s="7">
        <f t="shared" si="100"/>
        <v>677</v>
      </c>
      <c r="W330" s="7">
        <f t="shared" si="101"/>
        <v>689</v>
      </c>
      <c r="X330" s="6"/>
      <c r="Y330" s="5"/>
      <c r="Z330" s="5"/>
      <c r="AA330" s="5"/>
      <c r="AB330" s="5"/>
    </row>
    <row r="331" spans="1:28" ht="13.15" customHeight="1">
      <c r="A331" s="13">
        <v>317</v>
      </c>
      <c r="B331" s="4">
        <f t="shared" si="91"/>
        <v>45360</v>
      </c>
      <c r="C331" s="10">
        <f t="shared" si="92"/>
        <v>842</v>
      </c>
      <c r="D331" s="9">
        <f t="shared" si="102"/>
        <v>1860</v>
      </c>
      <c r="E331" s="8">
        <f t="shared" si="84"/>
        <v>988</v>
      </c>
      <c r="F331" s="8">
        <f t="shared" si="85"/>
        <v>1005</v>
      </c>
      <c r="G331" s="8">
        <f t="shared" si="86"/>
        <v>933</v>
      </c>
      <c r="H331" s="5">
        <f t="shared" si="87"/>
        <v>1714</v>
      </c>
      <c r="I331" s="5">
        <f t="shared" si="88"/>
        <v>1697</v>
      </c>
      <c r="J331" s="5">
        <f t="shared" si="89"/>
        <v>1769</v>
      </c>
      <c r="K331" s="5">
        <f t="shared" si="93"/>
        <v>2000</v>
      </c>
      <c r="L331" s="5">
        <f t="shared" si="94"/>
        <v>2000</v>
      </c>
      <c r="M331" s="5">
        <f t="shared" si="95"/>
        <v>2000</v>
      </c>
      <c r="N331" s="5">
        <f t="shared" si="96"/>
        <v>-286</v>
      </c>
      <c r="O331" s="5">
        <f t="shared" si="97"/>
        <v>-303</v>
      </c>
      <c r="P331" s="5">
        <f t="shared" si="98"/>
        <v>-231</v>
      </c>
      <c r="Q331" s="8">
        <v>0</v>
      </c>
      <c r="R331" s="8">
        <v>0</v>
      </c>
      <c r="S331" s="8">
        <v>0</v>
      </c>
      <c r="T331" s="6">
        <f t="shared" si="90"/>
        <v>2025</v>
      </c>
      <c r="U331" s="7">
        <f t="shared" si="99"/>
        <v>694</v>
      </c>
      <c r="V331" s="7">
        <f t="shared" si="100"/>
        <v>677</v>
      </c>
      <c r="W331" s="7">
        <f t="shared" si="101"/>
        <v>689</v>
      </c>
      <c r="X331" s="6"/>
      <c r="Y331" s="5"/>
      <c r="Z331" s="5"/>
      <c r="AA331" s="5"/>
      <c r="AB331" s="5"/>
    </row>
    <row r="332" spans="1:28" ht="13.15" customHeight="1">
      <c r="A332" s="13">
        <v>318</v>
      </c>
      <c r="B332" s="4">
        <f t="shared" si="91"/>
        <v>45361</v>
      </c>
      <c r="C332" s="10">
        <f t="shared" si="92"/>
        <v>842</v>
      </c>
      <c r="D332" s="9">
        <f t="shared" si="102"/>
        <v>1862</v>
      </c>
      <c r="E332" s="8">
        <f t="shared" si="84"/>
        <v>990</v>
      </c>
      <c r="F332" s="8">
        <f t="shared" si="85"/>
        <v>1007</v>
      </c>
      <c r="G332" s="8">
        <f t="shared" si="86"/>
        <v>935</v>
      </c>
      <c r="H332" s="5">
        <f t="shared" si="87"/>
        <v>1714</v>
      </c>
      <c r="I332" s="5">
        <f t="shared" si="88"/>
        <v>1697</v>
      </c>
      <c r="J332" s="5">
        <f t="shared" si="89"/>
        <v>1769</v>
      </c>
      <c r="K332" s="5">
        <f t="shared" si="93"/>
        <v>2000</v>
      </c>
      <c r="L332" s="5">
        <f t="shared" si="94"/>
        <v>2000</v>
      </c>
      <c r="M332" s="5">
        <f t="shared" si="95"/>
        <v>2000</v>
      </c>
      <c r="N332" s="5">
        <f t="shared" si="96"/>
        <v>-286</v>
      </c>
      <c r="O332" s="5">
        <f t="shared" si="97"/>
        <v>-303</v>
      </c>
      <c r="P332" s="5">
        <f t="shared" si="98"/>
        <v>-231</v>
      </c>
      <c r="Q332" s="8">
        <v>0</v>
      </c>
      <c r="R332" s="8">
        <v>0</v>
      </c>
      <c r="S332" s="8">
        <v>0</v>
      </c>
      <c r="T332" s="6">
        <f t="shared" si="90"/>
        <v>2027</v>
      </c>
      <c r="U332" s="7">
        <f t="shared" si="99"/>
        <v>694</v>
      </c>
      <c r="V332" s="7">
        <f t="shared" si="100"/>
        <v>677</v>
      </c>
      <c r="W332" s="7">
        <f t="shared" si="101"/>
        <v>689</v>
      </c>
      <c r="X332" s="6"/>
      <c r="Y332" s="5"/>
      <c r="Z332" s="5"/>
      <c r="AA332" s="5"/>
      <c r="AB332" s="5"/>
    </row>
    <row r="333" spans="1:28" ht="13.15" customHeight="1">
      <c r="A333" s="13">
        <v>319</v>
      </c>
      <c r="B333" s="4">
        <f t="shared" si="91"/>
        <v>45362</v>
      </c>
      <c r="C333" s="10">
        <f t="shared" si="92"/>
        <v>842</v>
      </c>
      <c r="D333" s="9">
        <f t="shared" si="102"/>
        <v>1864</v>
      </c>
      <c r="E333" s="8">
        <f t="shared" si="84"/>
        <v>992</v>
      </c>
      <c r="F333" s="8">
        <f t="shared" si="85"/>
        <v>1009</v>
      </c>
      <c r="G333" s="8">
        <f t="shared" si="86"/>
        <v>937</v>
      </c>
      <c r="H333" s="5">
        <f t="shared" si="87"/>
        <v>1714</v>
      </c>
      <c r="I333" s="5">
        <f t="shared" si="88"/>
        <v>1697</v>
      </c>
      <c r="J333" s="5">
        <f t="shared" si="89"/>
        <v>1769</v>
      </c>
      <c r="K333" s="5">
        <f t="shared" si="93"/>
        <v>2000</v>
      </c>
      <c r="L333" s="5">
        <f t="shared" si="94"/>
        <v>2000</v>
      </c>
      <c r="M333" s="5">
        <f t="shared" si="95"/>
        <v>2000</v>
      </c>
      <c r="N333" s="5">
        <f t="shared" si="96"/>
        <v>-286</v>
      </c>
      <c r="O333" s="5">
        <f t="shared" si="97"/>
        <v>-303</v>
      </c>
      <c r="P333" s="5">
        <f t="shared" si="98"/>
        <v>-231</v>
      </c>
      <c r="Q333" s="8">
        <v>0</v>
      </c>
      <c r="R333" s="8">
        <v>0</v>
      </c>
      <c r="S333" s="8">
        <v>0</v>
      </c>
      <c r="T333" s="6">
        <f t="shared" si="90"/>
        <v>2029</v>
      </c>
      <c r="U333" s="7">
        <f t="shared" si="99"/>
        <v>694</v>
      </c>
      <c r="V333" s="7">
        <f t="shared" si="100"/>
        <v>677</v>
      </c>
      <c r="W333" s="7">
        <f t="shared" si="101"/>
        <v>689</v>
      </c>
      <c r="X333" s="6"/>
      <c r="Y333" s="5"/>
      <c r="Z333" s="5"/>
      <c r="AA333" s="5"/>
      <c r="AB333" s="5"/>
    </row>
    <row r="334" spans="1:28" ht="13.15" customHeight="1">
      <c r="A334" s="13">
        <v>320</v>
      </c>
      <c r="B334" s="4">
        <f t="shared" si="91"/>
        <v>45363</v>
      </c>
      <c r="C334" s="10">
        <f t="shared" si="92"/>
        <v>842</v>
      </c>
      <c r="D334" s="9">
        <f t="shared" si="102"/>
        <v>1866</v>
      </c>
      <c r="E334" s="8">
        <f t="shared" ref="E334:E397" si="103">C334+D334-H334</f>
        <v>994</v>
      </c>
      <c r="F334" s="8">
        <f t="shared" ref="F334:F397" si="104">C334+D334-I334</f>
        <v>1011</v>
      </c>
      <c r="G334" s="8">
        <f t="shared" ref="G334:G397" si="105">D334+C334-J334</f>
        <v>939</v>
      </c>
      <c r="H334" s="5">
        <f t="shared" ref="H334:H397" si="106">K334+N334</f>
        <v>1714</v>
      </c>
      <c r="I334" s="5">
        <f t="shared" ref="I334:I397" si="107">L334+O334</f>
        <v>1697</v>
      </c>
      <c r="J334" s="5">
        <f t="shared" ref="J334:J397" si="108">M334+P334</f>
        <v>1769</v>
      </c>
      <c r="K334" s="5">
        <f t="shared" si="93"/>
        <v>2000</v>
      </c>
      <c r="L334" s="5">
        <f t="shared" si="94"/>
        <v>2000</v>
      </c>
      <c r="M334" s="5">
        <f t="shared" si="95"/>
        <v>2000</v>
      </c>
      <c r="N334" s="5">
        <f t="shared" si="96"/>
        <v>-286</v>
      </c>
      <c r="O334" s="5">
        <f t="shared" si="97"/>
        <v>-303</v>
      </c>
      <c r="P334" s="5">
        <f t="shared" si="98"/>
        <v>-231</v>
      </c>
      <c r="Q334" s="8">
        <v>0</v>
      </c>
      <c r="R334" s="8">
        <v>0</v>
      </c>
      <c r="S334" s="8">
        <v>0</v>
      </c>
      <c r="T334" s="6">
        <f t="shared" ref="T334:T397" si="109">D334+C334-V334</f>
        <v>2031</v>
      </c>
      <c r="U334" s="7">
        <f t="shared" si="99"/>
        <v>694</v>
      </c>
      <c r="V334" s="7">
        <f t="shared" si="100"/>
        <v>677</v>
      </c>
      <c r="W334" s="7">
        <f t="shared" si="101"/>
        <v>689</v>
      </c>
      <c r="X334" s="6"/>
      <c r="Y334" s="5"/>
      <c r="Z334" s="5"/>
      <c r="AA334" s="5"/>
      <c r="AB334" s="5"/>
    </row>
    <row r="335" spans="1:28" ht="13.15" customHeight="1">
      <c r="A335" s="13">
        <v>321</v>
      </c>
      <c r="B335" s="4">
        <f t="shared" ref="B335:B398" si="110">B334+1</f>
        <v>45364</v>
      </c>
      <c r="C335" s="10">
        <f t="shared" ref="C335:C398" si="111">C334</f>
        <v>842</v>
      </c>
      <c r="D335" s="9">
        <f t="shared" si="102"/>
        <v>1868</v>
      </c>
      <c r="E335" s="8">
        <f t="shared" si="103"/>
        <v>996</v>
      </c>
      <c r="F335" s="8">
        <f t="shared" si="104"/>
        <v>1013</v>
      </c>
      <c r="G335" s="8">
        <f t="shared" si="105"/>
        <v>941</v>
      </c>
      <c r="H335" s="5">
        <f t="shared" si="106"/>
        <v>1714</v>
      </c>
      <c r="I335" s="5">
        <f t="shared" si="107"/>
        <v>1697</v>
      </c>
      <c r="J335" s="5">
        <f t="shared" si="108"/>
        <v>1769</v>
      </c>
      <c r="K335" s="5">
        <f t="shared" ref="K335:K362" si="112">K334</f>
        <v>2000</v>
      </c>
      <c r="L335" s="5">
        <f t="shared" ref="L335:L362" si="113">L334</f>
        <v>2000</v>
      </c>
      <c r="M335" s="5">
        <f t="shared" ref="M335:M362" si="114">M334</f>
        <v>2000</v>
      </c>
      <c r="N335" s="5">
        <f t="shared" ref="N335:N398" si="115">N334-Q335</f>
        <v>-286</v>
      </c>
      <c r="O335" s="5">
        <f t="shared" ref="O335:O398" si="116">O334-R335</f>
        <v>-303</v>
      </c>
      <c r="P335" s="5">
        <f t="shared" ref="P335:P398" si="117">P334-S335</f>
        <v>-231</v>
      </c>
      <c r="Q335" s="8">
        <v>0</v>
      </c>
      <c r="R335" s="8">
        <v>0</v>
      </c>
      <c r="S335" s="8">
        <v>0</v>
      </c>
      <c r="T335" s="6">
        <f t="shared" si="109"/>
        <v>2033</v>
      </c>
      <c r="U335" s="7">
        <f t="shared" si="99"/>
        <v>694</v>
      </c>
      <c r="V335" s="7">
        <f t="shared" si="100"/>
        <v>677</v>
      </c>
      <c r="W335" s="7">
        <f t="shared" si="101"/>
        <v>689</v>
      </c>
      <c r="X335" s="6"/>
      <c r="Y335" s="5"/>
      <c r="Z335" s="5"/>
      <c r="AA335" s="5"/>
      <c r="AB335" s="5"/>
    </row>
    <row r="336" spans="1:28" ht="13.15" customHeight="1">
      <c r="A336" s="13">
        <v>322</v>
      </c>
      <c r="B336" s="4">
        <f t="shared" si="110"/>
        <v>45365</v>
      </c>
      <c r="C336" s="10">
        <f t="shared" si="111"/>
        <v>842</v>
      </c>
      <c r="D336" s="9">
        <f t="shared" si="102"/>
        <v>1870</v>
      </c>
      <c r="E336" s="8">
        <f t="shared" si="103"/>
        <v>998</v>
      </c>
      <c r="F336" s="8">
        <f t="shared" si="104"/>
        <v>1015</v>
      </c>
      <c r="G336" s="8">
        <f t="shared" si="105"/>
        <v>943</v>
      </c>
      <c r="H336" s="5">
        <f t="shared" si="106"/>
        <v>1714</v>
      </c>
      <c r="I336" s="5">
        <f t="shared" si="107"/>
        <v>1697</v>
      </c>
      <c r="J336" s="5">
        <f t="shared" si="108"/>
        <v>1769</v>
      </c>
      <c r="K336" s="5">
        <f t="shared" si="112"/>
        <v>2000</v>
      </c>
      <c r="L336" s="5">
        <f t="shared" si="113"/>
        <v>2000</v>
      </c>
      <c r="M336" s="5">
        <f t="shared" si="114"/>
        <v>2000</v>
      </c>
      <c r="N336" s="5">
        <f t="shared" si="115"/>
        <v>-286</v>
      </c>
      <c r="O336" s="5">
        <f t="shared" si="116"/>
        <v>-303</v>
      </c>
      <c r="P336" s="5">
        <f t="shared" si="117"/>
        <v>-231</v>
      </c>
      <c r="Q336" s="8">
        <v>0</v>
      </c>
      <c r="R336" s="8">
        <v>0</v>
      </c>
      <c r="S336" s="8">
        <v>0</v>
      </c>
      <c r="T336" s="6">
        <f t="shared" si="109"/>
        <v>2035</v>
      </c>
      <c r="U336" s="7">
        <f t="shared" si="99"/>
        <v>694</v>
      </c>
      <c r="V336" s="7">
        <f t="shared" si="100"/>
        <v>677</v>
      </c>
      <c r="W336" s="7">
        <f t="shared" si="101"/>
        <v>689</v>
      </c>
      <c r="X336" s="6"/>
      <c r="Y336" s="5"/>
      <c r="Z336" s="5"/>
      <c r="AA336" s="5"/>
      <c r="AB336" s="5"/>
    </row>
    <row r="337" spans="1:28" ht="13.15" customHeight="1">
      <c r="A337" s="13">
        <v>323</v>
      </c>
      <c r="B337" s="4">
        <f t="shared" si="110"/>
        <v>45366</v>
      </c>
      <c r="C337" s="10">
        <f t="shared" si="111"/>
        <v>842</v>
      </c>
      <c r="D337" s="9">
        <f t="shared" si="102"/>
        <v>1872</v>
      </c>
      <c r="E337" s="8">
        <f t="shared" si="103"/>
        <v>1000</v>
      </c>
      <c r="F337" s="8">
        <f t="shared" si="104"/>
        <v>1017</v>
      </c>
      <c r="G337" s="8">
        <f t="shared" si="105"/>
        <v>945</v>
      </c>
      <c r="H337" s="5">
        <f t="shared" si="106"/>
        <v>1714</v>
      </c>
      <c r="I337" s="5">
        <f t="shared" si="107"/>
        <v>1697</v>
      </c>
      <c r="J337" s="5">
        <f t="shared" si="108"/>
        <v>1769</v>
      </c>
      <c r="K337" s="5">
        <f t="shared" si="112"/>
        <v>2000</v>
      </c>
      <c r="L337" s="5">
        <f t="shared" si="113"/>
        <v>2000</v>
      </c>
      <c r="M337" s="5">
        <f t="shared" si="114"/>
        <v>2000</v>
      </c>
      <c r="N337" s="5">
        <f t="shared" si="115"/>
        <v>-286</v>
      </c>
      <c r="O337" s="5">
        <f t="shared" si="116"/>
        <v>-303</v>
      </c>
      <c r="P337" s="5">
        <f t="shared" si="117"/>
        <v>-231</v>
      </c>
      <c r="Q337" s="8">
        <v>0</v>
      </c>
      <c r="R337" s="8">
        <v>0</v>
      </c>
      <c r="S337" s="8">
        <v>0</v>
      </c>
      <c r="T337" s="6">
        <f t="shared" si="109"/>
        <v>2037</v>
      </c>
      <c r="U337" s="7">
        <f t="shared" si="99"/>
        <v>694</v>
      </c>
      <c r="V337" s="7">
        <f t="shared" si="100"/>
        <v>677</v>
      </c>
      <c r="W337" s="7">
        <f t="shared" si="101"/>
        <v>689</v>
      </c>
      <c r="X337" s="6"/>
      <c r="Y337" s="5"/>
      <c r="Z337" s="5"/>
      <c r="AA337" s="5"/>
      <c r="AB337" s="5"/>
    </row>
    <row r="338" spans="1:28" ht="13.15" customHeight="1">
      <c r="A338" s="13">
        <v>324</v>
      </c>
      <c r="B338" s="4">
        <f t="shared" si="110"/>
        <v>45367</v>
      </c>
      <c r="C338" s="10">
        <f t="shared" si="111"/>
        <v>842</v>
      </c>
      <c r="D338" s="9">
        <f t="shared" si="102"/>
        <v>1874</v>
      </c>
      <c r="E338" s="8">
        <f t="shared" si="103"/>
        <v>1002</v>
      </c>
      <c r="F338" s="8">
        <f t="shared" si="104"/>
        <v>1019</v>
      </c>
      <c r="G338" s="8">
        <f t="shared" si="105"/>
        <v>947</v>
      </c>
      <c r="H338" s="5">
        <f t="shared" si="106"/>
        <v>1714</v>
      </c>
      <c r="I338" s="5">
        <f t="shared" si="107"/>
        <v>1697</v>
      </c>
      <c r="J338" s="5">
        <f t="shared" si="108"/>
        <v>1769</v>
      </c>
      <c r="K338" s="5">
        <f t="shared" si="112"/>
        <v>2000</v>
      </c>
      <c r="L338" s="5">
        <f t="shared" si="113"/>
        <v>2000</v>
      </c>
      <c r="M338" s="5">
        <f t="shared" si="114"/>
        <v>2000</v>
      </c>
      <c r="N338" s="5">
        <f t="shared" si="115"/>
        <v>-286</v>
      </c>
      <c r="O338" s="5">
        <f t="shared" si="116"/>
        <v>-303</v>
      </c>
      <c r="P338" s="5">
        <f t="shared" si="117"/>
        <v>-231</v>
      </c>
      <c r="Q338" s="8">
        <v>0</v>
      </c>
      <c r="R338" s="8">
        <v>0</v>
      </c>
      <c r="S338" s="8">
        <v>0</v>
      </c>
      <c r="T338" s="6">
        <f t="shared" si="109"/>
        <v>2039</v>
      </c>
      <c r="U338" s="7">
        <f t="shared" si="99"/>
        <v>694</v>
      </c>
      <c r="V338" s="7">
        <f t="shared" si="100"/>
        <v>677</v>
      </c>
      <c r="W338" s="7">
        <f t="shared" si="101"/>
        <v>689</v>
      </c>
      <c r="X338" s="6"/>
      <c r="Y338" s="5"/>
      <c r="Z338" s="5"/>
      <c r="AA338" s="5"/>
      <c r="AB338" s="5"/>
    </row>
    <row r="339" spans="1:28" ht="13.15" customHeight="1">
      <c r="A339" s="13">
        <v>325</v>
      </c>
      <c r="B339" s="4">
        <f t="shared" si="110"/>
        <v>45368</v>
      </c>
      <c r="C339" s="10">
        <f t="shared" si="111"/>
        <v>842</v>
      </c>
      <c r="D339" s="9">
        <f t="shared" si="102"/>
        <v>1876</v>
      </c>
      <c r="E339" s="8">
        <f t="shared" si="103"/>
        <v>1004</v>
      </c>
      <c r="F339" s="8">
        <f t="shared" si="104"/>
        <v>1021</v>
      </c>
      <c r="G339" s="8">
        <f t="shared" si="105"/>
        <v>949</v>
      </c>
      <c r="H339" s="5">
        <f t="shared" si="106"/>
        <v>1714</v>
      </c>
      <c r="I339" s="5">
        <f t="shared" si="107"/>
        <v>1697</v>
      </c>
      <c r="J339" s="5">
        <f t="shared" si="108"/>
        <v>1769</v>
      </c>
      <c r="K339" s="5">
        <f t="shared" si="112"/>
        <v>2000</v>
      </c>
      <c r="L339" s="5">
        <f t="shared" si="113"/>
        <v>2000</v>
      </c>
      <c r="M339" s="5">
        <f t="shared" si="114"/>
        <v>2000</v>
      </c>
      <c r="N339" s="5">
        <f t="shared" si="115"/>
        <v>-286</v>
      </c>
      <c r="O339" s="5">
        <f t="shared" si="116"/>
        <v>-303</v>
      </c>
      <c r="P339" s="5">
        <f t="shared" si="117"/>
        <v>-231</v>
      </c>
      <c r="Q339" s="8">
        <v>0</v>
      </c>
      <c r="R339" s="8">
        <v>0</v>
      </c>
      <c r="S339" s="8">
        <v>0</v>
      </c>
      <c r="T339" s="6">
        <f t="shared" si="109"/>
        <v>2041</v>
      </c>
      <c r="U339" s="7">
        <f t="shared" si="99"/>
        <v>694</v>
      </c>
      <c r="V339" s="7">
        <f t="shared" si="100"/>
        <v>677</v>
      </c>
      <c r="W339" s="7">
        <f t="shared" si="101"/>
        <v>689</v>
      </c>
      <c r="X339" s="6"/>
      <c r="Y339" s="5"/>
      <c r="Z339" s="5"/>
      <c r="AA339" s="5"/>
      <c r="AB339" s="5"/>
    </row>
    <row r="340" spans="1:28" ht="13.15" customHeight="1">
      <c r="A340" s="13">
        <v>326</v>
      </c>
      <c r="B340" s="4">
        <f t="shared" si="110"/>
        <v>45369</v>
      </c>
      <c r="C340" s="10">
        <f t="shared" si="111"/>
        <v>842</v>
      </c>
      <c r="D340" s="9">
        <f t="shared" si="102"/>
        <v>1878</v>
      </c>
      <c r="E340" s="8">
        <f t="shared" si="103"/>
        <v>1006</v>
      </c>
      <c r="F340" s="8">
        <f t="shared" si="104"/>
        <v>1023</v>
      </c>
      <c r="G340" s="8">
        <f t="shared" si="105"/>
        <v>951</v>
      </c>
      <c r="H340" s="5">
        <f t="shared" si="106"/>
        <v>1714</v>
      </c>
      <c r="I340" s="5">
        <f t="shared" si="107"/>
        <v>1697</v>
      </c>
      <c r="J340" s="5">
        <f t="shared" si="108"/>
        <v>1769</v>
      </c>
      <c r="K340" s="5">
        <f t="shared" si="112"/>
        <v>2000</v>
      </c>
      <c r="L340" s="5">
        <f t="shared" si="113"/>
        <v>2000</v>
      </c>
      <c r="M340" s="5">
        <f t="shared" si="114"/>
        <v>2000</v>
      </c>
      <c r="N340" s="5">
        <f t="shared" si="115"/>
        <v>-286</v>
      </c>
      <c r="O340" s="5">
        <f t="shared" si="116"/>
        <v>-303</v>
      </c>
      <c r="P340" s="5">
        <f t="shared" si="117"/>
        <v>-231</v>
      </c>
      <c r="Q340" s="8">
        <v>0</v>
      </c>
      <c r="R340" s="8">
        <v>0</v>
      </c>
      <c r="S340" s="8">
        <v>0</v>
      </c>
      <c r="T340" s="6">
        <f t="shared" si="109"/>
        <v>2043</v>
      </c>
      <c r="U340" s="7">
        <f t="shared" si="99"/>
        <v>694</v>
      </c>
      <c r="V340" s="7">
        <f t="shared" si="100"/>
        <v>677</v>
      </c>
      <c r="W340" s="7">
        <f t="shared" si="101"/>
        <v>689</v>
      </c>
      <c r="X340" s="6"/>
      <c r="Y340" s="5"/>
      <c r="Z340" s="5"/>
      <c r="AA340" s="5"/>
      <c r="AB340" s="5"/>
    </row>
    <row r="341" spans="1:28" ht="13.15" customHeight="1">
      <c r="A341" s="13">
        <v>327</v>
      </c>
      <c r="B341" s="4">
        <f t="shared" si="110"/>
        <v>45370</v>
      </c>
      <c r="C341" s="10">
        <f t="shared" si="111"/>
        <v>842</v>
      </c>
      <c r="D341" s="9">
        <f t="shared" si="102"/>
        <v>1880</v>
      </c>
      <c r="E341" s="8">
        <f t="shared" si="103"/>
        <v>1008</v>
      </c>
      <c r="F341" s="8">
        <f t="shared" si="104"/>
        <v>1025</v>
      </c>
      <c r="G341" s="8">
        <f t="shared" si="105"/>
        <v>953</v>
      </c>
      <c r="H341" s="5">
        <f t="shared" si="106"/>
        <v>1714</v>
      </c>
      <c r="I341" s="5">
        <f t="shared" si="107"/>
        <v>1697</v>
      </c>
      <c r="J341" s="5">
        <f t="shared" si="108"/>
        <v>1769</v>
      </c>
      <c r="K341" s="5">
        <f t="shared" si="112"/>
        <v>2000</v>
      </c>
      <c r="L341" s="5">
        <f t="shared" si="113"/>
        <v>2000</v>
      </c>
      <c r="M341" s="5">
        <f t="shared" si="114"/>
        <v>2000</v>
      </c>
      <c r="N341" s="5">
        <f t="shared" si="115"/>
        <v>-286</v>
      </c>
      <c r="O341" s="5">
        <f t="shared" si="116"/>
        <v>-303</v>
      </c>
      <c r="P341" s="5">
        <f t="shared" si="117"/>
        <v>-231</v>
      </c>
      <c r="Q341" s="8">
        <v>0</v>
      </c>
      <c r="R341" s="8">
        <v>0</v>
      </c>
      <c r="S341" s="8">
        <v>0</v>
      </c>
      <c r="T341" s="6">
        <f t="shared" si="109"/>
        <v>2045</v>
      </c>
      <c r="U341" s="7">
        <f t="shared" si="99"/>
        <v>694</v>
      </c>
      <c r="V341" s="7">
        <f t="shared" si="100"/>
        <v>677</v>
      </c>
      <c r="W341" s="7">
        <f t="shared" si="101"/>
        <v>689</v>
      </c>
      <c r="X341" s="6"/>
      <c r="Y341" s="5"/>
      <c r="Z341" s="5"/>
      <c r="AA341" s="5"/>
      <c r="AB341" s="5"/>
    </row>
    <row r="342" spans="1:28" ht="13.15" customHeight="1">
      <c r="A342" s="13">
        <v>328</v>
      </c>
      <c r="B342" s="4">
        <f t="shared" si="110"/>
        <v>45371</v>
      </c>
      <c r="C342" s="10">
        <f t="shared" si="111"/>
        <v>842</v>
      </c>
      <c r="D342" s="9">
        <f t="shared" si="102"/>
        <v>1882</v>
      </c>
      <c r="E342" s="8">
        <f t="shared" si="103"/>
        <v>1010</v>
      </c>
      <c r="F342" s="8">
        <f t="shared" si="104"/>
        <v>1027</v>
      </c>
      <c r="G342" s="8">
        <f t="shared" si="105"/>
        <v>955</v>
      </c>
      <c r="H342" s="5">
        <f t="shared" si="106"/>
        <v>1714</v>
      </c>
      <c r="I342" s="5">
        <f t="shared" si="107"/>
        <v>1697</v>
      </c>
      <c r="J342" s="5">
        <f t="shared" si="108"/>
        <v>1769</v>
      </c>
      <c r="K342" s="5">
        <f t="shared" si="112"/>
        <v>2000</v>
      </c>
      <c r="L342" s="5">
        <f t="shared" si="113"/>
        <v>2000</v>
      </c>
      <c r="M342" s="5">
        <f t="shared" si="114"/>
        <v>2000</v>
      </c>
      <c r="N342" s="5">
        <f t="shared" si="115"/>
        <v>-286</v>
      </c>
      <c r="O342" s="5">
        <f t="shared" si="116"/>
        <v>-303</v>
      </c>
      <c r="P342" s="5">
        <f t="shared" si="117"/>
        <v>-231</v>
      </c>
      <c r="Q342" s="8">
        <v>0</v>
      </c>
      <c r="R342" s="8">
        <v>0</v>
      </c>
      <c r="S342" s="8">
        <v>0</v>
      </c>
      <c r="T342" s="6">
        <f t="shared" si="109"/>
        <v>2047</v>
      </c>
      <c r="U342" s="7">
        <f t="shared" si="99"/>
        <v>694</v>
      </c>
      <c r="V342" s="7">
        <f t="shared" si="100"/>
        <v>677</v>
      </c>
      <c r="W342" s="7">
        <f t="shared" si="101"/>
        <v>689</v>
      </c>
      <c r="X342" s="6"/>
      <c r="Y342" s="5"/>
      <c r="Z342" s="5"/>
      <c r="AA342" s="5"/>
      <c r="AB342" s="5"/>
    </row>
    <row r="343" spans="1:28" ht="13.15" customHeight="1">
      <c r="A343" s="13">
        <v>329</v>
      </c>
      <c r="B343" s="4">
        <f t="shared" si="110"/>
        <v>45372</v>
      </c>
      <c r="C343" s="10">
        <f t="shared" si="111"/>
        <v>842</v>
      </c>
      <c r="D343" s="9">
        <f t="shared" si="102"/>
        <v>1884</v>
      </c>
      <c r="E343" s="8">
        <f t="shared" si="103"/>
        <v>1012</v>
      </c>
      <c r="F343" s="8">
        <f t="shared" si="104"/>
        <v>1029</v>
      </c>
      <c r="G343" s="8">
        <f t="shared" si="105"/>
        <v>957</v>
      </c>
      <c r="H343" s="5">
        <f t="shared" si="106"/>
        <v>1714</v>
      </c>
      <c r="I343" s="5">
        <f t="shared" si="107"/>
        <v>1697</v>
      </c>
      <c r="J343" s="5">
        <f t="shared" si="108"/>
        <v>1769</v>
      </c>
      <c r="K343" s="5">
        <f t="shared" si="112"/>
        <v>2000</v>
      </c>
      <c r="L343" s="5">
        <f t="shared" si="113"/>
        <v>2000</v>
      </c>
      <c r="M343" s="5">
        <f t="shared" si="114"/>
        <v>2000</v>
      </c>
      <c r="N343" s="5">
        <f t="shared" si="115"/>
        <v>-286</v>
      </c>
      <c r="O343" s="5">
        <f t="shared" si="116"/>
        <v>-303</v>
      </c>
      <c r="P343" s="5">
        <f t="shared" si="117"/>
        <v>-231</v>
      </c>
      <c r="Q343" s="8">
        <v>0</v>
      </c>
      <c r="R343" s="8">
        <v>0</v>
      </c>
      <c r="S343" s="8">
        <v>0</v>
      </c>
      <c r="T343" s="6">
        <f t="shared" si="109"/>
        <v>2049</v>
      </c>
      <c r="U343" s="7">
        <f t="shared" si="99"/>
        <v>694</v>
      </c>
      <c r="V343" s="7">
        <f t="shared" si="100"/>
        <v>677</v>
      </c>
      <c r="W343" s="7">
        <f t="shared" si="101"/>
        <v>689</v>
      </c>
      <c r="X343" s="6"/>
      <c r="Y343" s="5"/>
      <c r="Z343" s="5"/>
      <c r="AA343" s="5"/>
      <c r="AB343" s="5"/>
    </row>
    <row r="344" spans="1:28" ht="13.15" customHeight="1">
      <c r="A344" s="13">
        <v>330</v>
      </c>
      <c r="B344" s="4">
        <f t="shared" si="110"/>
        <v>45373</v>
      </c>
      <c r="C344" s="10">
        <f t="shared" si="111"/>
        <v>842</v>
      </c>
      <c r="D344" s="9">
        <f t="shared" si="102"/>
        <v>1886</v>
      </c>
      <c r="E344" s="8">
        <f t="shared" si="103"/>
        <v>1014</v>
      </c>
      <c r="F344" s="8">
        <f t="shared" si="104"/>
        <v>1031</v>
      </c>
      <c r="G344" s="8">
        <f t="shared" si="105"/>
        <v>959</v>
      </c>
      <c r="H344" s="5">
        <f t="shared" si="106"/>
        <v>1714</v>
      </c>
      <c r="I344" s="5">
        <f t="shared" si="107"/>
        <v>1697</v>
      </c>
      <c r="J344" s="5">
        <f t="shared" si="108"/>
        <v>1769</v>
      </c>
      <c r="K344" s="5">
        <f t="shared" si="112"/>
        <v>2000</v>
      </c>
      <c r="L344" s="5">
        <f t="shared" si="113"/>
        <v>2000</v>
      </c>
      <c r="M344" s="5">
        <f t="shared" si="114"/>
        <v>2000</v>
      </c>
      <c r="N344" s="5">
        <f t="shared" si="115"/>
        <v>-286</v>
      </c>
      <c r="O344" s="5">
        <f t="shared" si="116"/>
        <v>-303</v>
      </c>
      <c r="P344" s="5">
        <f t="shared" si="117"/>
        <v>-231</v>
      </c>
      <c r="Q344" s="8">
        <v>0</v>
      </c>
      <c r="R344" s="8">
        <v>0</v>
      </c>
      <c r="S344" s="8">
        <v>0</v>
      </c>
      <c r="T344" s="6">
        <f t="shared" si="109"/>
        <v>2051</v>
      </c>
      <c r="U344" s="7">
        <f t="shared" si="99"/>
        <v>694</v>
      </c>
      <c r="V344" s="7">
        <f t="shared" si="100"/>
        <v>677</v>
      </c>
      <c r="W344" s="7">
        <f t="shared" si="101"/>
        <v>689</v>
      </c>
      <c r="X344" s="6"/>
      <c r="Y344" s="5"/>
      <c r="Z344" s="5"/>
      <c r="AA344" s="5"/>
      <c r="AB344" s="5"/>
    </row>
    <row r="345" spans="1:28" ht="13.15" customHeight="1">
      <c r="A345" s="13">
        <v>331</v>
      </c>
      <c r="B345" s="4">
        <f t="shared" si="110"/>
        <v>45374</v>
      </c>
      <c r="C345" s="10">
        <f t="shared" si="111"/>
        <v>842</v>
      </c>
      <c r="D345" s="9">
        <f t="shared" si="102"/>
        <v>1888</v>
      </c>
      <c r="E345" s="8">
        <f t="shared" si="103"/>
        <v>1016</v>
      </c>
      <c r="F345" s="8">
        <f t="shared" si="104"/>
        <v>1033</v>
      </c>
      <c r="G345" s="8">
        <f t="shared" si="105"/>
        <v>961</v>
      </c>
      <c r="H345" s="5">
        <f t="shared" si="106"/>
        <v>1714</v>
      </c>
      <c r="I345" s="5">
        <f t="shared" si="107"/>
        <v>1697</v>
      </c>
      <c r="J345" s="5">
        <f t="shared" si="108"/>
        <v>1769</v>
      </c>
      <c r="K345" s="5">
        <f t="shared" si="112"/>
        <v>2000</v>
      </c>
      <c r="L345" s="5">
        <f t="shared" si="113"/>
        <v>2000</v>
      </c>
      <c r="M345" s="5">
        <f t="shared" si="114"/>
        <v>2000</v>
      </c>
      <c r="N345" s="5">
        <f t="shared" si="115"/>
        <v>-286</v>
      </c>
      <c r="O345" s="5">
        <f t="shared" si="116"/>
        <v>-303</v>
      </c>
      <c r="P345" s="5">
        <f t="shared" si="117"/>
        <v>-231</v>
      </c>
      <c r="Q345" s="8">
        <v>0</v>
      </c>
      <c r="R345" s="8">
        <v>0</v>
      </c>
      <c r="S345" s="8">
        <v>0</v>
      </c>
      <c r="T345" s="6">
        <f t="shared" si="109"/>
        <v>2053</v>
      </c>
      <c r="U345" s="7">
        <f t="shared" si="99"/>
        <v>694</v>
      </c>
      <c r="V345" s="7">
        <f t="shared" si="100"/>
        <v>677</v>
      </c>
      <c r="W345" s="7">
        <f t="shared" si="101"/>
        <v>689</v>
      </c>
      <c r="X345" s="6"/>
      <c r="Y345" s="5"/>
      <c r="Z345" s="5"/>
      <c r="AA345" s="5"/>
      <c r="AB345" s="5"/>
    </row>
    <row r="346" spans="1:28" ht="13.15" customHeight="1">
      <c r="A346" s="13">
        <v>332</v>
      </c>
      <c r="B346" s="4">
        <f t="shared" si="110"/>
        <v>45375</v>
      </c>
      <c r="C346" s="10">
        <f t="shared" si="111"/>
        <v>842</v>
      </c>
      <c r="D346" s="9">
        <f t="shared" si="102"/>
        <v>1890</v>
      </c>
      <c r="E346" s="8">
        <f t="shared" si="103"/>
        <v>1018</v>
      </c>
      <c r="F346" s="8">
        <f t="shared" si="104"/>
        <v>1035</v>
      </c>
      <c r="G346" s="8">
        <f t="shared" si="105"/>
        <v>963</v>
      </c>
      <c r="H346" s="5">
        <f t="shared" si="106"/>
        <v>1714</v>
      </c>
      <c r="I346" s="5">
        <f t="shared" si="107"/>
        <v>1697</v>
      </c>
      <c r="J346" s="5">
        <f t="shared" si="108"/>
        <v>1769</v>
      </c>
      <c r="K346" s="5">
        <f t="shared" si="112"/>
        <v>2000</v>
      </c>
      <c r="L346" s="5">
        <f t="shared" si="113"/>
        <v>2000</v>
      </c>
      <c r="M346" s="5">
        <f t="shared" si="114"/>
        <v>2000</v>
      </c>
      <c r="N346" s="5">
        <f t="shared" si="115"/>
        <v>-286</v>
      </c>
      <c r="O346" s="5">
        <f t="shared" si="116"/>
        <v>-303</v>
      </c>
      <c r="P346" s="5">
        <f t="shared" si="117"/>
        <v>-231</v>
      </c>
      <c r="Q346" s="8">
        <v>0</v>
      </c>
      <c r="R346" s="8">
        <v>0</v>
      </c>
      <c r="S346" s="8">
        <v>0</v>
      </c>
      <c r="T346" s="6">
        <f t="shared" si="109"/>
        <v>2055</v>
      </c>
      <c r="U346" s="7">
        <f t="shared" si="99"/>
        <v>694</v>
      </c>
      <c r="V346" s="7">
        <f t="shared" si="100"/>
        <v>677</v>
      </c>
      <c r="W346" s="7">
        <f t="shared" si="101"/>
        <v>689</v>
      </c>
      <c r="X346" s="6"/>
      <c r="Y346" s="5"/>
      <c r="Z346" s="5"/>
      <c r="AA346" s="5"/>
      <c r="AB346" s="5"/>
    </row>
    <row r="347" spans="1:28" ht="13.15" customHeight="1">
      <c r="A347" s="13">
        <v>333</v>
      </c>
      <c r="B347" s="4">
        <f t="shared" si="110"/>
        <v>45376</v>
      </c>
      <c r="C347" s="10">
        <f t="shared" si="111"/>
        <v>842</v>
      </c>
      <c r="D347" s="9">
        <f t="shared" si="102"/>
        <v>1892</v>
      </c>
      <c r="E347" s="8">
        <f t="shared" si="103"/>
        <v>1020</v>
      </c>
      <c r="F347" s="8">
        <f t="shared" si="104"/>
        <v>1037</v>
      </c>
      <c r="G347" s="8">
        <f t="shared" si="105"/>
        <v>965</v>
      </c>
      <c r="H347" s="5">
        <f t="shared" si="106"/>
        <v>1714</v>
      </c>
      <c r="I347" s="5">
        <f t="shared" si="107"/>
        <v>1697</v>
      </c>
      <c r="J347" s="5">
        <f t="shared" si="108"/>
        <v>1769</v>
      </c>
      <c r="K347" s="5">
        <f t="shared" si="112"/>
        <v>2000</v>
      </c>
      <c r="L347" s="5">
        <f t="shared" si="113"/>
        <v>2000</v>
      </c>
      <c r="M347" s="5">
        <f t="shared" si="114"/>
        <v>2000</v>
      </c>
      <c r="N347" s="5">
        <f t="shared" si="115"/>
        <v>-286</v>
      </c>
      <c r="O347" s="5">
        <f t="shared" si="116"/>
        <v>-303</v>
      </c>
      <c r="P347" s="5">
        <f t="shared" si="117"/>
        <v>-231</v>
      </c>
      <c r="Q347" s="8">
        <v>0</v>
      </c>
      <c r="R347" s="8">
        <v>0</v>
      </c>
      <c r="S347" s="8">
        <v>0</v>
      </c>
      <c r="T347" s="6">
        <f t="shared" si="109"/>
        <v>2057</v>
      </c>
      <c r="U347" s="7">
        <f t="shared" si="99"/>
        <v>694</v>
      </c>
      <c r="V347" s="7">
        <f t="shared" si="100"/>
        <v>677</v>
      </c>
      <c r="W347" s="7">
        <f t="shared" si="101"/>
        <v>689</v>
      </c>
      <c r="X347" s="6"/>
      <c r="Y347" s="5"/>
      <c r="Z347" s="5"/>
      <c r="AA347" s="5"/>
      <c r="AB347" s="5"/>
    </row>
    <row r="348" spans="1:28" ht="13.15" customHeight="1">
      <c r="A348" s="13">
        <v>334</v>
      </c>
      <c r="B348" s="4">
        <f t="shared" si="110"/>
        <v>45377</v>
      </c>
      <c r="C348" s="10">
        <f t="shared" si="111"/>
        <v>842</v>
      </c>
      <c r="D348" s="9">
        <f t="shared" si="102"/>
        <v>1894</v>
      </c>
      <c r="E348" s="8">
        <f t="shared" si="103"/>
        <v>1022</v>
      </c>
      <c r="F348" s="8">
        <f t="shared" si="104"/>
        <v>1039</v>
      </c>
      <c r="G348" s="8">
        <f t="shared" si="105"/>
        <v>967</v>
      </c>
      <c r="H348" s="5">
        <f t="shared" si="106"/>
        <v>1714</v>
      </c>
      <c r="I348" s="5">
        <f t="shared" si="107"/>
        <v>1697</v>
      </c>
      <c r="J348" s="5">
        <f t="shared" si="108"/>
        <v>1769</v>
      </c>
      <c r="K348" s="5">
        <f t="shared" si="112"/>
        <v>2000</v>
      </c>
      <c r="L348" s="5">
        <f t="shared" si="113"/>
        <v>2000</v>
      </c>
      <c r="M348" s="5">
        <f t="shared" si="114"/>
        <v>2000</v>
      </c>
      <c r="N348" s="5">
        <f t="shared" si="115"/>
        <v>-286</v>
      </c>
      <c r="O348" s="5">
        <f t="shared" si="116"/>
        <v>-303</v>
      </c>
      <c r="P348" s="5">
        <f t="shared" si="117"/>
        <v>-231</v>
      </c>
      <c r="Q348" s="8">
        <v>0</v>
      </c>
      <c r="R348" s="8">
        <v>0</v>
      </c>
      <c r="S348" s="8">
        <v>0</v>
      </c>
      <c r="T348" s="6">
        <f t="shared" si="109"/>
        <v>2059</v>
      </c>
      <c r="U348" s="7">
        <f t="shared" si="99"/>
        <v>694</v>
      </c>
      <c r="V348" s="7">
        <f t="shared" si="100"/>
        <v>677</v>
      </c>
      <c r="W348" s="7">
        <f t="shared" si="101"/>
        <v>689</v>
      </c>
      <c r="X348" s="6"/>
      <c r="Y348" s="5"/>
      <c r="Z348" s="5"/>
      <c r="AA348" s="5"/>
      <c r="AB348" s="5"/>
    </row>
    <row r="349" spans="1:28" ht="13.15" customHeight="1">
      <c r="A349" s="13">
        <v>335</v>
      </c>
      <c r="B349" s="4">
        <f t="shared" si="110"/>
        <v>45378</v>
      </c>
      <c r="C349" s="10">
        <f t="shared" si="111"/>
        <v>842</v>
      </c>
      <c r="D349" s="9">
        <f t="shared" si="102"/>
        <v>1896</v>
      </c>
      <c r="E349" s="8">
        <f t="shared" si="103"/>
        <v>1024</v>
      </c>
      <c r="F349" s="8">
        <f t="shared" si="104"/>
        <v>1041</v>
      </c>
      <c r="G349" s="8">
        <f t="shared" si="105"/>
        <v>969</v>
      </c>
      <c r="H349" s="5">
        <f t="shared" si="106"/>
        <v>1714</v>
      </c>
      <c r="I349" s="5">
        <f t="shared" si="107"/>
        <v>1697</v>
      </c>
      <c r="J349" s="5">
        <f t="shared" si="108"/>
        <v>1769</v>
      </c>
      <c r="K349" s="5">
        <f t="shared" si="112"/>
        <v>2000</v>
      </c>
      <c r="L349" s="5">
        <f t="shared" si="113"/>
        <v>2000</v>
      </c>
      <c r="M349" s="5">
        <f t="shared" si="114"/>
        <v>2000</v>
      </c>
      <c r="N349" s="5">
        <f t="shared" si="115"/>
        <v>-286</v>
      </c>
      <c r="O349" s="5">
        <f t="shared" si="116"/>
        <v>-303</v>
      </c>
      <c r="P349" s="5">
        <f t="shared" si="117"/>
        <v>-231</v>
      </c>
      <c r="Q349" s="8">
        <v>0</v>
      </c>
      <c r="R349" s="8">
        <v>0</v>
      </c>
      <c r="S349" s="8">
        <v>0</v>
      </c>
      <c r="T349" s="6">
        <f t="shared" si="109"/>
        <v>2061</v>
      </c>
      <c r="U349" s="7">
        <f t="shared" si="99"/>
        <v>694</v>
      </c>
      <c r="V349" s="7">
        <f t="shared" si="100"/>
        <v>677</v>
      </c>
      <c r="W349" s="7">
        <f t="shared" si="101"/>
        <v>689</v>
      </c>
      <c r="X349" s="6"/>
      <c r="Y349" s="5"/>
      <c r="Z349" s="5"/>
      <c r="AA349" s="5"/>
      <c r="AB349" s="5"/>
    </row>
    <row r="350" spans="1:28" ht="13.15" customHeight="1">
      <c r="A350" s="13">
        <v>336</v>
      </c>
      <c r="B350" s="4">
        <f t="shared" si="110"/>
        <v>45379</v>
      </c>
      <c r="C350" s="10">
        <f t="shared" si="111"/>
        <v>842</v>
      </c>
      <c r="D350" s="9">
        <f t="shared" si="102"/>
        <v>1898</v>
      </c>
      <c r="E350" s="8">
        <f t="shared" si="103"/>
        <v>1026</v>
      </c>
      <c r="F350" s="8">
        <f t="shared" si="104"/>
        <v>1043</v>
      </c>
      <c r="G350" s="8">
        <f t="shared" si="105"/>
        <v>971</v>
      </c>
      <c r="H350" s="5">
        <f t="shared" si="106"/>
        <v>1714</v>
      </c>
      <c r="I350" s="5">
        <f t="shared" si="107"/>
        <v>1697</v>
      </c>
      <c r="J350" s="5">
        <f t="shared" si="108"/>
        <v>1769</v>
      </c>
      <c r="K350" s="5">
        <f t="shared" si="112"/>
        <v>2000</v>
      </c>
      <c r="L350" s="5">
        <f t="shared" si="113"/>
        <v>2000</v>
      </c>
      <c r="M350" s="5">
        <f t="shared" si="114"/>
        <v>2000</v>
      </c>
      <c r="N350" s="5">
        <f t="shared" si="115"/>
        <v>-286</v>
      </c>
      <c r="O350" s="5">
        <f t="shared" si="116"/>
        <v>-303</v>
      </c>
      <c r="P350" s="5">
        <f t="shared" si="117"/>
        <v>-231</v>
      </c>
      <c r="Q350" s="8">
        <v>0</v>
      </c>
      <c r="R350" s="8">
        <v>0</v>
      </c>
      <c r="S350" s="8">
        <v>0</v>
      </c>
      <c r="T350" s="6">
        <f t="shared" si="109"/>
        <v>2063</v>
      </c>
      <c r="U350" s="7">
        <f t="shared" si="99"/>
        <v>694</v>
      </c>
      <c r="V350" s="7">
        <f t="shared" si="100"/>
        <v>677</v>
      </c>
      <c r="W350" s="7">
        <f t="shared" si="101"/>
        <v>689</v>
      </c>
      <c r="X350" s="6"/>
      <c r="Y350" s="5"/>
      <c r="Z350" s="5"/>
      <c r="AA350" s="5"/>
      <c r="AB350" s="5"/>
    </row>
    <row r="351" spans="1:28" ht="13.15" customHeight="1">
      <c r="A351" s="13">
        <v>337</v>
      </c>
      <c r="B351" s="4">
        <f t="shared" si="110"/>
        <v>45380</v>
      </c>
      <c r="C351" s="10">
        <f t="shared" si="111"/>
        <v>842</v>
      </c>
      <c r="D351" s="9">
        <f t="shared" si="102"/>
        <v>1900</v>
      </c>
      <c r="E351" s="8">
        <f t="shared" si="103"/>
        <v>1033</v>
      </c>
      <c r="F351" s="8">
        <f t="shared" si="104"/>
        <v>1049</v>
      </c>
      <c r="G351" s="8">
        <f t="shared" si="105"/>
        <v>978</v>
      </c>
      <c r="H351" s="5">
        <f t="shared" si="106"/>
        <v>1709</v>
      </c>
      <c r="I351" s="5">
        <f t="shared" si="107"/>
        <v>1693</v>
      </c>
      <c r="J351" s="5">
        <f t="shared" si="108"/>
        <v>1764</v>
      </c>
      <c r="K351" s="5">
        <f t="shared" si="112"/>
        <v>2000</v>
      </c>
      <c r="L351" s="5">
        <f t="shared" si="113"/>
        <v>2000</v>
      </c>
      <c r="M351" s="5">
        <f t="shared" si="114"/>
        <v>2000</v>
      </c>
      <c r="N351" s="5">
        <f t="shared" si="115"/>
        <v>-291</v>
      </c>
      <c r="O351" s="5">
        <f t="shared" si="116"/>
        <v>-307</v>
      </c>
      <c r="P351" s="5">
        <f t="shared" si="117"/>
        <v>-236</v>
      </c>
      <c r="Q351" s="8">
        <v>5</v>
      </c>
      <c r="R351" s="8">
        <v>4</v>
      </c>
      <c r="S351" s="8">
        <v>5</v>
      </c>
      <c r="T351" s="6">
        <f t="shared" si="109"/>
        <v>1769</v>
      </c>
      <c r="U351" s="7">
        <f t="shared" si="99"/>
        <v>989</v>
      </c>
      <c r="V351" s="7">
        <f t="shared" si="100"/>
        <v>973</v>
      </c>
      <c r="W351" s="7">
        <f t="shared" si="101"/>
        <v>984</v>
      </c>
      <c r="X351" s="15">
        <v>0.3</v>
      </c>
      <c r="Y351" s="5"/>
      <c r="Z351" s="5"/>
      <c r="AA351" s="5"/>
      <c r="AB351" s="14">
        <v>5</v>
      </c>
    </row>
    <row r="352" spans="1:28" ht="13.15" customHeight="1">
      <c r="A352" s="13">
        <v>338</v>
      </c>
      <c r="B352" s="4">
        <f t="shared" si="110"/>
        <v>45381</v>
      </c>
      <c r="C352" s="10">
        <f t="shared" si="111"/>
        <v>842</v>
      </c>
      <c r="D352" s="9">
        <f t="shared" si="102"/>
        <v>1902</v>
      </c>
      <c r="E352" s="8">
        <f t="shared" si="103"/>
        <v>1039</v>
      </c>
      <c r="F352" s="8">
        <f t="shared" si="104"/>
        <v>1058</v>
      </c>
      <c r="G352" s="8">
        <f t="shared" si="105"/>
        <v>984</v>
      </c>
      <c r="H352" s="5">
        <f t="shared" si="106"/>
        <v>1705</v>
      </c>
      <c r="I352" s="5">
        <f t="shared" si="107"/>
        <v>1686</v>
      </c>
      <c r="J352" s="5">
        <f t="shared" si="108"/>
        <v>1760</v>
      </c>
      <c r="K352" s="5">
        <f t="shared" si="112"/>
        <v>2000</v>
      </c>
      <c r="L352" s="5">
        <f t="shared" si="113"/>
        <v>2000</v>
      </c>
      <c r="M352" s="5">
        <f t="shared" si="114"/>
        <v>2000</v>
      </c>
      <c r="N352" s="5">
        <f t="shared" si="115"/>
        <v>-295</v>
      </c>
      <c r="O352" s="5">
        <f t="shared" si="116"/>
        <v>-314</v>
      </c>
      <c r="P352" s="5">
        <f t="shared" si="117"/>
        <v>-240</v>
      </c>
      <c r="Q352" s="8">
        <v>4</v>
      </c>
      <c r="R352" s="8">
        <v>7</v>
      </c>
      <c r="S352" s="8">
        <v>4</v>
      </c>
      <c r="T352" s="6">
        <f t="shared" si="109"/>
        <v>1778</v>
      </c>
      <c r="U352" s="7">
        <f t="shared" si="99"/>
        <v>985</v>
      </c>
      <c r="V352" s="7">
        <f t="shared" si="100"/>
        <v>966</v>
      </c>
      <c r="W352" s="7">
        <f t="shared" si="101"/>
        <v>980</v>
      </c>
      <c r="X352" s="6"/>
      <c r="Y352" s="5"/>
      <c r="Z352" s="5"/>
      <c r="AA352" s="5"/>
      <c r="AB352" s="5"/>
    </row>
    <row r="353" spans="1:28" ht="13.15" customHeight="1">
      <c r="A353" s="13">
        <v>339</v>
      </c>
      <c r="B353" s="4">
        <f t="shared" si="110"/>
        <v>45382</v>
      </c>
      <c r="C353" s="10">
        <f t="shared" si="111"/>
        <v>842</v>
      </c>
      <c r="D353" s="9">
        <f t="shared" si="102"/>
        <v>1904</v>
      </c>
      <c r="E353" s="8">
        <f t="shared" si="103"/>
        <v>1044</v>
      </c>
      <c r="F353" s="8">
        <f t="shared" si="104"/>
        <v>1065</v>
      </c>
      <c r="G353" s="8">
        <f t="shared" si="105"/>
        <v>989</v>
      </c>
      <c r="H353" s="5">
        <f t="shared" si="106"/>
        <v>1702</v>
      </c>
      <c r="I353" s="5">
        <f t="shared" si="107"/>
        <v>1681</v>
      </c>
      <c r="J353" s="5">
        <f t="shared" si="108"/>
        <v>1757</v>
      </c>
      <c r="K353" s="5">
        <f t="shared" si="112"/>
        <v>2000</v>
      </c>
      <c r="L353" s="5">
        <f t="shared" si="113"/>
        <v>2000</v>
      </c>
      <c r="M353" s="5">
        <f t="shared" si="114"/>
        <v>2000</v>
      </c>
      <c r="N353" s="5">
        <f t="shared" si="115"/>
        <v>-298</v>
      </c>
      <c r="O353" s="5">
        <f t="shared" si="116"/>
        <v>-319</v>
      </c>
      <c r="P353" s="5">
        <f t="shared" si="117"/>
        <v>-243</v>
      </c>
      <c r="Q353" s="8">
        <v>3</v>
      </c>
      <c r="R353" s="8">
        <v>5</v>
      </c>
      <c r="S353" s="8">
        <v>3</v>
      </c>
      <c r="T353" s="6">
        <f t="shared" si="109"/>
        <v>1785</v>
      </c>
      <c r="U353" s="7">
        <f t="shared" si="99"/>
        <v>982</v>
      </c>
      <c r="V353" s="7">
        <f t="shared" si="100"/>
        <v>961</v>
      </c>
      <c r="W353" s="7">
        <f t="shared" si="101"/>
        <v>977</v>
      </c>
      <c r="X353" s="6"/>
      <c r="Y353" s="5"/>
      <c r="Z353" s="5"/>
      <c r="AA353" s="5"/>
      <c r="AB353" s="5"/>
    </row>
    <row r="354" spans="1:28" ht="13.15" customHeight="1">
      <c r="A354" s="13">
        <v>340</v>
      </c>
      <c r="B354" s="4">
        <f t="shared" si="110"/>
        <v>45383</v>
      </c>
      <c r="C354" s="10">
        <f t="shared" si="111"/>
        <v>842</v>
      </c>
      <c r="D354" s="9">
        <f t="shared" si="102"/>
        <v>1906</v>
      </c>
      <c r="E354" s="8">
        <f t="shared" si="103"/>
        <v>1048</v>
      </c>
      <c r="F354" s="8">
        <f t="shared" si="104"/>
        <v>1072</v>
      </c>
      <c r="G354" s="8">
        <f t="shared" si="105"/>
        <v>993</v>
      </c>
      <c r="H354" s="5">
        <f t="shared" si="106"/>
        <v>1700</v>
      </c>
      <c r="I354" s="5">
        <f t="shared" si="107"/>
        <v>1676</v>
      </c>
      <c r="J354" s="5">
        <f t="shared" si="108"/>
        <v>1755</v>
      </c>
      <c r="K354" s="5">
        <f t="shared" si="112"/>
        <v>2000</v>
      </c>
      <c r="L354" s="5">
        <f t="shared" si="113"/>
        <v>2000</v>
      </c>
      <c r="M354" s="5">
        <f t="shared" si="114"/>
        <v>2000</v>
      </c>
      <c r="N354" s="5">
        <f t="shared" si="115"/>
        <v>-300</v>
      </c>
      <c r="O354" s="5">
        <f t="shared" si="116"/>
        <v>-324</v>
      </c>
      <c r="P354" s="5">
        <f t="shared" si="117"/>
        <v>-245</v>
      </c>
      <c r="Q354" s="8">
        <v>2</v>
      </c>
      <c r="R354" s="8">
        <v>5</v>
      </c>
      <c r="S354" s="8">
        <v>2</v>
      </c>
      <c r="T354" s="6">
        <f t="shared" si="109"/>
        <v>1792</v>
      </c>
      <c r="U354" s="7">
        <f t="shared" si="99"/>
        <v>980</v>
      </c>
      <c r="V354" s="7">
        <f t="shared" si="100"/>
        <v>956</v>
      </c>
      <c r="W354" s="7">
        <f t="shared" si="101"/>
        <v>975</v>
      </c>
      <c r="X354" s="6"/>
      <c r="Y354" s="5"/>
      <c r="Z354" s="5"/>
      <c r="AA354" s="5"/>
      <c r="AB354" s="14"/>
    </row>
    <row r="355" spans="1:28" ht="15">
      <c r="A355" s="13">
        <v>341</v>
      </c>
      <c r="B355" s="4">
        <f t="shared" si="110"/>
        <v>45384</v>
      </c>
      <c r="C355" s="10">
        <f t="shared" si="111"/>
        <v>842</v>
      </c>
      <c r="D355" s="9">
        <f t="shared" si="102"/>
        <v>1908</v>
      </c>
      <c r="E355" s="8">
        <f t="shared" si="103"/>
        <v>1054</v>
      </c>
      <c r="F355" s="8">
        <f t="shared" si="104"/>
        <v>1078</v>
      </c>
      <c r="G355" s="8">
        <f t="shared" si="105"/>
        <v>999</v>
      </c>
      <c r="H355" s="5">
        <f t="shared" si="106"/>
        <v>1696</v>
      </c>
      <c r="I355" s="5">
        <f t="shared" si="107"/>
        <v>1672</v>
      </c>
      <c r="J355" s="5">
        <f t="shared" si="108"/>
        <v>1751</v>
      </c>
      <c r="K355" s="5">
        <f t="shared" si="112"/>
        <v>2000</v>
      </c>
      <c r="L355" s="5">
        <f t="shared" si="113"/>
        <v>2000</v>
      </c>
      <c r="M355" s="5">
        <f t="shared" si="114"/>
        <v>2000</v>
      </c>
      <c r="N355" s="5">
        <f t="shared" si="115"/>
        <v>-304</v>
      </c>
      <c r="O355" s="5">
        <f t="shared" si="116"/>
        <v>-328</v>
      </c>
      <c r="P355" s="5">
        <f t="shared" si="117"/>
        <v>-249</v>
      </c>
      <c r="Q355" s="8">
        <v>4</v>
      </c>
      <c r="R355" s="8">
        <v>4</v>
      </c>
      <c r="S355" s="8">
        <v>4</v>
      </c>
      <c r="T355" s="6">
        <f t="shared" si="109"/>
        <v>1498</v>
      </c>
      <c r="U355" s="7">
        <f t="shared" si="99"/>
        <v>1276</v>
      </c>
      <c r="V355" s="7">
        <f t="shared" si="100"/>
        <v>1252</v>
      </c>
      <c r="W355" s="7">
        <f t="shared" si="101"/>
        <v>1271</v>
      </c>
      <c r="X355" s="15">
        <v>0.3</v>
      </c>
      <c r="Y355" s="5"/>
      <c r="Z355" s="5"/>
      <c r="AA355" s="5"/>
      <c r="AB355" s="14">
        <f>+AB351-1</f>
        <v>4</v>
      </c>
    </row>
    <row r="356" spans="1:28" ht="13.15" customHeight="1">
      <c r="A356" s="13">
        <v>342</v>
      </c>
      <c r="B356" s="4">
        <f t="shared" si="110"/>
        <v>45385</v>
      </c>
      <c r="C356" s="10">
        <f t="shared" si="111"/>
        <v>842</v>
      </c>
      <c r="D356" s="9">
        <f t="shared" si="102"/>
        <v>1910</v>
      </c>
      <c r="E356" s="8">
        <f t="shared" si="103"/>
        <v>1059</v>
      </c>
      <c r="F356" s="8">
        <f t="shared" si="104"/>
        <v>1083</v>
      </c>
      <c r="G356" s="8">
        <f t="shared" si="105"/>
        <v>1004</v>
      </c>
      <c r="H356" s="5">
        <f t="shared" si="106"/>
        <v>1693</v>
      </c>
      <c r="I356" s="5">
        <f t="shared" si="107"/>
        <v>1669</v>
      </c>
      <c r="J356" s="5">
        <f t="shared" si="108"/>
        <v>1748</v>
      </c>
      <c r="K356" s="5">
        <f t="shared" si="112"/>
        <v>2000</v>
      </c>
      <c r="L356" s="5">
        <f t="shared" si="113"/>
        <v>2000</v>
      </c>
      <c r="M356" s="5">
        <f t="shared" si="114"/>
        <v>2000</v>
      </c>
      <c r="N356" s="5">
        <f t="shared" si="115"/>
        <v>-307</v>
      </c>
      <c r="O356" s="5">
        <f t="shared" si="116"/>
        <v>-331</v>
      </c>
      <c r="P356" s="5">
        <f t="shared" si="117"/>
        <v>-252</v>
      </c>
      <c r="Q356" s="8">
        <v>3</v>
      </c>
      <c r="R356" s="8">
        <v>3</v>
      </c>
      <c r="S356" s="8">
        <v>3</v>
      </c>
      <c r="T356" s="6">
        <f t="shared" si="109"/>
        <v>1503</v>
      </c>
      <c r="U356" s="7">
        <f t="shared" si="99"/>
        <v>1273</v>
      </c>
      <c r="V356" s="7">
        <f t="shared" si="100"/>
        <v>1249</v>
      </c>
      <c r="W356" s="7">
        <f t="shared" si="101"/>
        <v>1268</v>
      </c>
      <c r="X356" s="6"/>
      <c r="Y356" s="5"/>
      <c r="Z356" s="5"/>
      <c r="AA356" s="5"/>
      <c r="AB356" s="14"/>
    </row>
    <row r="357" spans="1:28" ht="13.15" customHeight="1">
      <c r="A357" s="13">
        <v>343</v>
      </c>
      <c r="B357" s="4">
        <f t="shared" si="110"/>
        <v>45386</v>
      </c>
      <c r="C357" s="10">
        <f t="shared" si="111"/>
        <v>842</v>
      </c>
      <c r="D357" s="9">
        <f t="shared" si="102"/>
        <v>1912</v>
      </c>
      <c r="E357" s="8">
        <f t="shared" si="103"/>
        <v>1063</v>
      </c>
      <c r="F357" s="8">
        <f t="shared" si="104"/>
        <v>1087</v>
      </c>
      <c r="G357" s="8">
        <f t="shared" si="105"/>
        <v>1008</v>
      </c>
      <c r="H357" s="5">
        <f t="shared" si="106"/>
        <v>1691</v>
      </c>
      <c r="I357" s="5">
        <f t="shared" si="107"/>
        <v>1667</v>
      </c>
      <c r="J357" s="5">
        <f t="shared" si="108"/>
        <v>1746</v>
      </c>
      <c r="K357" s="5">
        <f t="shared" si="112"/>
        <v>2000</v>
      </c>
      <c r="L357" s="5">
        <f t="shared" si="113"/>
        <v>2000</v>
      </c>
      <c r="M357" s="5">
        <f t="shared" si="114"/>
        <v>2000</v>
      </c>
      <c r="N357" s="5">
        <f t="shared" si="115"/>
        <v>-309</v>
      </c>
      <c r="O357" s="5">
        <f t="shared" si="116"/>
        <v>-333</v>
      </c>
      <c r="P357" s="5">
        <f t="shared" si="117"/>
        <v>-254</v>
      </c>
      <c r="Q357" s="8">
        <v>2</v>
      </c>
      <c r="R357" s="8">
        <v>2</v>
      </c>
      <c r="S357" s="8">
        <v>2</v>
      </c>
      <c r="T357" s="6">
        <f t="shared" si="109"/>
        <v>1507</v>
      </c>
      <c r="U357" s="7">
        <f t="shared" si="99"/>
        <v>1271</v>
      </c>
      <c r="V357" s="7">
        <f t="shared" si="100"/>
        <v>1247</v>
      </c>
      <c r="W357" s="7">
        <f t="shared" si="101"/>
        <v>1266</v>
      </c>
      <c r="X357" s="6"/>
      <c r="Y357" s="5"/>
      <c r="Z357" s="5"/>
      <c r="AA357" s="5"/>
      <c r="AB357" s="14"/>
    </row>
    <row r="358" spans="1:28" ht="13.15" customHeight="1">
      <c r="A358" s="13">
        <v>344</v>
      </c>
      <c r="B358" s="4">
        <f t="shared" si="110"/>
        <v>45387</v>
      </c>
      <c r="C358" s="10">
        <f t="shared" si="111"/>
        <v>842</v>
      </c>
      <c r="D358" s="9">
        <f t="shared" si="102"/>
        <v>1914</v>
      </c>
      <c r="E358" s="8">
        <f t="shared" si="103"/>
        <v>1069</v>
      </c>
      <c r="F358" s="8">
        <f t="shared" si="104"/>
        <v>1093</v>
      </c>
      <c r="G358" s="8">
        <f t="shared" si="105"/>
        <v>1014</v>
      </c>
      <c r="H358" s="5">
        <f t="shared" si="106"/>
        <v>1687</v>
      </c>
      <c r="I358" s="5">
        <f t="shared" si="107"/>
        <v>1663</v>
      </c>
      <c r="J358" s="5">
        <f t="shared" si="108"/>
        <v>1742</v>
      </c>
      <c r="K358" s="5">
        <f t="shared" si="112"/>
        <v>2000</v>
      </c>
      <c r="L358" s="5">
        <f t="shared" si="113"/>
        <v>2000</v>
      </c>
      <c r="M358" s="5">
        <f t="shared" si="114"/>
        <v>2000</v>
      </c>
      <c r="N358" s="5">
        <f t="shared" si="115"/>
        <v>-313</v>
      </c>
      <c r="O358" s="5">
        <f t="shared" si="116"/>
        <v>-337</v>
      </c>
      <c r="P358" s="5">
        <f t="shared" si="117"/>
        <v>-258</v>
      </c>
      <c r="Q358" s="8">
        <v>4</v>
      </c>
      <c r="R358" s="8">
        <v>4</v>
      </c>
      <c r="S358" s="8">
        <v>4</v>
      </c>
      <c r="T358" s="6">
        <f t="shared" si="109"/>
        <v>1513</v>
      </c>
      <c r="U358" s="7">
        <f t="shared" si="99"/>
        <v>1267</v>
      </c>
      <c r="V358" s="7">
        <f t="shared" si="100"/>
        <v>1243</v>
      </c>
      <c r="W358" s="7">
        <f t="shared" si="101"/>
        <v>1262</v>
      </c>
      <c r="X358" s="6"/>
      <c r="Y358" s="5"/>
      <c r="Z358" s="5"/>
      <c r="AA358" s="5"/>
      <c r="AB358" s="16"/>
    </row>
    <row r="359" spans="1:28" ht="13.15" customHeight="1">
      <c r="A359" s="13">
        <v>345</v>
      </c>
      <c r="B359" s="4">
        <f t="shared" si="110"/>
        <v>45388</v>
      </c>
      <c r="C359" s="10">
        <f t="shared" si="111"/>
        <v>842</v>
      </c>
      <c r="D359" s="9">
        <f t="shared" si="102"/>
        <v>1916</v>
      </c>
      <c r="E359" s="8">
        <f t="shared" si="103"/>
        <v>1078</v>
      </c>
      <c r="F359" s="8">
        <f t="shared" si="104"/>
        <v>1102</v>
      </c>
      <c r="G359" s="8">
        <f t="shared" si="105"/>
        <v>1023</v>
      </c>
      <c r="H359" s="5">
        <f t="shared" si="106"/>
        <v>1680</v>
      </c>
      <c r="I359" s="5">
        <f t="shared" si="107"/>
        <v>1656</v>
      </c>
      <c r="J359" s="5">
        <f t="shared" si="108"/>
        <v>1735</v>
      </c>
      <c r="K359" s="5">
        <f t="shared" si="112"/>
        <v>2000</v>
      </c>
      <c r="L359" s="5">
        <f t="shared" si="113"/>
        <v>2000</v>
      </c>
      <c r="M359" s="5">
        <f t="shared" si="114"/>
        <v>2000</v>
      </c>
      <c r="N359" s="5">
        <f t="shared" si="115"/>
        <v>-320</v>
      </c>
      <c r="O359" s="5">
        <f t="shared" si="116"/>
        <v>-344</v>
      </c>
      <c r="P359" s="5">
        <f t="shared" si="117"/>
        <v>-265</v>
      </c>
      <c r="Q359" s="8">
        <v>7</v>
      </c>
      <c r="R359" s="8">
        <v>7</v>
      </c>
      <c r="S359" s="8">
        <v>7</v>
      </c>
      <c r="T359" s="6">
        <f t="shared" si="109"/>
        <v>1522</v>
      </c>
      <c r="U359" s="7">
        <f t="shared" si="99"/>
        <v>1260</v>
      </c>
      <c r="V359" s="7">
        <f t="shared" si="100"/>
        <v>1236</v>
      </c>
      <c r="W359" s="7">
        <f t="shared" si="101"/>
        <v>1255</v>
      </c>
      <c r="X359" s="6"/>
      <c r="Y359" s="5"/>
      <c r="Z359" s="5"/>
      <c r="AA359" s="5"/>
      <c r="AB359" s="16"/>
    </row>
    <row r="360" spans="1:28" ht="13.15" customHeight="1">
      <c r="A360" s="13">
        <v>346</v>
      </c>
      <c r="B360" s="4">
        <f t="shared" si="110"/>
        <v>45389</v>
      </c>
      <c r="C360" s="10">
        <f t="shared" si="111"/>
        <v>842</v>
      </c>
      <c r="D360" s="9">
        <f t="shared" si="102"/>
        <v>1918</v>
      </c>
      <c r="E360" s="8">
        <f t="shared" si="103"/>
        <v>1085</v>
      </c>
      <c r="F360" s="8">
        <f t="shared" si="104"/>
        <v>1109</v>
      </c>
      <c r="G360" s="8">
        <f t="shared" si="105"/>
        <v>1030</v>
      </c>
      <c r="H360" s="5">
        <f t="shared" si="106"/>
        <v>1675</v>
      </c>
      <c r="I360" s="5">
        <f t="shared" si="107"/>
        <v>1651</v>
      </c>
      <c r="J360" s="5">
        <f t="shared" si="108"/>
        <v>1730</v>
      </c>
      <c r="K360" s="5">
        <f t="shared" si="112"/>
        <v>2000</v>
      </c>
      <c r="L360" s="5">
        <f t="shared" si="113"/>
        <v>2000</v>
      </c>
      <c r="M360" s="5">
        <f t="shared" si="114"/>
        <v>2000</v>
      </c>
      <c r="N360" s="5">
        <f t="shared" si="115"/>
        <v>-325</v>
      </c>
      <c r="O360" s="5">
        <f t="shared" si="116"/>
        <v>-349</v>
      </c>
      <c r="P360" s="5">
        <f t="shared" si="117"/>
        <v>-270</v>
      </c>
      <c r="Q360" s="8">
        <v>5</v>
      </c>
      <c r="R360" s="8">
        <v>5</v>
      </c>
      <c r="S360" s="8">
        <v>5</v>
      </c>
      <c r="T360" s="6">
        <f t="shared" si="109"/>
        <v>1229</v>
      </c>
      <c r="U360" s="7">
        <f t="shared" ref="U360:U423" si="118">U359+$X360*1000-Q360</f>
        <v>1555</v>
      </c>
      <c r="V360" s="7">
        <f t="shared" ref="V360:V423" si="119">V359+$X360*1000-R360</f>
        <v>1531</v>
      </c>
      <c r="W360" s="7">
        <f t="shared" ref="W360:W423" si="120">W359+$X360*1000-S360</f>
        <v>1550</v>
      </c>
      <c r="X360" s="15">
        <v>0.3</v>
      </c>
      <c r="Y360" s="5"/>
      <c r="Z360" s="5"/>
      <c r="AA360" s="5"/>
      <c r="AB360" s="14">
        <f>+AB355-1</f>
        <v>3</v>
      </c>
    </row>
    <row r="361" spans="1:28" ht="13.15" customHeight="1">
      <c r="A361" s="13">
        <v>347</v>
      </c>
      <c r="B361" s="4">
        <f t="shared" si="110"/>
        <v>45390</v>
      </c>
      <c r="C361" s="10">
        <f t="shared" si="111"/>
        <v>842</v>
      </c>
      <c r="D361" s="9">
        <f t="shared" si="102"/>
        <v>1920</v>
      </c>
      <c r="E361" s="8">
        <f t="shared" si="103"/>
        <v>1092</v>
      </c>
      <c r="F361" s="8">
        <f t="shared" si="104"/>
        <v>1116</v>
      </c>
      <c r="G361" s="8">
        <f t="shared" si="105"/>
        <v>1037</v>
      </c>
      <c r="H361" s="5">
        <f t="shared" si="106"/>
        <v>1670</v>
      </c>
      <c r="I361" s="5">
        <f t="shared" si="107"/>
        <v>1646</v>
      </c>
      <c r="J361" s="5">
        <f t="shared" si="108"/>
        <v>1725</v>
      </c>
      <c r="K361" s="5">
        <f t="shared" si="112"/>
        <v>2000</v>
      </c>
      <c r="L361" s="5">
        <f t="shared" si="113"/>
        <v>2000</v>
      </c>
      <c r="M361" s="5">
        <f t="shared" si="114"/>
        <v>2000</v>
      </c>
      <c r="N361" s="5">
        <f t="shared" si="115"/>
        <v>-330</v>
      </c>
      <c r="O361" s="5">
        <f t="shared" si="116"/>
        <v>-354</v>
      </c>
      <c r="P361" s="5">
        <f t="shared" si="117"/>
        <v>-275</v>
      </c>
      <c r="Q361" s="8">
        <v>5</v>
      </c>
      <c r="R361" s="8">
        <v>5</v>
      </c>
      <c r="S361" s="8">
        <v>5</v>
      </c>
      <c r="T361" s="6">
        <f t="shared" si="109"/>
        <v>1236</v>
      </c>
      <c r="U361" s="7">
        <f t="shared" si="118"/>
        <v>1550</v>
      </c>
      <c r="V361" s="7">
        <f t="shared" si="119"/>
        <v>1526</v>
      </c>
      <c r="W361" s="7">
        <f t="shared" si="120"/>
        <v>1545</v>
      </c>
      <c r="X361" s="6"/>
      <c r="Y361" s="5"/>
      <c r="Z361" s="5"/>
      <c r="AA361" s="5"/>
      <c r="AB361" s="14"/>
    </row>
    <row r="362" spans="1:28" ht="13.15" customHeight="1">
      <c r="A362" s="13">
        <v>348</v>
      </c>
      <c r="B362" s="4">
        <f t="shared" si="110"/>
        <v>45391</v>
      </c>
      <c r="C362" s="10">
        <f t="shared" si="111"/>
        <v>842</v>
      </c>
      <c r="D362" s="9">
        <f t="shared" si="102"/>
        <v>1922</v>
      </c>
      <c r="E362" s="8">
        <f t="shared" si="103"/>
        <v>1098</v>
      </c>
      <c r="F362" s="8">
        <f t="shared" si="104"/>
        <v>1122</v>
      </c>
      <c r="G362" s="8">
        <f t="shared" si="105"/>
        <v>1043</v>
      </c>
      <c r="H362" s="5">
        <f t="shared" si="106"/>
        <v>1666</v>
      </c>
      <c r="I362" s="5">
        <f t="shared" si="107"/>
        <v>1642</v>
      </c>
      <c r="J362" s="5">
        <f t="shared" si="108"/>
        <v>1721</v>
      </c>
      <c r="K362" s="5">
        <f t="shared" si="112"/>
        <v>2000</v>
      </c>
      <c r="L362" s="5">
        <f t="shared" si="113"/>
        <v>2000</v>
      </c>
      <c r="M362" s="5">
        <f t="shared" si="114"/>
        <v>2000</v>
      </c>
      <c r="N362" s="5">
        <f t="shared" si="115"/>
        <v>-334</v>
      </c>
      <c r="O362" s="5">
        <f t="shared" si="116"/>
        <v>-358</v>
      </c>
      <c r="P362" s="5">
        <f t="shared" si="117"/>
        <v>-279</v>
      </c>
      <c r="Q362" s="8">
        <v>4</v>
      </c>
      <c r="R362" s="8">
        <v>4</v>
      </c>
      <c r="S362" s="8">
        <v>4</v>
      </c>
      <c r="T362" s="6">
        <f t="shared" si="109"/>
        <v>1242</v>
      </c>
      <c r="U362" s="7">
        <f t="shared" si="118"/>
        <v>1546</v>
      </c>
      <c r="V362" s="7">
        <f t="shared" si="119"/>
        <v>1522</v>
      </c>
      <c r="W362" s="7">
        <f t="shared" si="120"/>
        <v>1541</v>
      </c>
      <c r="X362" s="6"/>
      <c r="Y362" s="5"/>
      <c r="Z362" s="5"/>
      <c r="AA362" s="5"/>
      <c r="AB362" s="16" t="s">
        <v>7</v>
      </c>
    </row>
    <row r="363" spans="1:28" ht="13.15" customHeight="1">
      <c r="A363" s="13">
        <v>349</v>
      </c>
      <c r="B363" s="4">
        <f t="shared" si="110"/>
        <v>45392</v>
      </c>
      <c r="C363" s="10">
        <f t="shared" si="111"/>
        <v>842</v>
      </c>
      <c r="D363" s="9">
        <f t="shared" si="102"/>
        <v>1924</v>
      </c>
      <c r="E363" s="8">
        <f t="shared" si="103"/>
        <v>103</v>
      </c>
      <c r="F363" s="8">
        <f t="shared" si="104"/>
        <v>127</v>
      </c>
      <c r="G363" s="8">
        <f t="shared" si="105"/>
        <v>48</v>
      </c>
      <c r="H363" s="5">
        <f t="shared" si="106"/>
        <v>2663</v>
      </c>
      <c r="I363" s="5">
        <f t="shared" si="107"/>
        <v>2639</v>
      </c>
      <c r="J363" s="5">
        <f t="shared" si="108"/>
        <v>2718</v>
      </c>
      <c r="K363" s="5">
        <f>K362+1000</f>
        <v>3000</v>
      </c>
      <c r="L363" s="5">
        <f>L362+1000</f>
        <v>3000</v>
      </c>
      <c r="M363" s="5">
        <f>M362+1000</f>
        <v>3000</v>
      </c>
      <c r="N363" s="5">
        <f t="shared" si="115"/>
        <v>-337</v>
      </c>
      <c r="O363" s="5">
        <f t="shared" si="116"/>
        <v>-361</v>
      </c>
      <c r="P363" s="5">
        <f t="shared" si="117"/>
        <v>-282</v>
      </c>
      <c r="Q363" s="8">
        <v>3</v>
      </c>
      <c r="R363" s="8">
        <v>3</v>
      </c>
      <c r="S363" s="8">
        <v>3</v>
      </c>
      <c r="T363" s="6">
        <f t="shared" si="109"/>
        <v>1247</v>
      </c>
      <c r="U363" s="7">
        <f t="shared" si="118"/>
        <v>1543</v>
      </c>
      <c r="V363" s="7">
        <f t="shared" si="119"/>
        <v>1519</v>
      </c>
      <c r="W363" s="7">
        <f t="shared" si="120"/>
        <v>1538</v>
      </c>
      <c r="X363" s="6"/>
      <c r="Y363" s="5"/>
      <c r="Z363" s="5"/>
      <c r="AA363" s="5"/>
      <c r="AB363" s="16" t="s">
        <v>6</v>
      </c>
    </row>
    <row r="364" spans="1:28" ht="13.15" customHeight="1">
      <c r="A364" s="13">
        <v>350</v>
      </c>
      <c r="B364" s="4">
        <f t="shared" si="110"/>
        <v>45393</v>
      </c>
      <c r="C364" s="10">
        <f t="shared" si="111"/>
        <v>842</v>
      </c>
      <c r="D364" s="9">
        <f t="shared" si="102"/>
        <v>1926</v>
      </c>
      <c r="E364" s="8">
        <f t="shared" si="103"/>
        <v>107</v>
      </c>
      <c r="F364" s="8">
        <f t="shared" si="104"/>
        <v>131</v>
      </c>
      <c r="G364" s="8">
        <f t="shared" si="105"/>
        <v>58</v>
      </c>
      <c r="H364" s="5">
        <f t="shared" si="106"/>
        <v>2661</v>
      </c>
      <c r="I364" s="5">
        <f t="shared" si="107"/>
        <v>2637</v>
      </c>
      <c r="J364" s="5">
        <f t="shared" si="108"/>
        <v>2710</v>
      </c>
      <c r="K364" s="5">
        <f t="shared" ref="K364:K427" si="121">K363</f>
        <v>3000</v>
      </c>
      <c r="L364" s="5">
        <f t="shared" ref="L364:L427" si="122">L363</f>
        <v>3000</v>
      </c>
      <c r="M364" s="5">
        <f t="shared" ref="M364:M427" si="123">M363</f>
        <v>3000</v>
      </c>
      <c r="N364" s="5">
        <f t="shared" si="115"/>
        <v>-339</v>
      </c>
      <c r="O364" s="5">
        <f t="shared" si="116"/>
        <v>-363</v>
      </c>
      <c r="P364" s="5">
        <f t="shared" si="117"/>
        <v>-290</v>
      </c>
      <c r="Q364" s="8">
        <v>2</v>
      </c>
      <c r="R364" s="8">
        <v>2</v>
      </c>
      <c r="S364" s="8">
        <v>8</v>
      </c>
      <c r="T364" s="6">
        <f t="shared" si="109"/>
        <v>951</v>
      </c>
      <c r="U364" s="7">
        <f t="shared" si="118"/>
        <v>1841</v>
      </c>
      <c r="V364" s="7">
        <f t="shared" si="119"/>
        <v>1817</v>
      </c>
      <c r="W364" s="7">
        <f t="shared" si="120"/>
        <v>1830</v>
      </c>
      <c r="X364" s="15">
        <v>0.3</v>
      </c>
      <c r="Y364" s="5"/>
      <c r="Z364" s="5"/>
      <c r="AA364" s="5"/>
      <c r="AB364" s="14">
        <f>+AB360-1</f>
        <v>2</v>
      </c>
    </row>
    <row r="365" spans="1:28" ht="13.15" customHeight="1">
      <c r="A365" s="13">
        <v>351</v>
      </c>
      <c r="B365" s="4">
        <f t="shared" si="110"/>
        <v>45394</v>
      </c>
      <c r="C365" s="10">
        <f t="shared" si="111"/>
        <v>842</v>
      </c>
      <c r="D365" s="9">
        <f t="shared" si="102"/>
        <v>1928</v>
      </c>
      <c r="E365" s="8">
        <f t="shared" si="103"/>
        <v>113</v>
      </c>
      <c r="F365" s="8">
        <f t="shared" si="104"/>
        <v>137</v>
      </c>
      <c r="G365" s="8">
        <f t="shared" si="105"/>
        <v>64</v>
      </c>
      <c r="H365" s="5">
        <f t="shared" si="106"/>
        <v>2657</v>
      </c>
      <c r="I365" s="5">
        <f t="shared" si="107"/>
        <v>2633</v>
      </c>
      <c r="J365" s="5">
        <f t="shared" si="108"/>
        <v>2706</v>
      </c>
      <c r="K365" s="5">
        <f t="shared" si="121"/>
        <v>3000</v>
      </c>
      <c r="L365" s="5">
        <f t="shared" si="122"/>
        <v>3000</v>
      </c>
      <c r="M365" s="5">
        <f t="shared" si="123"/>
        <v>3000</v>
      </c>
      <c r="N365" s="5">
        <f t="shared" si="115"/>
        <v>-343</v>
      </c>
      <c r="O365" s="5">
        <f t="shared" si="116"/>
        <v>-367</v>
      </c>
      <c r="P365" s="5">
        <f t="shared" si="117"/>
        <v>-294</v>
      </c>
      <c r="Q365" s="8">
        <v>4</v>
      </c>
      <c r="R365" s="8">
        <v>4</v>
      </c>
      <c r="S365" s="8">
        <v>4</v>
      </c>
      <c r="T365" s="6">
        <f t="shared" si="109"/>
        <v>957</v>
      </c>
      <c r="U365" s="7">
        <f t="shared" si="118"/>
        <v>1837</v>
      </c>
      <c r="V365" s="7">
        <f t="shared" si="119"/>
        <v>1813</v>
      </c>
      <c r="W365" s="7">
        <f t="shared" si="120"/>
        <v>1826</v>
      </c>
      <c r="X365" s="6"/>
      <c r="Y365" s="5"/>
      <c r="Z365" s="5"/>
      <c r="AA365" s="5"/>
      <c r="AB365" s="14"/>
    </row>
    <row r="366" spans="1:28" ht="13.15" customHeight="1">
      <c r="A366" s="13">
        <v>352</v>
      </c>
      <c r="B366" s="4">
        <f t="shared" si="110"/>
        <v>45395</v>
      </c>
      <c r="C366" s="10">
        <f t="shared" si="111"/>
        <v>842</v>
      </c>
      <c r="D366" s="9">
        <f t="shared" si="102"/>
        <v>1930</v>
      </c>
      <c r="E366" s="8">
        <f t="shared" si="103"/>
        <v>118</v>
      </c>
      <c r="F366" s="8">
        <f t="shared" si="104"/>
        <v>142</v>
      </c>
      <c r="G366" s="8">
        <f t="shared" si="105"/>
        <v>69</v>
      </c>
      <c r="H366" s="5">
        <f t="shared" si="106"/>
        <v>2654</v>
      </c>
      <c r="I366" s="5">
        <f t="shared" si="107"/>
        <v>2630</v>
      </c>
      <c r="J366" s="5">
        <f t="shared" si="108"/>
        <v>2703</v>
      </c>
      <c r="K366" s="5">
        <f t="shared" si="121"/>
        <v>3000</v>
      </c>
      <c r="L366" s="5">
        <f t="shared" si="122"/>
        <v>3000</v>
      </c>
      <c r="M366" s="5">
        <f t="shared" si="123"/>
        <v>3000</v>
      </c>
      <c r="N366" s="5">
        <f t="shared" si="115"/>
        <v>-346</v>
      </c>
      <c r="O366" s="5">
        <f t="shared" si="116"/>
        <v>-370</v>
      </c>
      <c r="P366" s="5">
        <f t="shared" si="117"/>
        <v>-297</v>
      </c>
      <c r="Q366" s="8">
        <v>3</v>
      </c>
      <c r="R366" s="8">
        <v>3</v>
      </c>
      <c r="S366" s="8">
        <v>3</v>
      </c>
      <c r="T366" s="6">
        <f t="shared" si="109"/>
        <v>962</v>
      </c>
      <c r="U366" s="7">
        <f t="shared" si="118"/>
        <v>1834</v>
      </c>
      <c r="V366" s="7">
        <f t="shared" si="119"/>
        <v>1810</v>
      </c>
      <c r="W366" s="7">
        <f t="shared" si="120"/>
        <v>1823</v>
      </c>
      <c r="X366" s="6"/>
      <c r="Y366" s="5"/>
      <c r="Z366" s="5"/>
      <c r="AA366" s="5"/>
      <c r="AB366" s="14"/>
    </row>
    <row r="367" spans="1:28" ht="13.15" customHeight="1">
      <c r="A367" s="13">
        <v>353</v>
      </c>
      <c r="B367" s="4">
        <f t="shared" si="110"/>
        <v>45396</v>
      </c>
      <c r="C367" s="10">
        <f t="shared" si="111"/>
        <v>842</v>
      </c>
      <c r="D367" s="9">
        <f t="shared" si="102"/>
        <v>1932</v>
      </c>
      <c r="E367" s="8">
        <f t="shared" si="103"/>
        <v>124</v>
      </c>
      <c r="F367" s="8">
        <f t="shared" si="104"/>
        <v>148</v>
      </c>
      <c r="G367" s="8">
        <f t="shared" si="105"/>
        <v>75</v>
      </c>
      <c r="H367" s="5">
        <f t="shared" si="106"/>
        <v>2650</v>
      </c>
      <c r="I367" s="5">
        <f t="shared" si="107"/>
        <v>2626</v>
      </c>
      <c r="J367" s="5">
        <f t="shared" si="108"/>
        <v>2699</v>
      </c>
      <c r="K367" s="5">
        <f t="shared" si="121"/>
        <v>3000</v>
      </c>
      <c r="L367" s="5">
        <f t="shared" si="122"/>
        <v>3000</v>
      </c>
      <c r="M367" s="5">
        <f t="shared" si="123"/>
        <v>3000</v>
      </c>
      <c r="N367" s="5">
        <f t="shared" si="115"/>
        <v>-350</v>
      </c>
      <c r="O367" s="5">
        <f t="shared" si="116"/>
        <v>-374</v>
      </c>
      <c r="P367" s="5">
        <f t="shared" si="117"/>
        <v>-301</v>
      </c>
      <c r="Q367" s="8">
        <v>4</v>
      </c>
      <c r="R367" s="8">
        <v>4</v>
      </c>
      <c r="S367" s="8">
        <v>4</v>
      </c>
      <c r="T367" s="6">
        <f t="shared" si="109"/>
        <v>968</v>
      </c>
      <c r="U367" s="7">
        <f t="shared" si="118"/>
        <v>1830</v>
      </c>
      <c r="V367" s="7">
        <f t="shared" si="119"/>
        <v>1806</v>
      </c>
      <c r="W367" s="7">
        <f t="shared" si="120"/>
        <v>1819</v>
      </c>
      <c r="X367" s="6"/>
      <c r="Y367" s="5"/>
      <c r="Z367" s="5"/>
      <c r="AA367" s="5"/>
      <c r="AB367" s="14"/>
    </row>
    <row r="368" spans="1:28" ht="13.15" customHeight="1">
      <c r="A368" s="13">
        <v>354</v>
      </c>
      <c r="B368" s="4">
        <f t="shared" si="110"/>
        <v>45397</v>
      </c>
      <c r="C368" s="10">
        <f t="shared" si="111"/>
        <v>842</v>
      </c>
      <c r="D368" s="9">
        <f t="shared" si="102"/>
        <v>1934</v>
      </c>
      <c r="E368" s="8">
        <f t="shared" si="103"/>
        <v>133</v>
      </c>
      <c r="F368" s="8">
        <f t="shared" si="104"/>
        <v>153</v>
      </c>
      <c r="G368" s="8">
        <f t="shared" si="105"/>
        <v>84</v>
      </c>
      <c r="H368" s="5">
        <f t="shared" si="106"/>
        <v>2643</v>
      </c>
      <c r="I368" s="5">
        <f t="shared" si="107"/>
        <v>2623</v>
      </c>
      <c r="J368" s="5">
        <f t="shared" si="108"/>
        <v>2692</v>
      </c>
      <c r="K368" s="5">
        <f t="shared" si="121"/>
        <v>3000</v>
      </c>
      <c r="L368" s="5">
        <f t="shared" si="122"/>
        <v>3000</v>
      </c>
      <c r="M368" s="5">
        <f t="shared" si="123"/>
        <v>3000</v>
      </c>
      <c r="N368" s="5">
        <f t="shared" si="115"/>
        <v>-357</v>
      </c>
      <c r="O368" s="5">
        <f t="shared" si="116"/>
        <v>-377</v>
      </c>
      <c r="P368" s="5">
        <f t="shared" si="117"/>
        <v>-308</v>
      </c>
      <c r="Q368" s="8">
        <v>7</v>
      </c>
      <c r="R368" s="8">
        <v>3</v>
      </c>
      <c r="S368" s="8">
        <v>7</v>
      </c>
      <c r="T368" s="6">
        <f t="shared" si="109"/>
        <v>973</v>
      </c>
      <c r="U368" s="7">
        <f t="shared" si="118"/>
        <v>1823</v>
      </c>
      <c r="V368" s="7">
        <f t="shared" si="119"/>
        <v>1803</v>
      </c>
      <c r="W368" s="7">
        <f t="shared" si="120"/>
        <v>1812</v>
      </c>
      <c r="X368" s="6"/>
      <c r="Y368" s="5"/>
      <c r="Z368" s="5"/>
      <c r="AA368" s="5"/>
      <c r="AB368" s="14"/>
    </row>
    <row r="369" spans="1:28" ht="13.15" customHeight="1">
      <c r="A369" s="13">
        <v>355</v>
      </c>
      <c r="B369" s="4">
        <f t="shared" si="110"/>
        <v>45398</v>
      </c>
      <c r="C369" s="10">
        <f t="shared" si="111"/>
        <v>842</v>
      </c>
      <c r="D369" s="9">
        <f t="shared" si="102"/>
        <v>1936</v>
      </c>
      <c r="E369" s="8">
        <f t="shared" si="103"/>
        <v>140</v>
      </c>
      <c r="F369" s="8">
        <f t="shared" si="104"/>
        <v>157</v>
      </c>
      <c r="G369" s="8">
        <f t="shared" si="105"/>
        <v>94</v>
      </c>
      <c r="H369" s="5">
        <f t="shared" si="106"/>
        <v>2638</v>
      </c>
      <c r="I369" s="5">
        <f t="shared" si="107"/>
        <v>2621</v>
      </c>
      <c r="J369" s="5">
        <f t="shared" si="108"/>
        <v>2684</v>
      </c>
      <c r="K369" s="5">
        <f t="shared" si="121"/>
        <v>3000</v>
      </c>
      <c r="L369" s="5">
        <f t="shared" si="122"/>
        <v>3000</v>
      </c>
      <c r="M369" s="5">
        <f t="shared" si="123"/>
        <v>3000</v>
      </c>
      <c r="N369" s="5">
        <f t="shared" si="115"/>
        <v>-362</v>
      </c>
      <c r="O369" s="5">
        <f t="shared" si="116"/>
        <v>-379</v>
      </c>
      <c r="P369" s="5">
        <f t="shared" si="117"/>
        <v>-316</v>
      </c>
      <c r="Q369" s="8">
        <v>5</v>
      </c>
      <c r="R369" s="8">
        <v>2</v>
      </c>
      <c r="S369" s="8">
        <v>8</v>
      </c>
      <c r="T369" s="6">
        <f t="shared" si="109"/>
        <v>677</v>
      </c>
      <c r="U369" s="7">
        <f t="shared" si="118"/>
        <v>2118</v>
      </c>
      <c r="V369" s="7">
        <f t="shared" si="119"/>
        <v>2101</v>
      </c>
      <c r="W369" s="7">
        <f t="shared" si="120"/>
        <v>2104</v>
      </c>
      <c r="X369" s="15">
        <v>0.3</v>
      </c>
      <c r="Y369" s="5"/>
      <c r="Z369" s="5"/>
      <c r="AA369" s="5"/>
      <c r="AB369" s="14">
        <f>+AB364-1</f>
        <v>1</v>
      </c>
    </row>
    <row r="370" spans="1:28" ht="13.15" customHeight="1">
      <c r="A370" s="13">
        <v>356</v>
      </c>
      <c r="B370" s="4">
        <f t="shared" si="110"/>
        <v>45399</v>
      </c>
      <c r="C370" s="10">
        <f t="shared" si="111"/>
        <v>842</v>
      </c>
      <c r="D370" s="9">
        <f t="shared" si="102"/>
        <v>1938</v>
      </c>
      <c r="E370" s="8">
        <f t="shared" si="103"/>
        <v>147</v>
      </c>
      <c r="F370" s="8">
        <f t="shared" si="104"/>
        <v>163</v>
      </c>
      <c r="G370" s="8">
        <f t="shared" si="105"/>
        <v>101</v>
      </c>
      <c r="H370" s="5">
        <f t="shared" si="106"/>
        <v>2633</v>
      </c>
      <c r="I370" s="5">
        <f t="shared" si="107"/>
        <v>2617</v>
      </c>
      <c r="J370" s="5">
        <f t="shared" si="108"/>
        <v>2679</v>
      </c>
      <c r="K370" s="5">
        <f t="shared" si="121"/>
        <v>3000</v>
      </c>
      <c r="L370" s="5">
        <f t="shared" si="122"/>
        <v>3000</v>
      </c>
      <c r="M370" s="5">
        <f t="shared" si="123"/>
        <v>3000</v>
      </c>
      <c r="N370" s="5">
        <f t="shared" si="115"/>
        <v>-367</v>
      </c>
      <c r="O370" s="5">
        <f t="shared" si="116"/>
        <v>-383</v>
      </c>
      <c r="P370" s="5">
        <f t="shared" si="117"/>
        <v>-321</v>
      </c>
      <c r="Q370" s="8">
        <v>5</v>
      </c>
      <c r="R370" s="8">
        <v>4</v>
      </c>
      <c r="S370" s="8">
        <v>5</v>
      </c>
      <c r="T370" s="6">
        <f t="shared" si="109"/>
        <v>683</v>
      </c>
      <c r="U370" s="7">
        <f t="shared" si="118"/>
        <v>2113</v>
      </c>
      <c r="V370" s="7">
        <f t="shared" si="119"/>
        <v>2097</v>
      </c>
      <c r="W370" s="7">
        <f t="shared" si="120"/>
        <v>2099</v>
      </c>
      <c r="X370" s="6"/>
      <c r="Y370" s="5"/>
      <c r="Z370" s="5"/>
      <c r="AA370" s="5"/>
      <c r="AB370" s="5"/>
    </row>
    <row r="371" spans="1:28" ht="13.15" customHeight="1">
      <c r="A371" s="13">
        <v>357</v>
      </c>
      <c r="B371" s="4">
        <f t="shared" si="110"/>
        <v>45400</v>
      </c>
      <c r="C371" s="10">
        <f t="shared" si="111"/>
        <v>842</v>
      </c>
      <c r="D371" s="9">
        <f t="shared" si="102"/>
        <v>1940</v>
      </c>
      <c r="E371" s="8">
        <f t="shared" si="103"/>
        <v>153</v>
      </c>
      <c r="F371" s="8">
        <f t="shared" si="104"/>
        <v>172</v>
      </c>
      <c r="G371" s="8">
        <f t="shared" si="105"/>
        <v>107</v>
      </c>
      <c r="H371" s="5">
        <f t="shared" si="106"/>
        <v>2629</v>
      </c>
      <c r="I371" s="5">
        <f t="shared" si="107"/>
        <v>2610</v>
      </c>
      <c r="J371" s="5">
        <f t="shared" si="108"/>
        <v>2675</v>
      </c>
      <c r="K371" s="5">
        <f t="shared" si="121"/>
        <v>3000</v>
      </c>
      <c r="L371" s="5">
        <f t="shared" si="122"/>
        <v>3000</v>
      </c>
      <c r="M371" s="5">
        <f t="shared" si="123"/>
        <v>3000</v>
      </c>
      <c r="N371" s="5">
        <f t="shared" si="115"/>
        <v>-371</v>
      </c>
      <c r="O371" s="5">
        <f t="shared" si="116"/>
        <v>-390</v>
      </c>
      <c r="P371" s="5">
        <f t="shared" si="117"/>
        <v>-325</v>
      </c>
      <c r="Q371" s="8">
        <v>4</v>
      </c>
      <c r="R371" s="8">
        <v>7</v>
      </c>
      <c r="S371" s="8">
        <v>4</v>
      </c>
      <c r="T371" s="6">
        <f t="shared" si="109"/>
        <v>692</v>
      </c>
      <c r="U371" s="7">
        <f t="shared" si="118"/>
        <v>2109</v>
      </c>
      <c r="V371" s="7">
        <f t="shared" si="119"/>
        <v>2090</v>
      </c>
      <c r="W371" s="7">
        <f t="shared" si="120"/>
        <v>2095</v>
      </c>
      <c r="X371" s="6"/>
      <c r="Y371" s="5"/>
      <c r="Z371" s="5"/>
      <c r="AA371" s="5"/>
      <c r="AB371" s="5"/>
    </row>
    <row r="372" spans="1:28" ht="13.15" customHeight="1">
      <c r="A372" s="13">
        <v>358</v>
      </c>
      <c r="B372" s="4">
        <f t="shared" si="110"/>
        <v>45401</v>
      </c>
      <c r="C372" s="10">
        <f t="shared" si="111"/>
        <v>842</v>
      </c>
      <c r="D372" s="9">
        <f t="shared" si="102"/>
        <v>1942</v>
      </c>
      <c r="E372" s="8">
        <f t="shared" si="103"/>
        <v>158</v>
      </c>
      <c r="F372" s="8">
        <f t="shared" si="104"/>
        <v>179</v>
      </c>
      <c r="G372" s="8">
        <f t="shared" si="105"/>
        <v>112</v>
      </c>
      <c r="H372" s="5">
        <f t="shared" si="106"/>
        <v>2626</v>
      </c>
      <c r="I372" s="5">
        <f t="shared" si="107"/>
        <v>2605</v>
      </c>
      <c r="J372" s="5">
        <f t="shared" si="108"/>
        <v>2672</v>
      </c>
      <c r="K372" s="5">
        <f t="shared" si="121"/>
        <v>3000</v>
      </c>
      <c r="L372" s="5">
        <f t="shared" si="122"/>
        <v>3000</v>
      </c>
      <c r="M372" s="5">
        <f t="shared" si="123"/>
        <v>3000</v>
      </c>
      <c r="N372" s="5">
        <f t="shared" si="115"/>
        <v>-374</v>
      </c>
      <c r="O372" s="5">
        <f t="shared" si="116"/>
        <v>-395</v>
      </c>
      <c r="P372" s="5">
        <f t="shared" si="117"/>
        <v>-328</v>
      </c>
      <c r="Q372" s="8">
        <v>3</v>
      </c>
      <c r="R372" s="8">
        <v>5</v>
      </c>
      <c r="S372" s="8">
        <v>3</v>
      </c>
      <c r="T372" s="6">
        <f t="shared" si="109"/>
        <v>699</v>
      </c>
      <c r="U372" s="7">
        <f t="shared" si="118"/>
        <v>2106</v>
      </c>
      <c r="V372" s="7">
        <f t="shared" si="119"/>
        <v>2085</v>
      </c>
      <c r="W372" s="7">
        <f t="shared" si="120"/>
        <v>2092</v>
      </c>
      <c r="X372" s="6"/>
      <c r="Y372" s="5"/>
      <c r="Z372" s="5"/>
      <c r="AA372" s="5"/>
      <c r="AB372" s="5"/>
    </row>
    <row r="373" spans="1:28" ht="13.15" customHeight="1">
      <c r="A373" s="13">
        <v>359</v>
      </c>
      <c r="B373" s="4">
        <f t="shared" si="110"/>
        <v>45402</v>
      </c>
      <c r="C373" s="10">
        <f t="shared" si="111"/>
        <v>842</v>
      </c>
      <c r="D373" s="9">
        <f t="shared" si="102"/>
        <v>1944</v>
      </c>
      <c r="E373" s="8">
        <f t="shared" si="103"/>
        <v>162</v>
      </c>
      <c r="F373" s="8">
        <f t="shared" si="104"/>
        <v>186</v>
      </c>
      <c r="G373" s="8">
        <f t="shared" si="105"/>
        <v>116</v>
      </c>
      <c r="H373" s="5">
        <f t="shared" si="106"/>
        <v>2624</v>
      </c>
      <c r="I373" s="5">
        <f t="shared" si="107"/>
        <v>2600</v>
      </c>
      <c r="J373" s="5">
        <f t="shared" si="108"/>
        <v>2670</v>
      </c>
      <c r="K373" s="5">
        <f t="shared" si="121"/>
        <v>3000</v>
      </c>
      <c r="L373" s="5">
        <f t="shared" si="122"/>
        <v>3000</v>
      </c>
      <c r="M373" s="5">
        <f t="shared" si="123"/>
        <v>3000</v>
      </c>
      <c r="N373" s="5">
        <f t="shared" si="115"/>
        <v>-376</v>
      </c>
      <c r="O373" s="5">
        <f t="shared" si="116"/>
        <v>-400</v>
      </c>
      <c r="P373" s="5">
        <f t="shared" si="117"/>
        <v>-330</v>
      </c>
      <c r="Q373" s="8">
        <v>2</v>
      </c>
      <c r="R373" s="8">
        <v>5</v>
      </c>
      <c r="S373" s="8">
        <v>2</v>
      </c>
      <c r="T373" s="6">
        <f t="shared" si="109"/>
        <v>706</v>
      </c>
      <c r="U373" s="7">
        <f t="shared" si="118"/>
        <v>2104</v>
      </c>
      <c r="V373" s="7">
        <f t="shared" si="119"/>
        <v>2080</v>
      </c>
      <c r="W373" s="7">
        <f t="shared" si="120"/>
        <v>2090</v>
      </c>
      <c r="X373" s="6"/>
      <c r="Y373" s="5"/>
      <c r="Z373" s="5"/>
      <c r="AA373" s="5"/>
      <c r="AB373" s="5"/>
    </row>
    <row r="374" spans="1:28" ht="13.15" customHeight="1">
      <c r="A374" s="13">
        <v>360</v>
      </c>
      <c r="B374" s="4">
        <f t="shared" si="110"/>
        <v>45403</v>
      </c>
      <c r="C374" s="10">
        <f t="shared" si="111"/>
        <v>842</v>
      </c>
      <c r="D374" s="9">
        <f t="shared" si="102"/>
        <v>1946</v>
      </c>
      <c r="E374" s="8">
        <f t="shared" si="103"/>
        <v>168</v>
      </c>
      <c r="F374" s="8">
        <f t="shared" si="104"/>
        <v>192</v>
      </c>
      <c r="G374" s="8">
        <f t="shared" si="105"/>
        <v>119</v>
      </c>
      <c r="H374" s="5">
        <f t="shared" si="106"/>
        <v>2620</v>
      </c>
      <c r="I374" s="5">
        <f t="shared" si="107"/>
        <v>2596</v>
      </c>
      <c r="J374" s="5">
        <f t="shared" si="108"/>
        <v>2669</v>
      </c>
      <c r="K374" s="5">
        <f t="shared" si="121"/>
        <v>3000</v>
      </c>
      <c r="L374" s="5">
        <f t="shared" si="122"/>
        <v>3000</v>
      </c>
      <c r="M374" s="5">
        <f t="shared" si="123"/>
        <v>3000</v>
      </c>
      <c r="N374" s="5">
        <f t="shared" si="115"/>
        <v>-380</v>
      </c>
      <c r="O374" s="5">
        <f t="shared" si="116"/>
        <v>-404</v>
      </c>
      <c r="P374" s="5">
        <f t="shared" si="117"/>
        <v>-331</v>
      </c>
      <c r="Q374" s="8">
        <v>4</v>
      </c>
      <c r="R374" s="8">
        <v>4</v>
      </c>
      <c r="S374" s="8">
        <v>1</v>
      </c>
      <c r="T374" s="6">
        <f t="shared" si="109"/>
        <v>712</v>
      </c>
      <c r="U374" s="7">
        <f t="shared" si="118"/>
        <v>2100</v>
      </c>
      <c r="V374" s="7">
        <f t="shared" si="119"/>
        <v>2076</v>
      </c>
      <c r="W374" s="7">
        <f t="shared" si="120"/>
        <v>2089</v>
      </c>
      <c r="X374" s="6"/>
      <c r="Y374" s="5"/>
      <c r="Z374" s="5"/>
      <c r="AA374" s="5"/>
      <c r="AB374" s="5"/>
    </row>
    <row r="375" spans="1:28" ht="13.15" customHeight="1">
      <c r="A375" s="13">
        <v>361</v>
      </c>
      <c r="B375" s="4">
        <f t="shared" si="110"/>
        <v>45404</v>
      </c>
      <c r="C375" s="10">
        <f t="shared" si="111"/>
        <v>842</v>
      </c>
      <c r="D375" s="9">
        <f t="shared" si="102"/>
        <v>1948</v>
      </c>
      <c r="E375" s="8">
        <f t="shared" si="103"/>
        <v>173</v>
      </c>
      <c r="F375" s="8">
        <f t="shared" si="104"/>
        <v>197</v>
      </c>
      <c r="G375" s="8">
        <f t="shared" si="105"/>
        <v>122</v>
      </c>
      <c r="H375" s="5">
        <f t="shared" si="106"/>
        <v>2617</v>
      </c>
      <c r="I375" s="5">
        <f t="shared" si="107"/>
        <v>2593</v>
      </c>
      <c r="J375" s="5">
        <f t="shared" si="108"/>
        <v>2668</v>
      </c>
      <c r="K375" s="5">
        <f t="shared" si="121"/>
        <v>3000</v>
      </c>
      <c r="L375" s="5">
        <f t="shared" si="122"/>
        <v>3000</v>
      </c>
      <c r="M375" s="5">
        <f t="shared" si="123"/>
        <v>3000</v>
      </c>
      <c r="N375" s="5">
        <f t="shared" si="115"/>
        <v>-383</v>
      </c>
      <c r="O375" s="5">
        <f t="shared" si="116"/>
        <v>-407</v>
      </c>
      <c r="P375" s="5">
        <f t="shared" si="117"/>
        <v>-332</v>
      </c>
      <c r="Q375" s="8">
        <v>3</v>
      </c>
      <c r="R375" s="8">
        <v>3</v>
      </c>
      <c r="S375" s="8">
        <v>1</v>
      </c>
      <c r="T375" s="6">
        <f t="shared" si="109"/>
        <v>717</v>
      </c>
      <c r="U375" s="7">
        <f t="shared" si="118"/>
        <v>2097</v>
      </c>
      <c r="V375" s="7">
        <f t="shared" si="119"/>
        <v>2073</v>
      </c>
      <c r="W375" s="7">
        <f t="shared" si="120"/>
        <v>2088</v>
      </c>
      <c r="X375" s="6"/>
      <c r="Y375" s="5"/>
      <c r="Z375" s="5"/>
      <c r="AA375" s="5"/>
      <c r="AB375" s="5"/>
    </row>
    <row r="376" spans="1:28" ht="13.15" customHeight="1">
      <c r="A376" s="13">
        <v>362</v>
      </c>
      <c r="B376" s="4">
        <f t="shared" si="110"/>
        <v>45405</v>
      </c>
      <c r="C376" s="10">
        <f t="shared" si="111"/>
        <v>842</v>
      </c>
      <c r="D376" s="9">
        <f t="shared" si="102"/>
        <v>1950</v>
      </c>
      <c r="E376" s="8">
        <f t="shared" si="103"/>
        <v>177</v>
      </c>
      <c r="F376" s="8">
        <f t="shared" si="104"/>
        <v>201</v>
      </c>
      <c r="G376" s="8">
        <f t="shared" si="105"/>
        <v>125</v>
      </c>
      <c r="H376" s="5">
        <f t="shared" si="106"/>
        <v>2615</v>
      </c>
      <c r="I376" s="5">
        <f t="shared" si="107"/>
        <v>2591</v>
      </c>
      <c r="J376" s="5">
        <f t="shared" si="108"/>
        <v>2667</v>
      </c>
      <c r="K376" s="5">
        <f t="shared" si="121"/>
        <v>3000</v>
      </c>
      <c r="L376" s="5">
        <f t="shared" si="122"/>
        <v>3000</v>
      </c>
      <c r="M376" s="5">
        <f t="shared" si="123"/>
        <v>3000</v>
      </c>
      <c r="N376" s="5">
        <f t="shared" si="115"/>
        <v>-385</v>
      </c>
      <c r="O376" s="5">
        <f t="shared" si="116"/>
        <v>-409</v>
      </c>
      <c r="P376" s="5">
        <f t="shared" si="117"/>
        <v>-333</v>
      </c>
      <c r="Q376" s="8">
        <v>2</v>
      </c>
      <c r="R376" s="8">
        <v>2</v>
      </c>
      <c r="S376" s="8">
        <v>1</v>
      </c>
      <c r="T376" s="6">
        <f t="shared" si="109"/>
        <v>721</v>
      </c>
      <c r="U376" s="7">
        <f t="shared" si="118"/>
        <v>2095</v>
      </c>
      <c r="V376" s="7">
        <f t="shared" si="119"/>
        <v>2071</v>
      </c>
      <c r="W376" s="7">
        <f t="shared" si="120"/>
        <v>2087</v>
      </c>
      <c r="X376" s="6"/>
      <c r="Y376" s="5"/>
      <c r="Z376" s="5"/>
      <c r="AA376" s="5"/>
      <c r="AB376" s="5"/>
    </row>
    <row r="377" spans="1:28" ht="13.15" customHeight="1">
      <c r="A377" s="13">
        <v>363</v>
      </c>
      <c r="B377" s="4">
        <f t="shared" si="110"/>
        <v>45406</v>
      </c>
      <c r="C377" s="10">
        <f t="shared" si="111"/>
        <v>842</v>
      </c>
      <c r="D377" s="9">
        <f t="shared" si="102"/>
        <v>1952</v>
      </c>
      <c r="E377" s="8">
        <f t="shared" si="103"/>
        <v>182</v>
      </c>
      <c r="F377" s="8">
        <f t="shared" si="104"/>
        <v>206</v>
      </c>
      <c r="G377" s="8">
        <f t="shared" si="105"/>
        <v>127</v>
      </c>
      <c r="H377" s="5">
        <f t="shared" si="106"/>
        <v>2612</v>
      </c>
      <c r="I377" s="5">
        <f t="shared" si="107"/>
        <v>2588</v>
      </c>
      <c r="J377" s="5">
        <f t="shared" si="108"/>
        <v>2667</v>
      </c>
      <c r="K377" s="5">
        <f t="shared" si="121"/>
        <v>3000</v>
      </c>
      <c r="L377" s="5">
        <f t="shared" si="122"/>
        <v>3000</v>
      </c>
      <c r="M377" s="5">
        <f t="shared" si="123"/>
        <v>3000</v>
      </c>
      <c r="N377" s="5">
        <f t="shared" si="115"/>
        <v>-388</v>
      </c>
      <c r="O377" s="5">
        <f t="shared" si="116"/>
        <v>-412</v>
      </c>
      <c r="P377" s="5">
        <f t="shared" si="117"/>
        <v>-333</v>
      </c>
      <c r="Q377" s="8">
        <v>3</v>
      </c>
      <c r="R377" s="8">
        <v>3</v>
      </c>
      <c r="S377" s="8">
        <v>0</v>
      </c>
      <c r="T377" s="6">
        <f t="shared" si="109"/>
        <v>726</v>
      </c>
      <c r="U377" s="7">
        <f t="shared" si="118"/>
        <v>2092</v>
      </c>
      <c r="V377" s="7">
        <f t="shared" si="119"/>
        <v>2068</v>
      </c>
      <c r="W377" s="7">
        <f t="shared" si="120"/>
        <v>2087</v>
      </c>
      <c r="X377" s="6"/>
      <c r="Y377" s="5"/>
      <c r="Z377" s="5"/>
      <c r="AA377" s="5"/>
      <c r="AB377" s="5"/>
    </row>
    <row r="378" spans="1:28" ht="13.15" customHeight="1">
      <c r="A378" s="13">
        <v>364</v>
      </c>
      <c r="B378" s="4">
        <f t="shared" si="110"/>
        <v>45407</v>
      </c>
      <c r="C378" s="10">
        <f t="shared" si="111"/>
        <v>842</v>
      </c>
      <c r="D378" s="9">
        <f t="shared" si="102"/>
        <v>1954</v>
      </c>
      <c r="E378" s="8">
        <f t="shared" si="103"/>
        <v>186</v>
      </c>
      <c r="F378" s="8">
        <f t="shared" si="104"/>
        <v>210</v>
      </c>
      <c r="G378" s="8">
        <f t="shared" si="105"/>
        <v>130</v>
      </c>
      <c r="H378" s="5">
        <f t="shared" si="106"/>
        <v>2610</v>
      </c>
      <c r="I378" s="5">
        <f t="shared" si="107"/>
        <v>2586</v>
      </c>
      <c r="J378" s="5">
        <f t="shared" si="108"/>
        <v>2666</v>
      </c>
      <c r="K378" s="5">
        <f t="shared" si="121"/>
        <v>3000</v>
      </c>
      <c r="L378" s="5">
        <f t="shared" si="122"/>
        <v>3000</v>
      </c>
      <c r="M378" s="5">
        <f t="shared" si="123"/>
        <v>3000</v>
      </c>
      <c r="N378" s="5">
        <f t="shared" si="115"/>
        <v>-390</v>
      </c>
      <c r="O378" s="5">
        <f t="shared" si="116"/>
        <v>-414</v>
      </c>
      <c r="P378" s="5">
        <f t="shared" si="117"/>
        <v>-334</v>
      </c>
      <c r="Q378" s="8">
        <v>2</v>
      </c>
      <c r="R378" s="8">
        <v>2</v>
      </c>
      <c r="S378" s="8">
        <v>1</v>
      </c>
      <c r="T378" s="6">
        <f t="shared" si="109"/>
        <v>730</v>
      </c>
      <c r="U378" s="7">
        <f t="shared" si="118"/>
        <v>2090</v>
      </c>
      <c r="V378" s="7">
        <f t="shared" si="119"/>
        <v>2066</v>
      </c>
      <c r="W378" s="7">
        <f t="shared" si="120"/>
        <v>2086</v>
      </c>
      <c r="X378" s="6"/>
      <c r="Y378" s="5"/>
      <c r="Z378" s="5"/>
      <c r="AA378" s="5"/>
      <c r="AB378" s="5"/>
    </row>
    <row r="379" spans="1:28" ht="13.15" customHeight="1">
      <c r="A379" s="13">
        <v>365</v>
      </c>
      <c r="B379" s="4">
        <f t="shared" si="110"/>
        <v>45408</v>
      </c>
      <c r="C379" s="10">
        <f t="shared" si="111"/>
        <v>842</v>
      </c>
      <c r="D379" s="9">
        <f t="shared" si="102"/>
        <v>1956</v>
      </c>
      <c r="E379" s="8">
        <f t="shared" si="103"/>
        <v>192</v>
      </c>
      <c r="F379" s="8">
        <f t="shared" si="104"/>
        <v>216</v>
      </c>
      <c r="G379" s="8">
        <f t="shared" si="105"/>
        <v>132</v>
      </c>
      <c r="H379" s="5">
        <f t="shared" si="106"/>
        <v>2606</v>
      </c>
      <c r="I379" s="5">
        <f t="shared" si="107"/>
        <v>2582</v>
      </c>
      <c r="J379" s="5">
        <f t="shared" si="108"/>
        <v>2666</v>
      </c>
      <c r="K379" s="5">
        <f t="shared" si="121"/>
        <v>3000</v>
      </c>
      <c r="L379" s="5">
        <f t="shared" si="122"/>
        <v>3000</v>
      </c>
      <c r="M379" s="5">
        <f t="shared" si="123"/>
        <v>3000</v>
      </c>
      <c r="N379" s="5">
        <f t="shared" si="115"/>
        <v>-394</v>
      </c>
      <c r="O379" s="5">
        <f t="shared" si="116"/>
        <v>-418</v>
      </c>
      <c r="P379" s="5">
        <f t="shared" si="117"/>
        <v>-334</v>
      </c>
      <c r="Q379" s="8">
        <v>4</v>
      </c>
      <c r="R379" s="8">
        <v>4</v>
      </c>
      <c r="S379" s="8">
        <v>0</v>
      </c>
      <c r="T379" s="6">
        <f t="shared" si="109"/>
        <v>736</v>
      </c>
      <c r="U379" s="7">
        <f t="shared" si="118"/>
        <v>2086</v>
      </c>
      <c r="V379" s="7">
        <f t="shared" si="119"/>
        <v>2062</v>
      </c>
      <c r="W379" s="7">
        <f t="shared" si="120"/>
        <v>2086</v>
      </c>
      <c r="X379" s="6"/>
      <c r="Y379" s="5"/>
      <c r="Z379" s="5"/>
      <c r="AA379" s="5"/>
      <c r="AB379" s="5"/>
    </row>
    <row r="380" spans="1:28" ht="13.15" customHeight="1">
      <c r="A380" s="13">
        <v>366</v>
      </c>
      <c r="B380" s="4">
        <f t="shared" si="110"/>
        <v>45409</v>
      </c>
      <c r="C380" s="10">
        <f t="shared" si="111"/>
        <v>842</v>
      </c>
      <c r="D380" s="9">
        <f t="shared" si="102"/>
        <v>1958</v>
      </c>
      <c r="E380" s="8">
        <f t="shared" si="103"/>
        <v>197</v>
      </c>
      <c r="F380" s="8">
        <f t="shared" si="104"/>
        <v>221</v>
      </c>
      <c r="G380" s="8">
        <f t="shared" si="105"/>
        <v>135</v>
      </c>
      <c r="H380" s="5">
        <f t="shared" si="106"/>
        <v>2603</v>
      </c>
      <c r="I380" s="5">
        <f t="shared" si="107"/>
        <v>2579</v>
      </c>
      <c r="J380" s="5">
        <f t="shared" si="108"/>
        <v>2665</v>
      </c>
      <c r="K380" s="5">
        <f t="shared" si="121"/>
        <v>3000</v>
      </c>
      <c r="L380" s="5">
        <f t="shared" si="122"/>
        <v>3000</v>
      </c>
      <c r="M380" s="5">
        <f t="shared" si="123"/>
        <v>3000</v>
      </c>
      <c r="N380" s="5">
        <f t="shared" si="115"/>
        <v>-397</v>
      </c>
      <c r="O380" s="5">
        <f t="shared" si="116"/>
        <v>-421</v>
      </c>
      <c r="P380" s="5">
        <f t="shared" si="117"/>
        <v>-335</v>
      </c>
      <c r="Q380" s="8">
        <v>3</v>
      </c>
      <c r="R380" s="8">
        <v>3</v>
      </c>
      <c r="S380" s="8">
        <v>1</v>
      </c>
      <c r="T380" s="6">
        <f t="shared" si="109"/>
        <v>741</v>
      </c>
      <c r="U380" s="7">
        <f t="shared" si="118"/>
        <v>2083</v>
      </c>
      <c r="V380" s="7">
        <f t="shared" si="119"/>
        <v>2059</v>
      </c>
      <c r="W380" s="7">
        <f t="shared" si="120"/>
        <v>2085</v>
      </c>
      <c r="X380" s="6"/>
      <c r="Y380" s="5"/>
      <c r="Z380" s="5"/>
      <c r="AA380" s="5"/>
      <c r="AB380" s="5"/>
    </row>
    <row r="381" spans="1:28" ht="13.15" customHeight="1">
      <c r="A381" s="13">
        <v>367</v>
      </c>
      <c r="B381" s="4">
        <f t="shared" si="110"/>
        <v>45410</v>
      </c>
      <c r="C381" s="10">
        <f t="shared" si="111"/>
        <v>842</v>
      </c>
      <c r="D381" s="9">
        <f t="shared" si="102"/>
        <v>1960</v>
      </c>
      <c r="E381" s="8">
        <f t="shared" si="103"/>
        <v>203</v>
      </c>
      <c r="F381" s="8">
        <f t="shared" si="104"/>
        <v>227</v>
      </c>
      <c r="G381" s="8">
        <f t="shared" si="105"/>
        <v>138</v>
      </c>
      <c r="H381" s="5">
        <f t="shared" si="106"/>
        <v>2599</v>
      </c>
      <c r="I381" s="5">
        <f t="shared" si="107"/>
        <v>2575</v>
      </c>
      <c r="J381" s="5">
        <f t="shared" si="108"/>
        <v>2664</v>
      </c>
      <c r="K381" s="5">
        <f t="shared" si="121"/>
        <v>3000</v>
      </c>
      <c r="L381" s="5">
        <f t="shared" si="122"/>
        <v>3000</v>
      </c>
      <c r="M381" s="5">
        <f t="shared" si="123"/>
        <v>3000</v>
      </c>
      <c r="N381" s="5">
        <f t="shared" si="115"/>
        <v>-401</v>
      </c>
      <c r="O381" s="5">
        <f t="shared" si="116"/>
        <v>-425</v>
      </c>
      <c r="P381" s="5">
        <f t="shared" si="117"/>
        <v>-336</v>
      </c>
      <c r="Q381" s="8">
        <v>4</v>
      </c>
      <c r="R381" s="8">
        <v>4</v>
      </c>
      <c r="S381" s="8">
        <v>1</v>
      </c>
      <c r="T381" s="6">
        <f t="shared" si="109"/>
        <v>747</v>
      </c>
      <c r="U381" s="7">
        <f t="shared" si="118"/>
        <v>2079</v>
      </c>
      <c r="V381" s="7">
        <f t="shared" si="119"/>
        <v>2055</v>
      </c>
      <c r="W381" s="7">
        <f t="shared" si="120"/>
        <v>2084</v>
      </c>
      <c r="X381" s="6"/>
      <c r="Y381" s="5"/>
      <c r="Z381" s="5"/>
      <c r="AA381" s="5"/>
      <c r="AB381" s="5"/>
    </row>
    <row r="382" spans="1:28" ht="13.15" customHeight="1">
      <c r="A382" s="13">
        <v>368</v>
      </c>
      <c r="B382" s="4">
        <f t="shared" si="110"/>
        <v>45411</v>
      </c>
      <c r="C382" s="10">
        <f t="shared" si="111"/>
        <v>842</v>
      </c>
      <c r="D382" s="9">
        <f t="shared" si="102"/>
        <v>1962</v>
      </c>
      <c r="E382" s="8">
        <f t="shared" si="103"/>
        <v>212</v>
      </c>
      <c r="F382" s="8">
        <f t="shared" si="104"/>
        <v>232</v>
      </c>
      <c r="G382" s="8">
        <f t="shared" si="105"/>
        <v>140</v>
      </c>
      <c r="H382" s="5">
        <f t="shared" si="106"/>
        <v>2592</v>
      </c>
      <c r="I382" s="5">
        <f t="shared" si="107"/>
        <v>2572</v>
      </c>
      <c r="J382" s="5">
        <f t="shared" si="108"/>
        <v>2664</v>
      </c>
      <c r="K382" s="5">
        <f t="shared" si="121"/>
        <v>3000</v>
      </c>
      <c r="L382" s="5">
        <f t="shared" si="122"/>
        <v>3000</v>
      </c>
      <c r="M382" s="5">
        <f t="shared" si="123"/>
        <v>3000</v>
      </c>
      <c r="N382" s="5">
        <f t="shared" si="115"/>
        <v>-408</v>
      </c>
      <c r="O382" s="5">
        <f t="shared" si="116"/>
        <v>-428</v>
      </c>
      <c r="P382" s="5">
        <f t="shared" si="117"/>
        <v>-336</v>
      </c>
      <c r="Q382" s="8">
        <v>7</v>
      </c>
      <c r="R382" s="8">
        <v>3</v>
      </c>
      <c r="S382" s="8">
        <v>0</v>
      </c>
      <c r="T382" s="6">
        <f t="shared" si="109"/>
        <v>752</v>
      </c>
      <c r="U382" s="7">
        <f t="shared" si="118"/>
        <v>2072</v>
      </c>
      <c r="V382" s="7">
        <f t="shared" si="119"/>
        <v>2052</v>
      </c>
      <c r="W382" s="7">
        <f t="shared" si="120"/>
        <v>2084</v>
      </c>
      <c r="X382" s="6"/>
      <c r="Y382" s="5"/>
      <c r="Z382" s="5"/>
      <c r="AA382" s="5"/>
      <c r="AB382" s="5"/>
    </row>
    <row r="383" spans="1:28" ht="13.15" customHeight="1">
      <c r="A383" s="13">
        <v>369</v>
      </c>
      <c r="B383" s="4">
        <f t="shared" si="110"/>
        <v>45412</v>
      </c>
      <c r="C383" s="10">
        <f t="shared" si="111"/>
        <v>842</v>
      </c>
      <c r="D383" s="9">
        <f t="shared" ref="D383:D446" si="124">D382+2</f>
        <v>1964</v>
      </c>
      <c r="E383" s="8">
        <f t="shared" si="103"/>
        <v>219</v>
      </c>
      <c r="F383" s="8">
        <f t="shared" si="104"/>
        <v>236</v>
      </c>
      <c r="G383" s="8">
        <f t="shared" si="105"/>
        <v>143</v>
      </c>
      <c r="H383" s="5">
        <f t="shared" si="106"/>
        <v>2587</v>
      </c>
      <c r="I383" s="5">
        <f t="shared" si="107"/>
        <v>2570</v>
      </c>
      <c r="J383" s="5">
        <f t="shared" si="108"/>
        <v>2663</v>
      </c>
      <c r="K383" s="5">
        <f t="shared" si="121"/>
        <v>3000</v>
      </c>
      <c r="L383" s="5">
        <f t="shared" si="122"/>
        <v>3000</v>
      </c>
      <c r="M383" s="5">
        <f t="shared" si="123"/>
        <v>3000</v>
      </c>
      <c r="N383" s="5">
        <f t="shared" si="115"/>
        <v>-413</v>
      </c>
      <c r="O383" s="5">
        <f t="shared" si="116"/>
        <v>-430</v>
      </c>
      <c r="P383" s="5">
        <f t="shared" si="117"/>
        <v>-337</v>
      </c>
      <c r="Q383" s="8">
        <v>5</v>
      </c>
      <c r="R383" s="8">
        <v>2</v>
      </c>
      <c r="S383" s="8">
        <v>1</v>
      </c>
      <c r="T383" s="6">
        <f t="shared" si="109"/>
        <v>756</v>
      </c>
      <c r="U383" s="7">
        <f t="shared" si="118"/>
        <v>2067</v>
      </c>
      <c r="V383" s="7">
        <f t="shared" si="119"/>
        <v>2050</v>
      </c>
      <c r="W383" s="7">
        <f t="shared" si="120"/>
        <v>2083</v>
      </c>
      <c r="X383" s="6"/>
      <c r="Y383" s="5"/>
      <c r="Z383" s="5"/>
      <c r="AA383" s="5"/>
      <c r="AB383" s="5"/>
    </row>
    <row r="384" spans="1:28" ht="13.15" customHeight="1">
      <c r="A384" s="13">
        <v>370</v>
      </c>
      <c r="B384" s="4">
        <f t="shared" si="110"/>
        <v>45413</v>
      </c>
      <c r="C384" s="10">
        <f t="shared" si="111"/>
        <v>842</v>
      </c>
      <c r="D384" s="9">
        <f t="shared" si="124"/>
        <v>1966</v>
      </c>
      <c r="E384" s="8">
        <f t="shared" si="103"/>
        <v>226</v>
      </c>
      <c r="F384" s="8">
        <f t="shared" si="104"/>
        <v>242</v>
      </c>
      <c r="G384" s="8">
        <f t="shared" si="105"/>
        <v>145</v>
      </c>
      <c r="H384" s="5">
        <f t="shared" si="106"/>
        <v>2582</v>
      </c>
      <c r="I384" s="5">
        <f t="shared" si="107"/>
        <v>2566</v>
      </c>
      <c r="J384" s="5">
        <f t="shared" si="108"/>
        <v>2663</v>
      </c>
      <c r="K384" s="5">
        <f t="shared" si="121"/>
        <v>3000</v>
      </c>
      <c r="L384" s="5">
        <f t="shared" si="122"/>
        <v>3000</v>
      </c>
      <c r="M384" s="5">
        <f t="shared" si="123"/>
        <v>3000</v>
      </c>
      <c r="N384" s="5">
        <f t="shared" si="115"/>
        <v>-418</v>
      </c>
      <c r="O384" s="5">
        <f t="shared" si="116"/>
        <v>-434</v>
      </c>
      <c r="P384" s="5">
        <f t="shared" si="117"/>
        <v>-337</v>
      </c>
      <c r="Q384" s="8">
        <v>5</v>
      </c>
      <c r="R384" s="8">
        <v>4</v>
      </c>
      <c r="S384" s="8">
        <v>0</v>
      </c>
      <c r="T384" s="6">
        <f t="shared" si="109"/>
        <v>762</v>
      </c>
      <c r="U384" s="7">
        <f t="shared" si="118"/>
        <v>2062</v>
      </c>
      <c r="V384" s="7">
        <f t="shared" si="119"/>
        <v>2046</v>
      </c>
      <c r="W384" s="7">
        <f t="shared" si="120"/>
        <v>2083</v>
      </c>
      <c r="X384" s="6"/>
      <c r="Y384" s="5"/>
      <c r="Z384" s="5"/>
      <c r="AA384" s="5"/>
      <c r="AB384" s="5"/>
    </row>
    <row r="385" spans="1:28" ht="13.15" customHeight="1">
      <c r="A385" s="13">
        <v>371</v>
      </c>
      <c r="B385" s="4">
        <f t="shared" si="110"/>
        <v>45414</v>
      </c>
      <c r="C385" s="10">
        <f t="shared" si="111"/>
        <v>842</v>
      </c>
      <c r="D385" s="9">
        <f t="shared" si="124"/>
        <v>1968</v>
      </c>
      <c r="E385" s="8">
        <f t="shared" si="103"/>
        <v>232</v>
      </c>
      <c r="F385" s="8">
        <f t="shared" si="104"/>
        <v>251</v>
      </c>
      <c r="G385" s="8">
        <f t="shared" si="105"/>
        <v>148</v>
      </c>
      <c r="H385" s="5">
        <f t="shared" si="106"/>
        <v>2578</v>
      </c>
      <c r="I385" s="5">
        <f t="shared" si="107"/>
        <v>2559</v>
      </c>
      <c r="J385" s="5">
        <f t="shared" si="108"/>
        <v>2662</v>
      </c>
      <c r="K385" s="5">
        <f t="shared" si="121"/>
        <v>3000</v>
      </c>
      <c r="L385" s="5">
        <f t="shared" si="122"/>
        <v>3000</v>
      </c>
      <c r="M385" s="5">
        <f t="shared" si="123"/>
        <v>3000</v>
      </c>
      <c r="N385" s="5">
        <f t="shared" si="115"/>
        <v>-422</v>
      </c>
      <c r="O385" s="5">
        <f t="shared" si="116"/>
        <v>-441</v>
      </c>
      <c r="P385" s="5">
        <f t="shared" si="117"/>
        <v>-338</v>
      </c>
      <c r="Q385" s="8">
        <v>4</v>
      </c>
      <c r="R385" s="8">
        <v>7</v>
      </c>
      <c r="S385" s="8">
        <v>1</v>
      </c>
      <c r="T385" s="6">
        <f t="shared" si="109"/>
        <v>771</v>
      </c>
      <c r="U385" s="7">
        <f t="shared" si="118"/>
        <v>2058</v>
      </c>
      <c r="V385" s="7">
        <f t="shared" si="119"/>
        <v>2039</v>
      </c>
      <c r="W385" s="7">
        <f t="shared" si="120"/>
        <v>2082</v>
      </c>
      <c r="X385" s="6"/>
      <c r="Y385" s="5"/>
      <c r="Z385" s="5"/>
      <c r="AA385" s="5"/>
      <c r="AB385" s="5"/>
    </row>
    <row r="386" spans="1:28" ht="13.15" customHeight="1">
      <c r="A386" s="13">
        <v>372</v>
      </c>
      <c r="B386" s="4">
        <f t="shared" si="110"/>
        <v>45415</v>
      </c>
      <c r="C386" s="10">
        <f t="shared" si="111"/>
        <v>842</v>
      </c>
      <c r="D386" s="9">
        <f t="shared" si="124"/>
        <v>1970</v>
      </c>
      <c r="E386" s="8">
        <f t="shared" si="103"/>
        <v>237</v>
      </c>
      <c r="F386" s="8">
        <f t="shared" si="104"/>
        <v>258</v>
      </c>
      <c r="G386" s="8">
        <f t="shared" si="105"/>
        <v>150</v>
      </c>
      <c r="H386" s="5">
        <f t="shared" si="106"/>
        <v>2575</v>
      </c>
      <c r="I386" s="5">
        <f t="shared" si="107"/>
        <v>2554</v>
      </c>
      <c r="J386" s="5">
        <f t="shared" si="108"/>
        <v>2662</v>
      </c>
      <c r="K386" s="5">
        <f t="shared" si="121"/>
        <v>3000</v>
      </c>
      <c r="L386" s="5">
        <f t="shared" si="122"/>
        <v>3000</v>
      </c>
      <c r="M386" s="5">
        <f t="shared" si="123"/>
        <v>3000</v>
      </c>
      <c r="N386" s="5">
        <f t="shared" si="115"/>
        <v>-425</v>
      </c>
      <c r="O386" s="5">
        <f t="shared" si="116"/>
        <v>-446</v>
      </c>
      <c r="P386" s="5">
        <f t="shared" si="117"/>
        <v>-338</v>
      </c>
      <c r="Q386" s="8">
        <v>3</v>
      </c>
      <c r="R386" s="8">
        <v>5</v>
      </c>
      <c r="S386" s="8">
        <v>0</v>
      </c>
      <c r="T386" s="6">
        <f t="shared" si="109"/>
        <v>778</v>
      </c>
      <c r="U386" s="7">
        <f t="shared" si="118"/>
        <v>2055</v>
      </c>
      <c r="V386" s="7">
        <f t="shared" si="119"/>
        <v>2034</v>
      </c>
      <c r="W386" s="7">
        <f t="shared" si="120"/>
        <v>2082</v>
      </c>
      <c r="X386" s="6"/>
      <c r="Y386" s="5"/>
      <c r="Z386" s="5"/>
      <c r="AA386" s="5"/>
      <c r="AB386" s="5"/>
    </row>
    <row r="387" spans="1:28" ht="13.15" customHeight="1">
      <c r="A387" s="13">
        <v>373</v>
      </c>
      <c r="B387" s="4">
        <f t="shared" si="110"/>
        <v>45416</v>
      </c>
      <c r="C387" s="10">
        <f t="shared" si="111"/>
        <v>842</v>
      </c>
      <c r="D387" s="9">
        <f t="shared" si="124"/>
        <v>1972</v>
      </c>
      <c r="E387" s="8">
        <f t="shared" si="103"/>
        <v>241</v>
      </c>
      <c r="F387" s="8">
        <f t="shared" si="104"/>
        <v>265</v>
      </c>
      <c r="G387" s="8">
        <f t="shared" si="105"/>
        <v>153</v>
      </c>
      <c r="H387" s="5">
        <f t="shared" si="106"/>
        <v>2573</v>
      </c>
      <c r="I387" s="5">
        <f t="shared" si="107"/>
        <v>2549</v>
      </c>
      <c r="J387" s="5">
        <f t="shared" si="108"/>
        <v>2661</v>
      </c>
      <c r="K387" s="5">
        <f t="shared" si="121"/>
        <v>3000</v>
      </c>
      <c r="L387" s="5">
        <f t="shared" si="122"/>
        <v>3000</v>
      </c>
      <c r="M387" s="5">
        <f t="shared" si="123"/>
        <v>3000</v>
      </c>
      <c r="N387" s="5">
        <f t="shared" si="115"/>
        <v>-427</v>
      </c>
      <c r="O387" s="5">
        <f t="shared" si="116"/>
        <v>-451</v>
      </c>
      <c r="P387" s="5">
        <f t="shared" si="117"/>
        <v>-339</v>
      </c>
      <c r="Q387" s="8">
        <v>2</v>
      </c>
      <c r="R387" s="8">
        <v>5</v>
      </c>
      <c r="S387" s="8">
        <v>1</v>
      </c>
      <c r="T387" s="6">
        <f t="shared" si="109"/>
        <v>785</v>
      </c>
      <c r="U387" s="7">
        <f t="shared" si="118"/>
        <v>2053</v>
      </c>
      <c r="V387" s="7">
        <f t="shared" si="119"/>
        <v>2029</v>
      </c>
      <c r="W387" s="7">
        <f t="shared" si="120"/>
        <v>2081</v>
      </c>
      <c r="X387" s="6"/>
      <c r="Y387" s="5"/>
      <c r="Z387" s="5"/>
      <c r="AA387" s="5"/>
      <c r="AB387" s="5"/>
    </row>
    <row r="388" spans="1:28" ht="13.15" customHeight="1">
      <c r="A388" s="13">
        <v>374</v>
      </c>
      <c r="B388" s="4">
        <f t="shared" si="110"/>
        <v>45417</v>
      </c>
      <c r="C388" s="10">
        <f t="shared" si="111"/>
        <v>842</v>
      </c>
      <c r="D388" s="9">
        <f t="shared" si="124"/>
        <v>1974</v>
      </c>
      <c r="E388" s="8">
        <f t="shared" si="103"/>
        <v>247</v>
      </c>
      <c r="F388" s="8">
        <f t="shared" si="104"/>
        <v>271</v>
      </c>
      <c r="G388" s="8">
        <f t="shared" si="105"/>
        <v>155</v>
      </c>
      <c r="H388" s="5">
        <f t="shared" si="106"/>
        <v>2569</v>
      </c>
      <c r="I388" s="5">
        <f t="shared" si="107"/>
        <v>2545</v>
      </c>
      <c r="J388" s="5">
        <f t="shared" si="108"/>
        <v>2661</v>
      </c>
      <c r="K388" s="5">
        <f t="shared" si="121"/>
        <v>3000</v>
      </c>
      <c r="L388" s="5">
        <f t="shared" si="122"/>
        <v>3000</v>
      </c>
      <c r="M388" s="5">
        <f t="shared" si="123"/>
        <v>3000</v>
      </c>
      <c r="N388" s="5">
        <f t="shared" si="115"/>
        <v>-431</v>
      </c>
      <c r="O388" s="5">
        <f t="shared" si="116"/>
        <v>-455</v>
      </c>
      <c r="P388" s="5">
        <f t="shared" si="117"/>
        <v>-339</v>
      </c>
      <c r="Q388" s="8">
        <v>4</v>
      </c>
      <c r="R388" s="8">
        <v>4</v>
      </c>
      <c r="S388" s="8">
        <v>0</v>
      </c>
      <c r="T388" s="6">
        <f t="shared" si="109"/>
        <v>791</v>
      </c>
      <c r="U388" s="7">
        <f t="shared" si="118"/>
        <v>2049</v>
      </c>
      <c r="V388" s="7">
        <f t="shared" si="119"/>
        <v>2025</v>
      </c>
      <c r="W388" s="7">
        <f t="shared" si="120"/>
        <v>2081</v>
      </c>
      <c r="X388" s="6"/>
      <c r="Y388" s="5"/>
      <c r="Z388" s="5"/>
      <c r="AA388" s="5"/>
      <c r="AB388" s="5"/>
    </row>
    <row r="389" spans="1:28" ht="13.15" customHeight="1">
      <c r="A389" s="13">
        <v>375</v>
      </c>
      <c r="B389" s="4">
        <f t="shared" si="110"/>
        <v>45418</v>
      </c>
      <c r="C389" s="10">
        <f t="shared" si="111"/>
        <v>842</v>
      </c>
      <c r="D389" s="9">
        <f t="shared" si="124"/>
        <v>1976</v>
      </c>
      <c r="E389" s="8">
        <f t="shared" si="103"/>
        <v>252</v>
      </c>
      <c r="F389" s="8">
        <f t="shared" si="104"/>
        <v>276</v>
      </c>
      <c r="G389" s="8">
        <f t="shared" si="105"/>
        <v>158</v>
      </c>
      <c r="H389" s="5">
        <f t="shared" si="106"/>
        <v>2566</v>
      </c>
      <c r="I389" s="5">
        <f t="shared" si="107"/>
        <v>2542</v>
      </c>
      <c r="J389" s="5">
        <f t="shared" si="108"/>
        <v>2660</v>
      </c>
      <c r="K389" s="5">
        <f t="shared" si="121"/>
        <v>3000</v>
      </c>
      <c r="L389" s="5">
        <f t="shared" si="122"/>
        <v>3000</v>
      </c>
      <c r="M389" s="5">
        <f t="shared" si="123"/>
        <v>3000</v>
      </c>
      <c r="N389" s="5">
        <f t="shared" si="115"/>
        <v>-434</v>
      </c>
      <c r="O389" s="5">
        <f t="shared" si="116"/>
        <v>-458</v>
      </c>
      <c r="P389" s="5">
        <f t="shared" si="117"/>
        <v>-340</v>
      </c>
      <c r="Q389" s="8">
        <v>3</v>
      </c>
      <c r="R389" s="8">
        <v>3</v>
      </c>
      <c r="S389" s="8">
        <v>1</v>
      </c>
      <c r="T389" s="6">
        <f t="shared" si="109"/>
        <v>796</v>
      </c>
      <c r="U389" s="7">
        <f t="shared" si="118"/>
        <v>2046</v>
      </c>
      <c r="V389" s="7">
        <f t="shared" si="119"/>
        <v>2022</v>
      </c>
      <c r="W389" s="7">
        <f t="shared" si="120"/>
        <v>2080</v>
      </c>
      <c r="X389" s="6"/>
      <c r="Y389" s="5"/>
      <c r="Z389" s="5"/>
      <c r="AA389" s="5"/>
      <c r="AB389" s="5"/>
    </row>
    <row r="390" spans="1:28" ht="13.15" customHeight="1">
      <c r="A390" s="13">
        <v>376</v>
      </c>
      <c r="B390" s="4">
        <f t="shared" si="110"/>
        <v>45419</v>
      </c>
      <c r="C390" s="10">
        <f t="shared" si="111"/>
        <v>842</v>
      </c>
      <c r="D390" s="9">
        <f t="shared" si="124"/>
        <v>1978</v>
      </c>
      <c r="E390" s="8">
        <f t="shared" si="103"/>
        <v>256</v>
      </c>
      <c r="F390" s="8">
        <f t="shared" si="104"/>
        <v>280</v>
      </c>
      <c r="G390" s="8">
        <f t="shared" si="105"/>
        <v>160</v>
      </c>
      <c r="H390" s="5">
        <f t="shared" si="106"/>
        <v>2564</v>
      </c>
      <c r="I390" s="5">
        <f t="shared" si="107"/>
        <v>2540</v>
      </c>
      <c r="J390" s="5">
        <f t="shared" si="108"/>
        <v>2660</v>
      </c>
      <c r="K390" s="5">
        <f t="shared" si="121"/>
        <v>3000</v>
      </c>
      <c r="L390" s="5">
        <f t="shared" si="122"/>
        <v>3000</v>
      </c>
      <c r="M390" s="5">
        <f t="shared" si="123"/>
        <v>3000</v>
      </c>
      <c r="N390" s="5">
        <f t="shared" si="115"/>
        <v>-436</v>
      </c>
      <c r="O390" s="5">
        <f t="shared" si="116"/>
        <v>-460</v>
      </c>
      <c r="P390" s="5">
        <f t="shared" si="117"/>
        <v>-340</v>
      </c>
      <c r="Q390" s="8">
        <v>2</v>
      </c>
      <c r="R390" s="8">
        <v>2</v>
      </c>
      <c r="S390" s="8">
        <v>0</v>
      </c>
      <c r="T390" s="6">
        <f t="shared" si="109"/>
        <v>800</v>
      </c>
      <c r="U390" s="7">
        <f t="shared" si="118"/>
        <v>2044</v>
      </c>
      <c r="V390" s="7">
        <f t="shared" si="119"/>
        <v>2020</v>
      </c>
      <c r="W390" s="7">
        <f t="shared" si="120"/>
        <v>2080</v>
      </c>
      <c r="X390" s="6"/>
      <c r="Y390" s="5"/>
      <c r="Z390" s="5"/>
      <c r="AA390" s="5"/>
      <c r="AB390" s="5"/>
    </row>
    <row r="391" spans="1:28" ht="13.15" customHeight="1">
      <c r="A391" s="13">
        <v>377</v>
      </c>
      <c r="B391" s="4">
        <f t="shared" si="110"/>
        <v>45420</v>
      </c>
      <c r="C391" s="10">
        <f t="shared" si="111"/>
        <v>842</v>
      </c>
      <c r="D391" s="9">
        <f t="shared" si="124"/>
        <v>1980</v>
      </c>
      <c r="E391" s="8">
        <f t="shared" si="103"/>
        <v>258</v>
      </c>
      <c r="F391" s="8">
        <f t="shared" si="104"/>
        <v>282</v>
      </c>
      <c r="G391" s="8">
        <f t="shared" si="105"/>
        <v>162</v>
      </c>
      <c r="H391" s="5">
        <f t="shared" si="106"/>
        <v>2564</v>
      </c>
      <c r="I391" s="5">
        <f t="shared" si="107"/>
        <v>2540</v>
      </c>
      <c r="J391" s="5">
        <f t="shared" si="108"/>
        <v>2660</v>
      </c>
      <c r="K391" s="5">
        <f t="shared" si="121"/>
        <v>3000</v>
      </c>
      <c r="L391" s="5">
        <f t="shared" si="122"/>
        <v>3000</v>
      </c>
      <c r="M391" s="5">
        <f t="shared" si="123"/>
        <v>3000</v>
      </c>
      <c r="N391" s="5">
        <f t="shared" si="115"/>
        <v>-436</v>
      </c>
      <c r="O391" s="5">
        <f t="shared" si="116"/>
        <v>-460</v>
      </c>
      <c r="P391" s="5">
        <f t="shared" si="117"/>
        <v>-340</v>
      </c>
      <c r="Q391" s="8">
        <v>0</v>
      </c>
      <c r="R391" s="8">
        <v>0</v>
      </c>
      <c r="S391" s="8">
        <v>0</v>
      </c>
      <c r="T391" s="6">
        <f t="shared" si="109"/>
        <v>802</v>
      </c>
      <c r="U391" s="7">
        <f t="shared" si="118"/>
        <v>2044</v>
      </c>
      <c r="V391" s="7">
        <f t="shared" si="119"/>
        <v>2020</v>
      </c>
      <c r="W391" s="7">
        <f t="shared" si="120"/>
        <v>2080</v>
      </c>
      <c r="X391" s="6"/>
      <c r="Y391" s="5"/>
      <c r="Z391" s="5"/>
      <c r="AA391" s="5"/>
      <c r="AB391" s="5"/>
    </row>
    <row r="392" spans="1:28" ht="13.15" customHeight="1">
      <c r="A392" s="13">
        <v>378</v>
      </c>
      <c r="B392" s="4">
        <f t="shared" si="110"/>
        <v>45421</v>
      </c>
      <c r="C392" s="10">
        <f t="shared" si="111"/>
        <v>842</v>
      </c>
      <c r="D392" s="9">
        <f t="shared" si="124"/>
        <v>1982</v>
      </c>
      <c r="E392" s="8">
        <f t="shared" si="103"/>
        <v>260</v>
      </c>
      <c r="F392" s="8">
        <f t="shared" si="104"/>
        <v>284</v>
      </c>
      <c r="G392" s="8">
        <f t="shared" si="105"/>
        <v>164</v>
      </c>
      <c r="H392" s="5">
        <f t="shared" si="106"/>
        <v>2564</v>
      </c>
      <c r="I392" s="5">
        <f t="shared" si="107"/>
        <v>2540</v>
      </c>
      <c r="J392" s="5">
        <f t="shared" si="108"/>
        <v>2660</v>
      </c>
      <c r="K392" s="5">
        <f t="shared" si="121"/>
        <v>3000</v>
      </c>
      <c r="L392" s="5">
        <f t="shared" si="122"/>
        <v>3000</v>
      </c>
      <c r="M392" s="5">
        <f t="shared" si="123"/>
        <v>3000</v>
      </c>
      <c r="N392" s="5">
        <f t="shared" si="115"/>
        <v>-436</v>
      </c>
      <c r="O392" s="5">
        <f t="shared" si="116"/>
        <v>-460</v>
      </c>
      <c r="P392" s="5">
        <f t="shared" si="117"/>
        <v>-340</v>
      </c>
      <c r="Q392" s="8">
        <v>0</v>
      </c>
      <c r="R392" s="8">
        <v>0</v>
      </c>
      <c r="S392" s="8">
        <v>0</v>
      </c>
      <c r="T392" s="6">
        <f t="shared" si="109"/>
        <v>804</v>
      </c>
      <c r="U392" s="7">
        <f t="shared" si="118"/>
        <v>2044</v>
      </c>
      <c r="V392" s="7">
        <f t="shared" si="119"/>
        <v>2020</v>
      </c>
      <c r="W392" s="7">
        <f t="shared" si="120"/>
        <v>2080</v>
      </c>
      <c r="X392" s="6"/>
      <c r="Y392" s="5"/>
      <c r="Z392" s="5"/>
      <c r="AA392" s="5"/>
      <c r="AB392" s="5"/>
    </row>
    <row r="393" spans="1:28" ht="13.15" customHeight="1">
      <c r="A393" s="13">
        <v>379</v>
      </c>
      <c r="B393" s="4">
        <f t="shared" si="110"/>
        <v>45422</v>
      </c>
      <c r="C393" s="10">
        <f t="shared" si="111"/>
        <v>842</v>
      </c>
      <c r="D393" s="9">
        <f t="shared" si="124"/>
        <v>1984</v>
      </c>
      <c r="E393" s="8">
        <f t="shared" si="103"/>
        <v>262</v>
      </c>
      <c r="F393" s="8">
        <f t="shared" si="104"/>
        <v>286</v>
      </c>
      <c r="G393" s="8">
        <f t="shared" si="105"/>
        <v>166</v>
      </c>
      <c r="H393" s="5">
        <f t="shared" si="106"/>
        <v>2564</v>
      </c>
      <c r="I393" s="5">
        <f t="shared" si="107"/>
        <v>2540</v>
      </c>
      <c r="J393" s="5">
        <f t="shared" si="108"/>
        <v>2660</v>
      </c>
      <c r="K393" s="5">
        <f t="shared" si="121"/>
        <v>3000</v>
      </c>
      <c r="L393" s="5">
        <f t="shared" si="122"/>
        <v>3000</v>
      </c>
      <c r="M393" s="5">
        <f t="shared" si="123"/>
        <v>3000</v>
      </c>
      <c r="N393" s="5">
        <f t="shared" si="115"/>
        <v>-436</v>
      </c>
      <c r="O393" s="5">
        <f t="shared" si="116"/>
        <v>-460</v>
      </c>
      <c r="P393" s="5">
        <f t="shared" si="117"/>
        <v>-340</v>
      </c>
      <c r="Q393" s="8">
        <v>0</v>
      </c>
      <c r="R393" s="8">
        <v>0</v>
      </c>
      <c r="S393" s="8">
        <v>0</v>
      </c>
      <c r="T393" s="6">
        <f t="shared" si="109"/>
        <v>806</v>
      </c>
      <c r="U393" s="7">
        <f t="shared" si="118"/>
        <v>2044</v>
      </c>
      <c r="V393" s="7">
        <f t="shared" si="119"/>
        <v>2020</v>
      </c>
      <c r="W393" s="7">
        <f t="shared" si="120"/>
        <v>2080</v>
      </c>
      <c r="X393" s="6"/>
      <c r="Y393" s="5"/>
      <c r="Z393" s="5"/>
      <c r="AA393" s="5"/>
      <c r="AB393" s="5"/>
    </row>
    <row r="394" spans="1:28" ht="13.15" customHeight="1">
      <c r="A394" s="13">
        <v>380</v>
      </c>
      <c r="B394" s="4">
        <f t="shared" si="110"/>
        <v>45423</v>
      </c>
      <c r="C394" s="10">
        <f t="shared" si="111"/>
        <v>842</v>
      </c>
      <c r="D394" s="9">
        <f t="shared" si="124"/>
        <v>1986</v>
      </c>
      <c r="E394" s="8">
        <f t="shared" si="103"/>
        <v>264</v>
      </c>
      <c r="F394" s="8">
        <f t="shared" si="104"/>
        <v>288</v>
      </c>
      <c r="G394" s="8">
        <f t="shared" si="105"/>
        <v>168</v>
      </c>
      <c r="H394" s="5">
        <f t="shared" si="106"/>
        <v>2564</v>
      </c>
      <c r="I394" s="5">
        <f t="shared" si="107"/>
        <v>2540</v>
      </c>
      <c r="J394" s="5">
        <f t="shared" si="108"/>
        <v>2660</v>
      </c>
      <c r="K394" s="5">
        <f t="shared" si="121"/>
        <v>3000</v>
      </c>
      <c r="L394" s="5">
        <f t="shared" si="122"/>
        <v>3000</v>
      </c>
      <c r="M394" s="5">
        <f t="shared" si="123"/>
        <v>3000</v>
      </c>
      <c r="N394" s="5">
        <f t="shared" si="115"/>
        <v>-436</v>
      </c>
      <c r="O394" s="5">
        <f t="shared" si="116"/>
        <v>-460</v>
      </c>
      <c r="P394" s="5">
        <f t="shared" si="117"/>
        <v>-340</v>
      </c>
      <c r="Q394" s="8">
        <v>0</v>
      </c>
      <c r="R394" s="8">
        <v>0</v>
      </c>
      <c r="S394" s="8">
        <v>0</v>
      </c>
      <c r="T394" s="6">
        <f t="shared" si="109"/>
        <v>808</v>
      </c>
      <c r="U394" s="7">
        <f t="shared" si="118"/>
        <v>2044</v>
      </c>
      <c r="V394" s="7">
        <f t="shared" si="119"/>
        <v>2020</v>
      </c>
      <c r="W394" s="7">
        <f t="shared" si="120"/>
        <v>2080</v>
      </c>
      <c r="X394" s="6"/>
      <c r="Y394" s="5"/>
      <c r="Z394" s="5"/>
      <c r="AA394" s="5"/>
      <c r="AB394" s="5"/>
    </row>
    <row r="395" spans="1:28" ht="13.15" customHeight="1">
      <c r="A395" s="13">
        <v>381</v>
      </c>
      <c r="B395" s="4">
        <f t="shared" si="110"/>
        <v>45424</v>
      </c>
      <c r="C395" s="10">
        <f t="shared" si="111"/>
        <v>842</v>
      </c>
      <c r="D395" s="9">
        <f t="shared" si="124"/>
        <v>1988</v>
      </c>
      <c r="E395" s="8">
        <f t="shared" si="103"/>
        <v>266</v>
      </c>
      <c r="F395" s="8">
        <f t="shared" si="104"/>
        <v>290</v>
      </c>
      <c r="G395" s="8">
        <f t="shared" si="105"/>
        <v>170</v>
      </c>
      <c r="H395" s="5">
        <f t="shared" si="106"/>
        <v>2564</v>
      </c>
      <c r="I395" s="5">
        <f t="shared" si="107"/>
        <v>2540</v>
      </c>
      <c r="J395" s="5">
        <f t="shared" si="108"/>
        <v>2660</v>
      </c>
      <c r="K395" s="5">
        <f t="shared" si="121"/>
        <v>3000</v>
      </c>
      <c r="L395" s="5">
        <f t="shared" si="122"/>
        <v>3000</v>
      </c>
      <c r="M395" s="5">
        <f t="shared" si="123"/>
        <v>3000</v>
      </c>
      <c r="N395" s="5">
        <f t="shared" si="115"/>
        <v>-436</v>
      </c>
      <c r="O395" s="5">
        <f t="shared" si="116"/>
        <v>-460</v>
      </c>
      <c r="P395" s="5">
        <f t="shared" si="117"/>
        <v>-340</v>
      </c>
      <c r="Q395" s="8">
        <v>0</v>
      </c>
      <c r="R395" s="8">
        <v>0</v>
      </c>
      <c r="S395" s="8">
        <v>0</v>
      </c>
      <c r="T395" s="6">
        <f t="shared" si="109"/>
        <v>810</v>
      </c>
      <c r="U395" s="7">
        <f t="shared" si="118"/>
        <v>2044</v>
      </c>
      <c r="V395" s="7">
        <f t="shared" si="119"/>
        <v>2020</v>
      </c>
      <c r="W395" s="7">
        <f t="shared" si="120"/>
        <v>2080</v>
      </c>
      <c r="X395" s="6"/>
      <c r="Y395" s="5"/>
      <c r="Z395" s="5"/>
      <c r="AA395" s="5"/>
      <c r="AB395" s="5"/>
    </row>
    <row r="396" spans="1:28" ht="13.15" customHeight="1">
      <c r="A396" s="13">
        <v>382</v>
      </c>
      <c r="B396" s="4">
        <f t="shared" si="110"/>
        <v>45425</v>
      </c>
      <c r="C396" s="10">
        <f t="shared" si="111"/>
        <v>842</v>
      </c>
      <c r="D396" s="9">
        <f t="shared" si="124"/>
        <v>1990</v>
      </c>
      <c r="E396" s="8">
        <f t="shared" si="103"/>
        <v>268</v>
      </c>
      <c r="F396" s="8">
        <f t="shared" si="104"/>
        <v>292</v>
      </c>
      <c r="G396" s="8">
        <f t="shared" si="105"/>
        <v>172</v>
      </c>
      <c r="H396" s="5">
        <f t="shared" si="106"/>
        <v>2564</v>
      </c>
      <c r="I396" s="5">
        <f t="shared" si="107"/>
        <v>2540</v>
      </c>
      <c r="J396" s="5">
        <f t="shared" si="108"/>
        <v>2660</v>
      </c>
      <c r="K396" s="5">
        <f t="shared" si="121"/>
        <v>3000</v>
      </c>
      <c r="L396" s="5">
        <f t="shared" si="122"/>
        <v>3000</v>
      </c>
      <c r="M396" s="5">
        <f t="shared" si="123"/>
        <v>3000</v>
      </c>
      <c r="N396" s="5">
        <f t="shared" si="115"/>
        <v>-436</v>
      </c>
      <c r="O396" s="5">
        <f t="shared" si="116"/>
        <v>-460</v>
      </c>
      <c r="P396" s="5">
        <f t="shared" si="117"/>
        <v>-340</v>
      </c>
      <c r="Q396" s="8">
        <v>0</v>
      </c>
      <c r="R396" s="8">
        <v>0</v>
      </c>
      <c r="S396" s="8">
        <v>0</v>
      </c>
      <c r="T396" s="6">
        <f t="shared" si="109"/>
        <v>812</v>
      </c>
      <c r="U396" s="7">
        <f t="shared" si="118"/>
        <v>2044</v>
      </c>
      <c r="V396" s="7">
        <f t="shared" si="119"/>
        <v>2020</v>
      </c>
      <c r="W396" s="7">
        <f t="shared" si="120"/>
        <v>2080</v>
      </c>
      <c r="X396" s="6"/>
      <c r="Y396" s="5"/>
      <c r="Z396" s="5"/>
      <c r="AA396" s="5"/>
      <c r="AB396" s="5"/>
    </row>
    <row r="397" spans="1:28" ht="13.15" customHeight="1">
      <c r="A397" s="13">
        <v>383</v>
      </c>
      <c r="B397" s="4">
        <f t="shared" si="110"/>
        <v>45426</v>
      </c>
      <c r="C397" s="10">
        <f t="shared" si="111"/>
        <v>842</v>
      </c>
      <c r="D397" s="9">
        <f t="shared" si="124"/>
        <v>1992</v>
      </c>
      <c r="E397" s="8">
        <f t="shared" si="103"/>
        <v>270</v>
      </c>
      <c r="F397" s="8">
        <f t="shared" si="104"/>
        <v>294</v>
      </c>
      <c r="G397" s="8">
        <f t="shared" si="105"/>
        <v>174</v>
      </c>
      <c r="H397" s="5">
        <f t="shared" si="106"/>
        <v>2564</v>
      </c>
      <c r="I397" s="5">
        <f t="shared" si="107"/>
        <v>2540</v>
      </c>
      <c r="J397" s="5">
        <f t="shared" si="108"/>
        <v>2660</v>
      </c>
      <c r="K397" s="5">
        <f t="shared" si="121"/>
        <v>3000</v>
      </c>
      <c r="L397" s="5">
        <f t="shared" si="122"/>
        <v>3000</v>
      </c>
      <c r="M397" s="5">
        <f t="shared" si="123"/>
        <v>3000</v>
      </c>
      <c r="N397" s="5">
        <f t="shared" si="115"/>
        <v>-436</v>
      </c>
      <c r="O397" s="5">
        <f t="shared" si="116"/>
        <v>-460</v>
      </c>
      <c r="P397" s="5">
        <f t="shared" si="117"/>
        <v>-340</v>
      </c>
      <c r="Q397" s="8">
        <v>0</v>
      </c>
      <c r="R397" s="8">
        <v>0</v>
      </c>
      <c r="S397" s="8">
        <v>0</v>
      </c>
      <c r="T397" s="6">
        <f t="shared" si="109"/>
        <v>814</v>
      </c>
      <c r="U397" s="7">
        <f t="shared" si="118"/>
        <v>2044</v>
      </c>
      <c r="V397" s="7">
        <f t="shared" si="119"/>
        <v>2020</v>
      </c>
      <c r="W397" s="7">
        <f t="shared" si="120"/>
        <v>2080</v>
      </c>
      <c r="X397" s="6"/>
      <c r="Y397" s="5"/>
      <c r="Z397" s="5"/>
      <c r="AA397" s="5"/>
      <c r="AB397" s="5"/>
    </row>
    <row r="398" spans="1:28" ht="13.15" customHeight="1">
      <c r="A398" s="13">
        <v>384</v>
      </c>
      <c r="B398" s="4">
        <f t="shared" si="110"/>
        <v>45427</v>
      </c>
      <c r="C398" s="10">
        <f t="shared" si="111"/>
        <v>842</v>
      </c>
      <c r="D398" s="9">
        <f t="shared" si="124"/>
        <v>1994</v>
      </c>
      <c r="E398" s="8">
        <f t="shared" ref="E398:E461" si="125">C398+D398-H398</f>
        <v>272</v>
      </c>
      <c r="F398" s="8">
        <f t="shared" ref="F398:F461" si="126">C398+D398-I398</f>
        <v>296</v>
      </c>
      <c r="G398" s="8">
        <f t="shared" ref="G398:G461" si="127">D398+C398-J398</f>
        <v>176</v>
      </c>
      <c r="H398" s="5">
        <f t="shared" ref="H398:H461" si="128">K398+N398</f>
        <v>2564</v>
      </c>
      <c r="I398" s="5">
        <f t="shared" ref="I398:I461" si="129">L398+O398</f>
        <v>2540</v>
      </c>
      <c r="J398" s="5">
        <f t="shared" ref="J398:J461" si="130">M398+P398</f>
        <v>2660</v>
      </c>
      <c r="K398" s="5">
        <f t="shared" si="121"/>
        <v>3000</v>
      </c>
      <c r="L398" s="5">
        <f t="shared" si="122"/>
        <v>3000</v>
      </c>
      <c r="M398" s="5">
        <f t="shared" si="123"/>
        <v>3000</v>
      </c>
      <c r="N398" s="5">
        <f t="shared" si="115"/>
        <v>-436</v>
      </c>
      <c r="O398" s="5">
        <f t="shared" si="116"/>
        <v>-460</v>
      </c>
      <c r="P398" s="5">
        <f t="shared" si="117"/>
        <v>-340</v>
      </c>
      <c r="Q398" s="8">
        <v>0</v>
      </c>
      <c r="R398" s="8">
        <v>0</v>
      </c>
      <c r="S398" s="8">
        <v>0</v>
      </c>
      <c r="T398" s="6">
        <f t="shared" ref="T398:T461" si="131">D398+C398-V398</f>
        <v>816</v>
      </c>
      <c r="U398" s="7">
        <f t="shared" si="118"/>
        <v>2044</v>
      </c>
      <c r="V398" s="7">
        <f t="shared" si="119"/>
        <v>2020</v>
      </c>
      <c r="W398" s="7">
        <f t="shared" si="120"/>
        <v>2080</v>
      </c>
      <c r="X398" s="6"/>
      <c r="Y398" s="5"/>
      <c r="Z398" s="5"/>
      <c r="AA398" s="5"/>
      <c r="AB398" s="5"/>
    </row>
    <row r="399" spans="1:28" ht="13.15" customHeight="1">
      <c r="A399" s="13">
        <v>385</v>
      </c>
      <c r="B399" s="4">
        <f t="shared" ref="B399:B462" si="132">B398+1</f>
        <v>45428</v>
      </c>
      <c r="C399" s="10">
        <f t="shared" ref="C399:C462" si="133">C398</f>
        <v>842</v>
      </c>
      <c r="D399" s="9">
        <f t="shared" si="124"/>
        <v>1996</v>
      </c>
      <c r="E399" s="8">
        <f t="shared" si="125"/>
        <v>274</v>
      </c>
      <c r="F399" s="8">
        <f t="shared" si="126"/>
        <v>298</v>
      </c>
      <c r="G399" s="8">
        <f t="shared" si="127"/>
        <v>178</v>
      </c>
      <c r="H399" s="5">
        <f t="shared" si="128"/>
        <v>2564</v>
      </c>
      <c r="I399" s="5">
        <f t="shared" si="129"/>
        <v>2540</v>
      </c>
      <c r="J399" s="5">
        <f t="shared" si="130"/>
        <v>2660</v>
      </c>
      <c r="K399" s="5">
        <f t="shared" si="121"/>
        <v>3000</v>
      </c>
      <c r="L399" s="5">
        <f t="shared" si="122"/>
        <v>3000</v>
      </c>
      <c r="M399" s="5">
        <f t="shared" si="123"/>
        <v>3000</v>
      </c>
      <c r="N399" s="5">
        <f t="shared" ref="N399:N462" si="134">N398-Q399</f>
        <v>-436</v>
      </c>
      <c r="O399" s="5">
        <f t="shared" ref="O399:O462" si="135">O398-R399</f>
        <v>-460</v>
      </c>
      <c r="P399" s="5">
        <f t="shared" ref="P399:P462" si="136">P398-S399</f>
        <v>-340</v>
      </c>
      <c r="Q399" s="8">
        <v>0</v>
      </c>
      <c r="R399" s="8">
        <v>0</v>
      </c>
      <c r="S399" s="8">
        <v>0</v>
      </c>
      <c r="T399" s="6">
        <f t="shared" si="131"/>
        <v>818</v>
      </c>
      <c r="U399" s="7">
        <f t="shared" si="118"/>
        <v>2044</v>
      </c>
      <c r="V399" s="7">
        <f t="shared" si="119"/>
        <v>2020</v>
      </c>
      <c r="W399" s="7">
        <f t="shared" si="120"/>
        <v>2080</v>
      </c>
      <c r="X399" s="6"/>
      <c r="Y399" s="5"/>
      <c r="Z399" s="5"/>
      <c r="AA399" s="5"/>
      <c r="AB399" s="5"/>
    </row>
    <row r="400" spans="1:28" ht="13.15" customHeight="1">
      <c r="A400" s="13">
        <v>386</v>
      </c>
      <c r="B400" s="4">
        <f t="shared" si="132"/>
        <v>45429</v>
      </c>
      <c r="C400" s="10">
        <f t="shared" si="133"/>
        <v>842</v>
      </c>
      <c r="D400" s="9">
        <f t="shared" si="124"/>
        <v>1998</v>
      </c>
      <c r="E400" s="8">
        <f t="shared" si="125"/>
        <v>276</v>
      </c>
      <c r="F400" s="8">
        <f t="shared" si="126"/>
        <v>300</v>
      </c>
      <c r="G400" s="8">
        <f t="shared" si="127"/>
        <v>180</v>
      </c>
      <c r="H400" s="5">
        <f t="shared" si="128"/>
        <v>2564</v>
      </c>
      <c r="I400" s="5">
        <f t="shared" si="129"/>
        <v>2540</v>
      </c>
      <c r="J400" s="5">
        <f t="shared" si="130"/>
        <v>2660</v>
      </c>
      <c r="K400" s="5">
        <f t="shared" si="121"/>
        <v>3000</v>
      </c>
      <c r="L400" s="5">
        <f t="shared" si="122"/>
        <v>3000</v>
      </c>
      <c r="M400" s="5">
        <f t="shared" si="123"/>
        <v>3000</v>
      </c>
      <c r="N400" s="5">
        <f t="shared" si="134"/>
        <v>-436</v>
      </c>
      <c r="O400" s="5">
        <f t="shared" si="135"/>
        <v>-460</v>
      </c>
      <c r="P400" s="5">
        <f t="shared" si="136"/>
        <v>-340</v>
      </c>
      <c r="Q400" s="8">
        <v>0</v>
      </c>
      <c r="R400" s="8">
        <v>0</v>
      </c>
      <c r="S400" s="8">
        <v>0</v>
      </c>
      <c r="T400" s="6">
        <f t="shared" si="131"/>
        <v>820</v>
      </c>
      <c r="U400" s="7">
        <f t="shared" si="118"/>
        <v>2044</v>
      </c>
      <c r="V400" s="7">
        <f t="shared" si="119"/>
        <v>2020</v>
      </c>
      <c r="W400" s="7">
        <f t="shared" si="120"/>
        <v>2080</v>
      </c>
      <c r="X400" s="6"/>
      <c r="Y400" s="5"/>
      <c r="Z400" s="5"/>
      <c r="AA400" s="5"/>
      <c r="AB400" s="5"/>
    </row>
    <row r="401" spans="1:28" ht="13.15" customHeight="1">
      <c r="A401" s="13">
        <v>387</v>
      </c>
      <c r="B401" s="4">
        <f t="shared" si="132"/>
        <v>45430</v>
      </c>
      <c r="C401" s="10">
        <f t="shared" si="133"/>
        <v>842</v>
      </c>
      <c r="D401" s="9">
        <f t="shared" si="124"/>
        <v>2000</v>
      </c>
      <c r="E401" s="8">
        <f t="shared" si="125"/>
        <v>278</v>
      </c>
      <c r="F401" s="8">
        <f t="shared" si="126"/>
        <v>302</v>
      </c>
      <c r="G401" s="8">
        <f t="shared" si="127"/>
        <v>182</v>
      </c>
      <c r="H401" s="5">
        <f t="shared" si="128"/>
        <v>2564</v>
      </c>
      <c r="I401" s="5">
        <f t="shared" si="129"/>
        <v>2540</v>
      </c>
      <c r="J401" s="5">
        <f t="shared" si="130"/>
        <v>2660</v>
      </c>
      <c r="K401" s="5">
        <f t="shared" si="121"/>
        <v>3000</v>
      </c>
      <c r="L401" s="5">
        <f t="shared" si="122"/>
        <v>3000</v>
      </c>
      <c r="M401" s="5">
        <f t="shared" si="123"/>
        <v>3000</v>
      </c>
      <c r="N401" s="5">
        <f t="shared" si="134"/>
        <v>-436</v>
      </c>
      <c r="O401" s="5">
        <f t="shared" si="135"/>
        <v>-460</v>
      </c>
      <c r="P401" s="5">
        <f t="shared" si="136"/>
        <v>-340</v>
      </c>
      <c r="Q401" s="8">
        <v>0</v>
      </c>
      <c r="R401" s="8">
        <v>0</v>
      </c>
      <c r="S401" s="8">
        <v>0</v>
      </c>
      <c r="T401" s="6">
        <f t="shared" si="131"/>
        <v>822</v>
      </c>
      <c r="U401" s="7">
        <f t="shared" si="118"/>
        <v>2044</v>
      </c>
      <c r="V401" s="7">
        <f t="shared" si="119"/>
        <v>2020</v>
      </c>
      <c r="W401" s="7">
        <f t="shared" si="120"/>
        <v>2080</v>
      </c>
      <c r="X401" s="6"/>
      <c r="Y401" s="5"/>
      <c r="Z401" s="5"/>
      <c r="AA401" s="5"/>
      <c r="AB401" s="5"/>
    </row>
    <row r="402" spans="1:28" ht="13.15" customHeight="1">
      <c r="A402" s="13">
        <v>388</v>
      </c>
      <c r="B402" s="4">
        <f t="shared" si="132"/>
        <v>45431</v>
      </c>
      <c r="C402" s="10">
        <f t="shared" si="133"/>
        <v>842</v>
      </c>
      <c r="D402" s="9">
        <f t="shared" si="124"/>
        <v>2002</v>
      </c>
      <c r="E402" s="8">
        <f t="shared" si="125"/>
        <v>280</v>
      </c>
      <c r="F402" s="8">
        <f t="shared" si="126"/>
        <v>304</v>
      </c>
      <c r="G402" s="8">
        <f t="shared" si="127"/>
        <v>184</v>
      </c>
      <c r="H402" s="5">
        <f t="shared" si="128"/>
        <v>2564</v>
      </c>
      <c r="I402" s="5">
        <f t="shared" si="129"/>
        <v>2540</v>
      </c>
      <c r="J402" s="5">
        <f t="shared" si="130"/>
        <v>2660</v>
      </c>
      <c r="K402" s="5">
        <f t="shared" si="121"/>
        <v>3000</v>
      </c>
      <c r="L402" s="5">
        <f t="shared" si="122"/>
        <v>3000</v>
      </c>
      <c r="M402" s="5">
        <f t="shared" si="123"/>
        <v>3000</v>
      </c>
      <c r="N402" s="5">
        <f t="shared" si="134"/>
        <v>-436</v>
      </c>
      <c r="O402" s="5">
        <f t="shared" si="135"/>
        <v>-460</v>
      </c>
      <c r="P402" s="5">
        <f t="shared" si="136"/>
        <v>-340</v>
      </c>
      <c r="Q402" s="8">
        <v>0</v>
      </c>
      <c r="R402" s="8">
        <v>0</v>
      </c>
      <c r="S402" s="8">
        <v>0</v>
      </c>
      <c r="T402" s="6">
        <f t="shared" si="131"/>
        <v>824</v>
      </c>
      <c r="U402" s="7">
        <f t="shared" si="118"/>
        <v>2044</v>
      </c>
      <c r="V402" s="7">
        <f t="shared" si="119"/>
        <v>2020</v>
      </c>
      <c r="W402" s="7">
        <f t="shared" si="120"/>
        <v>2080</v>
      </c>
      <c r="X402" s="6"/>
      <c r="Y402" s="5"/>
      <c r="Z402" s="5"/>
      <c r="AA402" s="5"/>
      <c r="AB402" s="5"/>
    </row>
    <row r="403" spans="1:28" ht="13.15" customHeight="1">
      <c r="A403" s="13">
        <v>389</v>
      </c>
      <c r="B403" s="4">
        <f t="shared" si="132"/>
        <v>45432</v>
      </c>
      <c r="C403" s="10">
        <f t="shared" si="133"/>
        <v>842</v>
      </c>
      <c r="D403" s="9">
        <f t="shared" si="124"/>
        <v>2004</v>
      </c>
      <c r="E403" s="8">
        <f t="shared" si="125"/>
        <v>282</v>
      </c>
      <c r="F403" s="8">
        <f t="shared" si="126"/>
        <v>306</v>
      </c>
      <c r="G403" s="8">
        <f t="shared" si="127"/>
        <v>186</v>
      </c>
      <c r="H403" s="5">
        <f t="shared" si="128"/>
        <v>2564</v>
      </c>
      <c r="I403" s="5">
        <f t="shared" si="129"/>
        <v>2540</v>
      </c>
      <c r="J403" s="5">
        <f t="shared" si="130"/>
        <v>2660</v>
      </c>
      <c r="K403" s="5">
        <f t="shared" si="121"/>
        <v>3000</v>
      </c>
      <c r="L403" s="5">
        <f t="shared" si="122"/>
        <v>3000</v>
      </c>
      <c r="M403" s="5">
        <f t="shared" si="123"/>
        <v>3000</v>
      </c>
      <c r="N403" s="5">
        <f t="shared" si="134"/>
        <v>-436</v>
      </c>
      <c r="O403" s="5">
        <f t="shared" si="135"/>
        <v>-460</v>
      </c>
      <c r="P403" s="5">
        <f t="shared" si="136"/>
        <v>-340</v>
      </c>
      <c r="Q403" s="8">
        <v>0</v>
      </c>
      <c r="R403" s="8">
        <v>0</v>
      </c>
      <c r="S403" s="8">
        <v>0</v>
      </c>
      <c r="T403" s="6">
        <f t="shared" si="131"/>
        <v>826</v>
      </c>
      <c r="U403" s="7">
        <f t="shared" si="118"/>
        <v>2044</v>
      </c>
      <c r="V403" s="7">
        <f t="shared" si="119"/>
        <v>2020</v>
      </c>
      <c r="W403" s="7">
        <f t="shared" si="120"/>
        <v>2080</v>
      </c>
      <c r="X403" s="6"/>
      <c r="Y403" s="5"/>
      <c r="Z403" s="5"/>
      <c r="AA403" s="5"/>
      <c r="AB403" s="5"/>
    </row>
    <row r="404" spans="1:28" ht="13.15" customHeight="1">
      <c r="A404" s="13">
        <v>390</v>
      </c>
      <c r="B404" s="4">
        <f t="shared" si="132"/>
        <v>45433</v>
      </c>
      <c r="C404" s="10">
        <f t="shared" si="133"/>
        <v>842</v>
      </c>
      <c r="D404" s="9">
        <f t="shared" si="124"/>
        <v>2006</v>
      </c>
      <c r="E404" s="8">
        <f t="shared" si="125"/>
        <v>284</v>
      </c>
      <c r="F404" s="8">
        <f t="shared" si="126"/>
        <v>308</v>
      </c>
      <c r="G404" s="8">
        <f t="shared" si="127"/>
        <v>188</v>
      </c>
      <c r="H404" s="5">
        <f t="shared" si="128"/>
        <v>2564</v>
      </c>
      <c r="I404" s="5">
        <f t="shared" si="129"/>
        <v>2540</v>
      </c>
      <c r="J404" s="5">
        <f t="shared" si="130"/>
        <v>2660</v>
      </c>
      <c r="K404" s="5">
        <f t="shared" si="121"/>
        <v>3000</v>
      </c>
      <c r="L404" s="5">
        <f t="shared" si="122"/>
        <v>3000</v>
      </c>
      <c r="M404" s="5">
        <f t="shared" si="123"/>
        <v>3000</v>
      </c>
      <c r="N404" s="5">
        <f t="shared" si="134"/>
        <v>-436</v>
      </c>
      <c r="O404" s="5">
        <f t="shared" si="135"/>
        <v>-460</v>
      </c>
      <c r="P404" s="5">
        <f t="shared" si="136"/>
        <v>-340</v>
      </c>
      <c r="Q404" s="8">
        <v>0</v>
      </c>
      <c r="R404" s="8">
        <v>0</v>
      </c>
      <c r="S404" s="8">
        <v>0</v>
      </c>
      <c r="T404" s="6">
        <f t="shared" si="131"/>
        <v>828</v>
      </c>
      <c r="U404" s="7">
        <f t="shared" si="118"/>
        <v>2044</v>
      </c>
      <c r="V404" s="7">
        <f t="shared" si="119"/>
        <v>2020</v>
      </c>
      <c r="W404" s="7">
        <f t="shared" si="120"/>
        <v>2080</v>
      </c>
      <c r="X404" s="6"/>
      <c r="Y404" s="5"/>
      <c r="Z404" s="5"/>
      <c r="AA404" s="5"/>
      <c r="AB404" s="5"/>
    </row>
    <row r="405" spans="1:28" ht="13.15" customHeight="1">
      <c r="A405" s="13">
        <v>391</v>
      </c>
      <c r="B405" s="4">
        <f t="shared" si="132"/>
        <v>45434</v>
      </c>
      <c r="C405" s="10">
        <f t="shared" si="133"/>
        <v>842</v>
      </c>
      <c r="D405" s="9">
        <f t="shared" si="124"/>
        <v>2008</v>
      </c>
      <c r="E405" s="8">
        <f t="shared" si="125"/>
        <v>286</v>
      </c>
      <c r="F405" s="8">
        <f t="shared" si="126"/>
        <v>310</v>
      </c>
      <c r="G405" s="8">
        <f t="shared" si="127"/>
        <v>190</v>
      </c>
      <c r="H405" s="5">
        <f t="shared" si="128"/>
        <v>2564</v>
      </c>
      <c r="I405" s="5">
        <f t="shared" si="129"/>
        <v>2540</v>
      </c>
      <c r="J405" s="5">
        <f t="shared" si="130"/>
        <v>2660</v>
      </c>
      <c r="K405" s="5">
        <f t="shared" si="121"/>
        <v>3000</v>
      </c>
      <c r="L405" s="5">
        <f t="shared" si="122"/>
        <v>3000</v>
      </c>
      <c r="M405" s="5">
        <f t="shared" si="123"/>
        <v>3000</v>
      </c>
      <c r="N405" s="5">
        <f t="shared" si="134"/>
        <v>-436</v>
      </c>
      <c r="O405" s="5">
        <f t="shared" si="135"/>
        <v>-460</v>
      </c>
      <c r="P405" s="5">
        <f t="shared" si="136"/>
        <v>-340</v>
      </c>
      <c r="Q405" s="8">
        <v>0</v>
      </c>
      <c r="R405" s="8">
        <v>0</v>
      </c>
      <c r="S405" s="8">
        <v>0</v>
      </c>
      <c r="T405" s="6">
        <f t="shared" si="131"/>
        <v>830</v>
      </c>
      <c r="U405" s="7">
        <f t="shared" si="118"/>
        <v>2044</v>
      </c>
      <c r="V405" s="7">
        <f t="shared" si="119"/>
        <v>2020</v>
      </c>
      <c r="W405" s="7">
        <f t="shared" si="120"/>
        <v>2080</v>
      </c>
      <c r="X405" s="6"/>
      <c r="Y405" s="5"/>
      <c r="Z405" s="5"/>
      <c r="AA405" s="5"/>
      <c r="AB405" s="5"/>
    </row>
    <row r="406" spans="1:28" ht="13.15" customHeight="1">
      <c r="A406" s="13">
        <v>392</v>
      </c>
      <c r="B406" s="4">
        <f t="shared" si="132"/>
        <v>45435</v>
      </c>
      <c r="C406" s="10">
        <f t="shared" si="133"/>
        <v>842</v>
      </c>
      <c r="D406" s="9">
        <f t="shared" si="124"/>
        <v>2010</v>
      </c>
      <c r="E406" s="8">
        <f t="shared" si="125"/>
        <v>288</v>
      </c>
      <c r="F406" s="8">
        <f t="shared" si="126"/>
        <v>312</v>
      </c>
      <c r="G406" s="8">
        <f t="shared" si="127"/>
        <v>192</v>
      </c>
      <c r="H406" s="5">
        <f t="shared" si="128"/>
        <v>2564</v>
      </c>
      <c r="I406" s="5">
        <f t="shared" si="129"/>
        <v>2540</v>
      </c>
      <c r="J406" s="5">
        <f t="shared" si="130"/>
        <v>2660</v>
      </c>
      <c r="K406" s="5">
        <f t="shared" si="121"/>
        <v>3000</v>
      </c>
      <c r="L406" s="5">
        <f t="shared" si="122"/>
        <v>3000</v>
      </c>
      <c r="M406" s="5">
        <f t="shared" si="123"/>
        <v>3000</v>
      </c>
      <c r="N406" s="5">
        <f t="shared" si="134"/>
        <v>-436</v>
      </c>
      <c r="O406" s="5">
        <f t="shared" si="135"/>
        <v>-460</v>
      </c>
      <c r="P406" s="5">
        <f t="shared" si="136"/>
        <v>-340</v>
      </c>
      <c r="Q406" s="8">
        <v>0</v>
      </c>
      <c r="R406" s="8">
        <v>0</v>
      </c>
      <c r="S406" s="8">
        <v>0</v>
      </c>
      <c r="T406" s="6">
        <f t="shared" si="131"/>
        <v>832</v>
      </c>
      <c r="U406" s="7">
        <f t="shared" si="118"/>
        <v>2044</v>
      </c>
      <c r="V406" s="7">
        <f t="shared" si="119"/>
        <v>2020</v>
      </c>
      <c r="W406" s="7">
        <f t="shared" si="120"/>
        <v>2080</v>
      </c>
      <c r="X406" s="6"/>
      <c r="Y406" s="5"/>
      <c r="Z406" s="5"/>
      <c r="AA406" s="5"/>
      <c r="AB406" s="5"/>
    </row>
    <row r="407" spans="1:28" ht="13.15" customHeight="1">
      <c r="A407" s="13">
        <v>393</v>
      </c>
      <c r="B407" s="4">
        <f t="shared" si="132"/>
        <v>45436</v>
      </c>
      <c r="C407" s="10">
        <f t="shared" si="133"/>
        <v>842</v>
      </c>
      <c r="D407" s="9">
        <f t="shared" si="124"/>
        <v>2012</v>
      </c>
      <c r="E407" s="8">
        <f t="shared" si="125"/>
        <v>290</v>
      </c>
      <c r="F407" s="8">
        <f t="shared" si="126"/>
        <v>314</v>
      </c>
      <c r="G407" s="8">
        <f t="shared" si="127"/>
        <v>194</v>
      </c>
      <c r="H407" s="5">
        <f t="shared" si="128"/>
        <v>2564</v>
      </c>
      <c r="I407" s="5">
        <f t="shared" si="129"/>
        <v>2540</v>
      </c>
      <c r="J407" s="5">
        <f t="shared" si="130"/>
        <v>2660</v>
      </c>
      <c r="K407" s="5">
        <f t="shared" si="121"/>
        <v>3000</v>
      </c>
      <c r="L407" s="5">
        <f t="shared" si="122"/>
        <v>3000</v>
      </c>
      <c r="M407" s="5">
        <f t="shared" si="123"/>
        <v>3000</v>
      </c>
      <c r="N407" s="5">
        <f t="shared" si="134"/>
        <v>-436</v>
      </c>
      <c r="O407" s="5">
        <f t="shared" si="135"/>
        <v>-460</v>
      </c>
      <c r="P407" s="5">
        <f t="shared" si="136"/>
        <v>-340</v>
      </c>
      <c r="Q407" s="8">
        <v>0</v>
      </c>
      <c r="R407" s="8">
        <v>0</v>
      </c>
      <c r="S407" s="8">
        <v>0</v>
      </c>
      <c r="T407" s="6">
        <f t="shared" si="131"/>
        <v>834</v>
      </c>
      <c r="U407" s="7">
        <f t="shared" si="118"/>
        <v>2044</v>
      </c>
      <c r="V407" s="7">
        <f t="shared" si="119"/>
        <v>2020</v>
      </c>
      <c r="W407" s="7">
        <f t="shared" si="120"/>
        <v>2080</v>
      </c>
      <c r="X407" s="6"/>
      <c r="Y407" s="5"/>
      <c r="Z407" s="5"/>
      <c r="AA407" s="5"/>
      <c r="AB407" s="5"/>
    </row>
    <row r="408" spans="1:28" ht="13.15" customHeight="1">
      <c r="A408" s="13">
        <v>394</v>
      </c>
      <c r="B408" s="4">
        <f t="shared" si="132"/>
        <v>45437</v>
      </c>
      <c r="C408" s="10">
        <f t="shared" si="133"/>
        <v>842</v>
      </c>
      <c r="D408" s="9">
        <f t="shared" si="124"/>
        <v>2014</v>
      </c>
      <c r="E408" s="8">
        <f t="shared" si="125"/>
        <v>292</v>
      </c>
      <c r="F408" s="8">
        <f t="shared" si="126"/>
        <v>316</v>
      </c>
      <c r="G408" s="8">
        <f t="shared" si="127"/>
        <v>196</v>
      </c>
      <c r="H408" s="5">
        <f t="shared" si="128"/>
        <v>2564</v>
      </c>
      <c r="I408" s="5">
        <f t="shared" si="129"/>
        <v>2540</v>
      </c>
      <c r="J408" s="5">
        <f t="shared" si="130"/>
        <v>2660</v>
      </c>
      <c r="K408" s="5">
        <f t="shared" si="121"/>
        <v>3000</v>
      </c>
      <c r="L408" s="5">
        <f t="shared" si="122"/>
        <v>3000</v>
      </c>
      <c r="M408" s="5">
        <f t="shared" si="123"/>
        <v>3000</v>
      </c>
      <c r="N408" s="5">
        <f t="shared" si="134"/>
        <v>-436</v>
      </c>
      <c r="O408" s="5">
        <f t="shared" si="135"/>
        <v>-460</v>
      </c>
      <c r="P408" s="5">
        <f t="shared" si="136"/>
        <v>-340</v>
      </c>
      <c r="Q408" s="8">
        <v>0</v>
      </c>
      <c r="R408" s="8">
        <v>0</v>
      </c>
      <c r="S408" s="8">
        <v>0</v>
      </c>
      <c r="T408" s="6">
        <f t="shared" si="131"/>
        <v>836</v>
      </c>
      <c r="U408" s="7">
        <f t="shared" si="118"/>
        <v>2044</v>
      </c>
      <c r="V408" s="7">
        <f t="shared" si="119"/>
        <v>2020</v>
      </c>
      <c r="W408" s="7">
        <f t="shared" si="120"/>
        <v>2080</v>
      </c>
      <c r="X408" s="6"/>
      <c r="Y408" s="5"/>
      <c r="Z408" s="5"/>
      <c r="AA408" s="5"/>
      <c r="AB408" s="5"/>
    </row>
    <row r="409" spans="1:28" ht="13.15" customHeight="1">
      <c r="A409" s="13">
        <v>395</v>
      </c>
      <c r="B409" s="4">
        <f t="shared" si="132"/>
        <v>45438</v>
      </c>
      <c r="C409" s="10">
        <f t="shared" si="133"/>
        <v>842</v>
      </c>
      <c r="D409" s="9">
        <f t="shared" si="124"/>
        <v>2016</v>
      </c>
      <c r="E409" s="8">
        <f t="shared" si="125"/>
        <v>294</v>
      </c>
      <c r="F409" s="8">
        <f t="shared" si="126"/>
        <v>318</v>
      </c>
      <c r="G409" s="8">
        <f t="shared" si="127"/>
        <v>198</v>
      </c>
      <c r="H409" s="5">
        <f t="shared" si="128"/>
        <v>2564</v>
      </c>
      <c r="I409" s="5">
        <f t="shared" si="129"/>
        <v>2540</v>
      </c>
      <c r="J409" s="5">
        <f t="shared" si="130"/>
        <v>2660</v>
      </c>
      <c r="K409" s="5">
        <f t="shared" si="121"/>
        <v>3000</v>
      </c>
      <c r="L409" s="5">
        <f t="shared" si="122"/>
        <v>3000</v>
      </c>
      <c r="M409" s="5">
        <f t="shared" si="123"/>
        <v>3000</v>
      </c>
      <c r="N409" s="5">
        <f t="shared" si="134"/>
        <v>-436</v>
      </c>
      <c r="O409" s="5">
        <f t="shared" si="135"/>
        <v>-460</v>
      </c>
      <c r="P409" s="5">
        <f t="shared" si="136"/>
        <v>-340</v>
      </c>
      <c r="Q409" s="8">
        <v>0</v>
      </c>
      <c r="R409" s="8">
        <v>0</v>
      </c>
      <c r="S409" s="8">
        <v>0</v>
      </c>
      <c r="T409" s="6">
        <f t="shared" si="131"/>
        <v>838</v>
      </c>
      <c r="U409" s="7">
        <f t="shared" si="118"/>
        <v>2044</v>
      </c>
      <c r="V409" s="7">
        <f t="shared" si="119"/>
        <v>2020</v>
      </c>
      <c r="W409" s="7">
        <f t="shared" si="120"/>
        <v>2080</v>
      </c>
      <c r="X409" s="6"/>
      <c r="Y409" s="5"/>
      <c r="Z409" s="5"/>
      <c r="AA409" s="5"/>
      <c r="AB409" s="5"/>
    </row>
    <row r="410" spans="1:28" ht="13.15" customHeight="1">
      <c r="A410" s="13">
        <v>396</v>
      </c>
      <c r="B410" s="4">
        <f t="shared" si="132"/>
        <v>45439</v>
      </c>
      <c r="C410" s="10">
        <f t="shared" si="133"/>
        <v>842</v>
      </c>
      <c r="D410" s="9">
        <f t="shared" si="124"/>
        <v>2018</v>
      </c>
      <c r="E410" s="8">
        <f t="shared" si="125"/>
        <v>296</v>
      </c>
      <c r="F410" s="8">
        <f t="shared" si="126"/>
        <v>320</v>
      </c>
      <c r="G410" s="8">
        <f t="shared" si="127"/>
        <v>200</v>
      </c>
      <c r="H410" s="5">
        <f t="shared" si="128"/>
        <v>2564</v>
      </c>
      <c r="I410" s="5">
        <f t="shared" si="129"/>
        <v>2540</v>
      </c>
      <c r="J410" s="5">
        <f t="shared" si="130"/>
        <v>2660</v>
      </c>
      <c r="K410" s="5">
        <f t="shared" si="121"/>
        <v>3000</v>
      </c>
      <c r="L410" s="5">
        <f t="shared" si="122"/>
        <v>3000</v>
      </c>
      <c r="M410" s="5">
        <f t="shared" si="123"/>
        <v>3000</v>
      </c>
      <c r="N410" s="5">
        <f t="shared" si="134"/>
        <v>-436</v>
      </c>
      <c r="O410" s="5">
        <f t="shared" si="135"/>
        <v>-460</v>
      </c>
      <c r="P410" s="5">
        <f t="shared" si="136"/>
        <v>-340</v>
      </c>
      <c r="Q410" s="8">
        <v>0</v>
      </c>
      <c r="R410" s="8">
        <v>0</v>
      </c>
      <c r="S410" s="8">
        <v>0</v>
      </c>
      <c r="T410" s="6">
        <f t="shared" si="131"/>
        <v>840</v>
      </c>
      <c r="U410" s="7">
        <f t="shared" si="118"/>
        <v>2044</v>
      </c>
      <c r="V410" s="7">
        <f t="shared" si="119"/>
        <v>2020</v>
      </c>
      <c r="W410" s="7">
        <f t="shared" si="120"/>
        <v>2080</v>
      </c>
      <c r="X410" s="6"/>
      <c r="Y410" s="5"/>
      <c r="Z410" s="5"/>
      <c r="AA410" s="5"/>
      <c r="AB410" s="5"/>
    </row>
    <row r="411" spans="1:28" ht="13.15" customHeight="1">
      <c r="A411" s="13">
        <v>397</v>
      </c>
      <c r="B411" s="4">
        <f t="shared" si="132"/>
        <v>45440</v>
      </c>
      <c r="C411" s="10">
        <f t="shared" si="133"/>
        <v>842</v>
      </c>
      <c r="D411" s="9">
        <f t="shared" si="124"/>
        <v>2020</v>
      </c>
      <c r="E411" s="8">
        <f t="shared" si="125"/>
        <v>298</v>
      </c>
      <c r="F411" s="8">
        <f t="shared" si="126"/>
        <v>322</v>
      </c>
      <c r="G411" s="8">
        <f t="shared" si="127"/>
        <v>202</v>
      </c>
      <c r="H411" s="5">
        <f t="shared" si="128"/>
        <v>2564</v>
      </c>
      <c r="I411" s="5">
        <f t="shared" si="129"/>
        <v>2540</v>
      </c>
      <c r="J411" s="5">
        <f t="shared" si="130"/>
        <v>2660</v>
      </c>
      <c r="K411" s="5">
        <f t="shared" si="121"/>
        <v>3000</v>
      </c>
      <c r="L411" s="5">
        <f t="shared" si="122"/>
        <v>3000</v>
      </c>
      <c r="M411" s="5">
        <f t="shared" si="123"/>
        <v>3000</v>
      </c>
      <c r="N411" s="5">
        <f t="shared" si="134"/>
        <v>-436</v>
      </c>
      <c r="O411" s="5">
        <f t="shared" si="135"/>
        <v>-460</v>
      </c>
      <c r="P411" s="5">
        <f t="shared" si="136"/>
        <v>-340</v>
      </c>
      <c r="Q411" s="8">
        <v>0</v>
      </c>
      <c r="R411" s="8">
        <v>0</v>
      </c>
      <c r="S411" s="8">
        <v>0</v>
      </c>
      <c r="T411" s="6">
        <f t="shared" si="131"/>
        <v>842</v>
      </c>
      <c r="U411" s="7">
        <f t="shared" si="118"/>
        <v>2044</v>
      </c>
      <c r="V411" s="7">
        <f t="shared" si="119"/>
        <v>2020</v>
      </c>
      <c r="W411" s="7">
        <f t="shared" si="120"/>
        <v>2080</v>
      </c>
      <c r="X411" s="6"/>
      <c r="Y411" s="5"/>
      <c r="Z411" s="5"/>
      <c r="AA411" s="5"/>
      <c r="AB411" s="5"/>
    </row>
    <row r="412" spans="1:28" ht="13.15" customHeight="1">
      <c r="A412" s="13">
        <v>398</v>
      </c>
      <c r="B412" s="4">
        <f t="shared" si="132"/>
        <v>45441</v>
      </c>
      <c r="C412" s="10">
        <f t="shared" si="133"/>
        <v>842</v>
      </c>
      <c r="D412" s="9">
        <f t="shared" si="124"/>
        <v>2022</v>
      </c>
      <c r="E412" s="8">
        <f t="shared" si="125"/>
        <v>300</v>
      </c>
      <c r="F412" s="8">
        <f t="shared" si="126"/>
        <v>324</v>
      </c>
      <c r="G412" s="8">
        <f t="shared" si="127"/>
        <v>204</v>
      </c>
      <c r="H412" s="5">
        <f t="shared" si="128"/>
        <v>2564</v>
      </c>
      <c r="I412" s="5">
        <f t="shared" si="129"/>
        <v>2540</v>
      </c>
      <c r="J412" s="5">
        <f t="shared" si="130"/>
        <v>2660</v>
      </c>
      <c r="K412" s="5">
        <f t="shared" si="121"/>
        <v>3000</v>
      </c>
      <c r="L412" s="5">
        <f t="shared" si="122"/>
        <v>3000</v>
      </c>
      <c r="M412" s="5">
        <f t="shared" si="123"/>
        <v>3000</v>
      </c>
      <c r="N412" s="5">
        <f t="shared" si="134"/>
        <v>-436</v>
      </c>
      <c r="O412" s="5">
        <f t="shared" si="135"/>
        <v>-460</v>
      </c>
      <c r="P412" s="5">
        <f t="shared" si="136"/>
        <v>-340</v>
      </c>
      <c r="Q412" s="8">
        <v>0</v>
      </c>
      <c r="R412" s="8">
        <v>0</v>
      </c>
      <c r="S412" s="8">
        <v>0</v>
      </c>
      <c r="T412" s="6">
        <f t="shared" si="131"/>
        <v>844</v>
      </c>
      <c r="U412" s="7">
        <f t="shared" si="118"/>
        <v>2044</v>
      </c>
      <c r="V412" s="7">
        <f t="shared" si="119"/>
        <v>2020</v>
      </c>
      <c r="W412" s="7">
        <f t="shared" si="120"/>
        <v>2080</v>
      </c>
      <c r="X412" s="6"/>
      <c r="Y412" s="5"/>
      <c r="Z412" s="5"/>
      <c r="AA412" s="5"/>
      <c r="AB412" s="5"/>
    </row>
    <row r="413" spans="1:28" ht="13.15" customHeight="1">
      <c r="A413" s="13">
        <v>399</v>
      </c>
      <c r="B413" s="4">
        <f t="shared" si="132"/>
        <v>45442</v>
      </c>
      <c r="C413" s="10">
        <f t="shared" si="133"/>
        <v>842</v>
      </c>
      <c r="D413" s="9">
        <f t="shared" si="124"/>
        <v>2024</v>
      </c>
      <c r="E413" s="8">
        <f t="shared" si="125"/>
        <v>302</v>
      </c>
      <c r="F413" s="8">
        <f t="shared" si="126"/>
        <v>326</v>
      </c>
      <c r="G413" s="8">
        <f t="shared" si="127"/>
        <v>206</v>
      </c>
      <c r="H413" s="5">
        <f t="shared" si="128"/>
        <v>2564</v>
      </c>
      <c r="I413" s="5">
        <f t="shared" si="129"/>
        <v>2540</v>
      </c>
      <c r="J413" s="5">
        <f t="shared" si="130"/>
        <v>2660</v>
      </c>
      <c r="K413" s="5">
        <f t="shared" si="121"/>
        <v>3000</v>
      </c>
      <c r="L413" s="5">
        <f t="shared" si="122"/>
        <v>3000</v>
      </c>
      <c r="M413" s="5">
        <f t="shared" si="123"/>
        <v>3000</v>
      </c>
      <c r="N413" s="5">
        <f t="shared" si="134"/>
        <v>-436</v>
      </c>
      <c r="O413" s="5">
        <f t="shared" si="135"/>
        <v>-460</v>
      </c>
      <c r="P413" s="5">
        <f t="shared" si="136"/>
        <v>-340</v>
      </c>
      <c r="Q413" s="8">
        <v>0</v>
      </c>
      <c r="R413" s="8">
        <v>0</v>
      </c>
      <c r="S413" s="8">
        <v>0</v>
      </c>
      <c r="T413" s="6">
        <f t="shared" si="131"/>
        <v>846</v>
      </c>
      <c r="U413" s="7">
        <f t="shared" si="118"/>
        <v>2044</v>
      </c>
      <c r="V413" s="7">
        <f t="shared" si="119"/>
        <v>2020</v>
      </c>
      <c r="W413" s="7">
        <f t="shared" si="120"/>
        <v>2080</v>
      </c>
      <c r="X413" s="6"/>
      <c r="Y413" s="5"/>
      <c r="Z413" s="5"/>
      <c r="AA413" s="5"/>
      <c r="AB413" s="5"/>
    </row>
    <row r="414" spans="1:28" ht="13.15" customHeight="1">
      <c r="A414" s="13">
        <v>400</v>
      </c>
      <c r="B414" s="4">
        <f t="shared" si="132"/>
        <v>45443</v>
      </c>
      <c r="C414" s="10">
        <f t="shared" si="133"/>
        <v>842</v>
      </c>
      <c r="D414" s="9">
        <f t="shared" si="124"/>
        <v>2026</v>
      </c>
      <c r="E414" s="8">
        <f t="shared" si="125"/>
        <v>304</v>
      </c>
      <c r="F414" s="8">
        <f t="shared" si="126"/>
        <v>328</v>
      </c>
      <c r="G414" s="8">
        <f t="shared" si="127"/>
        <v>208</v>
      </c>
      <c r="H414" s="5">
        <f t="shared" si="128"/>
        <v>2564</v>
      </c>
      <c r="I414" s="5">
        <f t="shared" si="129"/>
        <v>2540</v>
      </c>
      <c r="J414" s="5">
        <f t="shared" si="130"/>
        <v>2660</v>
      </c>
      <c r="K414" s="5">
        <f t="shared" si="121"/>
        <v>3000</v>
      </c>
      <c r="L414" s="5">
        <f t="shared" si="122"/>
        <v>3000</v>
      </c>
      <c r="M414" s="5">
        <f t="shared" si="123"/>
        <v>3000</v>
      </c>
      <c r="N414" s="5">
        <f t="shared" si="134"/>
        <v>-436</v>
      </c>
      <c r="O414" s="5">
        <f t="shared" si="135"/>
        <v>-460</v>
      </c>
      <c r="P414" s="5">
        <f t="shared" si="136"/>
        <v>-340</v>
      </c>
      <c r="Q414" s="8">
        <v>0</v>
      </c>
      <c r="R414" s="8">
        <v>0</v>
      </c>
      <c r="S414" s="8">
        <v>0</v>
      </c>
      <c r="T414" s="6">
        <f t="shared" si="131"/>
        <v>848</v>
      </c>
      <c r="U414" s="7">
        <f t="shared" si="118"/>
        <v>2044</v>
      </c>
      <c r="V414" s="7">
        <f t="shared" si="119"/>
        <v>2020</v>
      </c>
      <c r="W414" s="7">
        <f t="shared" si="120"/>
        <v>2080</v>
      </c>
      <c r="X414" s="6"/>
      <c r="Y414" s="5"/>
      <c r="Z414" s="5"/>
      <c r="AA414" s="5"/>
      <c r="AB414" s="5"/>
    </row>
    <row r="415" spans="1:28" ht="13.15" customHeight="1">
      <c r="A415" s="13">
        <v>401</v>
      </c>
      <c r="B415" s="4">
        <f t="shared" si="132"/>
        <v>45444</v>
      </c>
      <c r="C415" s="10">
        <f t="shared" si="133"/>
        <v>842</v>
      </c>
      <c r="D415" s="9">
        <f t="shared" si="124"/>
        <v>2028</v>
      </c>
      <c r="E415" s="8">
        <f t="shared" si="125"/>
        <v>306</v>
      </c>
      <c r="F415" s="8">
        <f t="shared" si="126"/>
        <v>330</v>
      </c>
      <c r="G415" s="8">
        <f t="shared" si="127"/>
        <v>210</v>
      </c>
      <c r="H415" s="5">
        <f t="shared" si="128"/>
        <v>2564</v>
      </c>
      <c r="I415" s="5">
        <f t="shared" si="129"/>
        <v>2540</v>
      </c>
      <c r="J415" s="5">
        <f t="shared" si="130"/>
        <v>2660</v>
      </c>
      <c r="K415" s="5">
        <f t="shared" si="121"/>
        <v>3000</v>
      </c>
      <c r="L415" s="5">
        <f t="shared" si="122"/>
        <v>3000</v>
      </c>
      <c r="M415" s="5">
        <f t="shared" si="123"/>
        <v>3000</v>
      </c>
      <c r="N415" s="5">
        <f t="shared" si="134"/>
        <v>-436</v>
      </c>
      <c r="O415" s="5">
        <f t="shared" si="135"/>
        <v>-460</v>
      </c>
      <c r="P415" s="5">
        <f t="shared" si="136"/>
        <v>-340</v>
      </c>
      <c r="Q415" s="8">
        <v>0</v>
      </c>
      <c r="R415" s="8">
        <v>0</v>
      </c>
      <c r="S415" s="8">
        <v>0</v>
      </c>
      <c r="T415" s="6">
        <f t="shared" si="131"/>
        <v>850</v>
      </c>
      <c r="U415" s="7">
        <f t="shared" si="118"/>
        <v>2044</v>
      </c>
      <c r="V415" s="7">
        <f t="shared" si="119"/>
        <v>2020</v>
      </c>
      <c r="W415" s="7">
        <f t="shared" si="120"/>
        <v>2080</v>
      </c>
      <c r="X415" s="6"/>
      <c r="Y415" s="5"/>
      <c r="Z415" s="5"/>
      <c r="AA415" s="5"/>
      <c r="AB415" s="5"/>
    </row>
    <row r="416" spans="1:28" ht="13.15" customHeight="1">
      <c r="A416" s="13">
        <v>402</v>
      </c>
      <c r="B416" s="4">
        <f t="shared" si="132"/>
        <v>45445</v>
      </c>
      <c r="C416" s="10">
        <f t="shared" si="133"/>
        <v>842</v>
      </c>
      <c r="D416" s="9">
        <f t="shared" si="124"/>
        <v>2030</v>
      </c>
      <c r="E416" s="8">
        <f t="shared" si="125"/>
        <v>308</v>
      </c>
      <c r="F416" s="8">
        <f t="shared" si="126"/>
        <v>332</v>
      </c>
      <c r="G416" s="8">
        <f t="shared" si="127"/>
        <v>212</v>
      </c>
      <c r="H416" s="5">
        <f t="shared" si="128"/>
        <v>2564</v>
      </c>
      <c r="I416" s="5">
        <f t="shared" si="129"/>
        <v>2540</v>
      </c>
      <c r="J416" s="5">
        <f t="shared" si="130"/>
        <v>2660</v>
      </c>
      <c r="K416" s="5">
        <f t="shared" si="121"/>
        <v>3000</v>
      </c>
      <c r="L416" s="5">
        <f t="shared" si="122"/>
        <v>3000</v>
      </c>
      <c r="M416" s="5">
        <f t="shared" si="123"/>
        <v>3000</v>
      </c>
      <c r="N416" s="5">
        <f t="shared" si="134"/>
        <v>-436</v>
      </c>
      <c r="O416" s="5">
        <f t="shared" si="135"/>
        <v>-460</v>
      </c>
      <c r="P416" s="5">
        <f t="shared" si="136"/>
        <v>-340</v>
      </c>
      <c r="Q416" s="8">
        <v>0</v>
      </c>
      <c r="R416" s="8">
        <v>0</v>
      </c>
      <c r="S416" s="8">
        <v>0</v>
      </c>
      <c r="T416" s="6">
        <f t="shared" si="131"/>
        <v>852</v>
      </c>
      <c r="U416" s="7">
        <f t="shared" si="118"/>
        <v>2044</v>
      </c>
      <c r="V416" s="7">
        <f t="shared" si="119"/>
        <v>2020</v>
      </c>
      <c r="W416" s="7">
        <f t="shared" si="120"/>
        <v>2080</v>
      </c>
      <c r="X416" s="6"/>
      <c r="Y416" s="5"/>
      <c r="Z416" s="5"/>
      <c r="AA416" s="5"/>
      <c r="AB416" s="5"/>
    </row>
    <row r="417" spans="1:28" ht="13.15" customHeight="1">
      <c r="A417" s="13">
        <v>403</v>
      </c>
      <c r="B417" s="4">
        <f t="shared" si="132"/>
        <v>45446</v>
      </c>
      <c r="C417" s="10">
        <f t="shared" si="133"/>
        <v>842</v>
      </c>
      <c r="D417" s="9">
        <f t="shared" si="124"/>
        <v>2032</v>
      </c>
      <c r="E417" s="8">
        <f t="shared" si="125"/>
        <v>310</v>
      </c>
      <c r="F417" s="8">
        <f t="shared" si="126"/>
        <v>334</v>
      </c>
      <c r="G417" s="8">
        <f t="shared" si="127"/>
        <v>214</v>
      </c>
      <c r="H417" s="5">
        <f t="shared" si="128"/>
        <v>2564</v>
      </c>
      <c r="I417" s="5">
        <f t="shared" si="129"/>
        <v>2540</v>
      </c>
      <c r="J417" s="5">
        <f t="shared" si="130"/>
        <v>2660</v>
      </c>
      <c r="K417" s="5">
        <f t="shared" si="121"/>
        <v>3000</v>
      </c>
      <c r="L417" s="5">
        <f t="shared" si="122"/>
        <v>3000</v>
      </c>
      <c r="M417" s="5">
        <f t="shared" si="123"/>
        <v>3000</v>
      </c>
      <c r="N417" s="5">
        <f t="shared" si="134"/>
        <v>-436</v>
      </c>
      <c r="O417" s="5">
        <f t="shared" si="135"/>
        <v>-460</v>
      </c>
      <c r="P417" s="5">
        <f t="shared" si="136"/>
        <v>-340</v>
      </c>
      <c r="Q417" s="8">
        <v>0</v>
      </c>
      <c r="R417" s="8">
        <v>0</v>
      </c>
      <c r="S417" s="8">
        <v>0</v>
      </c>
      <c r="T417" s="6">
        <f t="shared" si="131"/>
        <v>854</v>
      </c>
      <c r="U417" s="7">
        <f t="shared" si="118"/>
        <v>2044</v>
      </c>
      <c r="V417" s="7">
        <f t="shared" si="119"/>
        <v>2020</v>
      </c>
      <c r="W417" s="7">
        <f t="shared" si="120"/>
        <v>2080</v>
      </c>
      <c r="X417" s="6"/>
      <c r="Y417" s="5"/>
      <c r="Z417" s="5"/>
      <c r="AA417" s="5"/>
      <c r="AB417" s="5"/>
    </row>
    <row r="418" spans="1:28" ht="13.15" customHeight="1">
      <c r="A418" s="13">
        <v>404</v>
      </c>
      <c r="B418" s="4">
        <f t="shared" si="132"/>
        <v>45447</v>
      </c>
      <c r="C418" s="10">
        <f t="shared" si="133"/>
        <v>842</v>
      </c>
      <c r="D418" s="9">
        <f t="shared" si="124"/>
        <v>2034</v>
      </c>
      <c r="E418" s="8">
        <f t="shared" si="125"/>
        <v>312</v>
      </c>
      <c r="F418" s="8">
        <f t="shared" si="126"/>
        <v>336</v>
      </c>
      <c r="G418" s="8">
        <f t="shared" si="127"/>
        <v>216</v>
      </c>
      <c r="H418" s="5">
        <f t="shared" si="128"/>
        <v>2564</v>
      </c>
      <c r="I418" s="5">
        <f t="shared" si="129"/>
        <v>2540</v>
      </c>
      <c r="J418" s="5">
        <f t="shared" si="130"/>
        <v>2660</v>
      </c>
      <c r="K418" s="5">
        <f t="shared" si="121"/>
        <v>3000</v>
      </c>
      <c r="L418" s="5">
        <f t="shared" si="122"/>
        <v>3000</v>
      </c>
      <c r="M418" s="5">
        <f t="shared" si="123"/>
        <v>3000</v>
      </c>
      <c r="N418" s="5">
        <f t="shared" si="134"/>
        <v>-436</v>
      </c>
      <c r="O418" s="5">
        <f t="shared" si="135"/>
        <v>-460</v>
      </c>
      <c r="P418" s="5">
        <f t="shared" si="136"/>
        <v>-340</v>
      </c>
      <c r="Q418" s="8">
        <v>0</v>
      </c>
      <c r="R418" s="8">
        <v>0</v>
      </c>
      <c r="S418" s="8">
        <v>0</v>
      </c>
      <c r="T418" s="6">
        <f t="shared" si="131"/>
        <v>856</v>
      </c>
      <c r="U418" s="7">
        <f t="shared" si="118"/>
        <v>2044</v>
      </c>
      <c r="V418" s="7">
        <f t="shared" si="119"/>
        <v>2020</v>
      </c>
      <c r="W418" s="7">
        <f t="shared" si="120"/>
        <v>2080</v>
      </c>
      <c r="X418" s="6"/>
      <c r="Y418" s="5"/>
      <c r="Z418" s="5"/>
      <c r="AA418" s="5"/>
      <c r="AB418" s="5"/>
    </row>
    <row r="419" spans="1:28" ht="13.15" customHeight="1">
      <c r="A419" s="13">
        <v>405</v>
      </c>
      <c r="B419" s="4">
        <f t="shared" si="132"/>
        <v>45448</v>
      </c>
      <c r="C419" s="10">
        <f t="shared" si="133"/>
        <v>842</v>
      </c>
      <c r="D419" s="9">
        <f t="shared" si="124"/>
        <v>2036</v>
      </c>
      <c r="E419" s="8">
        <f t="shared" si="125"/>
        <v>314</v>
      </c>
      <c r="F419" s="8">
        <f t="shared" si="126"/>
        <v>338</v>
      </c>
      <c r="G419" s="8">
        <f t="shared" si="127"/>
        <v>218</v>
      </c>
      <c r="H419" s="5">
        <f t="shared" si="128"/>
        <v>2564</v>
      </c>
      <c r="I419" s="5">
        <f t="shared" si="129"/>
        <v>2540</v>
      </c>
      <c r="J419" s="5">
        <f t="shared" si="130"/>
        <v>2660</v>
      </c>
      <c r="K419" s="5">
        <f t="shared" si="121"/>
        <v>3000</v>
      </c>
      <c r="L419" s="5">
        <f t="shared" si="122"/>
        <v>3000</v>
      </c>
      <c r="M419" s="5">
        <f t="shared" si="123"/>
        <v>3000</v>
      </c>
      <c r="N419" s="5">
        <f t="shared" si="134"/>
        <v>-436</v>
      </c>
      <c r="O419" s="5">
        <f t="shared" si="135"/>
        <v>-460</v>
      </c>
      <c r="P419" s="5">
        <f t="shared" si="136"/>
        <v>-340</v>
      </c>
      <c r="Q419" s="8">
        <v>0</v>
      </c>
      <c r="R419" s="8">
        <v>0</v>
      </c>
      <c r="S419" s="8">
        <v>0</v>
      </c>
      <c r="T419" s="6">
        <f t="shared" si="131"/>
        <v>858</v>
      </c>
      <c r="U419" s="7">
        <f t="shared" si="118"/>
        <v>2044</v>
      </c>
      <c r="V419" s="7">
        <f t="shared" si="119"/>
        <v>2020</v>
      </c>
      <c r="W419" s="7">
        <f t="shared" si="120"/>
        <v>2080</v>
      </c>
      <c r="X419" s="6"/>
      <c r="Y419" s="5"/>
      <c r="Z419" s="5"/>
      <c r="AA419" s="5"/>
      <c r="AB419" s="5"/>
    </row>
    <row r="420" spans="1:28" ht="13.15" customHeight="1">
      <c r="A420" s="13">
        <v>406</v>
      </c>
      <c r="B420" s="4">
        <f t="shared" si="132"/>
        <v>45449</v>
      </c>
      <c r="C420" s="10">
        <f t="shared" si="133"/>
        <v>842</v>
      </c>
      <c r="D420" s="9">
        <f t="shared" si="124"/>
        <v>2038</v>
      </c>
      <c r="E420" s="8">
        <f t="shared" si="125"/>
        <v>316</v>
      </c>
      <c r="F420" s="8">
        <f t="shared" si="126"/>
        <v>340</v>
      </c>
      <c r="G420" s="8">
        <f t="shared" si="127"/>
        <v>220</v>
      </c>
      <c r="H420" s="5">
        <f t="shared" si="128"/>
        <v>2564</v>
      </c>
      <c r="I420" s="5">
        <f t="shared" si="129"/>
        <v>2540</v>
      </c>
      <c r="J420" s="5">
        <f t="shared" si="130"/>
        <v>2660</v>
      </c>
      <c r="K420" s="5">
        <f t="shared" si="121"/>
        <v>3000</v>
      </c>
      <c r="L420" s="5">
        <f t="shared" si="122"/>
        <v>3000</v>
      </c>
      <c r="M420" s="5">
        <f t="shared" si="123"/>
        <v>3000</v>
      </c>
      <c r="N420" s="5">
        <f t="shared" si="134"/>
        <v>-436</v>
      </c>
      <c r="O420" s="5">
        <f t="shared" si="135"/>
        <v>-460</v>
      </c>
      <c r="P420" s="5">
        <f t="shared" si="136"/>
        <v>-340</v>
      </c>
      <c r="Q420" s="8">
        <v>0</v>
      </c>
      <c r="R420" s="8">
        <v>0</v>
      </c>
      <c r="S420" s="8">
        <v>0</v>
      </c>
      <c r="T420" s="6">
        <f t="shared" si="131"/>
        <v>860</v>
      </c>
      <c r="U420" s="7">
        <f t="shared" si="118"/>
        <v>2044</v>
      </c>
      <c r="V420" s="7">
        <f t="shared" si="119"/>
        <v>2020</v>
      </c>
      <c r="W420" s="7">
        <f t="shared" si="120"/>
        <v>2080</v>
      </c>
      <c r="X420" s="6"/>
      <c r="Y420" s="5"/>
      <c r="Z420" s="5"/>
      <c r="AA420" s="5"/>
      <c r="AB420" s="5"/>
    </row>
    <row r="421" spans="1:28" ht="13.15" customHeight="1">
      <c r="A421" s="13">
        <v>407</v>
      </c>
      <c r="B421" s="4">
        <f t="shared" si="132"/>
        <v>45450</v>
      </c>
      <c r="C421" s="10">
        <f t="shared" si="133"/>
        <v>842</v>
      </c>
      <c r="D421" s="9">
        <f t="shared" si="124"/>
        <v>2040</v>
      </c>
      <c r="E421" s="8">
        <f t="shared" si="125"/>
        <v>318</v>
      </c>
      <c r="F421" s="8">
        <f t="shared" si="126"/>
        <v>342</v>
      </c>
      <c r="G421" s="8">
        <f t="shared" si="127"/>
        <v>222</v>
      </c>
      <c r="H421" s="5">
        <f t="shared" si="128"/>
        <v>2564</v>
      </c>
      <c r="I421" s="5">
        <f t="shared" si="129"/>
        <v>2540</v>
      </c>
      <c r="J421" s="5">
        <f t="shared" si="130"/>
        <v>2660</v>
      </c>
      <c r="K421" s="5">
        <f t="shared" si="121"/>
        <v>3000</v>
      </c>
      <c r="L421" s="5">
        <f t="shared" si="122"/>
        <v>3000</v>
      </c>
      <c r="M421" s="5">
        <f t="shared" si="123"/>
        <v>3000</v>
      </c>
      <c r="N421" s="5">
        <f t="shared" si="134"/>
        <v>-436</v>
      </c>
      <c r="O421" s="5">
        <f t="shared" si="135"/>
        <v>-460</v>
      </c>
      <c r="P421" s="5">
        <f t="shared" si="136"/>
        <v>-340</v>
      </c>
      <c r="Q421" s="8">
        <v>0</v>
      </c>
      <c r="R421" s="8">
        <v>0</v>
      </c>
      <c r="S421" s="8">
        <v>0</v>
      </c>
      <c r="T421" s="6">
        <f t="shared" si="131"/>
        <v>862</v>
      </c>
      <c r="U421" s="7">
        <f t="shared" si="118"/>
        <v>2044</v>
      </c>
      <c r="V421" s="7">
        <f t="shared" si="119"/>
        <v>2020</v>
      </c>
      <c r="W421" s="7">
        <f t="shared" si="120"/>
        <v>2080</v>
      </c>
      <c r="X421" s="6"/>
      <c r="Y421" s="5"/>
      <c r="Z421" s="5"/>
      <c r="AA421" s="5"/>
      <c r="AB421" s="5"/>
    </row>
    <row r="422" spans="1:28" ht="13.15" customHeight="1">
      <c r="A422" s="13">
        <v>408</v>
      </c>
      <c r="B422" s="4">
        <f t="shared" si="132"/>
        <v>45451</v>
      </c>
      <c r="C422" s="10">
        <f t="shared" si="133"/>
        <v>842</v>
      </c>
      <c r="D422" s="9">
        <f t="shared" si="124"/>
        <v>2042</v>
      </c>
      <c r="E422" s="8">
        <f t="shared" si="125"/>
        <v>320</v>
      </c>
      <c r="F422" s="8">
        <f t="shared" si="126"/>
        <v>344</v>
      </c>
      <c r="G422" s="8">
        <f t="shared" si="127"/>
        <v>224</v>
      </c>
      <c r="H422" s="5">
        <f t="shared" si="128"/>
        <v>2564</v>
      </c>
      <c r="I422" s="5">
        <f t="shared" si="129"/>
        <v>2540</v>
      </c>
      <c r="J422" s="5">
        <f t="shared" si="130"/>
        <v>2660</v>
      </c>
      <c r="K422" s="5">
        <f t="shared" si="121"/>
        <v>3000</v>
      </c>
      <c r="L422" s="5">
        <f t="shared" si="122"/>
        <v>3000</v>
      </c>
      <c r="M422" s="5">
        <f t="shared" si="123"/>
        <v>3000</v>
      </c>
      <c r="N422" s="5">
        <f t="shared" si="134"/>
        <v>-436</v>
      </c>
      <c r="O422" s="5">
        <f t="shared" si="135"/>
        <v>-460</v>
      </c>
      <c r="P422" s="5">
        <f t="shared" si="136"/>
        <v>-340</v>
      </c>
      <c r="Q422" s="8">
        <v>0</v>
      </c>
      <c r="R422" s="8">
        <v>0</v>
      </c>
      <c r="S422" s="8">
        <v>0</v>
      </c>
      <c r="T422" s="6">
        <f t="shared" si="131"/>
        <v>864</v>
      </c>
      <c r="U422" s="7">
        <f t="shared" si="118"/>
        <v>2044</v>
      </c>
      <c r="V422" s="7">
        <f t="shared" si="119"/>
        <v>2020</v>
      </c>
      <c r="W422" s="7">
        <f t="shared" si="120"/>
        <v>2080</v>
      </c>
      <c r="X422" s="6"/>
      <c r="Y422" s="5"/>
      <c r="Z422" s="5"/>
      <c r="AA422" s="5"/>
      <c r="AB422" s="5"/>
    </row>
    <row r="423" spans="1:28" ht="13.15" customHeight="1">
      <c r="A423" s="13">
        <v>409</v>
      </c>
      <c r="B423" s="4">
        <f t="shared" si="132"/>
        <v>45452</v>
      </c>
      <c r="C423" s="10">
        <f t="shared" si="133"/>
        <v>842</v>
      </c>
      <c r="D423" s="9">
        <f t="shared" si="124"/>
        <v>2044</v>
      </c>
      <c r="E423" s="8">
        <f t="shared" si="125"/>
        <v>322</v>
      </c>
      <c r="F423" s="8">
        <f t="shared" si="126"/>
        <v>346</v>
      </c>
      <c r="G423" s="8">
        <f t="shared" si="127"/>
        <v>226</v>
      </c>
      <c r="H423" s="5">
        <f t="shared" si="128"/>
        <v>2564</v>
      </c>
      <c r="I423" s="5">
        <f t="shared" si="129"/>
        <v>2540</v>
      </c>
      <c r="J423" s="5">
        <f t="shared" si="130"/>
        <v>2660</v>
      </c>
      <c r="K423" s="5">
        <f t="shared" si="121"/>
        <v>3000</v>
      </c>
      <c r="L423" s="5">
        <f t="shared" si="122"/>
        <v>3000</v>
      </c>
      <c r="M423" s="5">
        <f t="shared" si="123"/>
        <v>3000</v>
      </c>
      <c r="N423" s="5">
        <f t="shared" si="134"/>
        <v>-436</v>
      </c>
      <c r="O423" s="5">
        <f t="shared" si="135"/>
        <v>-460</v>
      </c>
      <c r="P423" s="5">
        <f t="shared" si="136"/>
        <v>-340</v>
      </c>
      <c r="Q423" s="8">
        <v>0</v>
      </c>
      <c r="R423" s="8">
        <v>0</v>
      </c>
      <c r="S423" s="8">
        <v>0</v>
      </c>
      <c r="T423" s="6">
        <f t="shared" si="131"/>
        <v>866</v>
      </c>
      <c r="U423" s="7">
        <f t="shared" si="118"/>
        <v>2044</v>
      </c>
      <c r="V423" s="7">
        <f t="shared" si="119"/>
        <v>2020</v>
      </c>
      <c r="W423" s="7">
        <f t="shared" si="120"/>
        <v>2080</v>
      </c>
      <c r="X423" s="6"/>
      <c r="Y423" s="5"/>
      <c r="Z423" s="5"/>
      <c r="AA423" s="5"/>
      <c r="AB423" s="5"/>
    </row>
    <row r="424" spans="1:28" ht="13.15" customHeight="1">
      <c r="A424" s="13">
        <v>410</v>
      </c>
      <c r="B424" s="4">
        <f t="shared" si="132"/>
        <v>45453</v>
      </c>
      <c r="C424" s="10">
        <f t="shared" si="133"/>
        <v>842</v>
      </c>
      <c r="D424" s="9">
        <f t="shared" si="124"/>
        <v>2046</v>
      </c>
      <c r="E424" s="8">
        <f t="shared" si="125"/>
        <v>324</v>
      </c>
      <c r="F424" s="8">
        <f t="shared" si="126"/>
        <v>348</v>
      </c>
      <c r="G424" s="8">
        <f t="shared" si="127"/>
        <v>228</v>
      </c>
      <c r="H424" s="5">
        <f t="shared" si="128"/>
        <v>2564</v>
      </c>
      <c r="I424" s="5">
        <f t="shared" si="129"/>
        <v>2540</v>
      </c>
      <c r="J424" s="5">
        <f t="shared" si="130"/>
        <v>2660</v>
      </c>
      <c r="K424" s="5">
        <f t="shared" si="121"/>
        <v>3000</v>
      </c>
      <c r="L424" s="5">
        <f t="shared" si="122"/>
        <v>3000</v>
      </c>
      <c r="M424" s="5">
        <f t="shared" si="123"/>
        <v>3000</v>
      </c>
      <c r="N424" s="5">
        <f t="shared" si="134"/>
        <v>-436</v>
      </c>
      <c r="O424" s="5">
        <f t="shared" si="135"/>
        <v>-460</v>
      </c>
      <c r="P424" s="5">
        <f t="shared" si="136"/>
        <v>-340</v>
      </c>
      <c r="Q424" s="8">
        <v>0</v>
      </c>
      <c r="R424" s="8">
        <v>0</v>
      </c>
      <c r="S424" s="8">
        <v>0</v>
      </c>
      <c r="T424" s="6">
        <f t="shared" si="131"/>
        <v>868</v>
      </c>
      <c r="U424" s="7">
        <f t="shared" ref="U424:U487" si="137">U423+$X424*1000-Q424</f>
        <v>2044</v>
      </c>
      <c r="V424" s="7">
        <f t="shared" ref="V424:V487" si="138">V423+$X424*1000-R424</f>
        <v>2020</v>
      </c>
      <c r="W424" s="7">
        <f t="shared" ref="W424:W487" si="139">W423+$X424*1000-S424</f>
        <v>2080</v>
      </c>
      <c r="X424" s="6"/>
      <c r="Y424" s="5"/>
      <c r="Z424" s="5"/>
      <c r="AA424" s="5"/>
      <c r="AB424" s="5"/>
    </row>
    <row r="425" spans="1:28" ht="13.15" customHeight="1">
      <c r="A425" s="13">
        <v>411</v>
      </c>
      <c r="B425" s="4">
        <f t="shared" si="132"/>
        <v>45454</v>
      </c>
      <c r="C425" s="10">
        <f t="shared" si="133"/>
        <v>842</v>
      </c>
      <c r="D425" s="9">
        <f t="shared" si="124"/>
        <v>2048</v>
      </c>
      <c r="E425" s="8">
        <f t="shared" si="125"/>
        <v>326</v>
      </c>
      <c r="F425" s="8">
        <f t="shared" si="126"/>
        <v>350</v>
      </c>
      <c r="G425" s="8">
        <f t="shared" si="127"/>
        <v>230</v>
      </c>
      <c r="H425" s="5">
        <f t="shared" si="128"/>
        <v>2564</v>
      </c>
      <c r="I425" s="5">
        <f t="shared" si="129"/>
        <v>2540</v>
      </c>
      <c r="J425" s="5">
        <f t="shared" si="130"/>
        <v>2660</v>
      </c>
      <c r="K425" s="5">
        <f t="shared" si="121"/>
        <v>3000</v>
      </c>
      <c r="L425" s="5">
        <f t="shared" si="122"/>
        <v>3000</v>
      </c>
      <c r="M425" s="5">
        <f t="shared" si="123"/>
        <v>3000</v>
      </c>
      <c r="N425" s="5">
        <f t="shared" si="134"/>
        <v>-436</v>
      </c>
      <c r="O425" s="5">
        <f t="shared" si="135"/>
        <v>-460</v>
      </c>
      <c r="P425" s="5">
        <f t="shared" si="136"/>
        <v>-340</v>
      </c>
      <c r="Q425" s="8">
        <v>0</v>
      </c>
      <c r="R425" s="8">
        <v>0</v>
      </c>
      <c r="S425" s="8">
        <v>0</v>
      </c>
      <c r="T425" s="6">
        <f t="shared" si="131"/>
        <v>870</v>
      </c>
      <c r="U425" s="7">
        <f t="shared" si="137"/>
        <v>2044</v>
      </c>
      <c r="V425" s="7">
        <f t="shared" si="138"/>
        <v>2020</v>
      </c>
      <c r="W425" s="7">
        <f t="shared" si="139"/>
        <v>2080</v>
      </c>
      <c r="X425" s="6"/>
      <c r="Y425" s="5"/>
      <c r="Z425" s="5"/>
      <c r="AA425" s="5"/>
      <c r="AB425" s="5"/>
    </row>
    <row r="426" spans="1:28" ht="13.15" customHeight="1">
      <c r="A426" s="13">
        <v>412</v>
      </c>
      <c r="B426" s="4">
        <f t="shared" si="132"/>
        <v>45455</v>
      </c>
      <c r="C426" s="10">
        <f t="shared" si="133"/>
        <v>842</v>
      </c>
      <c r="D426" s="9">
        <f t="shared" si="124"/>
        <v>2050</v>
      </c>
      <c r="E426" s="8">
        <f t="shared" si="125"/>
        <v>328</v>
      </c>
      <c r="F426" s="8">
        <f t="shared" si="126"/>
        <v>352</v>
      </c>
      <c r="G426" s="8">
        <f t="shared" si="127"/>
        <v>232</v>
      </c>
      <c r="H426" s="5">
        <f t="shared" si="128"/>
        <v>2564</v>
      </c>
      <c r="I426" s="5">
        <f t="shared" si="129"/>
        <v>2540</v>
      </c>
      <c r="J426" s="5">
        <f t="shared" si="130"/>
        <v>2660</v>
      </c>
      <c r="K426" s="5">
        <f t="shared" si="121"/>
        <v>3000</v>
      </c>
      <c r="L426" s="5">
        <f t="shared" si="122"/>
        <v>3000</v>
      </c>
      <c r="M426" s="5">
        <f t="shared" si="123"/>
        <v>3000</v>
      </c>
      <c r="N426" s="5">
        <f t="shared" si="134"/>
        <v>-436</v>
      </c>
      <c r="O426" s="5">
        <f t="shared" si="135"/>
        <v>-460</v>
      </c>
      <c r="P426" s="5">
        <f t="shared" si="136"/>
        <v>-340</v>
      </c>
      <c r="Q426" s="8">
        <v>0</v>
      </c>
      <c r="R426" s="8">
        <v>0</v>
      </c>
      <c r="S426" s="8">
        <v>0</v>
      </c>
      <c r="T426" s="6">
        <f t="shared" si="131"/>
        <v>872</v>
      </c>
      <c r="U426" s="7">
        <f t="shared" si="137"/>
        <v>2044</v>
      </c>
      <c r="V426" s="7">
        <f t="shared" si="138"/>
        <v>2020</v>
      </c>
      <c r="W426" s="7">
        <f t="shared" si="139"/>
        <v>2080</v>
      </c>
      <c r="X426" s="6"/>
      <c r="Y426" s="5"/>
      <c r="Z426" s="5"/>
      <c r="AA426" s="5"/>
      <c r="AB426" s="5"/>
    </row>
    <row r="427" spans="1:28" ht="13.15" customHeight="1">
      <c r="A427" s="13">
        <v>413</v>
      </c>
      <c r="B427" s="4">
        <f t="shared" si="132"/>
        <v>45456</v>
      </c>
      <c r="C427" s="10">
        <f t="shared" si="133"/>
        <v>842</v>
      </c>
      <c r="D427" s="9">
        <f t="shared" si="124"/>
        <v>2052</v>
      </c>
      <c r="E427" s="8">
        <f t="shared" si="125"/>
        <v>330</v>
      </c>
      <c r="F427" s="8">
        <f t="shared" si="126"/>
        <v>354</v>
      </c>
      <c r="G427" s="8">
        <f t="shared" si="127"/>
        <v>234</v>
      </c>
      <c r="H427" s="5">
        <f t="shared" si="128"/>
        <v>2564</v>
      </c>
      <c r="I427" s="5">
        <f t="shared" si="129"/>
        <v>2540</v>
      </c>
      <c r="J427" s="5">
        <f t="shared" si="130"/>
        <v>2660</v>
      </c>
      <c r="K427" s="5">
        <f t="shared" si="121"/>
        <v>3000</v>
      </c>
      <c r="L427" s="5">
        <f t="shared" si="122"/>
        <v>3000</v>
      </c>
      <c r="M427" s="5">
        <f t="shared" si="123"/>
        <v>3000</v>
      </c>
      <c r="N427" s="5">
        <f t="shared" si="134"/>
        <v>-436</v>
      </c>
      <c r="O427" s="5">
        <f t="shared" si="135"/>
        <v>-460</v>
      </c>
      <c r="P427" s="5">
        <f t="shared" si="136"/>
        <v>-340</v>
      </c>
      <c r="Q427" s="8">
        <v>0</v>
      </c>
      <c r="R427" s="8">
        <v>0</v>
      </c>
      <c r="S427" s="8">
        <v>0</v>
      </c>
      <c r="T427" s="6">
        <f t="shared" si="131"/>
        <v>874</v>
      </c>
      <c r="U427" s="7">
        <f t="shared" si="137"/>
        <v>2044</v>
      </c>
      <c r="V427" s="7">
        <f t="shared" si="138"/>
        <v>2020</v>
      </c>
      <c r="W427" s="7">
        <f t="shared" si="139"/>
        <v>2080</v>
      </c>
      <c r="X427" s="6"/>
      <c r="Y427" s="5"/>
      <c r="Z427" s="5"/>
      <c r="AA427" s="5"/>
      <c r="AB427" s="5"/>
    </row>
    <row r="428" spans="1:28" ht="13.15" customHeight="1">
      <c r="A428" s="13">
        <v>414</v>
      </c>
      <c r="B428" s="4">
        <f t="shared" si="132"/>
        <v>45457</v>
      </c>
      <c r="C428" s="10">
        <f t="shared" si="133"/>
        <v>842</v>
      </c>
      <c r="D428" s="9">
        <f t="shared" si="124"/>
        <v>2054</v>
      </c>
      <c r="E428" s="8">
        <f t="shared" si="125"/>
        <v>332</v>
      </c>
      <c r="F428" s="8">
        <f t="shared" si="126"/>
        <v>356</v>
      </c>
      <c r="G428" s="8">
        <f t="shared" si="127"/>
        <v>236</v>
      </c>
      <c r="H428" s="5">
        <f t="shared" si="128"/>
        <v>2564</v>
      </c>
      <c r="I428" s="5">
        <f t="shared" si="129"/>
        <v>2540</v>
      </c>
      <c r="J428" s="5">
        <f t="shared" si="130"/>
        <v>2660</v>
      </c>
      <c r="K428" s="5">
        <f t="shared" ref="K428:K491" si="140">K427</f>
        <v>3000</v>
      </c>
      <c r="L428" s="5">
        <f t="shared" ref="L428:L491" si="141">L427</f>
        <v>3000</v>
      </c>
      <c r="M428" s="5">
        <f t="shared" ref="M428:M491" si="142">M427</f>
        <v>3000</v>
      </c>
      <c r="N428" s="5">
        <f t="shared" si="134"/>
        <v>-436</v>
      </c>
      <c r="O428" s="5">
        <f t="shared" si="135"/>
        <v>-460</v>
      </c>
      <c r="P428" s="5">
        <f t="shared" si="136"/>
        <v>-340</v>
      </c>
      <c r="Q428" s="8">
        <v>0</v>
      </c>
      <c r="R428" s="8">
        <v>0</v>
      </c>
      <c r="S428" s="8">
        <v>0</v>
      </c>
      <c r="T428" s="6">
        <f t="shared" si="131"/>
        <v>876</v>
      </c>
      <c r="U428" s="7">
        <f t="shared" si="137"/>
        <v>2044</v>
      </c>
      <c r="V428" s="7">
        <f t="shared" si="138"/>
        <v>2020</v>
      </c>
      <c r="W428" s="7">
        <f t="shared" si="139"/>
        <v>2080</v>
      </c>
      <c r="X428" s="6"/>
      <c r="Y428" s="5"/>
      <c r="Z428" s="5"/>
      <c r="AA428" s="5"/>
      <c r="AB428" s="5"/>
    </row>
    <row r="429" spans="1:28" ht="13.15" customHeight="1">
      <c r="A429" s="13">
        <v>415</v>
      </c>
      <c r="B429" s="4">
        <f t="shared" si="132"/>
        <v>45458</v>
      </c>
      <c r="C429" s="10">
        <f t="shared" si="133"/>
        <v>842</v>
      </c>
      <c r="D429" s="9">
        <f t="shared" si="124"/>
        <v>2056</v>
      </c>
      <c r="E429" s="8">
        <f t="shared" si="125"/>
        <v>334</v>
      </c>
      <c r="F429" s="8">
        <f t="shared" si="126"/>
        <v>358</v>
      </c>
      <c r="G429" s="8">
        <f t="shared" si="127"/>
        <v>238</v>
      </c>
      <c r="H429" s="5">
        <f t="shared" si="128"/>
        <v>2564</v>
      </c>
      <c r="I429" s="5">
        <f t="shared" si="129"/>
        <v>2540</v>
      </c>
      <c r="J429" s="5">
        <f t="shared" si="130"/>
        <v>2660</v>
      </c>
      <c r="K429" s="5">
        <f t="shared" si="140"/>
        <v>3000</v>
      </c>
      <c r="L429" s="5">
        <f t="shared" si="141"/>
        <v>3000</v>
      </c>
      <c r="M429" s="5">
        <f t="shared" si="142"/>
        <v>3000</v>
      </c>
      <c r="N429" s="5">
        <f t="shared" si="134"/>
        <v>-436</v>
      </c>
      <c r="O429" s="5">
        <f t="shared" si="135"/>
        <v>-460</v>
      </c>
      <c r="P429" s="5">
        <f t="shared" si="136"/>
        <v>-340</v>
      </c>
      <c r="Q429" s="8">
        <v>0</v>
      </c>
      <c r="R429" s="8">
        <v>0</v>
      </c>
      <c r="S429" s="8">
        <v>0</v>
      </c>
      <c r="T429" s="6">
        <f t="shared" si="131"/>
        <v>878</v>
      </c>
      <c r="U429" s="7">
        <f t="shared" si="137"/>
        <v>2044</v>
      </c>
      <c r="V429" s="7">
        <f t="shared" si="138"/>
        <v>2020</v>
      </c>
      <c r="W429" s="7">
        <f t="shared" si="139"/>
        <v>2080</v>
      </c>
      <c r="X429" s="6"/>
      <c r="Y429" s="5"/>
      <c r="Z429" s="5"/>
      <c r="AA429" s="5"/>
      <c r="AB429" s="5"/>
    </row>
    <row r="430" spans="1:28" ht="13.15" customHeight="1">
      <c r="A430" s="13">
        <v>416</v>
      </c>
      <c r="B430" s="4">
        <f t="shared" si="132"/>
        <v>45459</v>
      </c>
      <c r="C430" s="10">
        <f t="shared" si="133"/>
        <v>842</v>
      </c>
      <c r="D430" s="9">
        <f t="shared" si="124"/>
        <v>2058</v>
      </c>
      <c r="E430" s="8">
        <f t="shared" si="125"/>
        <v>336</v>
      </c>
      <c r="F430" s="8">
        <f t="shared" si="126"/>
        <v>360</v>
      </c>
      <c r="G430" s="8">
        <f t="shared" si="127"/>
        <v>240</v>
      </c>
      <c r="H430" s="5">
        <f t="shared" si="128"/>
        <v>2564</v>
      </c>
      <c r="I430" s="5">
        <f t="shared" si="129"/>
        <v>2540</v>
      </c>
      <c r="J430" s="5">
        <f t="shared" si="130"/>
        <v>2660</v>
      </c>
      <c r="K430" s="5">
        <f t="shared" si="140"/>
        <v>3000</v>
      </c>
      <c r="L430" s="5">
        <f t="shared" si="141"/>
        <v>3000</v>
      </c>
      <c r="M430" s="5">
        <f t="shared" si="142"/>
        <v>3000</v>
      </c>
      <c r="N430" s="5">
        <f t="shared" si="134"/>
        <v>-436</v>
      </c>
      <c r="O430" s="5">
        <f t="shared" si="135"/>
        <v>-460</v>
      </c>
      <c r="P430" s="5">
        <f t="shared" si="136"/>
        <v>-340</v>
      </c>
      <c r="Q430" s="8">
        <v>0</v>
      </c>
      <c r="R430" s="8">
        <v>0</v>
      </c>
      <c r="S430" s="8">
        <v>0</v>
      </c>
      <c r="T430" s="6">
        <f t="shared" si="131"/>
        <v>880</v>
      </c>
      <c r="U430" s="7">
        <f t="shared" si="137"/>
        <v>2044</v>
      </c>
      <c r="V430" s="7">
        <f t="shared" si="138"/>
        <v>2020</v>
      </c>
      <c r="W430" s="7">
        <f t="shared" si="139"/>
        <v>2080</v>
      </c>
      <c r="X430" s="6"/>
      <c r="Y430" s="5"/>
      <c r="Z430" s="5"/>
      <c r="AA430" s="5"/>
      <c r="AB430" s="5"/>
    </row>
    <row r="431" spans="1:28" ht="13.15" customHeight="1">
      <c r="A431" s="13">
        <v>417</v>
      </c>
      <c r="B431" s="4">
        <f t="shared" si="132"/>
        <v>45460</v>
      </c>
      <c r="C431" s="10">
        <f t="shared" si="133"/>
        <v>842</v>
      </c>
      <c r="D431" s="9">
        <f t="shared" si="124"/>
        <v>2060</v>
      </c>
      <c r="E431" s="8">
        <f t="shared" si="125"/>
        <v>338</v>
      </c>
      <c r="F431" s="8">
        <f t="shared" si="126"/>
        <v>362</v>
      </c>
      <c r="G431" s="8">
        <f t="shared" si="127"/>
        <v>242</v>
      </c>
      <c r="H431" s="5">
        <f t="shared" si="128"/>
        <v>2564</v>
      </c>
      <c r="I431" s="5">
        <f t="shared" si="129"/>
        <v>2540</v>
      </c>
      <c r="J431" s="5">
        <f t="shared" si="130"/>
        <v>2660</v>
      </c>
      <c r="K431" s="5">
        <f t="shared" si="140"/>
        <v>3000</v>
      </c>
      <c r="L431" s="5">
        <f t="shared" si="141"/>
        <v>3000</v>
      </c>
      <c r="M431" s="5">
        <f t="shared" si="142"/>
        <v>3000</v>
      </c>
      <c r="N431" s="5">
        <f t="shared" si="134"/>
        <v>-436</v>
      </c>
      <c r="O431" s="5">
        <f t="shared" si="135"/>
        <v>-460</v>
      </c>
      <c r="P431" s="5">
        <f t="shared" si="136"/>
        <v>-340</v>
      </c>
      <c r="Q431" s="8">
        <v>0</v>
      </c>
      <c r="R431" s="8">
        <v>0</v>
      </c>
      <c r="S431" s="8">
        <v>0</v>
      </c>
      <c r="T431" s="6">
        <f t="shared" si="131"/>
        <v>882</v>
      </c>
      <c r="U431" s="7">
        <f t="shared" si="137"/>
        <v>2044</v>
      </c>
      <c r="V431" s="7">
        <f t="shared" si="138"/>
        <v>2020</v>
      </c>
      <c r="W431" s="7">
        <f t="shared" si="139"/>
        <v>2080</v>
      </c>
      <c r="X431" s="6"/>
      <c r="Y431" s="5"/>
      <c r="Z431" s="5"/>
      <c r="AA431" s="5"/>
      <c r="AB431" s="5"/>
    </row>
    <row r="432" spans="1:28" ht="13.15" customHeight="1">
      <c r="A432" s="13">
        <v>418</v>
      </c>
      <c r="B432" s="4">
        <f t="shared" si="132"/>
        <v>45461</v>
      </c>
      <c r="C432" s="10">
        <f t="shared" si="133"/>
        <v>842</v>
      </c>
      <c r="D432" s="9">
        <f t="shared" si="124"/>
        <v>2062</v>
      </c>
      <c r="E432" s="8">
        <f t="shared" si="125"/>
        <v>340</v>
      </c>
      <c r="F432" s="8">
        <f t="shared" si="126"/>
        <v>364</v>
      </c>
      <c r="G432" s="8">
        <f t="shared" si="127"/>
        <v>244</v>
      </c>
      <c r="H432" s="5">
        <f t="shared" si="128"/>
        <v>2564</v>
      </c>
      <c r="I432" s="5">
        <f t="shared" si="129"/>
        <v>2540</v>
      </c>
      <c r="J432" s="5">
        <f t="shared" si="130"/>
        <v>2660</v>
      </c>
      <c r="K432" s="5">
        <f t="shared" si="140"/>
        <v>3000</v>
      </c>
      <c r="L432" s="5">
        <f t="shared" si="141"/>
        <v>3000</v>
      </c>
      <c r="M432" s="5">
        <f t="shared" si="142"/>
        <v>3000</v>
      </c>
      <c r="N432" s="5">
        <f t="shared" si="134"/>
        <v>-436</v>
      </c>
      <c r="O432" s="5">
        <f t="shared" si="135"/>
        <v>-460</v>
      </c>
      <c r="P432" s="5">
        <f t="shared" si="136"/>
        <v>-340</v>
      </c>
      <c r="Q432" s="8">
        <v>0</v>
      </c>
      <c r="R432" s="8">
        <v>0</v>
      </c>
      <c r="S432" s="8">
        <v>0</v>
      </c>
      <c r="T432" s="6">
        <f t="shared" si="131"/>
        <v>884</v>
      </c>
      <c r="U432" s="7">
        <f t="shared" si="137"/>
        <v>2044</v>
      </c>
      <c r="V432" s="7">
        <f t="shared" si="138"/>
        <v>2020</v>
      </c>
      <c r="W432" s="7">
        <f t="shared" si="139"/>
        <v>2080</v>
      </c>
      <c r="X432" s="6"/>
      <c r="Y432" s="5"/>
      <c r="Z432" s="5"/>
      <c r="AA432" s="5"/>
      <c r="AB432" s="5"/>
    </row>
    <row r="433" spans="1:28" ht="13.15" customHeight="1">
      <c r="A433" s="13">
        <v>419</v>
      </c>
      <c r="B433" s="4">
        <f t="shared" si="132"/>
        <v>45462</v>
      </c>
      <c r="C433" s="10">
        <f t="shared" si="133"/>
        <v>842</v>
      </c>
      <c r="D433" s="9">
        <f t="shared" si="124"/>
        <v>2064</v>
      </c>
      <c r="E433" s="8">
        <f t="shared" si="125"/>
        <v>342</v>
      </c>
      <c r="F433" s="8">
        <f t="shared" si="126"/>
        <v>366</v>
      </c>
      <c r="G433" s="8">
        <f t="shared" si="127"/>
        <v>246</v>
      </c>
      <c r="H433" s="5">
        <f t="shared" si="128"/>
        <v>2564</v>
      </c>
      <c r="I433" s="5">
        <f t="shared" si="129"/>
        <v>2540</v>
      </c>
      <c r="J433" s="5">
        <f t="shared" si="130"/>
        <v>2660</v>
      </c>
      <c r="K433" s="5">
        <f t="shared" si="140"/>
        <v>3000</v>
      </c>
      <c r="L433" s="5">
        <f t="shared" si="141"/>
        <v>3000</v>
      </c>
      <c r="M433" s="5">
        <f t="shared" si="142"/>
        <v>3000</v>
      </c>
      <c r="N433" s="5">
        <f t="shared" si="134"/>
        <v>-436</v>
      </c>
      <c r="O433" s="5">
        <f t="shared" si="135"/>
        <v>-460</v>
      </c>
      <c r="P433" s="5">
        <f t="shared" si="136"/>
        <v>-340</v>
      </c>
      <c r="Q433" s="8">
        <v>0</v>
      </c>
      <c r="R433" s="8">
        <v>0</v>
      </c>
      <c r="S433" s="8">
        <v>0</v>
      </c>
      <c r="T433" s="6">
        <f t="shared" si="131"/>
        <v>886</v>
      </c>
      <c r="U433" s="7">
        <f t="shared" si="137"/>
        <v>2044</v>
      </c>
      <c r="V433" s="7">
        <f t="shared" si="138"/>
        <v>2020</v>
      </c>
      <c r="W433" s="7">
        <f t="shared" si="139"/>
        <v>2080</v>
      </c>
      <c r="X433" s="6"/>
      <c r="Y433" s="5"/>
      <c r="Z433" s="5"/>
      <c r="AA433" s="5"/>
      <c r="AB433" s="5"/>
    </row>
    <row r="434" spans="1:28" ht="13.15" customHeight="1">
      <c r="A434" s="13">
        <v>420</v>
      </c>
      <c r="B434" s="4">
        <f t="shared" si="132"/>
        <v>45463</v>
      </c>
      <c r="C434" s="10">
        <f t="shared" si="133"/>
        <v>842</v>
      </c>
      <c r="D434" s="9">
        <f t="shared" si="124"/>
        <v>2066</v>
      </c>
      <c r="E434" s="8">
        <f t="shared" si="125"/>
        <v>344</v>
      </c>
      <c r="F434" s="8">
        <f t="shared" si="126"/>
        <v>368</v>
      </c>
      <c r="G434" s="8">
        <f t="shared" si="127"/>
        <v>248</v>
      </c>
      <c r="H434" s="5">
        <f t="shared" si="128"/>
        <v>2564</v>
      </c>
      <c r="I434" s="5">
        <f t="shared" si="129"/>
        <v>2540</v>
      </c>
      <c r="J434" s="5">
        <f t="shared" si="130"/>
        <v>2660</v>
      </c>
      <c r="K434" s="5">
        <f t="shared" si="140"/>
        <v>3000</v>
      </c>
      <c r="L434" s="5">
        <f t="shared" si="141"/>
        <v>3000</v>
      </c>
      <c r="M434" s="5">
        <f t="shared" si="142"/>
        <v>3000</v>
      </c>
      <c r="N434" s="5">
        <f t="shared" si="134"/>
        <v>-436</v>
      </c>
      <c r="O434" s="5">
        <f t="shared" si="135"/>
        <v>-460</v>
      </c>
      <c r="P434" s="5">
        <f t="shared" si="136"/>
        <v>-340</v>
      </c>
      <c r="Q434" s="8">
        <v>0</v>
      </c>
      <c r="R434" s="8">
        <v>0</v>
      </c>
      <c r="S434" s="8">
        <v>0</v>
      </c>
      <c r="T434" s="6">
        <f t="shared" si="131"/>
        <v>888</v>
      </c>
      <c r="U434" s="7">
        <f t="shared" si="137"/>
        <v>2044</v>
      </c>
      <c r="V434" s="7">
        <f t="shared" si="138"/>
        <v>2020</v>
      </c>
      <c r="W434" s="7">
        <f t="shared" si="139"/>
        <v>2080</v>
      </c>
      <c r="X434" s="6"/>
      <c r="Y434" s="5"/>
      <c r="Z434" s="5"/>
      <c r="AA434" s="5"/>
      <c r="AB434" s="5"/>
    </row>
    <row r="435" spans="1:28" ht="13.15" customHeight="1">
      <c r="A435" s="13">
        <v>421</v>
      </c>
      <c r="B435" s="4">
        <f t="shared" si="132"/>
        <v>45464</v>
      </c>
      <c r="C435" s="10">
        <f t="shared" si="133"/>
        <v>842</v>
      </c>
      <c r="D435" s="9">
        <f t="shared" si="124"/>
        <v>2068</v>
      </c>
      <c r="E435" s="8">
        <f t="shared" si="125"/>
        <v>346</v>
      </c>
      <c r="F435" s="8">
        <f t="shared" si="126"/>
        <v>370</v>
      </c>
      <c r="G435" s="8">
        <f t="shared" si="127"/>
        <v>250</v>
      </c>
      <c r="H435" s="5">
        <f t="shared" si="128"/>
        <v>2564</v>
      </c>
      <c r="I435" s="5">
        <f t="shared" si="129"/>
        <v>2540</v>
      </c>
      <c r="J435" s="5">
        <f t="shared" si="130"/>
        <v>2660</v>
      </c>
      <c r="K435" s="5">
        <f t="shared" si="140"/>
        <v>3000</v>
      </c>
      <c r="L435" s="5">
        <f t="shared" si="141"/>
        <v>3000</v>
      </c>
      <c r="M435" s="5">
        <f t="shared" si="142"/>
        <v>3000</v>
      </c>
      <c r="N435" s="5">
        <f t="shared" si="134"/>
        <v>-436</v>
      </c>
      <c r="O435" s="5">
        <f t="shared" si="135"/>
        <v>-460</v>
      </c>
      <c r="P435" s="5">
        <f t="shared" si="136"/>
        <v>-340</v>
      </c>
      <c r="Q435" s="8">
        <v>0</v>
      </c>
      <c r="R435" s="8">
        <v>0</v>
      </c>
      <c r="S435" s="8">
        <v>0</v>
      </c>
      <c r="T435" s="6">
        <f t="shared" si="131"/>
        <v>890</v>
      </c>
      <c r="U435" s="7">
        <f t="shared" si="137"/>
        <v>2044</v>
      </c>
      <c r="V435" s="7">
        <f t="shared" si="138"/>
        <v>2020</v>
      </c>
      <c r="W435" s="7">
        <f t="shared" si="139"/>
        <v>2080</v>
      </c>
      <c r="X435" s="6"/>
      <c r="Y435" s="5"/>
      <c r="Z435" s="5"/>
      <c r="AA435" s="5"/>
      <c r="AB435" s="5"/>
    </row>
    <row r="436" spans="1:28" ht="13.15" customHeight="1">
      <c r="A436" s="13">
        <v>422</v>
      </c>
      <c r="B436" s="4">
        <f t="shared" si="132"/>
        <v>45465</v>
      </c>
      <c r="C436" s="10">
        <f t="shared" si="133"/>
        <v>842</v>
      </c>
      <c r="D436" s="9">
        <f t="shared" si="124"/>
        <v>2070</v>
      </c>
      <c r="E436" s="8">
        <f t="shared" si="125"/>
        <v>348</v>
      </c>
      <c r="F436" s="8">
        <f t="shared" si="126"/>
        <v>372</v>
      </c>
      <c r="G436" s="8">
        <f t="shared" si="127"/>
        <v>252</v>
      </c>
      <c r="H436" s="5">
        <f t="shared" si="128"/>
        <v>2564</v>
      </c>
      <c r="I436" s="5">
        <f t="shared" si="129"/>
        <v>2540</v>
      </c>
      <c r="J436" s="5">
        <f t="shared" si="130"/>
        <v>2660</v>
      </c>
      <c r="K436" s="5">
        <f t="shared" si="140"/>
        <v>3000</v>
      </c>
      <c r="L436" s="5">
        <f t="shared" si="141"/>
        <v>3000</v>
      </c>
      <c r="M436" s="5">
        <f t="shared" si="142"/>
        <v>3000</v>
      </c>
      <c r="N436" s="5">
        <f t="shared" si="134"/>
        <v>-436</v>
      </c>
      <c r="O436" s="5">
        <f t="shared" si="135"/>
        <v>-460</v>
      </c>
      <c r="P436" s="5">
        <f t="shared" si="136"/>
        <v>-340</v>
      </c>
      <c r="Q436" s="8">
        <v>0</v>
      </c>
      <c r="R436" s="8">
        <v>0</v>
      </c>
      <c r="S436" s="8">
        <v>0</v>
      </c>
      <c r="T436" s="6">
        <f t="shared" si="131"/>
        <v>892</v>
      </c>
      <c r="U436" s="7">
        <f t="shared" si="137"/>
        <v>2044</v>
      </c>
      <c r="V436" s="7">
        <f t="shared" si="138"/>
        <v>2020</v>
      </c>
      <c r="W436" s="7">
        <f t="shared" si="139"/>
        <v>2080</v>
      </c>
      <c r="X436" s="6"/>
      <c r="Y436" s="5"/>
      <c r="Z436" s="5"/>
      <c r="AA436" s="5"/>
      <c r="AB436" s="5"/>
    </row>
    <row r="437" spans="1:28" ht="13.15" customHeight="1">
      <c r="A437" s="13">
        <v>423</v>
      </c>
      <c r="B437" s="4">
        <f t="shared" si="132"/>
        <v>45466</v>
      </c>
      <c r="C437" s="10">
        <f t="shared" si="133"/>
        <v>842</v>
      </c>
      <c r="D437" s="9">
        <f t="shared" si="124"/>
        <v>2072</v>
      </c>
      <c r="E437" s="8">
        <f t="shared" si="125"/>
        <v>350</v>
      </c>
      <c r="F437" s="8">
        <f t="shared" si="126"/>
        <v>374</v>
      </c>
      <c r="G437" s="8">
        <f t="shared" si="127"/>
        <v>254</v>
      </c>
      <c r="H437" s="5">
        <f t="shared" si="128"/>
        <v>2564</v>
      </c>
      <c r="I437" s="5">
        <f t="shared" si="129"/>
        <v>2540</v>
      </c>
      <c r="J437" s="5">
        <f t="shared" si="130"/>
        <v>2660</v>
      </c>
      <c r="K437" s="5">
        <f t="shared" si="140"/>
        <v>3000</v>
      </c>
      <c r="L437" s="5">
        <f t="shared" si="141"/>
        <v>3000</v>
      </c>
      <c r="M437" s="5">
        <f t="shared" si="142"/>
        <v>3000</v>
      </c>
      <c r="N437" s="5">
        <f t="shared" si="134"/>
        <v>-436</v>
      </c>
      <c r="O437" s="5">
        <f t="shared" si="135"/>
        <v>-460</v>
      </c>
      <c r="P437" s="5">
        <f t="shared" si="136"/>
        <v>-340</v>
      </c>
      <c r="Q437" s="8">
        <v>0</v>
      </c>
      <c r="R437" s="8">
        <v>0</v>
      </c>
      <c r="S437" s="8">
        <v>0</v>
      </c>
      <c r="T437" s="6">
        <f t="shared" si="131"/>
        <v>894</v>
      </c>
      <c r="U437" s="7">
        <f t="shared" si="137"/>
        <v>2044</v>
      </c>
      <c r="V437" s="7">
        <f t="shared" si="138"/>
        <v>2020</v>
      </c>
      <c r="W437" s="7">
        <f t="shared" si="139"/>
        <v>2080</v>
      </c>
      <c r="X437" s="6"/>
      <c r="Y437" s="5"/>
      <c r="Z437" s="5"/>
      <c r="AA437" s="5"/>
      <c r="AB437" s="5"/>
    </row>
    <row r="438" spans="1:28" ht="13.15" customHeight="1">
      <c r="A438" s="13">
        <v>424</v>
      </c>
      <c r="B438" s="4">
        <f t="shared" si="132"/>
        <v>45467</v>
      </c>
      <c r="C438" s="10">
        <f t="shared" si="133"/>
        <v>842</v>
      </c>
      <c r="D438" s="9">
        <f t="shared" si="124"/>
        <v>2074</v>
      </c>
      <c r="E438" s="8">
        <f t="shared" si="125"/>
        <v>352</v>
      </c>
      <c r="F438" s="8">
        <f t="shared" si="126"/>
        <v>376</v>
      </c>
      <c r="G438" s="8">
        <f t="shared" si="127"/>
        <v>256</v>
      </c>
      <c r="H438" s="5">
        <f t="shared" si="128"/>
        <v>2564</v>
      </c>
      <c r="I438" s="5">
        <f t="shared" si="129"/>
        <v>2540</v>
      </c>
      <c r="J438" s="5">
        <f t="shared" si="130"/>
        <v>2660</v>
      </c>
      <c r="K438" s="5">
        <f t="shared" si="140"/>
        <v>3000</v>
      </c>
      <c r="L438" s="5">
        <f t="shared" si="141"/>
        <v>3000</v>
      </c>
      <c r="M438" s="5">
        <f t="shared" si="142"/>
        <v>3000</v>
      </c>
      <c r="N438" s="5">
        <f t="shared" si="134"/>
        <v>-436</v>
      </c>
      <c r="O438" s="5">
        <f t="shared" si="135"/>
        <v>-460</v>
      </c>
      <c r="P438" s="5">
        <f t="shared" si="136"/>
        <v>-340</v>
      </c>
      <c r="Q438" s="8">
        <v>0</v>
      </c>
      <c r="R438" s="8">
        <v>0</v>
      </c>
      <c r="S438" s="8">
        <v>0</v>
      </c>
      <c r="T438" s="6">
        <f t="shared" si="131"/>
        <v>896</v>
      </c>
      <c r="U438" s="7">
        <f t="shared" si="137"/>
        <v>2044</v>
      </c>
      <c r="V438" s="7">
        <f t="shared" si="138"/>
        <v>2020</v>
      </c>
      <c r="W438" s="7">
        <f t="shared" si="139"/>
        <v>2080</v>
      </c>
      <c r="X438" s="6"/>
      <c r="Y438" s="5"/>
      <c r="Z438" s="5"/>
      <c r="AA438" s="5"/>
      <c r="AB438" s="5"/>
    </row>
    <row r="439" spans="1:28" ht="13.15" customHeight="1">
      <c r="A439" s="13">
        <v>425</v>
      </c>
      <c r="B439" s="4">
        <f t="shared" si="132"/>
        <v>45468</v>
      </c>
      <c r="C439" s="10">
        <f t="shared" si="133"/>
        <v>842</v>
      </c>
      <c r="D439" s="9">
        <f t="shared" si="124"/>
        <v>2076</v>
      </c>
      <c r="E439" s="8">
        <f t="shared" si="125"/>
        <v>354</v>
      </c>
      <c r="F439" s="8">
        <f t="shared" si="126"/>
        <v>378</v>
      </c>
      <c r="G439" s="8">
        <f t="shared" si="127"/>
        <v>258</v>
      </c>
      <c r="H439" s="5">
        <f t="shared" si="128"/>
        <v>2564</v>
      </c>
      <c r="I439" s="5">
        <f t="shared" si="129"/>
        <v>2540</v>
      </c>
      <c r="J439" s="5">
        <f t="shared" si="130"/>
        <v>2660</v>
      </c>
      <c r="K439" s="5">
        <f t="shared" si="140"/>
        <v>3000</v>
      </c>
      <c r="L439" s="5">
        <f t="shared" si="141"/>
        <v>3000</v>
      </c>
      <c r="M439" s="5">
        <f t="shared" si="142"/>
        <v>3000</v>
      </c>
      <c r="N439" s="5">
        <f t="shared" si="134"/>
        <v>-436</v>
      </c>
      <c r="O439" s="5">
        <f t="shared" si="135"/>
        <v>-460</v>
      </c>
      <c r="P439" s="5">
        <f t="shared" si="136"/>
        <v>-340</v>
      </c>
      <c r="Q439" s="8">
        <v>0</v>
      </c>
      <c r="R439" s="8">
        <v>0</v>
      </c>
      <c r="S439" s="8">
        <v>0</v>
      </c>
      <c r="T439" s="6">
        <f t="shared" si="131"/>
        <v>898</v>
      </c>
      <c r="U439" s="7">
        <f t="shared" si="137"/>
        <v>2044</v>
      </c>
      <c r="V439" s="7">
        <f t="shared" si="138"/>
        <v>2020</v>
      </c>
      <c r="W439" s="7">
        <f t="shared" si="139"/>
        <v>2080</v>
      </c>
      <c r="X439" s="6"/>
      <c r="Y439" s="5"/>
      <c r="Z439" s="5"/>
      <c r="AA439" s="5"/>
      <c r="AB439" s="5"/>
    </row>
    <row r="440" spans="1:28" ht="13.15" customHeight="1">
      <c r="A440" s="13">
        <v>426</v>
      </c>
      <c r="B440" s="4">
        <f t="shared" si="132"/>
        <v>45469</v>
      </c>
      <c r="C440" s="10">
        <f t="shared" si="133"/>
        <v>842</v>
      </c>
      <c r="D440" s="9">
        <f t="shared" si="124"/>
        <v>2078</v>
      </c>
      <c r="E440" s="8">
        <f t="shared" si="125"/>
        <v>356</v>
      </c>
      <c r="F440" s="8">
        <f t="shared" si="126"/>
        <v>380</v>
      </c>
      <c r="G440" s="8">
        <f t="shared" si="127"/>
        <v>260</v>
      </c>
      <c r="H440" s="5">
        <f t="shared" si="128"/>
        <v>2564</v>
      </c>
      <c r="I440" s="5">
        <f t="shared" si="129"/>
        <v>2540</v>
      </c>
      <c r="J440" s="5">
        <f t="shared" si="130"/>
        <v>2660</v>
      </c>
      <c r="K440" s="5">
        <f t="shared" si="140"/>
        <v>3000</v>
      </c>
      <c r="L440" s="5">
        <f t="shared" si="141"/>
        <v>3000</v>
      </c>
      <c r="M440" s="5">
        <f t="shared" si="142"/>
        <v>3000</v>
      </c>
      <c r="N440" s="5">
        <f t="shared" si="134"/>
        <v>-436</v>
      </c>
      <c r="O440" s="5">
        <f t="shared" si="135"/>
        <v>-460</v>
      </c>
      <c r="P440" s="5">
        <f t="shared" si="136"/>
        <v>-340</v>
      </c>
      <c r="Q440" s="8">
        <v>0</v>
      </c>
      <c r="R440" s="8">
        <v>0</v>
      </c>
      <c r="S440" s="8">
        <v>0</v>
      </c>
      <c r="T440" s="6">
        <f t="shared" si="131"/>
        <v>900</v>
      </c>
      <c r="U440" s="7">
        <f t="shared" si="137"/>
        <v>2044</v>
      </c>
      <c r="V440" s="7">
        <f t="shared" si="138"/>
        <v>2020</v>
      </c>
      <c r="W440" s="7">
        <f t="shared" si="139"/>
        <v>2080</v>
      </c>
      <c r="X440" s="6"/>
      <c r="Y440" s="5"/>
      <c r="Z440" s="5"/>
      <c r="AA440" s="5"/>
      <c r="AB440" s="5"/>
    </row>
    <row r="441" spans="1:28" ht="13.15" customHeight="1">
      <c r="A441" s="13">
        <v>427</v>
      </c>
      <c r="B441" s="4">
        <f t="shared" si="132"/>
        <v>45470</v>
      </c>
      <c r="C441" s="10">
        <f t="shared" si="133"/>
        <v>842</v>
      </c>
      <c r="D441" s="9">
        <f t="shared" si="124"/>
        <v>2080</v>
      </c>
      <c r="E441" s="8">
        <f t="shared" si="125"/>
        <v>358</v>
      </c>
      <c r="F441" s="8">
        <f t="shared" si="126"/>
        <v>382</v>
      </c>
      <c r="G441" s="8">
        <f t="shared" si="127"/>
        <v>262</v>
      </c>
      <c r="H441" s="5">
        <f t="shared" si="128"/>
        <v>2564</v>
      </c>
      <c r="I441" s="5">
        <f t="shared" si="129"/>
        <v>2540</v>
      </c>
      <c r="J441" s="5">
        <f t="shared" si="130"/>
        <v>2660</v>
      </c>
      <c r="K441" s="5">
        <f t="shared" si="140"/>
        <v>3000</v>
      </c>
      <c r="L441" s="5">
        <f t="shared" si="141"/>
        <v>3000</v>
      </c>
      <c r="M441" s="5">
        <f t="shared" si="142"/>
        <v>3000</v>
      </c>
      <c r="N441" s="5">
        <f t="shared" si="134"/>
        <v>-436</v>
      </c>
      <c r="O441" s="5">
        <f t="shared" si="135"/>
        <v>-460</v>
      </c>
      <c r="P441" s="5">
        <f t="shared" si="136"/>
        <v>-340</v>
      </c>
      <c r="Q441" s="8">
        <v>0</v>
      </c>
      <c r="R441" s="8">
        <v>0</v>
      </c>
      <c r="S441" s="8">
        <v>0</v>
      </c>
      <c r="T441" s="6">
        <f t="shared" si="131"/>
        <v>902</v>
      </c>
      <c r="U441" s="7">
        <f t="shared" si="137"/>
        <v>2044</v>
      </c>
      <c r="V441" s="7">
        <f t="shared" si="138"/>
        <v>2020</v>
      </c>
      <c r="W441" s="7">
        <f t="shared" si="139"/>
        <v>2080</v>
      </c>
      <c r="X441" s="6"/>
      <c r="Y441" s="5"/>
      <c r="Z441" s="5"/>
      <c r="AA441" s="5"/>
      <c r="AB441" s="5"/>
    </row>
    <row r="442" spans="1:28" ht="13.15" customHeight="1">
      <c r="A442" s="13">
        <v>428</v>
      </c>
      <c r="B442" s="4">
        <f t="shared" si="132"/>
        <v>45471</v>
      </c>
      <c r="C442" s="10">
        <f t="shared" si="133"/>
        <v>842</v>
      </c>
      <c r="D442" s="9">
        <f t="shared" si="124"/>
        <v>2082</v>
      </c>
      <c r="E442" s="8">
        <f t="shared" si="125"/>
        <v>360</v>
      </c>
      <c r="F442" s="8">
        <f t="shared" si="126"/>
        <v>384</v>
      </c>
      <c r="G442" s="8">
        <f t="shared" si="127"/>
        <v>264</v>
      </c>
      <c r="H442" s="5">
        <f t="shared" si="128"/>
        <v>2564</v>
      </c>
      <c r="I442" s="5">
        <f t="shared" si="129"/>
        <v>2540</v>
      </c>
      <c r="J442" s="5">
        <f t="shared" si="130"/>
        <v>2660</v>
      </c>
      <c r="K442" s="5">
        <f t="shared" si="140"/>
        <v>3000</v>
      </c>
      <c r="L442" s="5">
        <f t="shared" si="141"/>
        <v>3000</v>
      </c>
      <c r="M442" s="5">
        <f t="shared" si="142"/>
        <v>3000</v>
      </c>
      <c r="N442" s="5">
        <f t="shared" si="134"/>
        <v>-436</v>
      </c>
      <c r="O442" s="5">
        <f t="shared" si="135"/>
        <v>-460</v>
      </c>
      <c r="P442" s="5">
        <f t="shared" si="136"/>
        <v>-340</v>
      </c>
      <c r="Q442" s="8">
        <v>0</v>
      </c>
      <c r="R442" s="8">
        <v>0</v>
      </c>
      <c r="S442" s="8">
        <v>0</v>
      </c>
      <c r="T442" s="6">
        <f t="shared" si="131"/>
        <v>904</v>
      </c>
      <c r="U442" s="7">
        <f t="shared" si="137"/>
        <v>2044</v>
      </c>
      <c r="V442" s="7">
        <f t="shared" si="138"/>
        <v>2020</v>
      </c>
      <c r="W442" s="7">
        <f t="shared" si="139"/>
        <v>2080</v>
      </c>
      <c r="X442" s="6"/>
      <c r="Y442" s="5"/>
      <c r="Z442" s="5"/>
      <c r="AA442" s="5"/>
      <c r="AB442" s="5"/>
    </row>
    <row r="443" spans="1:28" ht="13.15" customHeight="1">
      <c r="A443" s="13">
        <v>429</v>
      </c>
      <c r="B443" s="4">
        <f t="shared" si="132"/>
        <v>45472</v>
      </c>
      <c r="C443" s="10">
        <f t="shared" si="133"/>
        <v>842</v>
      </c>
      <c r="D443" s="9">
        <f t="shared" si="124"/>
        <v>2084</v>
      </c>
      <c r="E443" s="8">
        <f t="shared" si="125"/>
        <v>362</v>
      </c>
      <c r="F443" s="8">
        <f t="shared" si="126"/>
        <v>386</v>
      </c>
      <c r="G443" s="8">
        <f t="shared" si="127"/>
        <v>266</v>
      </c>
      <c r="H443" s="5">
        <f t="shared" si="128"/>
        <v>2564</v>
      </c>
      <c r="I443" s="5">
        <f t="shared" si="129"/>
        <v>2540</v>
      </c>
      <c r="J443" s="5">
        <f t="shared" si="130"/>
        <v>2660</v>
      </c>
      <c r="K443" s="5">
        <f t="shared" si="140"/>
        <v>3000</v>
      </c>
      <c r="L443" s="5">
        <f t="shared" si="141"/>
        <v>3000</v>
      </c>
      <c r="M443" s="5">
        <f t="shared" si="142"/>
        <v>3000</v>
      </c>
      <c r="N443" s="5">
        <f t="shared" si="134"/>
        <v>-436</v>
      </c>
      <c r="O443" s="5">
        <f t="shared" si="135"/>
        <v>-460</v>
      </c>
      <c r="P443" s="5">
        <f t="shared" si="136"/>
        <v>-340</v>
      </c>
      <c r="Q443" s="8">
        <v>0</v>
      </c>
      <c r="R443" s="8">
        <v>0</v>
      </c>
      <c r="S443" s="8">
        <v>0</v>
      </c>
      <c r="T443" s="6">
        <f t="shared" si="131"/>
        <v>906</v>
      </c>
      <c r="U443" s="7">
        <f t="shared" si="137"/>
        <v>2044</v>
      </c>
      <c r="V443" s="7">
        <f t="shared" si="138"/>
        <v>2020</v>
      </c>
      <c r="W443" s="7">
        <f t="shared" si="139"/>
        <v>2080</v>
      </c>
      <c r="X443" s="6"/>
      <c r="Y443" s="5"/>
      <c r="Z443" s="5"/>
      <c r="AA443" s="5"/>
      <c r="AB443" s="5"/>
    </row>
    <row r="444" spans="1:28" ht="13.15" customHeight="1">
      <c r="A444" s="13">
        <v>430</v>
      </c>
      <c r="B444" s="4">
        <f t="shared" si="132"/>
        <v>45473</v>
      </c>
      <c r="C444" s="10">
        <f t="shared" si="133"/>
        <v>842</v>
      </c>
      <c r="D444" s="9">
        <f t="shared" si="124"/>
        <v>2086</v>
      </c>
      <c r="E444" s="8">
        <f t="shared" si="125"/>
        <v>364</v>
      </c>
      <c r="F444" s="8">
        <f t="shared" si="126"/>
        <v>388</v>
      </c>
      <c r="G444" s="8">
        <f t="shared" si="127"/>
        <v>268</v>
      </c>
      <c r="H444" s="5">
        <f t="shared" si="128"/>
        <v>2564</v>
      </c>
      <c r="I444" s="5">
        <f t="shared" si="129"/>
        <v>2540</v>
      </c>
      <c r="J444" s="5">
        <f t="shared" si="130"/>
        <v>2660</v>
      </c>
      <c r="K444" s="5">
        <f t="shared" si="140"/>
        <v>3000</v>
      </c>
      <c r="L444" s="5">
        <f t="shared" si="141"/>
        <v>3000</v>
      </c>
      <c r="M444" s="5">
        <f t="shared" si="142"/>
        <v>3000</v>
      </c>
      <c r="N444" s="5">
        <f t="shared" si="134"/>
        <v>-436</v>
      </c>
      <c r="O444" s="5">
        <f t="shared" si="135"/>
        <v>-460</v>
      </c>
      <c r="P444" s="5">
        <f t="shared" si="136"/>
        <v>-340</v>
      </c>
      <c r="Q444" s="8">
        <v>0</v>
      </c>
      <c r="R444" s="8">
        <v>0</v>
      </c>
      <c r="S444" s="8">
        <v>0</v>
      </c>
      <c r="T444" s="6">
        <f t="shared" si="131"/>
        <v>908</v>
      </c>
      <c r="U444" s="7">
        <f t="shared" si="137"/>
        <v>2044</v>
      </c>
      <c r="V444" s="7">
        <f t="shared" si="138"/>
        <v>2020</v>
      </c>
      <c r="W444" s="7">
        <f t="shared" si="139"/>
        <v>2080</v>
      </c>
      <c r="X444" s="6"/>
      <c r="Y444" s="5"/>
      <c r="Z444" s="5"/>
      <c r="AA444" s="5"/>
      <c r="AB444" s="5"/>
    </row>
    <row r="445" spans="1:28" ht="13.15" customHeight="1">
      <c r="A445" s="13">
        <v>431</v>
      </c>
      <c r="B445" s="4">
        <f t="shared" si="132"/>
        <v>45474</v>
      </c>
      <c r="C445" s="10">
        <f t="shared" si="133"/>
        <v>842</v>
      </c>
      <c r="D445" s="9">
        <f t="shared" si="124"/>
        <v>2088</v>
      </c>
      <c r="E445" s="8">
        <f t="shared" si="125"/>
        <v>366</v>
      </c>
      <c r="F445" s="8">
        <f t="shared" si="126"/>
        <v>390</v>
      </c>
      <c r="G445" s="8">
        <f t="shared" si="127"/>
        <v>270</v>
      </c>
      <c r="H445" s="5">
        <f t="shared" si="128"/>
        <v>2564</v>
      </c>
      <c r="I445" s="5">
        <f t="shared" si="129"/>
        <v>2540</v>
      </c>
      <c r="J445" s="5">
        <f t="shared" si="130"/>
        <v>2660</v>
      </c>
      <c r="K445" s="5">
        <f t="shared" si="140"/>
        <v>3000</v>
      </c>
      <c r="L445" s="5">
        <f t="shared" si="141"/>
        <v>3000</v>
      </c>
      <c r="M445" s="5">
        <f t="shared" si="142"/>
        <v>3000</v>
      </c>
      <c r="N445" s="5">
        <f t="shared" si="134"/>
        <v>-436</v>
      </c>
      <c r="O445" s="5">
        <f t="shared" si="135"/>
        <v>-460</v>
      </c>
      <c r="P445" s="5">
        <f t="shared" si="136"/>
        <v>-340</v>
      </c>
      <c r="Q445" s="8">
        <v>0</v>
      </c>
      <c r="R445" s="8">
        <v>0</v>
      </c>
      <c r="S445" s="8">
        <v>0</v>
      </c>
      <c r="T445" s="6">
        <f t="shared" si="131"/>
        <v>910</v>
      </c>
      <c r="U445" s="7">
        <f t="shared" si="137"/>
        <v>2044</v>
      </c>
      <c r="V445" s="7">
        <f t="shared" si="138"/>
        <v>2020</v>
      </c>
      <c r="W445" s="7">
        <f t="shared" si="139"/>
        <v>2080</v>
      </c>
      <c r="X445" s="6"/>
      <c r="Y445" s="5"/>
      <c r="Z445" s="5"/>
      <c r="AA445" s="5"/>
      <c r="AB445" s="5"/>
    </row>
    <row r="446" spans="1:28" ht="13.15" customHeight="1">
      <c r="A446" s="13">
        <v>432</v>
      </c>
      <c r="B446" s="4">
        <f t="shared" si="132"/>
        <v>45475</v>
      </c>
      <c r="C446" s="10">
        <f t="shared" si="133"/>
        <v>842</v>
      </c>
      <c r="D446" s="9">
        <f t="shared" si="124"/>
        <v>2090</v>
      </c>
      <c r="E446" s="8">
        <f t="shared" si="125"/>
        <v>368</v>
      </c>
      <c r="F446" s="8">
        <f t="shared" si="126"/>
        <v>392</v>
      </c>
      <c r="G446" s="8">
        <f t="shared" si="127"/>
        <v>272</v>
      </c>
      <c r="H446" s="5">
        <f t="shared" si="128"/>
        <v>2564</v>
      </c>
      <c r="I446" s="5">
        <f t="shared" si="129"/>
        <v>2540</v>
      </c>
      <c r="J446" s="5">
        <f t="shared" si="130"/>
        <v>2660</v>
      </c>
      <c r="K446" s="5">
        <f t="shared" si="140"/>
        <v>3000</v>
      </c>
      <c r="L446" s="5">
        <f t="shared" si="141"/>
        <v>3000</v>
      </c>
      <c r="M446" s="5">
        <f t="shared" si="142"/>
        <v>3000</v>
      </c>
      <c r="N446" s="5">
        <f t="shared" si="134"/>
        <v>-436</v>
      </c>
      <c r="O446" s="5">
        <f t="shared" si="135"/>
        <v>-460</v>
      </c>
      <c r="P446" s="5">
        <f t="shared" si="136"/>
        <v>-340</v>
      </c>
      <c r="Q446" s="8">
        <v>0</v>
      </c>
      <c r="R446" s="8">
        <v>0</v>
      </c>
      <c r="S446" s="8">
        <v>0</v>
      </c>
      <c r="T446" s="6">
        <f t="shared" si="131"/>
        <v>912</v>
      </c>
      <c r="U446" s="7">
        <f t="shared" si="137"/>
        <v>2044</v>
      </c>
      <c r="V446" s="7">
        <f t="shared" si="138"/>
        <v>2020</v>
      </c>
      <c r="W446" s="7">
        <f t="shared" si="139"/>
        <v>2080</v>
      </c>
      <c r="X446" s="6"/>
      <c r="Y446" s="5"/>
      <c r="Z446" s="5"/>
      <c r="AA446" s="5"/>
      <c r="AB446" s="5"/>
    </row>
    <row r="447" spans="1:28" ht="13.15" customHeight="1">
      <c r="A447" s="13">
        <v>433</v>
      </c>
      <c r="B447" s="4">
        <f t="shared" si="132"/>
        <v>45476</v>
      </c>
      <c r="C447" s="10">
        <f t="shared" si="133"/>
        <v>842</v>
      </c>
      <c r="D447" s="9">
        <f t="shared" ref="D447:D510" si="143">D446+2</f>
        <v>2092</v>
      </c>
      <c r="E447" s="8">
        <f t="shared" si="125"/>
        <v>370</v>
      </c>
      <c r="F447" s="8">
        <f t="shared" si="126"/>
        <v>394</v>
      </c>
      <c r="G447" s="8">
        <f t="shared" si="127"/>
        <v>274</v>
      </c>
      <c r="H447" s="5">
        <f t="shared" si="128"/>
        <v>2564</v>
      </c>
      <c r="I447" s="5">
        <f t="shared" si="129"/>
        <v>2540</v>
      </c>
      <c r="J447" s="5">
        <f t="shared" si="130"/>
        <v>2660</v>
      </c>
      <c r="K447" s="5">
        <f t="shared" si="140"/>
        <v>3000</v>
      </c>
      <c r="L447" s="5">
        <f t="shared" si="141"/>
        <v>3000</v>
      </c>
      <c r="M447" s="5">
        <f t="shared" si="142"/>
        <v>3000</v>
      </c>
      <c r="N447" s="5">
        <f t="shared" si="134"/>
        <v>-436</v>
      </c>
      <c r="O447" s="5">
        <f t="shared" si="135"/>
        <v>-460</v>
      </c>
      <c r="P447" s="5">
        <f t="shared" si="136"/>
        <v>-340</v>
      </c>
      <c r="Q447" s="8">
        <v>0</v>
      </c>
      <c r="R447" s="8">
        <v>0</v>
      </c>
      <c r="S447" s="8">
        <v>0</v>
      </c>
      <c r="T447" s="6">
        <f t="shared" si="131"/>
        <v>914</v>
      </c>
      <c r="U447" s="7">
        <f t="shared" si="137"/>
        <v>2044</v>
      </c>
      <c r="V447" s="7">
        <f t="shared" si="138"/>
        <v>2020</v>
      </c>
      <c r="W447" s="7">
        <f t="shared" si="139"/>
        <v>2080</v>
      </c>
      <c r="X447" s="6"/>
      <c r="Y447" s="5"/>
      <c r="Z447" s="5"/>
      <c r="AA447" s="5"/>
      <c r="AB447" s="5"/>
    </row>
    <row r="448" spans="1:28" ht="13.15" customHeight="1">
      <c r="A448" s="13">
        <v>434</v>
      </c>
      <c r="B448" s="4">
        <f t="shared" si="132"/>
        <v>45477</v>
      </c>
      <c r="C448" s="10">
        <f t="shared" si="133"/>
        <v>842</v>
      </c>
      <c r="D448" s="9">
        <f t="shared" si="143"/>
        <v>2094</v>
      </c>
      <c r="E448" s="8">
        <f t="shared" si="125"/>
        <v>372</v>
      </c>
      <c r="F448" s="8">
        <f t="shared" si="126"/>
        <v>396</v>
      </c>
      <c r="G448" s="8">
        <f t="shared" si="127"/>
        <v>276</v>
      </c>
      <c r="H448" s="5">
        <f t="shared" si="128"/>
        <v>2564</v>
      </c>
      <c r="I448" s="5">
        <f t="shared" si="129"/>
        <v>2540</v>
      </c>
      <c r="J448" s="5">
        <f t="shared" si="130"/>
        <v>2660</v>
      </c>
      <c r="K448" s="5">
        <f t="shared" si="140"/>
        <v>3000</v>
      </c>
      <c r="L448" s="5">
        <f t="shared" si="141"/>
        <v>3000</v>
      </c>
      <c r="M448" s="5">
        <f t="shared" si="142"/>
        <v>3000</v>
      </c>
      <c r="N448" s="5">
        <f t="shared" si="134"/>
        <v>-436</v>
      </c>
      <c r="O448" s="5">
        <f t="shared" si="135"/>
        <v>-460</v>
      </c>
      <c r="P448" s="5">
        <f t="shared" si="136"/>
        <v>-340</v>
      </c>
      <c r="Q448" s="8">
        <v>0</v>
      </c>
      <c r="R448" s="8">
        <v>0</v>
      </c>
      <c r="S448" s="8">
        <v>0</v>
      </c>
      <c r="T448" s="6">
        <f t="shared" si="131"/>
        <v>916</v>
      </c>
      <c r="U448" s="7">
        <f t="shared" si="137"/>
        <v>2044</v>
      </c>
      <c r="V448" s="7">
        <f t="shared" si="138"/>
        <v>2020</v>
      </c>
      <c r="W448" s="7">
        <f t="shared" si="139"/>
        <v>2080</v>
      </c>
      <c r="X448" s="6"/>
      <c r="Y448" s="5"/>
      <c r="Z448" s="5"/>
      <c r="AA448" s="5"/>
      <c r="AB448" s="5"/>
    </row>
    <row r="449" spans="1:28" ht="13.15" customHeight="1">
      <c r="A449" s="13">
        <v>435</v>
      </c>
      <c r="B449" s="4">
        <f t="shared" si="132"/>
        <v>45478</v>
      </c>
      <c r="C449" s="10">
        <f t="shared" si="133"/>
        <v>842</v>
      </c>
      <c r="D449" s="9">
        <f t="shared" si="143"/>
        <v>2096</v>
      </c>
      <c r="E449" s="8">
        <f t="shared" si="125"/>
        <v>374</v>
      </c>
      <c r="F449" s="8">
        <f t="shared" si="126"/>
        <v>398</v>
      </c>
      <c r="G449" s="8">
        <f t="shared" si="127"/>
        <v>278</v>
      </c>
      <c r="H449" s="5">
        <f t="shared" si="128"/>
        <v>2564</v>
      </c>
      <c r="I449" s="5">
        <f t="shared" si="129"/>
        <v>2540</v>
      </c>
      <c r="J449" s="5">
        <f t="shared" si="130"/>
        <v>2660</v>
      </c>
      <c r="K449" s="5">
        <f t="shared" si="140"/>
        <v>3000</v>
      </c>
      <c r="L449" s="5">
        <f t="shared" si="141"/>
        <v>3000</v>
      </c>
      <c r="M449" s="5">
        <f t="shared" si="142"/>
        <v>3000</v>
      </c>
      <c r="N449" s="5">
        <f t="shared" si="134"/>
        <v>-436</v>
      </c>
      <c r="O449" s="5">
        <f t="shared" si="135"/>
        <v>-460</v>
      </c>
      <c r="P449" s="5">
        <f t="shared" si="136"/>
        <v>-340</v>
      </c>
      <c r="Q449" s="8">
        <v>0</v>
      </c>
      <c r="R449" s="8">
        <v>0</v>
      </c>
      <c r="S449" s="8">
        <v>0</v>
      </c>
      <c r="T449" s="6">
        <f t="shared" si="131"/>
        <v>918</v>
      </c>
      <c r="U449" s="7">
        <f t="shared" si="137"/>
        <v>2044</v>
      </c>
      <c r="V449" s="7">
        <f t="shared" si="138"/>
        <v>2020</v>
      </c>
      <c r="W449" s="7">
        <f t="shared" si="139"/>
        <v>2080</v>
      </c>
      <c r="X449" s="6"/>
      <c r="Y449" s="5"/>
      <c r="Z449" s="5"/>
      <c r="AA449" s="5"/>
      <c r="AB449" s="5"/>
    </row>
    <row r="450" spans="1:28" ht="13.15" customHeight="1">
      <c r="A450" s="13">
        <v>436</v>
      </c>
      <c r="B450" s="4">
        <f t="shared" si="132"/>
        <v>45479</v>
      </c>
      <c r="C450" s="10">
        <f t="shared" si="133"/>
        <v>842</v>
      </c>
      <c r="D450" s="9">
        <f t="shared" si="143"/>
        <v>2098</v>
      </c>
      <c r="E450" s="8">
        <f t="shared" si="125"/>
        <v>376</v>
      </c>
      <c r="F450" s="8">
        <f t="shared" si="126"/>
        <v>400</v>
      </c>
      <c r="G450" s="8">
        <f t="shared" si="127"/>
        <v>280</v>
      </c>
      <c r="H450" s="5">
        <f t="shared" si="128"/>
        <v>2564</v>
      </c>
      <c r="I450" s="5">
        <f t="shared" si="129"/>
        <v>2540</v>
      </c>
      <c r="J450" s="5">
        <f t="shared" si="130"/>
        <v>2660</v>
      </c>
      <c r="K450" s="5">
        <f t="shared" si="140"/>
        <v>3000</v>
      </c>
      <c r="L450" s="5">
        <f t="shared" si="141"/>
        <v>3000</v>
      </c>
      <c r="M450" s="5">
        <f t="shared" si="142"/>
        <v>3000</v>
      </c>
      <c r="N450" s="5">
        <f t="shared" si="134"/>
        <v>-436</v>
      </c>
      <c r="O450" s="5">
        <f t="shared" si="135"/>
        <v>-460</v>
      </c>
      <c r="P450" s="5">
        <f t="shared" si="136"/>
        <v>-340</v>
      </c>
      <c r="Q450" s="8">
        <v>0</v>
      </c>
      <c r="R450" s="8">
        <v>0</v>
      </c>
      <c r="S450" s="8">
        <v>0</v>
      </c>
      <c r="T450" s="6">
        <f t="shared" si="131"/>
        <v>920</v>
      </c>
      <c r="U450" s="7">
        <f t="shared" si="137"/>
        <v>2044</v>
      </c>
      <c r="V450" s="7">
        <f t="shared" si="138"/>
        <v>2020</v>
      </c>
      <c r="W450" s="7">
        <f t="shared" si="139"/>
        <v>2080</v>
      </c>
      <c r="X450" s="6"/>
      <c r="Y450" s="5"/>
      <c r="Z450" s="5"/>
      <c r="AA450" s="5"/>
      <c r="AB450" s="5"/>
    </row>
    <row r="451" spans="1:28" ht="13.15" customHeight="1">
      <c r="A451" s="13">
        <v>437</v>
      </c>
      <c r="B451" s="4">
        <f t="shared" si="132"/>
        <v>45480</v>
      </c>
      <c r="C451" s="10">
        <f t="shared" si="133"/>
        <v>842</v>
      </c>
      <c r="D451" s="9">
        <f t="shared" si="143"/>
        <v>2100</v>
      </c>
      <c r="E451" s="8">
        <f t="shared" si="125"/>
        <v>378</v>
      </c>
      <c r="F451" s="8">
        <f t="shared" si="126"/>
        <v>402</v>
      </c>
      <c r="G451" s="8">
        <f t="shared" si="127"/>
        <v>282</v>
      </c>
      <c r="H451" s="5">
        <f t="shared" si="128"/>
        <v>2564</v>
      </c>
      <c r="I451" s="5">
        <f t="shared" si="129"/>
        <v>2540</v>
      </c>
      <c r="J451" s="5">
        <f t="shared" si="130"/>
        <v>2660</v>
      </c>
      <c r="K451" s="5">
        <f t="shared" si="140"/>
        <v>3000</v>
      </c>
      <c r="L451" s="5">
        <f t="shared" si="141"/>
        <v>3000</v>
      </c>
      <c r="M451" s="5">
        <f t="shared" si="142"/>
        <v>3000</v>
      </c>
      <c r="N451" s="5">
        <f t="shared" si="134"/>
        <v>-436</v>
      </c>
      <c r="O451" s="5">
        <f t="shared" si="135"/>
        <v>-460</v>
      </c>
      <c r="P451" s="5">
        <f t="shared" si="136"/>
        <v>-340</v>
      </c>
      <c r="Q451" s="8">
        <v>0</v>
      </c>
      <c r="R451" s="8">
        <v>0</v>
      </c>
      <c r="S451" s="8">
        <v>0</v>
      </c>
      <c r="T451" s="6">
        <f t="shared" si="131"/>
        <v>922</v>
      </c>
      <c r="U451" s="7">
        <f t="shared" si="137"/>
        <v>2044</v>
      </c>
      <c r="V451" s="7">
        <f t="shared" si="138"/>
        <v>2020</v>
      </c>
      <c r="W451" s="7">
        <f t="shared" si="139"/>
        <v>2080</v>
      </c>
      <c r="X451" s="6"/>
      <c r="Y451" s="5"/>
      <c r="Z451" s="5"/>
      <c r="AA451" s="5"/>
      <c r="AB451" s="5"/>
    </row>
    <row r="452" spans="1:28" ht="13.15" customHeight="1">
      <c r="A452" s="13">
        <v>438</v>
      </c>
      <c r="B452" s="4">
        <f t="shared" si="132"/>
        <v>45481</v>
      </c>
      <c r="C452" s="10">
        <f t="shared" si="133"/>
        <v>842</v>
      </c>
      <c r="D452" s="9">
        <f t="shared" si="143"/>
        <v>2102</v>
      </c>
      <c r="E452" s="8">
        <f t="shared" si="125"/>
        <v>380</v>
      </c>
      <c r="F452" s="8">
        <f t="shared" si="126"/>
        <v>404</v>
      </c>
      <c r="G452" s="8">
        <f t="shared" si="127"/>
        <v>284</v>
      </c>
      <c r="H452" s="5">
        <f t="shared" si="128"/>
        <v>2564</v>
      </c>
      <c r="I452" s="5">
        <f t="shared" si="129"/>
        <v>2540</v>
      </c>
      <c r="J452" s="5">
        <f t="shared" si="130"/>
        <v>2660</v>
      </c>
      <c r="K452" s="5">
        <f t="shared" si="140"/>
        <v>3000</v>
      </c>
      <c r="L452" s="5">
        <f t="shared" si="141"/>
        <v>3000</v>
      </c>
      <c r="M452" s="5">
        <f t="shared" si="142"/>
        <v>3000</v>
      </c>
      <c r="N452" s="5">
        <f t="shared" si="134"/>
        <v>-436</v>
      </c>
      <c r="O452" s="5">
        <f t="shared" si="135"/>
        <v>-460</v>
      </c>
      <c r="P452" s="5">
        <f t="shared" si="136"/>
        <v>-340</v>
      </c>
      <c r="Q452" s="8">
        <v>0</v>
      </c>
      <c r="R452" s="8">
        <v>0</v>
      </c>
      <c r="S452" s="8">
        <v>0</v>
      </c>
      <c r="T452" s="6">
        <f t="shared" si="131"/>
        <v>924</v>
      </c>
      <c r="U452" s="7">
        <f t="shared" si="137"/>
        <v>2044</v>
      </c>
      <c r="V452" s="7">
        <f t="shared" si="138"/>
        <v>2020</v>
      </c>
      <c r="W452" s="7">
        <f t="shared" si="139"/>
        <v>2080</v>
      </c>
      <c r="X452" s="6"/>
      <c r="Y452" s="5"/>
      <c r="Z452" s="5"/>
      <c r="AA452" s="5"/>
      <c r="AB452" s="5"/>
    </row>
    <row r="453" spans="1:28" ht="13.15" customHeight="1">
      <c r="A453" s="13">
        <v>439</v>
      </c>
      <c r="B453" s="4">
        <f t="shared" si="132"/>
        <v>45482</v>
      </c>
      <c r="C453" s="10">
        <f t="shared" si="133"/>
        <v>842</v>
      </c>
      <c r="D453" s="9">
        <f t="shared" si="143"/>
        <v>2104</v>
      </c>
      <c r="E453" s="8">
        <f t="shared" si="125"/>
        <v>382</v>
      </c>
      <c r="F453" s="8">
        <f t="shared" si="126"/>
        <v>406</v>
      </c>
      <c r="G453" s="8">
        <f t="shared" si="127"/>
        <v>286</v>
      </c>
      <c r="H453" s="5">
        <f t="shared" si="128"/>
        <v>2564</v>
      </c>
      <c r="I453" s="5">
        <f t="shared" si="129"/>
        <v>2540</v>
      </c>
      <c r="J453" s="5">
        <f t="shared" si="130"/>
        <v>2660</v>
      </c>
      <c r="K453" s="5">
        <f t="shared" si="140"/>
        <v>3000</v>
      </c>
      <c r="L453" s="5">
        <f t="shared" si="141"/>
        <v>3000</v>
      </c>
      <c r="M453" s="5">
        <f t="shared" si="142"/>
        <v>3000</v>
      </c>
      <c r="N453" s="5">
        <f t="shared" si="134"/>
        <v>-436</v>
      </c>
      <c r="O453" s="5">
        <f t="shared" si="135"/>
        <v>-460</v>
      </c>
      <c r="P453" s="5">
        <f t="shared" si="136"/>
        <v>-340</v>
      </c>
      <c r="Q453" s="8">
        <v>0</v>
      </c>
      <c r="R453" s="8">
        <v>0</v>
      </c>
      <c r="S453" s="8">
        <v>0</v>
      </c>
      <c r="T453" s="6">
        <f t="shared" si="131"/>
        <v>926</v>
      </c>
      <c r="U453" s="7">
        <f t="shared" si="137"/>
        <v>2044</v>
      </c>
      <c r="V453" s="7">
        <f t="shared" si="138"/>
        <v>2020</v>
      </c>
      <c r="W453" s="7">
        <f t="shared" si="139"/>
        <v>2080</v>
      </c>
      <c r="X453" s="6"/>
      <c r="Y453" s="5"/>
      <c r="Z453" s="5"/>
      <c r="AA453" s="5"/>
      <c r="AB453" s="5"/>
    </row>
    <row r="454" spans="1:28" ht="13.15" customHeight="1">
      <c r="A454" s="13">
        <v>440</v>
      </c>
      <c r="B454" s="4">
        <f t="shared" si="132"/>
        <v>45483</v>
      </c>
      <c r="C454" s="10">
        <f t="shared" si="133"/>
        <v>842</v>
      </c>
      <c r="D454" s="9">
        <f t="shared" si="143"/>
        <v>2106</v>
      </c>
      <c r="E454" s="8">
        <f t="shared" si="125"/>
        <v>384</v>
      </c>
      <c r="F454" s="8">
        <f t="shared" si="126"/>
        <v>408</v>
      </c>
      <c r="G454" s="8">
        <f t="shared" si="127"/>
        <v>288</v>
      </c>
      <c r="H454" s="5">
        <f t="shared" si="128"/>
        <v>2564</v>
      </c>
      <c r="I454" s="5">
        <f t="shared" si="129"/>
        <v>2540</v>
      </c>
      <c r="J454" s="5">
        <f t="shared" si="130"/>
        <v>2660</v>
      </c>
      <c r="K454" s="5">
        <f t="shared" si="140"/>
        <v>3000</v>
      </c>
      <c r="L454" s="5">
        <f t="shared" si="141"/>
        <v>3000</v>
      </c>
      <c r="M454" s="5">
        <f t="shared" si="142"/>
        <v>3000</v>
      </c>
      <c r="N454" s="5">
        <f t="shared" si="134"/>
        <v>-436</v>
      </c>
      <c r="O454" s="5">
        <f t="shared" si="135"/>
        <v>-460</v>
      </c>
      <c r="P454" s="5">
        <f t="shared" si="136"/>
        <v>-340</v>
      </c>
      <c r="Q454" s="8">
        <v>0</v>
      </c>
      <c r="R454" s="8">
        <v>0</v>
      </c>
      <c r="S454" s="8">
        <v>0</v>
      </c>
      <c r="T454" s="6">
        <f t="shared" si="131"/>
        <v>928</v>
      </c>
      <c r="U454" s="7">
        <f t="shared" si="137"/>
        <v>2044</v>
      </c>
      <c r="V454" s="7">
        <f t="shared" si="138"/>
        <v>2020</v>
      </c>
      <c r="W454" s="7">
        <f t="shared" si="139"/>
        <v>2080</v>
      </c>
      <c r="X454" s="6"/>
      <c r="Y454" s="5"/>
      <c r="Z454" s="5"/>
      <c r="AA454" s="5"/>
      <c r="AB454" s="5"/>
    </row>
    <row r="455" spans="1:28" ht="13.15" customHeight="1">
      <c r="A455" s="13">
        <v>441</v>
      </c>
      <c r="B455" s="4">
        <f t="shared" si="132"/>
        <v>45484</v>
      </c>
      <c r="C455" s="10">
        <f t="shared" si="133"/>
        <v>842</v>
      </c>
      <c r="D455" s="9">
        <f t="shared" si="143"/>
        <v>2108</v>
      </c>
      <c r="E455" s="8">
        <f t="shared" si="125"/>
        <v>386</v>
      </c>
      <c r="F455" s="8">
        <f t="shared" si="126"/>
        <v>410</v>
      </c>
      <c r="G455" s="8">
        <f t="shared" si="127"/>
        <v>290</v>
      </c>
      <c r="H455" s="5">
        <f t="shared" si="128"/>
        <v>2564</v>
      </c>
      <c r="I455" s="5">
        <f t="shared" si="129"/>
        <v>2540</v>
      </c>
      <c r="J455" s="5">
        <f t="shared" si="130"/>
        <v>2660</v>
      </c>
      <c r="K455" s="5">
        <f t="shared" si="140"/>
        <v>3000</v>
      </c>
      <c r="L455" s="5">
        <f t="shared" si="141"/>
        <v>3000</v>
      </c>
      <c r="M455" s="5">
        <f t="shared" si="142"/>
        <v>3000</v>
      </c>
      <c r="N455" s="5">
        <f t="shared" si="134"/>
        <v>-436</v>
      </c>
      <c r="O455" s="5">
        <f t="shared" si="135"/>
        <v>-460</v>
      </c>
      <c r="P455" s="5">
        <f t="shared" si="136"/>
        <v>-340</v>
      </c>
      <c r="Q455" s="8">
        <v>0</v>
      </c>
      <c r="R455" s="8">
        <v>0</v>
      </c>
      <c r="S455" s="8">
        <v>0</v>
      </c>
      <c r="T455" s="6">
        <f t="shared" si="131"/>
        <v>930</v>
      </c>
      <c r="U455" s="7">
        <f t="shared" si="137"/>
        <v>2044</v>
      </c>
      <c r="V455" s="7">
        <f t="shared" si="138"/>
        <v>2020</v>
      </c>
      <c r="W455" s="7">
        <f t="shared" si="139"/>
        <v>2080</v>
      </c>
      <c r="X455" s="6"/>
      <c r="Y455" s="5"/>
      <c r="Z455" s="5"/>
      <c r="AA455" s="5"/>
      <c r="AB455" s="5"/>
    </row>
    <row r="456" spans="1:28" ht="13.15" customHeight="1">
      <c r="A456" s="13">
        <v>442</v>
      </c>
      <c r="B456" s="4">
        <f t="shared" si="132"/>
        <v>45485</v>
      </c>
      <c r="C456" s="10">
        <f t="shared" si="133"/>
        <v>842</v>
      </c>
      <c r="D456" s="9">
        <f t="shared" si="143"/>
        <v>2110</v>
      </c>
      <c r="E456" s="8">
        <f t="shared" si="125"/>
        <v>388</v>
      </c>
      <c r="F456" s="8">
        <f t="shared" si="126"/>
        <v>412</v>
      </c>
      <c r="G456" s="8">
        <f t="shared" si="127"/>
        <v>292</v>
      </c>
      <c r="H456" s="5">
        <f t="shared" si="128"/>
        <v>2564</v>
      </c>
      <c r="I456" s="5">
        <f t="shared" si="129"/>
        <v>2540</v>
      </c>
      <c r="J456" s="5">
        <f t="shared" si="130"/>
        <v>2660</v>
      </c>
      <c r="K456" s="5">
        <f t="shared" si="140"/>
        <v>3000</v>
      </c>
      <c r="L456" s="5">
        <f t="shared" si="141"/>
        <v>3000</v>
      </c>
      <c r="M456" s="5">
        <f t="shared" si="142"/>
        <v>3000</v>
      </c>
      <c r="N456" s="5">
        <f t="shared" si="134"/>
        <v>-436</v>
      </c>
      <c r="O456" s="5">
        <f t="shared" si="135"/>
        <v>-460</v>
      </c>
      <c r="P456" s="5">
        <f t="shared" si="136"/>
        <v>-340</v>
      </c>
      <c r="Q456" s="8">
        <v>0</v>
      </c>
      <c r="R456" s="8">
        <v>0</v>
      </c>
      <c r="S456" s="8">
        <v>0</v>
      </c>
      <c r="T456" s="6">
        <f t="shared" si="131"/>
        <v>932</v>
      </c>
      <c r="U456" s="7">
        <f t="shared" si="137"/>
        <v>2044</v>
      </c>
      <c r="V456" s="7">
        <f t="shared" si="138"/>
        <v>2020</v>
      </c>
      <c r="W456" s="7">
        <f t="shared" si="139"/>
        <v>2080</v>
      </c>
      <c r="X456" s="6"/>
      <c r="Y456" s="5"/>
      <c r="Z456" s="5"/>
      <c r="AA456" s="5"/>
      <c r="AB456" s="5"/>
    </row>
    <row r="457" spans="1:28" ht="13.15" customHeight="1">
      <c r="A457" s="13">
        <v>443</v>
      </c>
      <c r="B457" s="4">
        <f t="shared" si="132"/>
        <v>45486</v>
      </c>
      <c r="C457" s="10">
        <f t="shared" si="133"/>
        <v>842</v>
      </c>
      <c r="D457" s="9">
        <f t="shared" si="143"/>
        <v>2112</v>
      </c>
      <c r="E457" s="8">
        <f t="shared" si="125"/>
        <v>390</v>
      </c>
      <c r="F457" s="8">
        <f t="shared" si="126"/>
        <v>414</v>
      </c>
      <c r="G457" s="8">
        <f t="shared" si="127"/>
        <v>294</v>
      </c>
      <c r="H457" s="5">
        <f t="shared" si="128"/>
        <v>2564</v>
      </c>
      <c r="I457" s="5">
        <f t="shared" si="129"/>
        <v>2540</v>
      </c>
      <c r="J457" s="5">
        <f t="shared" si="130"/>
        <v>2660</v>
      </c>
      <c r="K457" s="5">
        <f t="shared" si="140"/>
        <v>3000</v>
      </c>
      <c r="L457" s="5">
        <f t="shared" si="141"/>
        <v>3000</v>
      </c>
      <c r="M457" s="5">
        <f t="shared" si="142"/>
        <v>3000</v>
      </c>
      <c r="N457" s="5">
        <f t="shared" si="134"/>
        <v>-436</v>
      </c>
      <c r="O457" s="5">
        <f t="shared" si="135"/>
        <v>-460</v>
      </c>
      <c r="P457" s="5">
        <f t="shared" si="136"/>
        <v>-340</v>
      </c>
      <c r="Q457" s="8">
        <v>0</v>
      </c>
      <c r="R457" s="8">
        <v>0</v>
      </c>
      <c r="S457" s="8">
        <v>0</v>
      </c>
      <c r="T457" s="6">
        <f t="shared" si="131"/>
        <v>934</v>
      </c>
      <c r="U457" s="7">
        <f t="shared" si="137"/>
        <v>2044</v>
      </c>
      <c r="V457" s="7">
        <f t="shared" si="138"/>
        <v>2020</v>
      </c>
      <c r="W457" s="7">
        <f t="shared" si="139"/>
        <v>2080</v>
      </c>
      <c r="X457" s="6"/>
      <c r="Y457" s="5"/>
      <c r="Z457" s="5"/>
      <c r="AA457" s="5"/>
      <c r="AB457" s="5"/>
    </row>
    <row r="458" spans="1:28" ht="13.15" customHeight="1">
      <c r="A458" s="13">
        <v>444</v>
      </c>
      <c r="B458" s="4">
        <f t="shared" si="132"/>
        <v>45487</v>
      </c>
      <c r="C458" s="10">
        <f t="shared" si="133"/>
        <v>842</v>
      </c>
      <c r="D458" s="9">
        <f t="shared" si="143"/>
        <v>2114</v>
      </c>
      <c r="E458" s="8">
        <f t="shared" si="125"/>
        <v>392</v>
      </c>
      <c r="F458" s="8">
        <f t="shared" si="126"/>
        <v>416</v>
      </c>
      <c r="G458" s="8">
        <f t="shared" si="127"/>
        <v>296</v>
      </c>
      <c r="H458" s="5">
        <f t="shared" si="128"/>
        <v>2564</v>
      </c>
      <c r="I458" s="5">
        <f t="shared" si="129"/>
        <v>2540</v>
      </c>
      <c r="J458" s="5">
        <f t="shared" si="130"/>
        <v>2660</v>
      </c>
      <c r="K458" s="5">
        <f t="shared" si="140"/>
        <v>3000</v>
      </c>
      <c r="L458" s="5">
        <f t="shared" si="141"/>
        <v>3000</v>
      </c>
      <c r="M458" s="5">
        <f t="shared" si="142"/>
        <v>3000</v>
      </c>
      <c r="N458" s="5">
        <f t="shared" si="134"/>
        <v>-436</v>
      </c>
      <c r="O458" s="5">
        <f t="shared" si="135"/>
        <v>-460</v>
      </c>
      <c r="P458" s="5">
        <f t="shared" si="136"/>
        <v>-340</v>
      </c>
      <c r="Q458" s="8">
        <v>0</v>
      </c>
      <c r="R458" s="8">
        <v>0</v>
      </c>
      <c r="S458" s="8">
        <v>0</v>
      </c>
      <c r="T458" s="6">
        <f t="shared" si="131"/>
        <v>936</v>
      </c>
      <c r="U458" s="7">
        <f t="shared" si="137"/>
        <v>2044</v>
      </c>
      <c r="V458" s="7">
        <f t="shared" si="138"/>
        <v>2020</v>
      </c>
      <c r="W458" s="7">
        <f t="shared" si="139"/>
        <v>2080</v>
      </c>
      <c r="X458" s="6"/>
      <c r="Y458" s="5"/>
      <c r="Z458" s="5"/>
      <c r="AA458" s="5"/>
      <c r="AB458" s="5"/>
    </row>
    <row r="459" spans="1:28" ht="13.15" customHeight="1">
      <c r="A459" s="13">
        <v>445</v>
      </c>
      <c r="B459" s="4">
        <f t="shared" si="132"/>
        <v>45488</v>
      </c>
      <c r="C459" s="10">
        <f t="shared" si="133"/>
        <v>842</v>
      </c>
      <c r="D459" s="9">
        <f t="shared" si="143"/>
        <v>2116</v>
      </c>
      <c r="E459" s="8">
        <f t="shared" si="125"/>
        <v>394</v>
      </c>
      <c r="F459" s="8">
        <f t="shared" si="126"/>
        <v>418</v>
      </c>
      <c r="G459" s="8">
        <f t="shared" si="127"/>
        <v>298</v>
      </c>
      <c r="H459" s="5">
        <f t="shared" si="128"/>
        <v>2564</v>
      </c>
      <c r="I459" s="5">
        <f t="shared" si="129"/>
        <v>2540</v>
      </c>
      <c r="J459" s="5">
        <f t="shared" si="130"/>
        <v>2660</v>
      </c>
      <c r="K459" s="5">
        <f t="shared" si="140"/>
        <v>3000</v>
      </c>
      <c r="L459" s="5">
        <f t="shared" si="141"/>
        <v>3000</v>
      </c>
      <c r="M459" s="5">
        <f t="shared" si="142"/>
        <v>3000</v>
      </c>
      <c r="N459" s="5">
        <f t="shared" si="134"/>
        <v>-436</v>
      </c>
      <c r="O459" s="5">
        <f t="shared" si="135"/>
        <v>-460</v>
      </c>
      <c r="P459" s="5">
        <f t="shared" si="136"/>
        <v>-340</v>
      </c>
      <c r="Q459" s="8">
        <v>0</v>
      </c>
      <c r="R459" s="8">
        <v>0</v>
      </c>
      <c r="S459" s="8">
        <v>0</v>
      </c>
      <c r="T459" s="6">
        <f t="shared" si="131"/>
        <v>938</v>
      </c>
      <c r="U459" s="7">
        <f t="shared" si="137"/>
        <v>2044</v>
      </c>
      <c r="V459" s="7">
        <f t="shared" si="138"/>
        <v>2020</v>
      </c>
      <c r="W459" s="7">
        <f t="shared" si="139"/>
        <v>2080</v>
      </c>
      <c r="X459" s="6"/>
      <c r="Y459" s="5"/>
      <c r="Z459" s="5"/>
      <c r="AA459" s="5"/>
      <c r="AB459" s="5"/>
    </row>
    <row r="460" spans="1:28" ht="13.15" customHeight="1">
      <c r="A460" s="13">
        <v>446</v>
      </c>
      <c r="B460" s="4">
        <f t="shared" si="132"/>
        <v>45489</v>
      </c>
      <c r="C460" s="10">
        <f t="shared" si="133"/>
        <v>842</v>
      </c>
      <c r="D460" s="9">
        <f t="shared" si="143"/>
        <v>2118</v>
      </c>
      <c r="E460" s="8">
        <f t="shared" si="125"/>
        <v>396</v>
      </c>
      <c r="F460" s="8">
        <f t="shared" si="126"/>
        <v>420</v>
      </c>
      <c r="G460" s="8">
        <f t="shared" si="127"/>
        <v>300</v>
      </c>
      <c r="H460" s="5">
        <f t="shared" si="128"/>
        <v>2564</v>
      </c>
      <c r="I460" s="5">
        <f t="shared" si="129"/>
        <v>2540</v>
      </c>
      <c r="J460" s="5">
        <f t="shared" si="130"/>
        <v>2660</v>
      </c>
      <c r="K460" s="5">
        <f t="shared" si="140"/>
        <v>3000</v>
      </c>
      <c r="L460" s="5">
        <f t="shared" si="141"/>
        <v>3000</v>
      </c>
      <c r="M460" s="5">
        <f t="shared" si="142"/>
        <v>3000</v>
      </c>
      <c r="N460" s="5">
        <f t="shared" si="134"/>
        <v>-436</v>
      </c>
      <c r="O460" s="5">
        <f t="shared" si="135"/>
        <v>-460</v>
      </c>
      <c r="P460" s="5">
        <f t="shared" si="136"/>
        <v>-340</v>
      </c>
      <c r="Q460" s="8">
        <v>0</v>
      </c>
      <c r="R460" s="8">
        <v>0</v>
      </c>
      <c r="S460" s="8">
        <v>0</v>
      </c>
      <c r="T460" s="6">
        <f t="shared" si="131"/>
        <v>940</v>
      </c>
      <c r="U460" s="7">
        <f t="shared" si="137"/>
        <v>2044</v>
      </c>
      <c r="V460" s="7">
        <f t="shared" si="138"/>
        <v>2020</v>
      </c>
      <c r="W460" s="7">
        <f t="shared" si="139"/>
        <v>2080</v>
      </c>
      <c r="X460" s="6"/>
      <c r="Y460" s="5"/>
      <c r="Z460" s="5"/>
      <c r="AA460" s="5"/>
      <c r="AB460" s="5"/>
    </row>
    <row r="461" spans="1:28" ht="13.15" customHeight="1">
      <c r="A461" s="13">
        <v>447</v>
      </c>
      <c r="B461" s="4">
        <f t="shared" si="132"/>
        <v>45490</v>
      </c>
      <c r="C461" s="10">
        <f t="shared" si="133"/>
        <v>842</v>
      </c>
      <c r="D461" s="9">
        <f t="shared" si="143"/>
        <v>2120</v>
      </c>
      <c r="E461" s="8">
        <f t="shared" si="125"/>
        <v>398</v>
      </c>
      <c r="F461" s="8">
        <f t="shared" si="126"/>
        <v>422</v>
      </c>
      <c r="G461" s="8">
        <f t="shared" si="127"/>
        <v>302</v>
      </c>
      <c r="H461" s="5">
        <f t="shared" si="128"/>
        <v>2564</v>
      </c>
      <c r="I461" s="5">
        <f t="shared" si="129"/>
        <v>2540</v>
      </c>
      <c r="J461" s="5">
        <f t="shared" si="130"/>
        <v>2660</v>
      </c>
      <c r="K461" s="5">
        <f t="shared" si="140"/>
        <v>3000</v>
      </c>
      <c r="L461" s="5">
        <f t="shared" si="141"/>
        <v>3000</v>
      </c>
      <c r="M461" s="5">
        <f t="shared" si="142"/>
        <v>3000</v>
      </c>
      <c r="N461" s="5">
        <f t="shared" si="134"/>
        <v>-436</v>
      </c>
      <c r="O461" s="5">
        <f t="shared" si="135"/>
        <v>-460</v>
      </c>
      <c r="P461" s="5">
        <f t="shared" si="136"/>
        <v>-340</v>
      </c>
      <c r="Q461" s="8">
        <v>0</v>
      </c>
      <c r="R461" s="8">
        <v>0</v>
      </c>
      <c r="S461" s="8">
        <v>0</v>
      </c>
      <c r="T461" s="6">
        <f t="shared" si="131"/>
        <v>942</v>
      </c>
      <c r="U461" s="7">
        <f t="shared" si="137"/>
        <v>2044</v>
      </c>
      <c r="V461" s="7">
        <f t="shared" si="138"/>
        <v>2020</v>
      </c>
      <c r="W461" s="7">
        <f t="shared" si="139"/>
        <v>2080</v>
      </c>
      <c r="X461" s="6"/>
      <c r="Y461" s="5"/>
      <c r="Z461" s="5"/>
      <c r="AA461" s="5"/>
      <c r="AB461" s="5"/>
    </row>
    <row r="462" spans="1:28" ht="13.15" customHeight="1">
      <c r="A462" s="13">
        <v>448</v>
      </c>
      <c r="B462" s="4">
        <f t="shared" si="132"/>
        <v>45491</v>
      </c>
      <c r="C462" s="10">
        <f t="shared" si="133"/>
        <v>842</v>
      </c>
      <c r="D462" s="9">
        <f t="shared" si="143"/>
        <v>2122</v>
      </c>
      <c r="E462" s="8">
        <f t="shared" ref="E462:E525" si="144">C462+D462-H462</f>
        <v>400</v>
      </c>
      <c r="F462" s="8">
        <f t="shared" ref="F462:F525" si="145">C462+D462-I462</f>
        <v>424</v>
      </c>
      <c r="G462" s="8">
        <f t="shared" ref="G462:G525" si="146">D462+C462-J462</f>
        <v>304</v>
      </c>
      <c r="H462" s="5">
        <f t="shared" ref="H462:H525" si="147">K462+N462</f>
        <v>2564</v>
      </c>
      <c r="I462" s="5">
        <f t="shared" ref="I462:I525" si="148">L462+O462</f>
        <v>2540</v>
      </c>
      <c r="J462" s="5">
        <f t="shared" ref="J462:J525" si="149">M462+P462</f>
        <v>2660</v>
      </c>
      <c r="K462" s="5">
        <f t="shared" si="140"/>
        <v>3000</v>
      </c>
      <c r="L462" s="5">
        <f t="shared" si="141"/>
        <v>3000</v>
      </c>
      <c r="M462" s="5">
        <f t="shared" si="142"/>
        <v>3000</v>
      </c>
      <c r="N462" s="5">
        <f t="shared" si="134"/>
        <v>-436</v>
      </c>
      <c r="O462" s="5">
        <f t="shared" si="135"/>
        <v>-460</v>
      </c>
      <c r="P462" s="5">
        <f t="shared" si="136"/>
        <v>-340</v>
      </c>
      <c r="Q462" s="8">
        <v>0</v>
      </c>
      <c r="R462" s="8">
        <v>0</v>
      </c>
      <c r="S462" s="8">
        <v>0</v>
      </c>
      <c r="T462" s="6">
        <f t="shared" ref="T462:T525" si="150">D462+C462-V462</f>
        <v>944</v>
      </c>
      <c r="U462" s="7">
        <f t="shared" si="137"/>
        <v>2044</v>
      </c>
      <c r="V462" s="7">
        <f t="shared" si="138"/>
        <v>2020</v>
      </c>
      <c r="W462" s="7">
        <f t="shared" si="139"/>
        <v>2080</v>
      </c>
      <c r="X462" s="6"/>
      <c r="Y462" s="5"/>
      <c r="Z462" s="5"/>
      <c r="AA462" s="5"/>
      <c r="AB462" s="5"/>
    </row>
    <row r="463" spans="1:28" ht="13.15" customHeight="1">
      <c r="A463" s="13">
        <v>449</v>
      </c>
      <c r="B463" s="4">
        <f t="shared" ref="B463:B526" si="151">B462+1</f>
        <v>45492</v>
      </c>
      <c r="C463" s="10">
        <f t="shared" ref="C463:C526" si="152">C462</f>
        <v>842</v>
      </c>
      <c r="D463" s="9">
        <f t="shared" si="143"/>
        <v>2124</v>
      </c>
      <c r="E463" s="8">
        <f t="shared" si="144"/>
        <v>402</v>
      </c>
      <c r="F463" s="8">
        <f t="shared" si="145"/>
        <v>426</v>
      </c>
      <c r="G463" s="8">
        <f t="shared" si="146"/>
        <v>306</v>
      </c>
      <c r="H463" s="5">
        <f t="shared" si="147"/>
        <v>2564</v>
      </c>
      <c r="I463" s="5">
        <f t="shared" si="148"/>
        <v>2540</v>
      </c>
      <c r="J463" s="5">
        <f t="shared" si="149"/>
        <v>2660</v>
      </c>
      <c r="K463" s="5">
        <f t="shared" si="140"/>
        <v>3000</v>
      </c>
      <c r="L463" s="5">
        <f t="shared" si="141"/>
        <v>3000</v>
      </c>
      <c r="M463" s="5">
        <f t="shared" si="142"/>
        <v>3000</v>
      </c>
      <c r="N463" s="5">
        <f t="shared" ref="N463:N526" si="153">N462-Q463</f>
        <v>-436</v>
      </c>
      <c r="O463" s="5">
        <f t="shared" ref="O463:O526" si="154">O462-R463</f>
        <v>-460</v>
      </c>
      <c r="P463" s="5">
        <f t="shared" ref="P463:P526" si="155">P462-S463</f>
        <v>-340</v>
      </c>
      <c r="Q463" s="8">
        <v>0</v>
      </c>
      <c r="R463" s="8">
        <v>0</v>
      </c>
      <c r="S463" s="8">
        <v>0</v>
      </c>
      <c r="T463" s="6">
        <f t="shared" si="150"/>
        <v>946</v>
      </c>
      <c r="U463" s="7">
        <f t="shared" si="137"/>
        <v>2044</v>
      </c>
      <c r="V463" s="7">
        <f t="shared" si="138"/>
        <v>2020</v>
      </c>
      <c r="W463" s="7">
        <f t="shared" si="139"/>
        <v>2080</v>
      </c>
      <c r="X463" s="6"/>
      <c r="Y463" s="5"/>
      <c r="Z463" s="5"/>
      <c r="AA463" s="5"/>
      <c r="AB463" s="5"/>
    </row>
    <row r="464" spans="1:28" ht="13.15" customHeight="1">
      <c r="A464" s="13">
        <v>450</v>
      </c>
      <c r="B464" s="4">
        <f t="shared" si="151"/>
        <v>45493</v>
      </c>
      <c r="C464" s="10">
        <f t="shared" si="152"/>
        <v>842</v>
      </c>
      <c r="D464" s="9">
        <f t="shared" si="143"/>
        <v>2126</v>
      </c>
      <c r="E464" s="8">
        <f t="shared" si="144"/>
        <v>404</v>
      </c>
      <c r="F464" s="8">
        <f t="shared" si="145"/>
        <v>428</v>
      </c>
      <c r="G464" s="8">
        <f t="shared" si="146"/>
        <v>308</v>
      </c>
      <c r="H464" s="5">
        <f t="shared" si="147"/>
        <v>2564</v>
      </c>
      <c r="I464" s="5">
        <f t="shared" si="148"/>
        <v>2540</v>
      </c>
      <c r="J464" s="5">
        <f t="shared" si="149"/>
        <v>2660</v>
      </c>
      <c r="K464" s="5">
        <f t="shared" si="140"/>
        <v>3000</v>
      </c>
      <c r="L464" s="5">
        <f t="shared" si="141"/>
        <v>3000</v>
      </c>
      <c r="M464" s="5">
        <f t="shared" si="142"/>
        <v>3000</v>
      </c>
      <c r="N464" s="5">
        <f t="shared" si="153"/>
        <v>-436</v>
      </c>
      <c r="O464" s="5">
        <f t="shared" si="154"/>
        <v>-460</v>
      </c>
      <c r="P464" s="5">
        <f t="shared" si="155"/>
        <v>-340</v>
      </c>
      <c r="Q464" s="8">
        <v>0</v>
      </c>
      <c r="R464" s="8">
        <v>0</v>
      </c>
      <c r="S464" s="8">
        <v>0</v>
      </c>
      <c r="T464" s="6">
        <f t="shared" si="150"/>
        <v>948</v>
      </c>
      <c r="U464" s="7">
        <f t="shared" si="137"/>
        <v>2044</v>
      </c>
      <c r="V464" s="7">
        <f t="shared" si="138"/>
        <v>2020</v>
      </c>
      <c r="W464" s="7">
        <f t="shared" si="139"/>
        <v>2080</v>
      </c>
      <c r="X464" s="6"/>
      <c r="Y464" s="5"/>
      <c r="Z464" s="5"/>
      <c r="AA464" s="5"/>
      <c r="AB464" s="5"/>
    </row>
    <row r="465" spans="1:28" ht="13.15" customHeight="1">
      <c r="A465" s="13">
        <v>451</v>
      </c>
      <c r="B465" s="4">
        <f t="shared" si="151"/>
        <v>45494</v>
      </c>
      <c r="C465" s="10">
        <f t="shared" si="152"/>
        <v>842</v>
      </c>
      <c r="D465" s="9">
        <f t="shared" si="143"/>
        <v>2128</v>
      </c>
      <c r="E465" s="8">
        <f t="shared" si="144"/>
        <v>406</v>
      </c>
      <c r="F465" s="8">
        <f t="shared" si="145"/>
        <v>430</v>
      </c>
      <c r="G465" s="8">
        <f t="shared" si="146"/>
        <v>310</v>
      </c>
      <c r="H465" s="5">
        <f t="shared" si="147"/>
        <v>2564</v>
      </c>
      <c r="I465" s="5">
        <f t="shared" si="148"/>
        <v>2540</v>
      </c>
      <c r="J465" s="5">
        <f t="shared" si="149"/>
        <v>2660</v>
      </c>
      <c r="K465" s="5">
        <f t="shared" si="140"/>
        <v>3000</v>
      </c>
      <c r="L465" s="5">
        <f t="shared" si="141"/>
        <v>3000</v>
      </c>
      <c r="M465" s="5">
        <f t="shared" si="142"/>
        <v>3000</v>
      </c>
      <c r="N465" s="5">
        <f t="shared" si="153"/>
        <v>-436</v>
      </c>
      <c r="O465" s="5">
        <f t="shared" si="154"/>
        <v>-460</v>
      </c>
      <c r="P465" s="5">
        <f t="shared" si="155"/>
        <v>-340</v>
      </c>
      <c r="Q465" s="8">
        <v>0</v>
      </c>
      <c r="R465" s="8">
        <v>0</v>
      </c>
      <c r="S465" s="8">
        <v>0</v>
      </c>
      <c r="T465" s="6">
        <f t="shared" si="150"/>
        <v>950</v>
      </c>
      <c r="U465" s="7">
        <f t="shared" si="137"/>
        <v>2044</v>
      </c>
      <c r="V465" s="7">
        <f t="shared" si="138"/>
        <v>2020</v>
      </c>
      <c r="W465" s="7">
        <f t="shared" si="139"/>
        <v>2080</v>
      </c>
      <c r="X465" s="6"/>
      <c r="Y465" s="5"/>
      <c r="Z465" s="5"/>
      <c r="AA465" s="5"/>
      <c r="AB465" s="5"/>
    </row>
    <row r="466" spans="1:28" ht="13.15" customHeight="1">
      <c r="A466" s="13">
        <v>452</v>
      </c>
      <c r="B466" s="4">
        <f t="shared" si="151"/>
        <v>45495</v>
      </c>
      <c r="C466" s="10">
        <f t="shared" si="152"/>
        <v>842</v>
      </c>
      <c r="D466" s="9">
        <f t="shared" si="143"/>
        <v>2130</v>
      </c>
      <c r="E466" s="8">
        <f t="shared" si="144"/>
        <v>408</v>
      </c>
      <c r="F466" s="8">
        <f t="shared" si="145"/>
        <v>432</v>
      </c>
      <c r="G466" s="8">
        <f t="shared" si="146"/>
        <v>312</v>
      </c>
      <c r="H466" s="5">
        <f t="shared" si="147"/>
        <v>2564</v>
      </c>
      <c r="I466" s="5">
        <f t="shared" si="148"/>
        <v>2540</v>
      </c>
      <c r="J466" s="5">
        <f t="shared" si="149"/>
        <v>2660</v>
      </c>
      <c r="K466" s="5">
        <f t="shared" si="140"/>
        <v>3000</v>
      </c>
      <c r="L466" s="5">
        <f t="shared" si="141"/>
        <v>3000</v>
      </c>
      <c r="M466" s="5">
        <f t="shared" si="142"/>
        <v>3000</v>
      </c>
      <c r="N466" s="5">
        <f t="shared" si="153"/>
        <v>-436</v>
      </c>
      <c r="O466" s="5">
        <f t="shared" si="154"/>
        <v>-460</v>
      </c>
      <c r="P466" s="5">
        <f t="shared" si="155"/>
        <v>-340</v>
      </c>
      <c r="Q466" s="8">
        <v>0</v>
      </c>
      <c r="R466" s="8">
        <v>0</v>
      </c>
      <c r="S466" s="8">
        <v>0</v>
      </c>
      <c r="T466" s="6">
        <f t="shared" si="150"/>
        <v>952</v>
      </c>
      <c r="U466" s="7">
        <f t="shared" si="137"/>
        <v>2044</v>
      </c>
      <c r="V466" s="7">
        <f t="shared" si="138"/>
        <v>2020</v>
      </c>
      <c r="W466" s="7">
        <f t="shared" si="139"/>
        <v>2080</v>
      </c>
      <c r="X466" s="6"/>
      <c r="Y466" s="5"/>
      <c r="Z466" s="5"/>
      <c r="AA466" s="5"/>
      <c r="AB466" s="5"/>
    </row>
    <row r="467" spans="1:28" ht="13.15" customHeight="1">
      <c r="A467" s="13">
        <v>453</v>
      </c>
      <c r="B467" s="4">
        <f t="shared" si="151"/>
        <v>45496</v>
      </c>
      <c r="C467" s="10">
        <f t="shared" si="152"/>
        <v>842</v>
      </c>
      <c r="D467" s="9">
        <f t="shared" si="143"/>
        <v>2132</v>
      </c>
      <c r="E467" s="8">
        <f t="shared" si="144"/>
        <v>410</v>
      </c>
      <c r="F467" s="8">
        <f t="shared" si="145"/>
        <v>434</v>
      </c>
      <c r="G467" s="8">
        <f t="shared" si="146"/>
        <v>314</v>
      </c>
      <c r="H467" s="5">
        <f t="shared" si="147"/>
        <v>2564</v>
      </c>
      <c r="I467" s="5">
        <f t="shared" si="148"/>
        <v>2540</v>
      </c>
      <c r="J467" s="5">
        <f t="shared" si="149"/>
        <v>2660</v>
      </c>
      <c r="K467" s="5">
        <f t="shared" si="140"/>
        <v>3000</v>
      </c>
      <c r="L467" s="5">
        <f t="shared" si="141"/>
        <v>3000</v>
      </c>
      <c r="M467" s="5">
        <f t="shared" si="142"/>
        <v>3000</v>
      </c>
      <c r="N467" s="5">
        <f t="shared" si="153"/>
        <v>-436</v>
      </c>
      <c r="O467" s="5">
        <f t="shared" si="154"/>
        <v>-460</v>
      </c>
      <c r="P467" s="5">
        <f t="shared" si="155"/>
        <v>-340</v>
      </c>
      <c r="Q467" s="8">
        <v>0</v>
      </c>
      <c r="R467" s="8">
        <v>0</v>
      </c>
      <c r="S467" s="8">
        <v>0</v>
      </c>
      <c r="T467" s="6">
        <f t="shared" si="150"/>
        <v>954</v>
      </c>
      <c r="U467" s="7">
        <f t="shared" si="137"/>
        <v>2044</v>
      </c>
      <c r="V467" s="7">
        <f t="shared" si="138"/>
        <v>2020</v>
      </c>
      <c r="W467" s="7">
        <f t="shared" si="139"/>
        <v>2080</v>
      </c>
      <c r="X467" s="6"/>
      <c r="Y467" s="5"/>
      <c r="Z467" s="5"/>
      <c r="AA467" s="5"/>
      <c r="AB467" s="5"/>
    </row>
    <row r="468" spans="1:28" ht="13.15" customHeight="1">
      <c r="A468" s="13">
        <v>454</v>
      </c>
      <c r="B468" s="4">
        <f t="shared" si="151"/>
        <v>45497</v>
      </c>
      <c r="C468" s="10">
        <f t="shared" si="152"/>
        <v>842</v>
      </c>
      <c r="D468" s="9">
        <f t="shared" si="143"/>
        <v>2134</v>
      </c>
      <c r="E468" s="8">
        <f t="shared" si="144"/>
        <v>412</v>
      </c>
      <c r="F468" s="8">
        <f t="shared" si="145"/>
        <v>436</v>
      </c>
      <c r="G468" s="8">
        <f t="shared" si="146"/>
        <v>316</v>
      </c>
      <c r="H468" s="5">
        <f t="shared" si="147"/>
        <v>2564</v>
      </c>
      <c r="I468" s="5">
        <f t="shared" si="148"/>
        <v>2540</v>
      </c>
      <c r="J468" s="5">
        <f t="shared" si="149"/>
        <v>2660</v>
      </c>
      <c r="K468" s="5">
        <f t="shared" si="140"/>
        <v>3000</v>
      </c>
      <c r="L468" s="5">
        <f t="shared" si="141"/>
        <v>3000</v>
      </c>
      <c r="M468" s="5">
        <f t="shared" si="142"/>
        <v>3000</v>
      </c>
      <c r="N468" s="5">
        <f t="shared" si="153"/>
        <v>-436</v>
      </c>
      <c r="O468" s="5">
        <f t="shared" si="154"/>
        <v>-460</v>
      </c>
      <c r="P468" s="5">
        <f t="shared" si="155"/>
        <v>-340</v>
      </c>
      <c r="Q468" s="8">
        <v>0</v>
      </c>
      <c r="R468" s="8">
        <v>0</v>
      </c>
      <c r="S468" s="8">
        <v>0</v>
      </c>
      <c r="T468" s="6">
        <f t="shared" si="150"/>
        <v>956</v>
      </c>
      <c r="U468" s="7">
        <f t="shared" si="137"/>
        <v>2044</v>
      </c>
      <c r="V468" s="7">
        <f t="shared" si="138"/>
        <v>2020</v>
      </c>
      <c r="W468" s="7">
        <f t="shared" si="139"/>
        <v>2080</v>
      </c>
      <c r="X468" s="6"/>
      <c r="Y468" s="5"/>
      <c r="Z468" s="5"/>
      <c r="AA468" s="5"/>
      <c r="AB468" s="5"/>
    </row>
    <row r="469" spans="1:28" ht="13.15" customHeight="1">
      <c r="A469" s="13">
        <v>455</v>
      </c>
      <c r="B469" s="4">
        <f t="shared" si="151"/>
        <v>45498</v>
      </c>
      <c r="C469" s="10">
        <f t="shared" si="152"/>
        <v>842</v>
      </c>
      <c r="D469" s="9">
        <f t="shared" si="143"/>
        <v>2136</v>
      </c>
      <c r="E469" s="8">
        <f t="shared" si="144"/>
        <v>414</v>
      </c>
      <c r="F469" s="8">
        <f t="shared" si="145"/>
        <v>438</v>
      </c>
      <c r="G469" s="8">
        <f t="shared" si="146"/>
        <v>318</v>
      </c>
      <c r="H469" s="5">
        <f t="shared" si="147"/>
        <v>2564</v>
      </c>
      <c r="I469" s="5">
        <f t="shared" si="148"/>
        <v>2540</v>
      </c>
      <c r="J469" s="5">
        <f t="shared" si="149"/>
        <v>2660</v>
      </c>
      <c r="K469" s="5">
        <f t="shared" si="140"/>
        <v>3000</v>
      </c>
      <c r="L469" s="5">
        <f t="shared" si="141"/>
        <v>3000</v>
      </c>
      <c r="M469" s="5">
        <f t="shared" si="142"/>
        <v>3000</v>
      </c>
      <c r="N469" s="5">
        <f t="shared" si="153"/>
        <v>-436</v>
      </c>
      <c r="O469" s="5">
        <f t="shared" si="154"/>
        <v>-460</v>
      </c>
      <c r="P469" s="5">
        <f t="shared" si="155"/>
        <v>-340</v>
      </c>
      <c r="Q469" s="8">
        <v>0</v>
      </c>
      <c r="R469" s="8">
        <v>0</v>
      </c>
      <c r="S469" s="8">
        <v>0</v>
      </c>
      <c r="T469" s="6">
        <f t="shared" si="150"/>
        <v>958</v>
      </c>
      <c r="U469" s="7">
        <f t="shared" si="137"/>
        <v>2044</v>
      </c>
      <c r="V469" s="7">
        <f t="shared" si="138"/>
        <v>2020</v>
      </c>
      <c r="W469" s="7">
        <f t="shared" si="139"/>
        <v>2080</v>
      </c>
      <c r="X469" s="6"/>
      <c r="Y469" s="5"/>
      <c r="Z469" s="5"/>
      <c r="AA469" s="5"/>
      <c r="AB469" s="5"/>
    </row>
    <row r="470" spans="1:28" ht="13.15" customHeight="1">
      <c r="A470" s="13">
        <v>456</v>
      </c>
      <c r="B470" s="4">
        <f t="shared" si="151"/>
        <v>45499</v>
      </c>
      <c r="C470" s="10">
        <f t="shared" si="152"/>
        <v>842</v>
      </c>
      <c r="D470" s="9">
        <f t="shared" si="143"/>
        <v>2138</v>
      </c>
      <c r="E470" s="8">
        <f t="shared" si="144"/>
        <v>416</v>
      </c>
      <c r="F470" s="8">
        <f t="shared" si="145"/>
        <v>440</v>
      </c>
      <c r="G470" s="8">
        <f t="shared" si="146"/>
        <v>320</v>
      </c>
      <c r="H470" s="5">
        <f t="shared" si="147"/>
        <v>2564</v>
      </c>
      <c r="I470" s="5">
        <f t="shared" si="148"/>
        <v>2540</v>
      </c>
      <c r="J470" s="5">
        <f t="shared" si="149"/>
        <v>2660</v>
      </c>
      <c r="K470" s="5">
        <f t="shared" si="140"/>
        <v>3000</v>
      </c>
      <c r="L470" s="5">
        <f t="shared" si="141"/>
        <v>3000</v>
      </c>
      <c r="M470" s="5">
        <f t="shared" si="142"/>
        <v>3000</v>
      </c>
      <c r="N470" s="5">
        <f t="shared" si="153"/>
        <v>-436</v>
      </c>
      <c r="O470" s="5">
        <f t="shared" si="154"/>
        <v>-460</v>
      </c>
      <c r="P470" s="5">
        <f t="shared" si="155"/>
        <v>-340</v>
      </c>
      <c r="Q470" s="8">
        <v>0</v>
      </c>
      <c r="R470" s="8">
        <v>0</v>
      </c>
      <c r="S470" s="8">
        <v>0</v>
      </c>
      <c r="T470" s="6">
        <f t="shared" si="150"/>
        <v>960</v>
      </c>
      <c r="U470" s="7">
        <f t="shared" si="137"/>
        <v>2044</v>
      </c>
      <c r="V470" s="7">
        <f t="shared" si="138"/>
        <v>2020</v>
      </c>
      <c r="W470" s="7">
        <f t="shared" si="139"/>
        <v>2080</v>
      </c>
      <c r="X470" s="6"/>
      <c r="Y470" s="5"/>
      <c r="Z470" s="5"/>
      <c r="AA470" s="5"/>
      <c r="AB470" s="5"/>
    </row>
    <row r="471" spans="1:28" ht="13.15" customHeight="1">
      <c r="A471" s="13">
        <v>457</v>
      </c>
      <c r="B471" s="4">
        <f t="shared" si="151"/>
        <v>45500</v>
      </c>
      <c r="C471" s="10">
        <f t="shared" si="152"/>
        <v>842</v>
      </c>
      <c r="D471" s="9">
        <f t="shared" si="143"/>
        <v>2140</v>
      </c>
      <c r="E471" s="8">
        <f t="shared" si="144"/>
        <v>418</v>
      </c>
      <c r="F471" s="8">
        <f t="shared" si="145"/>
        <v>442</v>
      </c>
      <c r="G471" s="8">
        <f t="shared" si="146"/>
        <v>322</v>
      </c>
      <c r="H471" s="5">
        <f t="shared" si="147"/>
        <v>2564</v>
      </c>
      <c r="I471" s="5">
        <f t="shared" si="148"/>
        <v>2540</v>
      </c>
      <c r="J471" s="5">
        <f t="shared" si="149"/>
        <v>2660</v>
      </c>
      <c r="K471" s="5">
        <f t="shared" si="140"/>
        <v>3000</v>
      </c>
      <c r="L471" s="5">
        <f t="shared" si="141"/>
        <v>3000</v>
      </c>
      <c r="M471" s="5">
        <f t="shared" si="142"/>
        <v>3000</v>
      </c>
      <c r="N471" s="5">
        <f t="shared" si="153"/>
        <v>-436</v>
      </c>
      <c r="O471" s="5">
        <f t="shared" si="154"/>
        <v>-460</v>
      </c>
      <c r="P471" s="5">
        <f t="shared" si="155"/>
        <v>-340</v>
      </c>
      <c r="Q471" s="8">
        <v>0</v>
      </c>
      <c r="R471" s="8">
        <v>0</v>
      </c>
      <c r="S471" s="8">
        <v>0</v>
      </c>
      <c r="T471" s="6">
        <f t="shared" si="150"/>
        <v>962</v>
      </c>
      <c r="U471" s="7">
        <f t="shared" si="137"/>
        <v>2044</v>
      </c>
      <c r="V471" s="7">
        <f t="shared" si="138"/>
        <v>2020</v>
      </c>
      <c r="W471" s="7">
        <f t="shared" si="139"/>
        <v>2080</v>
      </c>
      <c r="X471" s="6"/>
      <c r="Y471" s="5"/>
      <c r="Z471" s="5"/>
      <c r="AA471" s="5"/>
      <c r="AB471" s="5"/>
    </row>
    <row r="472" spans="1:28" ht="13.15" customHeight="1">
      <c r="A472" s="13">
        <v>458</v>
      </c>
      <c r="B472" s="4">
        <f t="shared" si="151"/>
        <v>45501</v>
      </c>
      <c r="C472" s="10">
        <f t="shared" si="152"/>
        <v>842</v>
      </c>
      <c r="D472" s="9">
        <f t="shared" si="143"/>
        <v>2142</v>
      </c>
      <c r="E472" s="8">
        <f t="shared" si="144"/>
        <v>420</v>
      </c>
      <c r="F472" s="8">
        <f t="shared" si="145"/>
        <v>444</v>
      </c>
      <c r="G472" s="8">
        <f t="shared" si="146"/>
        <v>324</v>
      </c>
      <c r="H472" s="5">
        <f t="shared" si="147"/>
        <v>2564</v>
      </c>
      <c r="I472" s="5">
        <f t="shared" si="148"/>
        <v>2540</v>
      </c>
      <c r="J472" s="5">
        <f t="shared" si="149"/>
        <v>2660</v>
      </c>
      <c r="K472" s="5">
        <f t="shared" si="140"/>
        <v>3000</v>
      </c>
      <c r="L472" s="5">
        <f t="shared" si="141"/>
        <v>3000</v>
      </c>
      <c r="M472" s="5">
        <f t="shared" si="142"/>
        <v>3000</v>
      </c>
      <c r="N472" s="5">
        <f t="shared" si="153"/>
        <v>-436</v>
      </c>
      <c r="O472" s="5">
        <f t="shared" si="154"/>
        <v>-460</v>
      </c>
      <c r="P472" s="5">
        <f t="shared" si="155"/>
        <v>-340</v>
      </c>
      <c r="Q472" s="8">
        <v>0</v>
      </c>
      <c r="R472" s="8">
        <v>0</v>
      </c>
      <c r="S472" s="8">
        <v>0</v>
      </c>
      <c r="T472" s="6">
        <f t="shared" si="150"/>
        <v>964</v>
      </c>
      <c r="U472" s="7">
        <f t="shared" si="137"/>
        <v>2044</v>
      </c>
      <c r="V472" s="7">
        <f t="shared" si="138"/>
        <v>2020</v>
      </c>
      <c r="W472" s="7">
        <f t="shared" si="139"/>
        <v>2080</v>
      </c>
      <c r="X472" s="6"/>
      <c r="Y472" s="5"/>
      <c r="Z472" s="5"/>
      <c r="AA472" s="5"/>
      <c r="AB472" s="5"/>
    </row>
    <row r="473" spans="1:28" ht="13.15" customHeight="1">
      <c r="A473" s="13">
        <v>459</v>
      </c>
      <c r="B473" s="4">
        <f t="shared" si="151"/>
        <v>45502</v>
      </c>
      <c r="C473" s="10">
        <f t="shared" si="152"/>
        <v>842</v>
      </c>
      <c r="D473" s="9">
        <f t="shared" si="143"/>
        <v>2144</v>
      </c>
      <c r="E473" s="8">
        <f t="shared" si="144"/>
        <v>422</v>
      </c>
      <c r="F473" s="8">
        <f t="shared" si="145"/>
        <v>446</v>
      </c>
      <c r="G473" s="8">
        <f t="shared" si="146"/>
        <v>326</v>
      </c>
      <c r="H473" s="5">
        <f t="shared" si="147"/>
        <v>2564</v>
      </c>
      <c r="I473" s="5">
        <f t="shared" si="148"/>
        <v>2540</v>
      </c>
      <c r="J473" s="5">
        <f t="shared" si="149"/>
        <v>2660</v>
      </c>
      <c r="K473" s="5">
        <f t="shared" si="140"/>
        <v>3000</v>
      </c>
      <c r="L473" s="5">
        <f t="shared" si="141"/>
        <v>3000</v>
      </c>
      <c r="M473" s="5">
        <f t="shared" si="142"/>
        <v>3000</v>
      </c>
      <c r="N473" s="5">
        <f t="shared" si="153"/>
        <v>-436</v>
      </c>
      <c r="O473" s="5">
        <f t="shared" si="154"/>
        <v>-460</v>
      </c>
      <c r="P473" s="5">
        <f t="shared" si="155"/>
        <v>-340</v>
      </c>
      <c r="Q473" s="8">
        <v>0</v>
      </c>
      <c r="R473" s="8">
        <v>0</v>
      </c>
      <c r="S473" s="8">
        <v>0</v>
      </c>
      <c r="T473" s="6">
        <f t="shared" si="150"/>
        <v>966</v>
      </c>
      <c r="U473" s="7">
        <f t="shared" si="137"/>
        <v>2044</v>
      </c>
      <c r="V473" s="7">
        <f t="shared" si="138"/>
        <v>2020</v>
      </c>
      <c r="W473" s="7">
        <f t="shared" si="139"/>
        <v>2080</v>
      </c>
      <c r="X473" s="6"/>
      <c r="Y473" s="5"/>
      <c r="Z473" s="5"/>
      <c r="AA473" s="5"/>
      <c r="AB473" s="5"/>
    </row>
    <row r="474" spans="1:28" ht="13.15" customHeight="1">
      <c r="A474" s="13">
        <v>460</v>
      </c>
      <c r="B474" s="4">
        <f t="shared" si="151"/>
        <v>45503</v>
      </c>
      <c r="C474" s="10">
        <f t="shared" si="152"/>
        <v>842</v>
      </c>
      <c r="D474" s="9">
        <f t="shared" si="143"/>
        <v>2146</v>
      </c>
      <c r="E474" s="8">
        <f t="shared" si="144"/>
        <v>424</v>
      </c>
      <c r="F474" s="8">
        <f t="shared" si="145"/>
        <v>448</v>
      </c>
      <c r="G474" s="8">
        <f t="shared" si="146"/>
        <v>328</v>
      </c>
      <c r="H474" s="5">
        <f t="shared" si="147"/>
        <v>2564</v>
      </c>
      <c r="I474" s="5">
        <f t="shared" si="148"/>
        <v>2540</v>
      </c>
      <c r="J474" s="5">
        <f t="shared" si="149"/>
        <v>2660</v>
      </c>
      <c r="K474" s="5">
        <f t="shared" si="140"/>
        <v>3000</v>
      </c>
      <c r="L474" s="5">
        <f t="shared" si="141"/>
        <v>3000</v>
      </c>
      <c r="M474" s="5">
        <f t="shared" si="142"/>
        <v>3000</v>
      </c>
      <c r="N474" s="5">
        <f t="shared" si="153"/>
        <v>-436</v>
      </c>
      <c r="O474" s="5">
        <f t="shared" si="154"/>
        <v>-460</v>
      </c>
      <c r="P474" s="5">
        <f t="shared" si="155"/>
        <v>-340</v>
      </c>
      <c r="Q474" s="8">
        <v>0</v>
      </c>
      <c r="R474" s="8">
        <v>0</v>
      </c>
      <c r="S474" s="8">
        <v>0</v>
      </c>
      <c r="T474" s="6">
        <f t="shared" si="150"/>
        <v>968</v>
      </c>
      <c r="U474" s="7">
        <f t="shared" si="137"/>
        <v>2044</v>
      </c>
      <c r="V474" s="7">
        <f t="shared" si="138"/>
        <v>2020</v>
      </c>
      <c r="W474" s="7">
        <f t="shared" si="139"/>
        <v>2080</v>
      </c>
      <c r="X474" s="6"/>
      <c r="Y474" s="5"/>
      <c r="Z474" s="5"/>
      <c r="AA474" s="5"/>
      <c r="AB474" s="5"/>
    </row>
    <row r="475" spans="1:28" ht="13.15" customHeight="1">
      <c r="A475" s="13">
        <v>461</v>
      </c>
      <c r="B475" s="4">
        <f t="shared" si="151"/>
        <v>45504</v>
      </c>
      <c r="C475" s="10">
        <f t="shared" si="152"/>
        <v>842</v>
      </c>
      <c r="D475" s="9">
        <f t="shared" si="143"/>
        <v>2148</v>
      </c>
      <c r="E475" s="8">
        <f t="shared" si="144"/>
        <v>426</v>
      </c>
      <c r="F475" s="8">
        <f t="shared" si="145"/>
        <v>450</v>
      </c>
      <c r="G475" s="8">
        <f t="shared" si="146"/>
        <v>330</v>
      </c>
      <c r="H475" s="5">
        <f t="shared" si="147"/>
        <v>2564</v>
      </c>
      <c r="I475" s="5">
        <f t="shared" si="148"/>
        <v>2540</v>
      </c>
      <c r="J475" s="5">
        <f t="shared" si="149"/>
        <v>2660</v>
      </c>
      <c r="K475" s="5">
        <f t="shared" si="140"/>
        <v>3000</v>
      </c>
      <c r="L475" s="5">
        <f t="shared" si="141"/>
        <v>3000</v>
      </c>
      <c r="M475" s="5">
        <f t="shared" si="142"/>
        <v>3000</v>
      </c>
      <c r="N475" s="5">
        <f t="shared" si="153"/>
        <v>-436</v>
      </c>
      <c r="O475" s="5">
        <f t="shared" si="154"/>
        <v>-460</v>
      </c>
      <c r="P475" s="5">
        <f t="shared" si="155"/>
        <v>-340</v>
      </c>
      <c r="Q475" s="8">
        <v>0</v>
      </c>
      <c r="R475" s="8">
        <v>0</v>
      </c>
      <c r="S475" s="8">
        <v>0</v>
      </c>
      <c r="T475" s="6">
        <f t="shared" si="150"/>
        <v>970</v>
      </c>
      <c r="U475" s="7">
        <f t="shared" si="137"/>
        <v>2044</v>
      </c>
      <c r="V475" s="7">
        <f t="shared" si="138"/>
        <v>2020</v>
      </c>
      <c r="W475" s="7">
        <f t="shared" si="139"/>
        <v>2080</v>
      </c>
      <c r="X475" s="6"/>
      <c r="Y475" s="5"/>
      <c r="Z475" s="5"/>
      <c r="AA475" s="5"/>
      <c r="AB475" s="5"/>
    </row>
    <row r="476" spans="1:28" ht="13.15" customHeight="1">
      <c r="A476" s="13">
        <v>462</v>
      </c>
      <c r="B476" s="4">
        <f t="shared" si="151"/>
        <v>45505</v>
      </c>
      <c r="C476" s="10">
        <f t="shared" si="152"/>
        <v>842</v>
      </c>
      <c r="D476" s="9">
        <f t="shared" si="143"/>
        <v>2150</v>
      </c>
      <c r="E476" s="8">
        <f t="shared" si="144"/>
        <v>428</v>
      </c>
      <c r="F476" s="8">
        <f t="shared" si="145"/>
        <v>452</v>
      </c>
      <c r="G476" s="8">
        <f t="shared" si="146"/>
        <v>332</v>
      </c>
      <c r="H476" s="5">
        <f t="shared" si="147"/>
        <v>2564</v>
      </c>
      <c r="I476" s="5">
        <f t="shared" si="148"/>
        <v>2540</v>
      </c>
      <c r="J476" s="5">
        <f t="shared" si="149"/>
        <v>2660</v>
      </c>
      <c r="K476" s="5">
        <f t="shared" si="140"/>
        <v>3000</v>
      </c>
      <c r="L476" s="5">
        <f t="shared" si="141"/>
        <v>3000</v>
      </c>
      <c r="M476" s="5">
        <f t="shared" si="142"/>
        <v>3000</v>
      </c>
      <c r="N476" s="5">
        <f t="shared" si="153"/>
        <v>-436</v>
      </c>
      <c r="O476" s="5">
        <f t="shared" si="154"/>
        <v>-460</v>
      </c>
      <c r="P476" s="5">
        <f t="shared" si="155"/>
        <v>-340</v>
      </c>
      <c r="Q476" s="8">
        <v>0</v>
      </c>
      <c r="R476" s="8">
        <v>0</v>
      </c>
      <c r="S476" s="8">
        <v>0</v>
      </c>
      <c r="T476" s="6">
        <f t="shared" si="150"/>
        <v>972</v>
      </c>
      <c r="U476" s="7">
        <f t="shared" si="137"/>
        <v>2044</v>
      </c>
      <c r="V476" s="7">
        <f t="shared" si="138"/>
        <v>2020</v>
      </c>
      <c r="W476" s="7">
        <f t="shared" si="139"/>
        <v>2080</v>
      </c>
      <c r="X476" s="6"/>
      <c r="Y476" s="5"/>
      <c r="Z476" s="5"/>
      <c r="AA476" s="5"/>
      <c r="AB476" s="5"/>
    </row>
    <row r="477" spans="1:28" ht="13.15" customHeight="1">
      <c r="A477" s="13">
        <v>463</v>
      </c>
      <c r="B477" s="4">
        <f t="shared" si="151"/>
        <v>45506</v>
      </c>
      <c r="C477" s="10">
        <f t="shared" si="152"/>
        <v>842</v>
      </c>
      <c r="D477" s="9">
        <f t="shared" si="143"/>
        <v>2152</v>
      </c>
      <c r="E477" s="8">
        <f t="shared" si="144"/>
        <v>430</v>
      </c>
      <c r="F477" s="8">
        <f t="shared" si="145"/>
        <v>454</v>
      </c>
      <c r="G477" s="8">
        <f t="shared" si="146"/>
        <v>334</v>
      </c>
      <c r="H477" s="5">
        <f t="shared" si="147"/>
        <v>2564</v>
      </c>
      <c r="I477" s="5">
        <f t="shared" si="148"/>
        <v>2540</v>
      </c>
      <c r="J477" s="5">
        <f t="shared" si="149"/>
        <v>2660</v>
      </c>
      <c r="K477" s="5">
        <f t="shared" si="140"/>
        <v>3000</v>
      </c>
      <c r="L477" s="5">
        <f t="shared" si="141"/>
        <v>3000</v>
      </c>
      <c r="M477" s="5">
        <f t="shared" si="142"/>
        <v>3000</v>
      </c>
      <c r="N477" s="5">
        <f t="shared" si="153"/>
        <v>-436</v>
      </c>
      <c r="O477" s="5">
        <f t="shared" si="154"/>
        <v>-460</v>
      </c>
      <c r="P477" s="5">
        <f t="shared" si="155"/>
        <v>-340</v>
      </c>
      <c r="Q477" s="8">
        <v>0</v>
      </c>
      <c r="R477" s="8">
        <v>0</v>
      </c>
      <c r="S477" s="8">
        <v>0</v>
      </c>
      <c r="T477" s="6">
        <f t="shared" si="150"/>
        <v>974</v>
      </c>
      <c r="U477" s="7">
        <f t="shared" si="137"/>
        <v>2044</v>
      </c>
      <c r="V477" s="7">
        <f t="shared" si="138"/>
        <v>2020</v>
      </c>
      <c r="W477" s="7">
        <f t="shared" si="139"/>
        <v>2080</v>
      </c>
      <c r="X477" s="6"/>
      <c r="Y477" s="5"/>
      <c r="Z477" s="5"/>
      <c r="AA477" s="5"/>
      <c r="AB477" s="5"/>
    </row>
    <row r="478" spans="1:28" ht="13.15" customHeight="1">
      <c r="A478" s="13">
        <v>464</v>
      </c>
      <c r="B478" s="4">
        <f t="shared" si="151"/>
        <v>45507</v>
      </c>
      <c r="C478" s="10">
        <f t="shared" si="152"/>
        <v>842</v>
      </c>
      <c r="D478" s="9">
        <f t="shared" si="143"/>
        <v>2154</v>
      </c>
      <c r="E478" s="8">
        <f t="shared" si="144"/>
        <v>432</v>
      </c>
      <c r="F478" s="8">
        <f t="shared" si="145"/>
        <v>456</v>
      </c>
      <c r="G478" s="8">
        <f t="shared" si="146"/>
        <v>336</v>
      </c>
      <c r="H478" s="5">
        <f t="shared" si="147"/>
        <v>2564</v>
      </c>
      <c r="I478" s="5">
        <f t="shared" si="148"/>
        <v>2540</v>
      </c>
      <c r="J478" s="5">
        <f t="shared" si="149"/>
        <v>2660</v>
      </c>
      <c r="K478" s="5">
        <f t="shared" si="140"/>
        <v>3000</v>
      </c>
      <c r="L478" s="5">
        <f t="shared" si="141"/>
        <v>3000</v>
      </c>
      <c r="M478" s="5">
        <f t="shared" si="142"/>
        <v>3000</v>
      </c>
      <c r="N478" s="5">
        <f t="shared" si="153"/>
        <v>-436</v>
      </c>
      <c r="O478" s="5">
        <f t="shared" si="154"/>
        <v>-460</v>
      </c>
      <c r="P478" s="5">
        <f t="shared" si="155"/>
        <v>-340</v>
      </c>
      <c r="Q478" s="8">
        <v>0</v>
      </c>
      <c r="R478" s="8">
        <v>0</v>
      </c>
      <c r="S478" s="8">
        <v>0</v>
      </c>
      <c r="T478" s="6">
        <f t="shared" si="150"/>
        <v>976</v>
      </c>
      <c r="U478" s="7">
        <f t="shared" si="137"/>
        <v>2044</v>
      </c>
      <c r="V478" s="7">
        <f t="shared" si="138"/>
        <v>2020</v>
      </c>
      <c r="W478" s="7">
        <f t="shared" si="139"/>
        <v>2080</v>
      </c>
      <c r="X478" s="6"/>
      <c r="Y478" s="5"/>
      <c r="Z478" s="5"/>
      <c r="AA478" s="5"/>
      <c r="AB478" s="5"/>
    </row>
    <row r="479" spans="1:28" ht="13.15" customHeight="1">
      <c r="A479" s="13">
        <v>465</v>
      </c>
      <c r="B479" s="4">
        <f t="shared" si="151"/>
        <v>45508</v>
      </c>
      <c r="C479" s="10">
        <f t="shared" si="152"/>
        <v>842</v>
      </c>
      <c r="D479" s="9">
        <f t="shared" si="143"/>
        <v>2156</v>
      </c>
      <c r="E479" s="8">
        <f t="shared" si="144"/>
        <v>434</v>
      </c>
      <c r="F479" s="8">
        <f t="shared" si="145"/>
        <v>458</v>
      </c>
      <c r="G479" s="8">
        <f t="shared" si="146"/>
        <v>338</v>
      </c>
      <c r="H479" s="5">
        <f t="shared" si="147"/>
        <v>2564</v>
      </c>
      <c r="I479" s="5">
        <f t="shared" si="148"/>
        <v>2540</v>
      </c>
      <c r="J479" s="5">
        <f t="shared" si="149"/>
        <v>2660</v>
      </c>
      <c r="K479" s="5">
        <f t="shared" si="140"/>
        <v>3000</v>
      </c>
      <c r="L479" s="5">
        <f t="shared" si="141"/>
        <v>3000</v>
      </c>
      <c r="M479" s="5">
        <f t="shared" si="142"/>
        <v>3000</v>
      </c>
      <c r="N479" s="5">
        <f t="shared" si="153"/>
        <v>-436</v>
      </c>
      <c r="O479" s="5">
        <f t="shared" si="154"/>
        <v>-460</v>
      </c>
      <c r="P479" s="5">
        <f t="shared" si="155"/>
        <v>-340</v>
      </c>
      <c r="Q479" s="8">
        <v>0</v>
      </c>
      <c r="R479" s="8">
        <v>0</v>
      </c>
      <c r="S479" s="8">
        <v>0</v>
      </c>
      <c r="T479" s="6">
        <f t="shared" si="150"/>
        <v>978</v>
      </c>
      <c r="U479" s="7">
        <f t="shared" si="137"/>
        <v>2044</v>
      </c>
      <c r="V479" s="7">
        <f t="shared" si="138"/>
        <v>2020</v>
      </c>
      <c r="W479" s="7">
        <f t="shared" si="139"/>
        <v>2080</v>
      </c>
      <c r="X479" s="6"/>
      <c r="Y479" s="5"/>
      <c r="Z479" s="5"/>
      <c r="AA479" s="5"/>
      <c r="AB479" s="5"/>
    </row>
    <row r="480" spans="1:28" ht="13.15" customHeight="1">
      <c r="A480" s="13">
        <v>466</v>
      </c>
      <c r="B480" s="4">
        <f t="shared" si="151"/>
        <v>45509</v>
      </c>
      <c r="C480" s="10">
        <f t="shared" si="152"/>
        <v>842</v>
      </c>
      <c r="D480" s="9">
        <f t="shared" si="143"/>
        <v>2158</v>
      </c>
      <c r="E480" s="8">
        <f t="shared" si="144"/>
        <v>436</v>
      </c>
      <c r="F480" s="8">
        <f t="shared" si="145"/>
        <v>460</v>
      </c>
      <c r="G480" s="8">
        <f t="shared" si="146"/>
        <v>340</v>
      </c>
      <c r="H480" s="5">
        <f t="shared" si="147"/>
        <v>2564</v>
      </c>
      <c r="I480" s="5">
        <f t="shared" si="148"/>
        <v>2540</v>
      </c>
      <c r="J480" s="5">
        <f t="shared" si="149"/>
        <v>2660</v>
      </c>
      <c r="K480" s="5">
        <f t="shared" si="140"/>
        <v>3000</v>
      </c>
      <c r="L480" s="5">
        <f t="shared" si="141"/>
        <v>3000</v>
      </c>
      <c r="M480" s="5">
        <f t="shared" si="142"/>
        <v>3000</v>
      </c>
      <c r="N480" s="5">
        <f t="shared" si="153"/>
        <v>-436</v>
      </c>
      <c r="O480" s="5">
        <f t="shared" si="154"/>
        <v>-460</v>
      </c>
      <c r="P480" s="5">
        <f t="shared" si="155"/>
        <v>-340</v>
      </c>
      <c r="Q480" s="8">
        <v>0</v>
      </c>
      <c r="R480" s="8">
        <v>0</v>
      </c>
      <c r="S480" s="8">
        <v>0</v>
      </c>
      <c r="T480" s="6">
        <f t="shared" si="150"/>
        <v>980</v>
      </c>
      <c r="U480" s="7">
        <f t="shared" si="137"/>
        <v>2044</v>
      </c>
      <c r="V480" s="7">
        <f t="shared" si="138"/>
        <v>2020</v>
      </c>
      <c r="W480" s="7">
        <f t="shared" si="139"/>
        <v>2080</v>
      </c>
      <c r="X480" s="6"/>
      <c r="Y480" s="5"/>
      <c r="Z480" s="5"/>
      <c r="AA480" s="5"/>
      <c r="AB480" s="5"/>
    </row>
    <row r="481" spans="1:28" ht="13.15" customHeight="1">
      <c r="A481" s="13">
        <v>467</v>
      </c>
      <c r="B481" s="4">
        <f t="shared" si="151"/>
        <v>45510</v>
      </c>
      <c r="C481" s="10">
        <f t="shared" si="152"/>
        <v>842</v>
      </c>
      <c r="D481" s="9">
        <f t="shared" si="143"/>
        <v>2160</v>
      </c>
      <c r="E481" s="8">
        <f t="shared" si="144"/>
        <v>438</v>
      </c>
      <c r="F481" s="8">
        <f t="shared" si="145"/>
        <v>462</v>
      </c>
      <c r="G481" s="8">
        <f t="shared" si="146"/>
        <v>342</v>
      </c>
      <c r="H481" s="5">
        <f t="shared" si="147"/>
        <v>2564</v>
      </c>
      <c r="I481" s="5">
        <f t="shared" si="148"/>
        <v>2540</v>
      </c>
      <c r="J481" s="5">
        <f t="shared" si="149"/>
        <v>2660</v>
      </c>
      <c r="K481" s="5">
        <f t="shared" si="140"/>
        <v>3000</v>
      </c>
      <c r="L481" s="5">
        <f t="shared" si="141"/>
        <v>3000</v>
      </c>
      <c r="M481" s="5">
        <f t="shared" si="142"/>
        <v>3000</v>
      </c>
      <c r="N481" s="5">
        <f t="shared" si="153"/>
        <v>-436</v>
      </c>
      <c r="O481" s="5">
        <f t="shared" si="154"/>
        <v>-460</v>
      </c>
      <c r="P481" s="5">
        <f t="shared" si="155"/>
        <v>-340</v>
      </c>
      <c r="Q481" s="8">
        <v>0</v>
      </c>
      <c r="R481" s="8">
        <v>0</v>
      </c>
      <c r="S481" s="8">
        <v>0</v>
      </c>
      <c r="T481" s="6">
        <f t="shared" si="150"/>
        <v>982</v>
      </c>
      <c r="U481" s="7">
        <f t="shared" si="137"/>
        <v>2044</v>
      </c>
      <c r="V481" s="7">
        <f t="shared" si="138"/>
        <v>2020</v>
      </c>
      <c r="W481" s="7">
        <f t="shared" si="139"/>
        <v>2080</v>
      </c>
      <c r="X481" s="6"/>
      <c r="Y481" s="5"/>
      <c r="Z481" s="5"/>
      <c r="AA481" s="5"/>
      <c r="AB481" s="5"/>
    </row>
    <row r="482" spans="1:28" ht="13.15" customHeight="1">
      <c r="A482" s="13">
        <v>468</v>
      </c>
      <c r="B482" s="4">
        <f t="shared" si="151"/>
        <v>45511</v>
      </c>
      <c r="C482" s="10">
        <f t="shared" si="152"/>
        <v>842</v>
      </c>
      <c r="D482" s="9">
        <f t="shared" si="143"/>
        <v>2162</v>
      </c>
      <c r="E482" s="8">
        <f t="shared" si="144"/>
        <v>440</v>
      </c>
      <c r="F482" s="8">
        <f t="shared" si="145"/>
        <v>464</v>
      </c>
      <c r="G482" s="8">
        <f t="shared" si="146"/>
        <v>344</v>
      </c>
      <c r="H482" s="5">
        <f t="shared" si="147"/>
        <v>2564</v>
      </c>
      <c r="I482" s="5">
        <f t="shared" si="148"/>
        <v>2540</v>
      </c>
      <c r="J482" s="5">
        <f t="shared" si="149"/>
        <v>2660</v>
      </c>
      <c r="K482" s="5">
        <f t="shared" si="140"/>
        <v>3000</v>
      </c>
      <c r="L482" s="5">
        <f t="shared" si="141"/>
        <v>3000</v>
      </c>
      <c r="M482" s="5">
        <f t="shared" si="142"/>
        <v>3000</v>
      </c>
      <c r="N482" s="5">
        <f t="shared" si="153"/>
        <v>-436</v>
      </c>
      <c r="O482" s="5">
        <f t="shared" si="154"/>
        <v>-460</v>
      </c>
      <c r="P482" s="5">
        <f t="shared" si="155"/>
        <v>-340</v>
      </c>
      <c r="Q482" s="8">
        <v>0</v>
      </c>
      <c r="R482" s="8">
        <v>0</v>
      </c>
      <c r="S482" s="8">
        <v>0</v>
      </c>
      <c r="T482" s="6">
        <f t="shared" si="150"/>
        <v>984</v>
      </c>
      <c r="U482" s="7">
        <f t="shared" si="137"/>
        <v>2044</v>
      </c>
      <c r="V482" s="7">
        <f t="shared" si="138"/>
        <v>2020</v>
      </c>
      <c r="W482" s="7">
        <f t="shared" si="139"/>
        <v>2080</v>
      </c>
      <c r="X482" s="6"/>
      <c r="Y482" s="5"/>
      <c r="Z482" s="5"/>
      <c r="AA482" s="5"/>
      <c r="AB482" s="5"/>
    </row>
    <row r="483" spans="1:28" ht="13.15" customHeight="1">
      <c r="A483" s="13">
        <v>469</v>
      </c>
      <c r="B483" s="4">
        <f t="shared" si="151"/>
        <v>45512</v>
      </c>
      <c r="C483" s="10">
        <f t="shared" si="152"/>
        <v>842</v>
      </c>
      <c r="D483" s="9">
        <f t="shared" si="143"/>
        <v>2164</v>
      </c>
      <c r="E483" s="8">
        <f t="shared" si="144"/>
        <v>442</v>
      </c>
      <c r="F483" s="8">
        <f t="shared" si="145"/>
        <v>466</v>
      </c>
      <c r="G483" s="8">
        <f t="shared" si="146"/>
        <v>346</v>
      </c>
      <c r="H483" s="5">
        <f t="shared" si="147"/>
        <v>2564</v>
      </c>
      <c r="I483" s="5">
        <f t="shared" si="148"/>
        <v>2540</v>
      </c>
      <c r="J483" s="5">
        <f t="shared" si="149"/>
        <v>2660</v>
      </c>
      <c r="K483" s="5">
        <f t="shared" si="140"/>
        <v>3000</v>
      </c>
      <c r="L483" s="5">
        <f t="shared" si="141"/>
        <v>3000</v>
      </c>
      <c r="M483" s="5">
        <f t="shared" si="142"/>
        <v>3000</v>
      </c>
      <c r="N483" s="5">
        <f t="shared" si="153"/>
        <v>-436</v>
      </c>
      <c r="O483" s="5">
        <f t="shared" si="154"/>
        <v>-460</v>
      </c>
      <c r="P483" s="5">
        <f t="shared" si="155"/>
        <v>-340</v>
      </c>
      <c r="Q483" s="8">
        <v>0</v>
      </c>
      <c r="R483" s="8">
        <v>0</v>
      </c>
      <c r="S483" s="8">
        <v>0</v>
      </c>
      <c r="T483" s="6">
        <f t="shared" si="150"/>
        <v>986</v>
      </c>
      <c r="U483" s="7">
        <f t="shared" si="137"/>
        <v>2044</v>
      </c>
      <c r="V483" s="7">
        <f t="shared" si="138"/>
        <v>2020</v>
      </c>
      <c r="W483" s="7">
        <f t="shared" si="139"/>
        <v>2080</v>
      </c>
      <c r="X483" s="6"/>
      <c r="Y483" s="5"/>
      <c r="Z483" s="5"/>
      <c r="AA483" s="5"/>
      <c r="AB483" s="5"/>
    </row>
    <row r="484" spans="1:28" ht="13.15" customHeight="1">
      <c r="A484" s="13">
        <v>470</v>
      </c>
      <c r="B484" s="4">
        <f t="shared" si="151"/>
        <v>45513</v>
      </c>
      <c r="C484" s="10">
        <f t="shared" si="152"/>
        <v>842</v>
      </c>
      <c r="D484" s="9">
        <f t="shared" si="143"/>
        <v>2166</v>
      </c>
      <c r="E484" s="8">
        <f t="shared" si="144"/>
        <v>444</v>
      </c>
      <c r="F484" s="8">
        <f t="shared" si="145"/>
        <v>468</v>
      </c>
      <c r="G484" s="8">
        <f t="shared" si="146"/>
        <v>348</v>
      </c>
      <c r="H484" s="5">
        <f t="shared" si="147"/>
        <v>2564</v>
      </c>
      <c r="I484" s="5">
        <f t="shared" si="148"/>
        <v>2540</v>
      </c>
      <c r="J484" s="5">
        <f t="shared" si="149"/>
        <v>2660</v>
      </c>
      <c r="K484" s="5">
        <f t="shared" si="140"/>
        <v>3000</v>
      </c>
      <c r="L484" s="5">
        <f t="shared" si="141"/>
        <v>3000</v>
      </c>
      <c r="M484" s="5">
        <f t="shared" si="142"/>
        <v>3000</v>
      </c>
      <c r="N484" s="5">
        <f t="shared" si="153"/>
        <v>-436</v>
      </c>
      <c r="O484" s="5">
        <f t="shared" si="154"/>
        <v>-460</v>
      </c>
      <c r="P484" s="5">
        <f t="shared" si="155"/>
        <v>-340</v>
      </c>
      <c r="Q484" s="8">
        <v>0</v>
      </c>
      <c r="R484" s="8">
        <v>0</v>
      </c>
      <c r="S484" s="8">
        <v>0</v>
      </c>
      <c r="T484" s="6">
        <f t="shared" si="150"/>
        <v>988</v>
      </c>
      <c r="U484" s="7">
        <f t="shared" si="137"/>
        <v>2044</v>
      </c>
      <c r="V484" s="7">
        <f t="shared" si="138"/>
        <v>2020</v>
      </c>
      <c r="W484" s="7">
        <f t="shared" si="139"/>
        <v>2080</v>
      </c>
      <c r="X484" s="6"/>
      <c r="Y484" s="5"/>
      <c r="Z484" s="5"/>
      <c r="AA484" s="5"/>
      <c r="AB484" s="5"/>
    </row>
    <row r="485" spans="1:28" ht="13.15" customHeight="1">
      <c r="A485" s="13">
        <v>471</v>
      </c>
      <c r="B485" s="4">
        <f t="shared" si="151"/>
        <v>45514</v>
      </c>
      <c r="C485" s="10">
        <f t="shared" si="152"/>
        <v>842</v>
      </c>
      <c r="D485" s="9">
        <f t="shared" si="143"/>
        <v>2168</v>
      </c>
      <c r="E485" s="8">
        <f t="shared" si="144"/>
        <v>446</v>
      </c>
      <c r="F485" s="8">
        <f t="shared" si="145"/>
        <v>470</v>
      </c>
      <c r="G485" s="8">
        <f t="shared" si="146"/>
        <v>350</v>
      </c>
      <c r="H485" s="5">
        <f t="shared" si="147"/>
        <v>2564</v>
      </c>
      <c r="I485" s="5">
        <f t="shared" si="148"/>
        <v>2540</v>
      </c>
      <c r="J485" s="5">
        <f t="shared" si="149"/>
        <v>2660</v>
      </c>
      <c r="K485" s="5">
        <f t="shared" si="140"/>
        <v>3000</v>
      </c>
      <c r="L485" s="5">
        <f t="shared" si="141"/>
        <v>3000</v>
      </c>
      <c r="M485" s="5">
        <f t="shared" si="142"/>
        <v>3000</v>
      </c>
      <c r="N485" s="5">
        <f t="shared" si="153"/>
        <v>-436</v>
      </c>
      <c r="O485" s="5">
        <f t="shared" si="154"/>
        <v>-460</v>
      </c>
      <c r="P485" s="5">
        <f t="shared" si="155"/>
        <v>-340</v>
      </c>
      <c r="Q485" s="8">
        <v>0</v>
      </c>
      <c r="R485" s="8">
        <v>0</v>
      </c>
      <c r="S485" s="8">
        <v>0</v>
      </c>
      <c r="T485" s="6">
        <f t="shared" si="150"/>
        <v>990</v>
      </c>
      <c r="U485" s="7">
        <f t="shared" si="137"/>
        <v>2044</v>
      </c>
      <c r="V485" s="7">
        <f t="shared" si="138"/>
        <v>2020</v>
      </c>
      <c r="W485" s="7">
        <f t="shared" si="139"/>
        <v>2080</v>
      </c>
      <c r="X485" s="6"/>
      <c r="Y485" s="5"/>
      <c r="Z485" s="5"/>
      <c r="AA485" s="5"/>
      <c r="AB485" s="5"/>
    </row>
    <row r="486" spans="1:28" ht="13.15" customHeight="1">
      <c r="A486" s="13">
        <v>472</v>
      </c>
      <c r="B486" s="4">
        <f t="shared" si="151"/>
        <v>45515</v>
      </c>
      <c r="C486" s="10">
        <f t="shared" si="152"/>
        <v>842</v>
      </c>
      <c r="D486" s="9">
        <f t="shared" si="143"/>
        <v>2170</v>
      </c>
      <c r="E486" s="8">
        <f t="shared" si="144"/>
        <v>448</v>
      </c>
      <c r="F486" s="8">
        <f t="shared" si="145"/>
        <v>472</v>
      </c>
      <c r="G486" s="8">
        <f t="shared" si="146"/>
        <v>352</v>
      </c>
      <c r="H486" s="5">
        <f t="shared" si="147"/>
        <v>2564</v>
      </c>
      <c r="I486" s="5">
        <f t="shared" si="148"/>
        <v>2540</v>
      </c>
      <c r="J486" s="5">
        <f t="shared" si="149"/>
        <v>2660</v>
      </c>
      <c r="K486" s="5">
        <f t="shared" si="140"/>
        <v>3000</v>
      </c>
      <c r="L486" s="5">
        <f t="shared" si="141"/>
        <v>3000</v>
      </c>
      <c r="M486" s="5">
        <f t="shared" si="142"/>
        <v>3000</v>
      </c>
      <c r="N486" s="5">
        <f t="shared" si="153"/>
        <v>-436</v>
      </c>
      <c r="O486" s="5">
        <f t="shared" si="154"/>
        <v>-460</v>
      </c>
      <c r="P486" s="5">
        <f t="shared" si="155"/>
        <v>-340</v>
      </c>
      <c r="Q486" s="8">
        <v>0</v>
      </c>
      <c r="R486" s="8">
        <v>0</v>
      </c>
      <c r="S486" s="8">
        <v>0</v>
      </c>
      <c r="T486" s="6">
        <f t="shared" si="150"/>
        <v>992</v>
      </c>
      <c r="U486" s="7">
        <f t="shared" si="137"/>
        <v>2044</v>
      </c>
      <c r="V486" s="7">
        <f t="shared" si="138"/>
        <v>2020</v>
      </c>
      <c r="W486" s="7">
        <f t="shared" si="139"/>
        <v>2080</v>
      </c>
      <c r="X486" s="6"/>
      <c r="Y486" s="5"/>
      <c r="Z486" s="5"/>
      <c r="AA486" s="5"/>
      <c r="AB486" s="5"/>
    </row>
    <row r="487" spans="1:28" ht="13.15" customHeight="1">
      <c r="A487" s="13">
        <v>473</v>
      </c>
      <c r="B487" s="4">
        <f t="shared" si="151"/>
        <v>45516</v>
      </c>
      <c r="C487" s="10">
        <f t="shared" si="152"/>
        <v>842</v>
      </c>
      <c r="D487" s="9">
        <f t="shared" si="143"/>
        <v>2172</v>
      </c>
      <c r="E487" s="8">
        <f t="shared" si="144"/>
        <v>450</v>
      </c>
      <c r="F487" s="8">
        <f t="shared" si="145"/>
        <v>474</v>
      </c>
      <c r="G487" s="8">
        <f t="shared" si="146"/>
        <v>354</v>
      </c>
      <c r="H487" s="5">
        <f t="shared" si="147"/>
        <v>2564</v>
      </c>
      <c r="I487" s="5">
        <f t="shared" si="148"/>
        <v>2540</v>
      </c>
      <c r="J487" s="5">
        <f t="shared" si="149"/>
        <v>2660</v>
      </c>
      <c r="K487" s="5">
        <f t="shared" si="140"/>
        <v>3000</v>
      </c>
      <c r="L487" s="5">
        <f t="shared" si="141"/>
        <v>3000</v>
      </c>
      <c r="M487" s="5">
        <f t="shared" si="142"/>
        <v>3000</v>
      </c>
      <c r="N487" s="5">
        <f t="shared" si="153"/>
        <v>-436</v>
      </c>
      <c r="O487" s="5">
        <f t="shared" si="154"/>
        <v>-460</v>
      </c>
      <c r="P487" s="5">
        <f t="shared" si="155"/>
        <v>-340</v>
      </c>
      <c r="Q487" s="8">
        <v>0</v>
      </c>
      <c r="R487" s="8">
        <v>0</v>
      </c>
      <c r="S487" s="8">
        <v>0</v>
      </c>
      <c r="T487" s="6">
        <f t="shared" si="150"/>
        <v>994</v>
      </c>
      <c r="U487" s="7">
        <f t="shared" si="137"/>
        <v>2044</v>
      </c>
      <c r="V487" s="7">
        <f t="shared" si="138"/>
        <v>2020</v>
      </c>
      <c r="W487" s="7">
        <f t="shared" si="139"/>
        <v>2080</v>
      </c>
      <c r="X487" s="6"/>
      <c r="Y487" s="5"/>
      <c r="Z487" s="5"/>
      <c r="AA487" s="5"/>
      <c r="AB487" s="5"/>
    </row>
    <row r="488" spans="1:28" ht="13.15" customHeight="1">
      <c r="A488" s="13">
        <v>474</v>
      </c>
      <c r="B488" s="4">
        <f t="shared" si="151"/>
        <v>45517</v>
      </c>
      <c r="C488" s="10">
        <f t="shared" si="152"/>
        <v>842</v>
      </c>
      <c r="D488" s="9">
        <f t="shared" si="143"/>
        <v>2174</v>
      </c>
      <c r="E488" s="8">
        <f t="shared" si="144"/>
        <v>452</v>
      </c>
      <c r="F488" s="8">
        <f t="shared" si="145"/>
        <v>476</v>
      </c>
      <c r="G488" s="8">
        <f t="shared" si="146"/>
        <v>356</v>
      </c>
      <c r="H488" s="5">
        <f t="shared" si="147"/>
        <v>2564</v>
      </c>
      <c r="I488" s="5">
        <f t="shared" si="148"/>
        <v>2540</v>
      </c>
      <c r="J488" s="5">
        <f t="shared" si="149"/>
        <v>2660</v>
      </c>
      <c r="K488" s="5">
        <f t="shared" si="140"/>
        <v>3000</v>
      </c>
      <c r="L488" s="5">
        <f t="shared" si="141"/>
        <v>3000</v>
      </c>
      <c r="M488" s="5">
        <f t="shared" si="142"/>
        <v>3000</v>
      </c>
      <c r="N488" s="5">
        <f t="shared" si="153"/>
        <v>-436</v>
      </c>
      <c r="O488" s="5">
        <f t="shared" si="154"/>
        <v>-460</v>
      </c>
      <c r="P488" s="5">
        <f t="shared" si="155"/>
        <v>-340</v>
      </c>
      <c r="Q488" s="8">
        <v>0</v>
      </c>
      <c r="R488" s="8">
        <v>0</v>
      </c>
      <c r="S488" s="8">
        <v>0</v>
      </c>
      <c r="T488" s="6">
        <f t="shared" si="150"/>
        <v>996</v>
      </c>
      <c r="U488" s="7">
        <f t="shared" ref="U488:U551" si="156">U487+$X488*1000-Q488</f>
        <v>2044</v>
      </c>
      <c r="V488" s="7">
        <f t="shared" ref="V488:V551" si="157">V487+$X488*1000-R488</f>
        <v>2020</v>
      </c>
      <c r="W488" s="7">
        <f t="shared" ref="W488:W551" si="158">W487+$X488*1000-S488</f>
        <v>2080</v>
      </c>
      <c r="X488" s="6"/>
      <c r="Y488" s="5"/>
      <c r="Z488" s="5"/>
      <c r="AA488" s="5"/>
      <c r="AB488" s="5"/>
    </row>
    <row r="489" spans="1:28" ht="13.15" customHeight="1">
      <c r="A489" s="13">
        <v>475</v>
      </c>
      <c r="B489" s="4">
        <f t="shared" si="151"/>
        <v>45518</v>
      </c>
      <c r="C489" s="10">
        <f t="shared" si="152"/>
        <v>842</v>
      </c>
      <c r="D489" s="9">
        <f t="shared" si="143"/>
        <v>2176</v>
      </c>
      <c r="E489" s="8">
        <f t="shared" si="144"/>
        <v>454</v>
      </c>
      <c r="F489" s="8">
        <f t="shared" si="145"/>
        <v>478</v>
      </c>
      <c r="G489" s="8">
        <f t="shared" si="146"/>
        <v>358</v>
      </c>
      <c r="H489" s="5">
        <f t="shared" si="147"/>
        <v>2564</v>
      </c>
      <c r="I489" s="5">
        <f t="shared" si="148"/>
        <v>2540</v>
      </c>
      <c r="J489" s="5">
        <f t="shared" si="149"/>
        <v>2660</v>
      </c>
      <c r="K489" s="5">
        <f t="shared" si="140"/>
        <v>3000</v>
      </c>
      <c r="L489" s="5">
        <f t="shared" si="141"/>
        <v>3000</v>
      </c>
      <c r="M489" s="5">
        <f t="shared" si="142"/>
        <v>3000</v>
      </c>
      <c r="N489" s="5">
        <f t="shared" si="153"/>
        <v>-436</v>
      </c>
      <c r="O489" s="5">
        <f t="shared" si="154"/>
        <v>-460</v>
      </c>
      <c r="P489" s="5">
        <f t="shared" si="155"/>
        <v>-340</v>
      </c>
      <c r="Q489" s="8">
        <v>0</v>
      </c>
      <c r="R489" s="8">
        <v>0</v>
      </c>
      <c r="S489" s="8">
        <v>0</v>
      </c>
      <c r="T489" s="6">
        <f t="shared" si="150"/>
        <v>998</v>
      </c>
      <c r="U489" s="7">
        <f t="shared" si="156"/>
        <v>2044</v>
      </c>
      <c r="V489" s="7">
        <f t="shared" si="157"/>
        <v>2020</v>
      </c>
      <c r="W489" s="7">
        <f t="shared" si="158"/>
        <v>2080</v>
      </c>
      <c r="X489" s="6"/>
      <c r="Y489" s="5"/>
      <c r="Z489" s="5"/>
      <c r="AA489" s="5"/>
      <c r="AB489" s="5"/>
    </row>
    <row r="490" spans="1:28" ht="13.15" customHeight="1">
      <c r="A490" s="13">
        <v>476</v>
      </c>
      <c r="B490" s="4">
        <f t="shared" si="151"/>
        <v>45519</v>
      </c>
      <c r="C490" s="10">
        <f t="shared" si="152"/>
        <v>842</v>
      </c>
      <c r="D490" s="9">
        <f t="shared" si="143"/>
        <v>2178</v>
      </c>
      <c r="E490" s="8">
        <f t="shared" si="144"/>
        <v>456</v>
      </c>
      <c r="F490" s="8">
        <f t="shared" si="145"/>
        <v>480</v>
      </c>
      <c r="G490" s="8">
        <f t="shared" si="146"/>
        <v>360</v>
      </c>
      <c r="H490" s="5">
        <f t="shared" si="147"/>
        <v>2564</v>
      </c>
      <c r="I490" s="5">
        <f t="shared" si="148"/>
        <v>2540</v>
      </c>
      <c r="J490" s="5">
        <f t="shared" si="149"/>
        <v>2660</v>
      </c>
      <c r="K490" s="5">
        <f t="shared" si="140"/>
        <v>3000</v>
      </c>
      <c r="L490" s="5">
        <f t="shared" si="141"/>
        <v>3000</v>
      </c>
      <c r="M490" s="5">
        <f t="shared" si="142"/>
        <v>3000</v>
      </c>
      <c r="N490" s="5">
        <f t="shared" si="153"/>
        <v>-436</v>
      </c>
      <c r="O490" s="5">
        <f t="shared" si="154"/>
        <v>-460</v>
      </c>
      <c r="P490" s="5">
        <f t="shared" si="155"/>
        <v>-340</v>
      </c>
      <c r="Q490" s="8">
        <v>0</v>
      </c>
      <c r="R490" s="8">
        <v>0</v>
      </c>
      <c r="S490" s="8">
        <v>0</v>
      </c>
      <c r="T490" s="6">
        <f t="shared" si="150"/>
        <v>1000</v>
      </c>
      <c r="U490" s="7">
        <f t="shared" si="156"/>
        <v>2044</v>
      </c>
      <c r="V490" s="7">
        <f t="shared" si="157"/>
        <v>2020</v>
      </c>
      <c r="W490" s="7">
        <f t="shared" si="158"/>
        <v>2080</v>
      </c>
      <c r="X490" s="6"/>
      <c r="Y490" s="5"/>
      <c r="Z490" s="5"/>
      <c r="AA490" s="5"/>
      <c r="AB490" s="5"/>
    </row>
    <row r="491" spans="1:28" ht="13.15" customHeight="1">
      <c r="A491" s="13">
        <v>477</v>
      </c>
      <c r="B491" s="4">
        <f t="shared" si="151"/>
        <v>45520</v>
      </c>
      <c r="C491" s="10">
        <f t="shared" si="152"/>
        <v>842</v>
      </c>
      <c r="D491" s="9">
        <f t="shared" si="143"/>
        <v>2180</v>
      </c>
      <c r="E491" s="8">
        <f t="shared" si="144"/>
        <v>458</v>
      </c>
      <c r="F491" s="8">
        <f t="shared" si="145"/>
        <v>482</v>
      </c>
      <c r="G491" s="8">
        <f t="shared" si="146"/>
        <v>362</v>
      </c>
      <c r="H491" s="5">
        <f t="shared" si="147"/>
        <v>2564</v>
      </c>
      <c r="I491" s="5">
        <f t="shared" si="148"/>
        <v>2540</v>
      </c>
      <c r="J491" s="5">
        <f t="shared" si="149"/>
        <v>2660</v>
      </c>
      <c r="K491" s="5">
        <f t="shared" si="140"/>
        <v>3000</v>
      </c>
      <c r="L491" s="5">
        <f t="shared" si="141"/>
        <v>3000</v>
      </c>
      <c r="M491" s="5">
        <f t="shared" si="142"/>
        <v>3000</v>
      </c>
      <c r="N491" s="5">
        <f t="shared" si="153"/>
        <v>-436</v>
      </c>
      <c r="O491" s="5">
        <f t="shared" si="154"/>
        <v>-460</v>
      </c>
      <c r="P491" s="5">
        <f t="shared" si="155"/>
        <v>-340</v>
      </c>
      <c r="Q491" s="8">
        <v>0</v>
      </c>
      <c r="R491" s="8">
        <v>0</v>
      </c>
      <c r="S491" s="8">
        <v>0</v>
      </c>
      <c r="T491" s="6">
        <f t="shared" si="150"/>
        <v>1002</v>
      </c>
      <c r="U491" s="7">
        <f t="shared" si="156"/>
        <v>2044</v>
      </c>
      <c r="V491" s="7">
        <f t="shared" si="157"/>
        <v>2020</v>
      </c>
      <c r="W491" s="7">
        <f t="shared" si="158"/>
        <v>2080</v>
      </c>
      <c r="X491" s="6"/>
      <c r="Y491" s="5"/>
      <c r="Z491" s="5"/>
      <c r="AA491" s="5"/>
      <c r="AB491" s="5"/>
    </row>
    <row r="492" spans="1:28" ht="13.15" customHeight="1">
      <c r="A492" s="13">
        <v>478</v>
      </c>
      <c r="B492" s="4">
        <f t="shared" si="151"/>
        <v>45521</v>
      </c>
      <c r="C492" s="10">
        <f t="shared" si="152"/>
        <v>842</v>
      </c>
      <c r="D492" s="9">
        <f t="shared" si="143"/>
        <v>2182</v>
      </c>
      <c r="E492" s="8">
        <f t="shared" si="144"/>
        <v>460</v>
      </c>
      <c r="F492" s="8">
        <f t="shared" si="145"/>
        <v>484</v>
      </c>
      <c r="G492" s="8">
        <f t="shared" si="146"/>
        <v>364</v>
      </c>
      <c r="H492" s="5">
        <f t="shared" si="147"/>
        <v>2564</v>
      </c>
      <c r="I492" s="5">
        <f t="shared" si="148"/>
        <v>2540</v>
      </c>
      <c r="J492" s="5">
        <f t="shared" si="149"/>
        <v>2660</v>
      </c>
      <c r="K492" s="5">
        <f t="shared" ref="K492:K555" si="159">K491</f>
        <v>3000</v>
      </c>
      <c r="L492" s="5">
        <f t="shared" ref="L492:L555" si="160">L491</f>
        <v>3000</v>
      </c>
      <c r="M492" s="5">
        <f t="shared" ref="M492:M555" si="161">M491</f>
        <v>3000</v>
      </c>
      <c r="N492" s="5">
        <f t="shared" si="153"/>
        <v>-436</v>
      </c>
      <c r="O492" s="5">
        <f t="shared" si="154"/>
        <v>-460</v>
      </c>
      <c r="P492" s="5">
        <f t="shared" si="155"/>
        <v>-340</v>
      </c>
      <c r="Q492" s="8">
        <v>0</v>
      </c>
      <c r="R492" s="8">
        <v>0</v>
      </c>
      <c r="S492" s="8">
        <v>0</v>
      </c>
      <c r="T492" s="6">
        <f t="shared" si="150"/>
        <v>1004</v>
      </c>
      <c r="U492" s="7">
        <f t="shared" si="156"/>
        <v>2044</v>
      </c>
      <c r="V492" s="7">
        <f t="shared" si="157"/>
        <v>2020</v>
      </c>
      <c r="W492" s="7">
        <f t="shared" si="158"/>
        <v>2080</v>
      </c>
      <c r="X492" s="6"/>
      <c r="Y492" s="5"/>
      <c r="Z492" s="5"/>
      <c r="AA492" s="5"/>
      <c r="AB492" s="5"/>
    </row>
    <row r="493" spans="1:28" ht="13.15" customHeight="1">
      <c r="A493" s="13">
        <v>479</v>
      </c>
      <c r="B493" s="4">
        <f t="shared" si="151"/>
        <v>45522</v>
      </c>
      <c r="C493" s="10">
        <f t="shared" si="152"/>
        <v>842</v>
      </c>
      <c r="D493" s="9">
        <f t="shared" si="143"/>
        <v>2184</v>
      </c>
      <c r="E493" s="8">
        <f t="shared" si="144"/>
        <v>462</v>
      </c>
      <c r="F493" s="8">
        <f t="shared" si="145"/>
        <v>486</v>
      </c>
      <c r="G493" s="8">
        <f t="shared" si="146"/>
        <v>366</v>
      </c>
      <c r="H493" s="5">
        <f t="shared" si="147"/>
        <v>2564</v>
      </c>
      <c r="I493" s="5">
        <f t="shared" si="148"/>
        <v>2540</v>
      </c>
      <c r="J493" s="5">
        <f t="shared" si="149"/>
        <v>2660</v>
      </c>
      <c r="K493" s="5">
        <f t="shared" si="159"/>
        <v>3000</v>
      </c>
      <c r="L493" s="5">
        <f t="shared" si="160"/>
        <v>3000</v>
      </c>
      <c r="M493" s="5">
        <f t="shared" si="161"/>
        <v>3000</v>
      </c>
      <c r="N493" s="5">
        <f t="shared" si="153"/>
        <v>-436</v>
      </c>
      <c r="O493" s="5">
        <f t="shared" si="154"/>
        <v>-460</v>
      </c>
      <c r="P493" s="5">
        <f t="shared" si="155"/>
        <v>-340</v>
      </c>
      <c r="Q493" s="8">
        <v>0</v>
      </c>
      <c r="R493" s="8">
        <v>0</v>
      </c>
      <c r="S493" s="8">
        <v>0</v>
      </c>
      <c r="T493" s="6">
        <f t="shared" si="150"/>
        <v>1006</v>
      </c>
      <c r="U493" s="7">
        <f t="shared" si="156"/>
        <v>2044</v>
      </c>
      <c r="V493" s="7">
        <f t="shared" si="157"/>
        <v>2020</v>
      </c>
      <c r="W493" s="7">
        <f t="shared" si="158"/>
        <v>2080</v>
      </c>
      <c r="X493" s="6"/>
      <c r="Y493" s="5"/>
      <c r="Z493" s="5"/>
      <c r="AA493" s="5"/>
      <c r="AB493" s="5"/>
    </row>
    <row r="494" spans="1:28" ht="13.15" customHeight="1">
      <c r="A494" s="13">
        <v>480</v>
      </c>
      <c r="B494" s="4">
        <f t="shared" si="151"/>
        <v>45523</v>
      </c>
      <c r="C494" s="10">
        <f t="shared" si="152"/>
        <v>842</v>
      </c>
      <c r="D494" s="9">
        <f t="shared" si="143"/>
        <v>2186</v>
      </c>
      <c r="E494" s="8">
        <f t="shared" si="144"/>
        <v>464</v>
      </c>
      <c r="F494" s="8">
        <f t="shared" si="145"/>
        <v>488</v>
      </c>
      <c r="G494" s="8">
        <f t="shared" si="146"/>
        <v>368</v>
      </c>
      <c r="H494" s="5">
        <f t="shared" si="147"/>
        <v>2564</v>
      </c>
      <c r="I494" s="5">
        <f t="shared" si="148"/>
        <v>2540</v>
      </c>
      <c r="J494" s="5">
        <f t="shared" si="149"/>
        <v>2660</v>
      </c>
      <c r="K494" s="5">
        <f t="shared" si="159"/>
        <v>3000</v>
      </c>
      <c r="L494" s="5">
        <f t="shared" si="160"/>
        <v>3000</v>
      </c>
      <c r="M494" s="5">
        <f t="shared" si="161"/>
        <v>3000</v>
      </c>
      <c r="N494" s="5">
        <f t="shared" si="153"/>
        <v>-436</v>
      </c>
      <c r="O494" s="5">
        <f t="shared" si="154"/>
        <v>-460</v>
      </c>
      <c r="P494" s="5">
        <f t="shared" si="155"/>
        <v>-340</v>
      </c>
      <c r="Q494" s="8">
        <v>0</v>
      </c>
      <c r="R494" s="8">
        <v>0</v>
      </c>
      <c r="S494" s="8">
        <v>0</v>
      </c>
      <c r="T494" s="6">
        <f t="shared" si="150"/>
        <v>1008</v>
      </c>
      <c r="U494" s="7">
        <f t="shared" si="156"/>
        <v>2044</v>
      </c>
      <c r="V494" s="7">
        <f t="shared" si="157"/>
        <v>2020</v>
      </c>
      <c r="W494" s="7">
        <f t="shared" si="158"/>
        <v>2080</v>
      </c>
      <c r="X494" s="6"/>
      <c r="Y494" s="5"/>
      <c r="Z494" s="5"/>
      <c r="AA494" s="5"/>
      <c r="AB494" s="5"/>
    </row>
    <row r="495" spans="1:28" ht="13.15" customHeight="1">
      <c r="A495" s="13">
        <v>481</v>
      </c>
      <c r="B495" s="4">
        <f t="shared" si="151"/>
        <v>45524</v>
      </c>
      <c r="C495" s="10">
        <f t="shared" si="152"/>
        <v>842</v>
      </c>
      <c r="D495" s="9">
        <f t="shared" si="143"/>
        <v>2188</v>
      </c>
      <c r="E495" s="8">
        <f t="shared" si="144"/>
        <v>466</v>
      </c>
      <c r="F495" s="8">
        <f t="shared" si="145"/>
        <v>490</v>
      </c>
      <c r="G495" s="8">
        <f t="shared" si="146"/>
        <v>370</v>
      </c>
      <c r="H495" s="5">
        <f t="shared" si="147"/>
        <v>2564</v>
      </c>
      <c r="I495" s="5">
        <f t="shared" si="148"/>
        <v>2540</v>
      </c>
      <c r="J495" s="5">
        <f t="shared" si="149"/>
        <v>2660</v>
      </c>
      <c r="K495" s="5">
        <f t="shared" si="159"/>
        <v>3000</v>
      </c>
      <c r="L495" s="5">
        <f t="shared" si="160"/>
        <v>3000</v>
      </c>
      <c r="M495" s="5">
        <f t="shared" si="161"/>
        <v>3000</v>
      </c>
      <c r="N495" s="5">
        <f t="shared" si="153"/>
        <v>-436</v>
      </c>
      <c r="O495" s="5">
        <f t="shared" si="154"/>
        <v>-460</v>
      </c>
      <c r="P495" s="5">
        <f t="shared" si="155"/>
        <v>-340</v>
      </c>
      <c r="Q495" s="8">
        <v>0</v>
      </c>
      <c r="R495" s="8">
        <v>0</v>
      </c>
      <c r="S495" s="8">
        <v>0</v>
      </c>
      <c r="T495" s="6">
        <f t="shared" si="150"/>
        <v>1010</v>
      </c>
      <c r="U495" s="7">
        <f t="shared" si="156"/>
        <v>2044</v>
      </c>
      <c r="V495" s="7">
        <f t="shared" si="157"/>
        <v>2020</v>
      </c>
      <c r="W495" s="7">
        <f t="shared" si="158"/>
        <v>2080</v>
      </c>
      <c r="X495" s="6"/>
      <c r="Y495" s="5"/>
      <c r="Z495" s="5"/>
      <c r="AA495" s="5"/>
      <c r="AB495" s="5"/>
    </row>
    <row r="496" spans="1:28" ht="13.15" customHeight="1">
      <c r="A496" s="13">
        <v>482</v>
      </c>
      <c r="B496" s="4">
        <f t="shared" si="151"/>
        <v>45525</v>
      </c>
      <c r="C496" s="10">
        <f t="shared" si="152"/>
        <v>842</v>
      </c>
      <c r="D496" s="9">
        <f t="shared" si="143"/>
        <v>2190</v>
      </c>
      <c r="E496" s="8">
        <f t="shared" si="144"/>
        <v>468</v>
      </c>
      <c r="F496" s="8">
        <f t="shared" si="145"/>
        <v>492</v>
      </c>
      <c r="G496" s="8">
        <f t="shared" si="146"/>
        <v>372</v>
      </c>
      <c r="H496" s="5">
        <f t="shared" si="147"/>
        <v>2564</v>
      </c>
      <c r="I496" s="5">
        <f t="shared" si="148"/>
        <v>2540</v>
      </c>
      <c r="J496" s="5">
        <f t="shared" si="149"/>
        <v>2660</v>
      </c>
      <c r="K496" s="5">
        <f t="shared" si="159"/>
        <v>3000</v>
      </c>
      <c r="L496" s="5">
        <f t="shared" si="160"/>
        <v>3000</v>
      </c>
      <c r="M496" s="5">
        <f t="shared" si="161"/>
        <v>3000</v>
      </c>
      <c r="N496" s="5">
        <f t="shared" si="153"/>
        <v>-436</v>
      </c>
      <c r="O496" s="5">
        <f t="shared" si="154"/>
        <v>-460</v>
      </c>
      <c r="P496" s="5">
        <f t="shared" si="155"/>
        <v>-340</v>
      </c>
      <c r="Q496" s="8">
        <v>0</v>
      </c>
      <c r="R496" s="8">
        <v>0</v>
      </c>
      <c r="S496" s="8">
        <v>0</v>
      </c>
      <c r="T496" s="6">
        <f t="shared" si="150"/>
        <v>1012</v>
      </c>
      <c r="U496" s="7">
        <f t="shared" si="156"/>
        <v>2044</v>
      </c>
      <c r="V496" s="7">
        <f t="shared" si="157"/>
        <v>2020</v>
      </c>
      <c r="W496" s="7">
        <f t="shared" si="158"/>
        <v>2080</v>
      </c>
      <c r="X496" s="6"/>
      <c r="Y496" s="5"/>
      <c r="Z496" s="5"/>
      <c r="AA496" s="5"/>
      <c r="AB496" s="5"/>
    </row>
    <row r="497" spans="1:28" ht="13.15" customHeight="1">
      <c r="A497" s="13">
        <v>483</v>
      </c>
      <c r="B497" s="4">
        <f t="shared" si="151"/>
        <v>45526</v>
      </c>
      <c r="C497" s="10">
        <f t="shared" si="152"/>
        <v>842</v>
      </c>
      <c r="D497" s="9">
        <f t="shared" si="143"/>
        <v>2192</v>
      </c>
      <c r="E497" s="8">
        <f t="shared" si="144"/>
        <v>470</v>
      </c>
      <c r="F497" s="8">
        <f t="shared" si="145"/>
        <v>494</v>
      </c>
      <c r="G497" s="8">
        <f t="shared" si="146"/>
        <v>374</v>
      </c>
      <c r="H497" s="5">
        <f t="shared" si="147"/>
        <v>2564</v>
      </c>
      <c r="I497" s="5">
        <f t="shared" si="148"/>
        <v>2540</v>
      </c>
      <c r="J497" s="5">
        <f t="shared" si="149"/>
        <v>2660</v>
      </c>
      <c r="K497" s="5">
        <f t="shared" si="159"/>
        <v>3000</v>
      </c>
      <c r="L497" s="5">
        <f t="shared" si="160"/>
        <v>3000</v>
      </c>
      <c r="M497" s="5">
        <f t="shared" si="161"/>
        <v>3000</v>
      </c>
      <c r="N497" s="5">
        <f t="shared" si="153"/>
        <v>-436</v>
      </c>
      <c r="O497" s="5">
        <f t="shared" si="154"/>
        <v>-460</v>
      </c>
      <c r="P497" s="5">
        <f t="shared" si="155"/>
        <v>-340</v>
      </c>
      <c r="Q497" s="8">
        <v>0</v>
      </c>
      <c r="R497" s="8">
        <v>0</v>
      </c>
      <c r="S497" s="8">
        <v>0</v>
      </c>
      <c r="T497" s="6">
        <f t="shared" si="150"/>
        <v>1014</v>
      </c>
      <c r="U497" s="7">
        <f t="shared" si="156"/>
        <v>2044</v>
      </c>
      <c r="V497" s="7">
        <f t="shared" si="157"/>
        <v>2020</v>
      </c>
      <c r="W497" s="7">
        <f t="shared" si="158"/>
        <v>2080</v>
      </c>
      <c r="X497" s="6"/>
      <c r="Y497" s="5"/>
      <c r="Z497" s="5"/>
      <c r="AA497" s="5"/>
      <c r="AB497" s="5"/>
    </row>
    <row r="498" spans="1:28" ht="13.15" customHeight="1">
      <c r="A498" s="13">
        <v>484</v>
      </c>
      <c r="B498" s="4">
        <f t="shared" si="151"/>
        <v>45527</v>
      </c>
      <c r="C498" s="10">
        <f t="shared" si="152"/>
        <v>842</v>
      </c>
      <c r="D498" s="9">
        <f t="shared" si="143"/>
        <v>2194</v>
      </c>
      <c r="E498" s="8">
        <f t="shared" si="144"/>
        <v>472</v>
      </c>
      <c r="F498" s="8">
        <f t="shared" si="145"/>
        <v>496</v>
      </c>
      <c r="G498" s="8">
        <f t="shared" si="146"/>
        <v>376</v>
      </c>
      <c r="H498" s="5">
        <f t="shared" si="147"/>
        <v>2564</v>
      </c>
      <c r="I498" s="5">
        <f t="shared" si="148"/>
        <v>2540</v>
      </c>
      <c r="J498" s="5">
        <f t="shared" si="149"/>
        <v>2660</v>
      </c>
      <c r="K498" s="5">
        <f t="shared" si="159"/>
        <v>3000</v>
      </c>
      <c r="L498" s="5">
        <f t="shared" si="160"/>
        <v>3000</v>
      </c>
      <c r="M498" s="5">
        <f t="shared" si="161"/>
        <v>3000</v>
      </c>
      <c r="N498" s="5">
        <f t="shared" si="153"/>
        <v>-436</v>
      </c>
      <c r="O498" s="5">
        <f t="shared" si="154"/>
        <v>-460</v>
      </c>
      <c r="P498" s="5">
        <f t="shared" si="155"/>
        <v>-340</v>
      </c>
      <c r="Q498" s="8">
        <v>0</v>
      </c>
      <c r="R498" s="8">
        <v>0</v>
      </c>
      <c r="S498" s="8">
        <v>0</v>
      </c>
      <c r="T498" s="6">
        <f t="shared" si="150"/>
        <v>1016</v>
      </c>
      <c r="U498" s="7">
        <f t="shared" si="156"/>
        <v>2044</v>
      </c>
      <c r="V498" s="7">
        <f t="shared" si="157"/>
        <v>2020</v>
      </c>
      <c r="W498" s="7">
        <f t="shared" si="158"/>
        <v>2080</v>
      </c>
      <c r="X498" s="6"/>
      <c r="Y498" s="5"/>
      <c r="Z498" s="5"/>
      <c r="AA498" s="5"/>
      <c r="AB498" s="5"/>
    </row>
    <row r="499" spans="1:28" ht="13.15" customHeight="1">
      <c r="A499" s="13">
        <v>485</v>
      </c>
      <c r="B499" s="4">
        <f t="shared" si="151"/>
        <v>45528</v>
      </c>
      <c r="C499" s="10">
        <f t="shared" si="152"/>
        <v>842</v>
      </c>
      <c r="D499" s="9">
        <f t="shared" si="143"/>
        <v>2196</v>
      </c>
      <c r="E499" s="8">
        <f t="shared" si="144"/>
        <v>474</v>
      </c>
      <c r="F499" s="8">
        <f t="shared" si="145"/>
        <v>498</v>
      </c>
      <c r="G499" s="8">
        <f t="shared" si="146"/>
        <v>378</v>
      </c>
      <c r="H499" s="5">
        <f t="shared" si="147"/>
        <v>2564</v>
      </c>
      <c r="I499" s="5">
        <f t="shared" si="148"/>
        <v>2540</v>
      </c>
      <c r="J499" s="5">
        <f t="shared" si="149"/>
        <v>2660</v>
      </c>
      <c r="K499" s="5">
        <f t="shared" si="159"/>
        <v>3000</v>
      </c>
      <c r="L499" s="5">
        <f t="shared" si="160"/>
        <v>3000</v>
      </c>
      <c r="M499" s="5">
        <f t="shared" si="161"/>
        <v>3000</v>
      </c>
      <c r="N499" s="5">
        <f t="shared" si="153"/>
        <v>-436</v>
      </c>
      <c r="O499" s="5">
        <f t="shared" si="154"/>
        <v>-460</v>
      </c>
      <c r="P499" s="5">
        <f t="shared" si="155"/>
        <v>-340</v>
      </c>
      <c r="Q499" s="8">
        <v>0</v>
      </c>
      <c r="R499" s="8">
        <v>0</v>
      </c>
      <c r="S499" s="8">
        <v>0</v>
      </c>
      <c r="T499" s="6">
        <f t="shared" si="150"/>
        <v>1018</v>
      </c>
      <c r="U499" s="7">
        <f t="shared" si="156"/>
        <v>2044</v>
      </c>
      <c r="V499" s="7">
        <f t="shared" si="157"/>
        <v>2020</v>
      </c>
      <c r="W499" s="7">
        <f t="shared" si="158"/>
        <v>2080</v>
      </c>
      <c r="X499" s="6"/>
      <c r="Y499" s="5"/>
      <c r="Z499" s="5"/>
      <c r="AA499" s="5"/>
      <c r="AB499" s="5"/>
    </row>
    <row r="500" spans="1:28" ht="13.15" customHeight="1">
      <c r="A500" s="13">
        <v>486</v>
      </c>
      <c r="B500" s="4">
        <f t="shared" si="151"/>
        <v>45529</v>
      </c>
      <c r="C500" s="10">
        <f t="shared" si="152"/>
        <v>842</v>
      </c>
      <c r="D500" s="9">
        <f t="shared" si="143"/>
        <v>2198</v>
      </c>
      <c r="E500" s="8">
        <f t="shared" si="144"/>
        <v>476</v>
      </c>
      <c r="F500" s="8">
        <f t="shared" si="145"/>
        <v>500</v>
      </c>
      <c r="G500" s="8">
        <f t="shared" si="146"/>
        <v>380</v>
      </c>
      <c r="H500" s="5">
        <f t="shared" si="147"/>
        <v>2564</v>
      </c>
      <c r="I500" s="5">
        <f t="shared" si="148"/>
        <v>2540</v>
      </c>
      <c r="J500" s="5">
        <f t="shared" si="149"/>
        <v>2660</v>
      </c>
      <c r="K500" s="5">
        <f t="shared" si="159"/>
        <v>3000</v>
      </c>
      <c r="L500" s="5">
        <f t="shared" si="160"/>
        <v>3000</v>
      </c>
      <c r="M500" s="5">
        <f t="shared" si="161"/>
        <v>3000</v>
      </c>
      <c r="N500" s="5">
        <f t="shared" si="153"/>
        <v>-436</v>
      </c>
      <c r="O500" s="5">
        <f t="shared" si="154"/>
        <v>-460</v>
      </c>
      <c r="P500" s="5">
        <f t="shared" si="155"/>
        <v>-340</v>
      </c>
      <c r="Q500" s="8">
        <v>0</v>
      </c>
      <c r="R500" s="8">
        <v>0</v>
      </c>
      <c r="S500" s="8">
        <v>0</v>
      </c>
      <c r="T500" s="6">
        <f t="shared" si="150"/>
        <v>1020</v>
      </c>
      <c r="U500" s="7">
        <f t="shared" si="156"/>
        <v>2044</v>
      </c>
      <c r="V500" s="7">
        <f t="shared" si="157"/>
        <v>2020</v>
      </c>
      <c r="W500" s="7">
        <f t="shared" si="158"/>
        <v>2080</v>
      </c>
      <c r="X500" s="6"/>
      <c r="Y500" s="5"/>
      <c r="Z500" s="5"/>
      <c r="AA500" s="5"/>
      <c r="AB500" s="5"/>
    </row>
    <row r="501" spans="1:28" ht="13.15" customHeight="1">
      <c r="A501" s="13">
        <v>487</v>
      </c>
      <c r="B501" s="4">
        <f t="shared" si="151"/>
        <v>45530</v>
      </c>
      <c r="C501" s="10">
        <f t="shared" si="152"/>
        <v>842</v>
      </c>
      <c r="D501" s="9">
        <f t="shared" si="143"/>
        <v>2200</v>
      </c>
      <c r="E501" s="8">
        <f t="shared" si="144"/>
        <v>478</v>
      </c>
      <c r="F501" s="8">
        <f t="shared" si="145"/>
        <v>502</v>
      </c>
      <c r="G501" s="8">
        <f t="shared" si="146"/>
        <v>382</v>
      </c>
      <c r="H501" s="5">
        <f t="shared" si="147"/>
        <v>2564</v>
      </c>
      <c r="I501" s="5">
        <f t="shared" si="148"/>
        <v>2540</v>
      </c>
      <c r="J501" s="5">
        <f t="shared" si="149"/>
        <v>2660</v>
      </c>
      <c r="K501" s="5">
        <f t="shared" si="159"/>
        <v>3000</v>
      </c>
      <c r="L501" s="5">
        <f t="shared" si="160"/>
        <v>3000</v>
      </c>
      <c r="M501" s="5">
        <f t="shared" si="161"/>
        <v>3000</v>
      </c>
      <c r="N501" s="5">
        <f t="shared" si="153"/>
        <v>-436</v>
      </c>
      <c r="O501" s="5">
        <f t="shared" si="154"/>
        <v>-460</v>
      </c>
      <c r="P501" s="5">
        <f t="shared" si="155"/>
        <v>-340</v>
      </c>
      <c r="Q501" s="8">
        <v>0</v>
      </c>
      <c r="R501" s="8">
        <v>0</v>
      </c>
      <c r="S501" s="8">
        <v>0</v>
      </c>
      <c r="T501" s="6">
        <f t="shared" si="150"/>
        <v>1022</v>
      </c>
      <c r="U501" s="7">
        <f t="shared" si="156"/>
        <v>2044</v>
      </c>
      <c r="V501" s="7">
        <f t="shared" si="157"/>
        <v>2020</v>
      </c>
      <c r="W501" s="7">
        <f t="shared" si="158"/>
        <v>2080</v>
      </c>
      <c r="X501" s="6"/>
      <c r="Y501" s="5"/>
      <c r="Z501" s="5"/>
      <c r="AA501" s="5"/>
      <c r="AB501" s="5"/>
    </row>
    <row r="502" spans="1:28" ht="13.15" customHeight="1">
      <c r="A502" s="13">
        <v>488</v>
      </c>
      <c r="B502" s="4">
        <f t="shared" si="151"/>
        <v>45531</v>
      </c>
      <c r="C502" s="10">
        <f t="shared" si="152"/>
        <v>842</v>
      </c>
      <c r="D502" s="9">
        <f t="shared" si="143"/>
        <v>2202</v>
      </c>
      <c r="E502" s="8">
        <f t="shared" si="144"/>
        <v>480</v>
      </c>
      <c r="F502" s="8">
        <f t="shared" si="145"/>
        <v>504</v>
      </c>
      <c r="G502" s="8">
        <f t="shared" si="146"/>
        <v>384</v>
      </c>
      <c r="H502" s="5">
        <f t="shared" si="147"/>
        <v>2564</v>
      </c>
      <c r="I502" s="5">
        <f t="shared" si="148"/>
        <v>2540</v>
      </c>
      <c r="J502" s="5">
        <f t="shared" si="149"/>
        <v>2660</v>
      </c>
      <c r="K502" s="5">
        <f t="shared" si="159"/>
        <v>3000</v>
      </c>
      <c r="L502" s="5">
        <f t="shared" si="160"/>
        <v>3000</v>
      </c>
      <c r="M502" s="5">
        <f t="shared" si="161"/>
        <v>3000</v>
      </c>
      <c r="N502" s="5">
        <f t="shared" si="153"/>
        <v>-436</v>
      </c>
      <c r="O502" s="5">
        <f t="shared" si="154"/>
        <v>-460</v>
      </c>
      <c r="P502" s="5">
        <f t="shared" si="155"/>
        <v>-340</v>
      </c>
      <c r="Q502" s="8">
        <v>0</v>
      </c>
      <c r="R502" s="8">
        <v>0</v>
      </c>
      <c r="S502" s="8">
        <v>0</v>
      </c>
      <c r="T502" s="6">
        <f t="shared" si="150"/>
        <v>1024</v>
      </c>
      <c r="U502" s="7">
        <f t="shared" si="156"/>
        <v>2044</v>
      </c>
      <c r="V502" s="7">
        <f t="shared" si="157"/>
        <v>2020</v>
      </c>
      <c r="W502" s="7">
        <f t="shared" si="158"/>
        <v>2080</v>
      </c>
      <c r="X502" s="6"/>
      <c r="Y502" s="5"/>
      <c r="Z502" s="5"/>
      <c r="AA502" s="5"/>
      <c r="AB502" s="5"/>
    </row>
    <row r="503" spans="1:28" ht="13.15" customHeight="1">
      <c r="A503" s="13">
        <v>489</v>
      </c>
      <c r="B503" s="4">
        <f t="shared" si="151"/>
        <v>45532</v>
      </c>
      <c r="C503" s="10">
        <f t="shared" si="152"/>
        <v>842</v>
      </c>
      <c r="D503" s="9">
        <f t="shared" si="143"/>
        <v>2204</v>
      </c>
      <c r="E503" s="8">
        <f t="shared" si="144"/>
        <v>482</v>
      </c>
      <c r="F503" s="8">
        <f t="shared" si="145"/>
        <v>506</v>
      </c>
      <c r="G503" s="8">
        <f t="shared" si="146"/>
        <v>386</v>
      </c>
      <c r="H503" s="5">
        <f t="shared" si="147"/>
        <v>2564</v>
      </c>
      <c r="I503" s="5">
        <f t="shared" si="148"/>
        <v>2540</v>
      </c>
      <c r="J503" s="5">
        <f t="shared" si="149"/>
        <v>2660</v>
      </c>
      <c r="K503" s="5">
        <f t="shared" si="159"/>
        <v>3000</v>
      </c>
      <c r="L503" s="5">
        <f t="shared" si="160"/>
        <v>3000</v>
      </c>
      <c r="M503" s="5">
        <f t="shared" si="161"/>
        <v>3000</v>
      </c>
      <c r="N503" s="5">
        <f t="shared" si="153"/>
        <v>-436</v>
      </c>
      <c r="O503" s="5">
        <f t="shared" si="154"/>
        <v>-460</v>
      </c>
      <c r="P503" s="5">
        <f t="shared" si="155"/>
        <v>-340</v>
      </c>
      <c r="Q503" s="8">
        <v>0</v>
      </c>
      <c r="R503" s="8">
        <v>0</v>
      </c>
      <c r="S503" s="8">
        <v>0</v>
      </c>
      <c r="T503" s="6">
        <f t="shared" si="150"/>
        <v>1026</v>
      </c>
      <c r="U503" s="7">
        <f t="shared" si="156"/>
        <v>2044</v>
      </c>
      <c r="V503" s="7">
        <f t="shared" si="157"/>
        <v>2020</v>
      </c>
      <c r="W503" s="7">
        <f t="shared" si="158"/>
        <v>2080</v>
      </c>
      <c r="X503" s="6"/>
      <c r="Y503" s="5"/>
      <c r="Z503" s="5"/>
      <c r="AA503" s="5"/>
      <c r="AB503" s="5"/>
    </row>
    <row r="504" spans="1:28" ht="13.15" customHeight="1">
      <c r="A504" s="13">
        <v>490</v>
      </c>
      <c r="B504" s="4">
        <f t="shared" si="151"/>
        <v>45533</v>
      </c>
      <c r="C504" s="10">
        <f t="shared" si="152"/>
        <v>842</v>
      </c>
      <c r="D504" s="9">
        <f t="shared" si="143"/>
        <v>2206</v>
      </c>
      <c r="E504" s="8">
        <f t="shared" si="144"/>
        <v>484</v>
      </c>
      <c r="F504" s="8">
        <f t="shared" si="145"/>
        <v>508</v>
      </c>
      <c r="G504" s="8">
        <f t="shared" si="146"/>
        <v>388</v>
      </c>
      <c r="H504" s="5">
        <f t="shared" si="147"/>
        <v>2564</v>
      </c>
      <c r="I504" s="5">
        <f t="shared" si="148"/>
        <v>2540</v>
      </c>
      <c r="J504" s="5">
        <f t="shared" si="149"/>
        <v>2660</v>
      </c>
      <c r="K504" s="5">
        <f t="shared" si="159"/>
        <v>3000</v>
      </c>
      <c r="L504" s="5">
        <f t="shared" si="160"/>
        <v>3000</v>
      </c>
      <c r="M504" s="5">
        <f t="shared" si="161"/>
        <v>3000</v>
      </c>
      <c r="N504" s="5">
        <f t="shared" si="153"/>
        <v>-436</v>
      </c>
      <c r="O504" s="5">
        <f t="shared" si="154"/>
        <v>-460</v>
      </c>
      <c r="P504" s="5">
        <f t="shared" si="155"/>
        <v>-340</v>
      </c>
      <c r="Q504" s="8">
        <v>0</v>
      </c>
      <c r="R504" s="8">
        <v>0</v>
      </c>
      <c r="S504" s="8">
        <v>0</v>
      </c>
      <c r="T504" s="6">
        <f t="shared" si="150"/>
        <v>1028</v>
      </c>
      <c r="U504" s="7">
        <f t="shared" si="156"/>
        <v>2044</v>
      </c>
      <c r="V504" s="7">
        <f t="shared" si="157"/>
        <v>2020</v>
      </c>
      <c r="W504" s="7">
        <f t="shared" si="158"/>
        <v>2080</v>
      </c>
      <c r="X504" s="6"/>
      <c r="Y504" s="5"/>
      <c r="Z504" s="5"/>
      <c r="AA504" s="5"/>
      <c r="AB504" s="5"/>
    </row>
    <row r="505" spans="1:28" ht="13.15" customHeight="1">
      <c r="A505" s="13">
        <v>491</v>
      </c>
      <c r="B505" s="4">
        <f t="shared" si="151"/>
        <v>45534</v>
      </c>
      <c r="C505" s="10">
        <f t="shared" si="152"/>
        <v>842</v>
      </c>
      <c r="D505" s="9">
        <f t="shared" si="143"/>
        <v>2208</v>
      </c>
      <c r="E505" s="8">
        <f t="shared" si="144"/>
        <v>486</v>
      </c>
      <c r="F505" s="8">
        <f t="shared" si="145"/>
        <v>510</v>
      </c>
      <c r="G505" s="8">
        <f t="shared" si="146"/>
        <v>390</v>
      </c>
      <c r="H505" s="5">
        <f t="shared" si="147"/>
        <v>2564</v>
      </c>
      <c r="I505" s="5">
        <f t="shared" si="148"/>
        <v>2540</v>
      </c>
      <c r="J505" s="5">
        <f t="shared" si="149"/>
        <v>2660</v>
      </c>
      <c r="K505" s="5">
        <f t="shared" si="159"/>
        <v>3000</v>
      </c>
      <c r="L505" s="5">
        <f t="shared" si="160"/>
        <v>3000</v>
      </c>
      <c r="M505" s="5">
        <f t="shared" si="161"/>
        <v>3000</v>
      </c>
      <c r="N505" s="5">
        <f t="shared" si="153"/>
        <v>-436</v>
      </c>
      <c r="O505" s="5">
        <f t="shared" si="154"/>
        <v>-460</v>
      </c>
      <c r="P505" s="5">
        <f t="shared" si="155"/>
        <v>-340</v>
      </c>
      <c r="Q505" s="8">
        <v>0</v>
      </c>
      <c r="R505" s="8">
        <v>0</v>
      </c>
      <c r="S505" s="8">
        <v>0</v>
      </c>
      <c r="T505" s="6">
        <f t="shared" si="150"/>
        <v>1030</v>
      </c>
      <c r="U505" s="7">
        <f t="shared" si="156"/>
        <v>2044</v>
      </c>
      <c r="V505" s="7">
        <f t="shared" si="157"/>
        <v>2020</v>
      </c>
      <c r="W505" s="7">
        <f t="shared" si="158"/>
        <v>2080</v>
      </c>
      <c r="X505" s="6"/>
      <c r="Y505" s="5"/>
      <c r="Z505" s="5"/>
      <c r="AA505" s="5"/>
      <c r="AB505" s="5"/>
    </row>
    <row r="506" spans="1:28" ht="13.15" customHeight="1">
      <c r="A506" s="13">
        <f t="shared" ref="A506:A569" si="162">+A505+1</f>
        <v>492</v>
      </c>
      <c r="B506" s="4">
        <f t="shared" si="151"/>
        <v>45535</v>
      </c>
      <c r="C506" s="10">
        <f t="shared" si="152"/>
        <v>842</v>
      </c>
      <c r="D506" s="9">
        <f t="shared" si="143"/>
        <v>2210</v>
      </c>
      <c r="E506" s="8">
        <f t="shared" si="144"/>
        <v>488</v>
      </c>
      <c r="F506" s="8">
        <f t="shared" si="145"/>
        <v>512</v>
      </c>
      <c r="G506" s="8">
        <f t="shared" si="146"/>
        <v>392</v>
      </c>
      <c r="H506" s="5">
        <f t="shared" si="147"/>
        <v>2564</v>
      </c>
      <c r="I506" s="5">
        <f t="shared" si="148"/>
        <v>2540</v>
      </c>
      <c r="J506" s="5">
        <f t="shared" si="149"/>
        <v>2660</v>
      </c>
      <c r="K506" s="5">
        <f t="shared" si="159"/>
        <v>3000</v>
      </c>
      <c r="L506" s="5">
        <f t="shared" si="160"/>
        <v>3000</v>
      </c>
      <c r="M506" s="5">
        <f t="shared" si="161"/>
        <v>3000</v>
      </c>
      <c r="N506" s="5">
        <f t="shared" si="153"/>
        <v>-436</v>
      </c>
      <c r="O506" s="5">
        <f t="shared" si="154"/>
        <v>-460</v>
      </c>
      <c r="P506" s="5">
        <f t="shared" si="155"/>
        <v>-340</v>
      </c>
      <c r="Q506" s="8">
        <v>0</v>
      </c>
      <c r="R506" s="8">
        <v>0</v>
      </c>
      <c r="S506" s="8">
        <v>0</v>
      </c>
      <c r="T506" s="6">
        <f t="shared" si="150"/>
        <v>1032</v>
      </c>
      <c r="U506" s="7">
        <f t="shared" si="156"/>
        <v>2044</v>
      </c>
      <c r="V506" s="7">
        <f t="shared" si="157"/>
        <v>2020</v>
      </c>
      <c r="W506" s="7">
        <f t="shared" si="158"/>
        <v>2080</v>
      </c>
      <c r="X506" s="6"/>
      <c r="Y506" s="5"/>
      <c r="Z506" s="5"/>
      <c r="AA506" s="5"/>
      <c r="AB506" s="5"/>
    </row>
    <row r="507" spans="1:28" ht="13.15" customHeight="1">
      <c r="A507" s="13">
        <f t="shared" si="162"/>
        <v>493</v>
      </c>
      <c r="B507" s="4">
        <f t="shared" si="151"/>
        <v>45536</v>
      </c>
      <c r="C507" s="10">
        <f t="shared" si="152"/>
        <v>842</v>
      </c>
      <c r="D507" s="9">
        <f t="shared" si="143"/>
        <v>2212</v>
      </c>
      <c r="E507" s="8">
        <f t="shared" si="144"/>
        <v>490</v>
      </c>
      <c r="F507" s="8">
        <f t="shared" si="145"/>
        <v>514</v>
      </c>
      <c r="G507" s="8">
        <f t="shared" si="146"/>
        <v>394</v>
      </c>
      <c r="H507" s="5">
        <f t="shared" si="147"/>
        <v>2564</v>
      </c>
      <c r="I507" s="5">
        <f t="shared" si="148"/>
        <v>2540</v>
      </c>
      <c r="J507" s="5">
        <f t="shared" si="149"/>
        <v>2660</v>
      </c>
      <c r="K507" s="5">
        <f t="shared" si="159"/>
        <v>3000</v>
      </c>
      <c r="L507" s="5">
        <f t="shared" si="160"/>
        <v>3000</v>
      </c>
      <c r="M507" s="5">
        <f t="shared" si="161"/>
        <v>3000</v>
      </c>
      <c r="N507" s="5">
        <f t="shared" si="153"/>
        <v>-436</v>
      </c>
      <c r="O507" s="5">
        <f t="shared" si="154"/>
        <v>-460</v>
      </c>
      <c r="P507" s="5">
        <f t="shared" si="155"/>
        <v>-340</v>
      </c>
      <c r="Q507" s="8">
        <v>0</v>
      </c>
      <c r="R507" s="8">
        <v>0</v>
      </c>
      <c r="S507" s="8">
        <v>0</v>
      </c>
      <c r="T507" s="6">
        <f t="shared" si="150"/>
        <v>1034</v>
      </c>
      <c r="U507" s="7">
        <f t="shared" si="156"/>
        <v>2044</v>
      </c>
      <c r="V507" s="7">
        <f t="shared" si="157"/>
        <v>2020</v>
      </c>
      <c r="W507" s="7">
        <f t="shared" si="158"/>
        <v>2080</v>
      </c>
      <c r="X507" s="6"/>
      <c r="Y507" s="5"/>
      <c r="Z507" s="5"/>
      <c r="AA507" s="5"/>
      <c r="AB507" s="5"/>
    </row>
    <row r="508" spans="1:28" ht="13.15" customHeight="1">
      <c r="A508" s="13">
        <f t="shared" si="162"/>
        <v>494</v>
      </c>
      <c r="B508" s="4">
        <f t="shared" si="151"/>
        <v>45537</v>
      </c>
      <c r="C508" s="10">
        <f t="shared" si="152"/>
        <v>842</v>
      </c>
      <c r="D508" s="9">
        <f t="shared" si="143"/>
        <v>2214</v>
      </c>
      <c r="E508" s="8">
        <f t="shared" si="144"/>
        <v>492</v>
      </c>
      <c r="F508" s="8">
        <f t="shared" si="145"/>
        <v>516</v>
      </c>
      <c r="G508" s="8">
        <f t="shared" si="146"/>
        <v>396</v>
      </c>
      <c r="H508" s="5">
        <f t="shared" si="147"/>
        <v>2564</v>
      </c>
      <c r="I508" s="5">
        <f t="shared" si="148"/>
        <v>2540</v>
      </c>
      <c r="J508" s="5">
        <f t="shared" si="149"/>
        <v>2660</v>
      </c>
      <c r="K508" s="5">
        <f t="shared" si="159"/>
        <v>3000</v>
      </c>
      <c r="L508" s="5">
        <f t="shared" si="160"/>
        <v>3000</v>
      </c>
      <c r="M508" s="5">
        <f t="shared" si="161"/>
        <v>3000</v>
      </c>
      <c r="N508" s="5">
        <f t="shared" si="153"/>
        <v>-436</v>
      </c>
      <c r="O508" s="5">
        <f t="shared" si="154"/>
        <v>-460</v>
      </c>
      <c r="P508" s="5">
        <f t="shared" si="155"/>
        <v>-340</v>
      </c>
      <c r="Q508" s="8">
        <v>0</v>
      </c>
      <c r="R508" s="8">
        <v>0</v>
      </c>
      <c r="S508" s="8">
        <v>0</v>
      </c>
      <c r="T508" s="6">
        <f t="shared" si="150"/>
        <v>1036</v>
      </c>
      <c r="U508" s="7">
        <f t="shared" si="156"/>
        <v>2044</v>
      </c>
      <c r="V508" s="7">
        <f t="shared" si="157"/>
        <v>2020</v>
      </c>
      <c r="W508" s="7">
        <f t="shared" si="158"/>
        <v>2080</v>
      </c>
      <c r="X508" s="6"/>
      <c r="Y508" s="5"/>
      <c r="Z508" s="5"/>
      <c r="AA508" s="5"/>
      <c r="AB508" s="5"/>
    </row>
    <row r="509" spans="1:28" ht="13.15" customHeight="1">
      <c r="A509" s="13">
        <f t="shared" si="162"/>
        <v>495</v>
      </c>
      <c r="B509" s="4">
        <f t="shared" si="151"/>
        <v>45538</v>
      </c>
      <c r="C509" s="10">
        <f t="shared" si="152"/>
        <v>842</v>
      </c>
      <c r="D509" s="9">
        <f t="shared" si="143"/>
        <v>2216</v>
      </c>
      <c r="E509" s="8">
        <f t="shared" si="144"/>
        <v>494</v>
      </c>
      <c r="F509" s="8">
        <f t="shared" si="145"/>
        <v>518</v>
      </c>
      <c r="G509" s="8">
        <f t="shared" si="146"/>
        <v>398</v>
      </c>
      <c r="H509" s="5">
        <f t="shared" si="147"/>
        <v>2564</v>
      </c>
      <c r="I509" s="5">
        <f t="shared" si="148"/>
        <v>2540</v>
      </c>
      <c r="J509" s="5">
        <f t="shared" si="149"/>
        <v>2660</v>
      </c>
      <c r="K509" s="5">
        <f t="shared" si="159"/>
        <v>3000</v>
      </c>
      <c r="L509" s="5">
        <f t="shared" si="160"/>
        <v>3000</v>
      </c>
      <c r="M509" s="5">
        <f t="shared" si="161"/>
        <v>3000</v>
      </c>
      <c r="N509" s="5">
        <f t="shared" si="153"/>
        <v>-436</v>
      </c>
      <c r="O509" s="5">
        <f t="shared" si="154"/>
        <v>-460</v>
      </c>
      <c r="P509" s="5">
        <f t="shared" si="155"/>
        <v>-340</v>
      </c>
      <c r="Q509" s="8">
        <v>0</v>
      </c>
      <c r="R509" s="8">
        <v>0</v>
      </c>
      <c r="S509" s="8">
        <v>0</v>
      </c>
      <c r="T509" s="6">
        <f t="shared" si="150"/>
        <v>1038</v>
      </c>
      <c r="U509" s="7">
        <f t="shared" si="156"/>
        <v>2044</v>
      </c>
      <c r="V509" s="7">
        <f t="shared" si="157"/>
        <v>2020</v>
      </c>
      <c r="W509" s="7">
        <f t="shared" si="158"/>
        <v>2080</v>
      </c>
      <c r="X509" s="6"/>
      <c r="Y509" s="5"/>
      <c r="Z509" s="5"/>
      <c r="AA509" s="5"/>
      <c r="AB509" s="5"/>
    </row>
    <row r="510" spans="1:28" ht="13.15" customHeight="1">
      <c r="A510" s="13">
        <f t="shared" si="162"/>
        <v>496</v>
      </c>
      <c r="B510" s="4">
        <f t="shared" si="151"/>
        <v>45539</v>
      </c>
      <c r="C510" s="10">
        <f t="shared" si="152"/>
        <v>842</v>
      </c>
      <c r="D510" s="9">
        <f t="shared" si="143"/>
        <v>2218</v>
      </c>
      <c r="E510" s="8">
        <f t="shared" si="144"/>
        <v>496</v>
      </c>
      <c r="F510" s="8">
        <f t="shared" si="145"/>
        <v>520</v>
      </c>
      <c r="G510" s="8">
        <f t="shared" si="146"/>
        <v>400</v>
      </c>
      <c r="H510" s="5">
        <f t="shared" si="147"/>
        <v>2564</v>
      </c>
      <c r="I510" s="5">
        <f t="shared" si="148"/>
        <v>2540</v>
      </c>
      <c r="J510" s="5">
        <f t="shared" si="149"/>
        <v>2660</v>
      </c>
      <c r="K510" s="5">
        <f t="shared" si="159"/>
        <v>3000</v>
      </c>
      <c r="L510" s="5">
        <f t="shared" si="160"/>
        <v>3000</v>
      </c>
      <c r="M510" s="5">
        <f t="shared" si="161"/>
        <v>3000</v>
      </c>
      <c r="N510" s="5">
        <f t="shared" si="153"/>
        <v>-436</v>
      </c>
      <c r="O510" s="5">
        <f t="shared" si="154"/>
        <v>-460</v>
      </c>
      <c r="P510" s="5">
        <f t="shared" si="155"/>
        <v>-340</v>
      </c>
      <c r="Q510" s="8">
        <v>0</v>
      </c>
      <c r="R510" s="8">
        <v>0</v>
      </c>
      <c r="S510" s="8">
        <v>0</v>
      </c>
      <c r="T510" s="6">
        <f t="shared" si="150"/>
        <v>1040</v>
      </c>
      <c r="U510" s="7">
        <f t="shared" si="156"/>
        <v>2044</v>
      </c>
      <c r="V510" s="7">
        <f t="shared" si="157"/>
        <v>2020</v>
      </c>
      <c r="W510" s="7">
        <f t="shared" si="158"/>
        <v>2080</v>
      </c>
      <c r="X510" s="6"/>
      <c r="Y510" s="5"/>
      <c r="Z510" s="5"/>
      <c r="AA510" s="5"/>
      <c r="AB510" s="5"/>
    </row>
    <row r="511" spans="1:28" ht="13.15" customHeight="1">
      <c r="A511" s="13">
        <f t="shared" si="162"/>
        <v>497</v>
      </c>
      <c r="B511" s="4">
        <f t="shared" si="151"/>
        <v>45540</v>
      </c>
      <c r="C511" s="10">
        <f t="shared" si="152"/>
        <v>842</v>
      </c>
      <c r="D511" s="9">
        <f t="shared" ref="D511:D574" si="163">D510+2</f>
        <v>2220</v>
      </c>
      <c r="E511" s="8">
        <f t="shared" si="144"/>
        <v>498</v>
      </c>
      <c r="F511" s="8">
        <f t="shared" si="145"/>
        <v>522</v>
      </c>
      <c r="G511" s="8">
        <f t="shared" si="146"/>
        <v>402</v>
      </c>
      <c r="H511" s="5">
        <f t="shared" si="147"/>
        <v>2564</v>
      </c>
      <c r="I511" s="5">
        <f t="shared" si="148"/>
        <v>2540</v>
      </c>
      <c r="J511" s="5">
        <f t="shared" si="149"/>
        <v>2660</v>
      </c>
      <c r="K511" s="5">
        <f t="shared" si="159"/>
        <v>3000</v>
      </c>
      <c r="L511" s="5">
        <f t="shared" si="160"/>
        <v>3000</v>
      </c>
      <c r="M511" s="5">
        <f t="shared" si="161"/>
        <v>3000</v>
      </c>
      <c r="N511" s="5">
        <f t="shared" si="153"/>
        <v>-436</v>
      </c>
      <c r="O511" s="5">
        <f t="shared" si="154"/>
        <v>-460</v>
      </c>
      <c r="P511" s="5">
        <f t="shared" si="155"/>
        <v>-340</v>
      </c>
      <c r="Q511" s="8">
        <v>0</v>
      </c>
      <c r="R511" s="8">
        <v>0</v>
      </c>
      <c r="S511" s="8">
        <v>0</v>
      </c>
      <c r="T511" s="6">
        <f t="shared" si="150"/>
        <v>1042</v>
      </c>
      <c r="U511" s="7">
        <f t="shared" si="156"/>
        <v>2044</v>
      </c>
      <c r="V511" s="7">
        <f t="shared" si="157"/>
        <v>2020</v>
      </c>
      <c r="W511" s="7">
        <f t="shared" si="158"/>
        <v>2080</v>
      </c>
      <c r="X511" s="6"/>
      <c r="Y511" s="5"/>
      <c r="Z511" s="5"/>
      <c r="AA511" s="5"/>
      <c r="AB511" s="5"/>
    </row>
    <row r="512" spans="1:28" ht="13.15" customHeight="1">
      <c r="A512" s="13">
        <f t="shared" si="162"/>
        <v>498</v>
      </c>
      <c r="B512" s="4">
        <f t="shared" si="151"/>
        <v>45541</v>
      </c>
      <c r="C512" s="10">
        <f t="shared" si="152"/>
        <v>842</v>
      </c>
      <c r="D512" s="9">
        <f t="shared" si="163"/>
        <v>2222</v>
      </c>
      <c r="E512" s="8">
        <f t="shared" si="144"/>
        <v>500</v>
      </c>
      <c r="F512" s="8">
        <f t="shared" si="145"/>
        <v>524</v>
      </c>
      <c r="G512" s="8">
        <f t="shared" si="146"/>
        <v>404</v>
      </c>
      <c r="H512" s="5">
        <f t="shared" si="147"/>
        <v>2564</v>
      </c>
      <c r="I512" s="5">
        <f t="shared" si="148"/>
        <v>2540</v>
      </c>
      <c r="J512" s="5">
        <f t="shared" si="149"/>
        <v>2660</v>
      </c>
      <c r="K512" s="5">
        <f t="shared" si="159"/>
        <v>3000</v>
      </c>
      <c r="L512" s="5">
        <f t="shared" si="160"/>
        <v>3000</v>
      </c>
      <c r="M512" s="5">
        <f t="shared" si="161"/>
        <v>3000</v>
      </c>
      <c r="N512" s="5">
        <f t="shared" si="153"/>
        <v>-436</v>
      </c>
      <c r="O512" s="5">
        <f t="shared" si="154"/>
        <v>-460</v>
      </c>
      <c r="P512" s="5">
        <f t="shared" si="155"/>
        <v>-340</v>
      </c>
      <c r="Q512" s="8">
        <v>0</v>
      </c>
      <c r="R512" s="8">
        <v>0</v>
      </c>
      <c r="S512" s="8">
        <v>0</v>
      </c>
      <c r="T512" s="6">
        <f t="shared" si="150"/>
        <v>1044</v>
      </c>
      <c r="U512" s="7">
        <f t="shared" si="156"/>
        <v>2044</v>
      </c>
      <c r="V512" s="7">
        <f t="shared" si="157"/>
        <v>2020</v>
      </c>
      <c r="W512" s="7">
        <f t="shared" si="158"/>
        <v>2080</v>
      </c>
      <c r="X512" s="6"/>
      <c r="Y512" s="5"/>
      <c r="Z512" s="5"/>
      <c r="AA512" s="5"/>
      <c r="AB512" s="5"/>
    </row>
    <row r="513" spans="1:28" ht="13.15" customHeight="1">
      <c r="A513" s="13">
        <f t="shared" si="162"/>
        <v>499</v>
      </c>
      <c r="B513" s="4">
        <f t="shared" si="151"/>
        <v>45542</v>
      </c>
      <c r="C513" s="10">
        <f t="shared" si="152"/>
        <v>842</v>
      </c>
      <c r="D513" s="9">
        <f t="shared" si="163"/>
        <v>2224</v>
      </c>
      <c r="E513" s="8">
        <f t="shared" si="144"/>
        <v>502</v>
      </c>
      <c r="F513" s="8">
        <f t="shared" si="145"/>
        <v>526</v>
      </c>
      <c r="G513" s="8">
        <f t="shared" si="146"/>
        <v>406</v>
      </c>
      <c r="H513" s="5">
        <f t="shared" si="147"/>
        <v>2564</v>
      </c>
      <c r="I513" s="5">
        <f t="shared" si="148"/>
        <v>2540</v>
      </c>
      <c r="J513" s="5">
        <f t="shared" si="149"/>
        <v>2660</v>
      </c>
      <c r="K513" s="5">
        <f t="shared" si="159"/>
        <v>3000</v>
      </c>
      <c r="L513" s="5">
        <f t="shared" si="160"/>
        <v>3000</v>
      </c>
      <c r="M513" s="5">
        <f t="shared" si="161"/>
        <v>3000</v>
      </c>
      <c r="N513" s="5">
        <f t="shared" si="153"/>
        <v>-436</v>
      </c>
      <c r="O513" s="5">
        <f t="shared" si="154"/>
        <v>-460</v>
      </c>
      <c r="P513" s="5">
        <f t="shared" si="155"/>
        <v>-340</v>
      </c>
      <c r="Q513" s="8">
        <v>0</v>
      </c>
      <c r="R513" s="8">
        <v>0</v>
      </c>
      <c r="S513" s="8">
        <v>0</v>
      </c>
      <c r="T513" s="6">
        <f t="shared" si="150"/>
        <v>1046</v>
      </c>
      <c r="U513" s="7">
        <f t="shared" si="156"/>
        <v>2044</v>
      </c>
      <c r="V513" s="7">
        <f t="shared" si="157"/>
        <v>2020</v>
      </c>
      <c r="W513" s="7">
        <f t="shared" si="158"/>
        <v>2080</v>
      </c>
      <c r="X513" s="6"/>
      <c r="Y513" s="5"/>
      <c r="Z513" s="5"/>
      <c r="AA513" s="5"/>
      <c r="AB513" s="5"/>
    </row>
    <row r="514" spans="1:28" ht="13.15" customHeight="1">
      <c r="A514" s="13">
        <f t="shared" si="162"/>
        <v>500</v>
      </c>
      <c r="B514" s="4">
        <f t="shared" si="151"/>
        <v>45543</v>
      </c>
      <c r="C514" s="10">
        <f t="shared" si="152"/>
        <v>842</v>
      </c>
      <c r="D514" s="9">
        <f t="shared" si="163"/>
        <v>2226</v>
      </c>
      <c r="E514" s="8">
        <f t="shared" si="144"/>
        <v>504</v>
      </c>
      <c r="F514" s="8">
        <f t="shared" si="145"/>
        <v>528</v>
      </c>
      <c r="G514" s="8">
        <f t="shared" si="146"/>
        <v>408</v>
      </c>
      <c r="H514" s="5">
        <f t="shared" si="147"/>
        <v>2564</v>
      </c>
      <c r="I514" s="5">
        <f t="shared" si="148"/>
        <v>2540</v>
      </c>
      <c r="J514" s="5">
        <f t="shared" si="149"/>
        <v>2660</v>
      </c>
      <c r="K514" s="5">
        <f t="shared" si="159"/>
        <v>3000</v>
      </c>
      <c r="L514" s="5">
        <f t="shared" si="160"/>
        <v>3000</v>
      </c>
      <c r="M514" s="5">
        <f t="shared" si="161"/>
        <v>3000</v>
      </c>
      <c r="N514" s="5">
        <f t="shared" si="153"/>
        <v>-436</v>
      </c>
      <c r="O514" s="5">
        <f t="shared" si="154"/>
        <v>-460</v>
      </c>
      <c r="P514" s="5">
        <f t="shared" si="155"/>
        <v>-340</v>
      </c>
      <c r="Q514" s="8">
        <v>0</v>
      </c>
      <c r="R514" s="8">
        <v>0</v>
      </c>
      <c r="S514" s="8">
        <v>0</v>
      </c>
      <c r="T514" s="6">
        <f t="shared" si="150"/>
        <v>1048</v>
      </c>
      <c r="U514" s="7">
        <f t="shared" si="156"/>
        <v>2044</v>
      </c>
      <c r="V514" s="7">
        <f t="shared" si="157"/>
        <v>2020</v>
      </c>
      <c r="W514" s="7">
        <f t="shared" si="158"/>
        <v>2080</v>
      </c>
      <c r="X514" s="6"/>
      <c r="Y514" s="5"/>
      <c r="Z514" s="5"/>
      <c r="AA514" s="5"/>
      <c r="AB514" s="5"/>
    </row>
    <row r="515" spans="1:28" ht="13.15" customHeight="1">
      <c r="A515" s="13">
        <f t="shared" si="162"/>
        <v>501</v>
      </c>
      <c r="B515" s="4">
        <f t="shared" si="151"/>
        <v>45544</v>
      </c>
      <c r="C515" s="10">
        <f t="shared" si="152"/>
        <v>842</v>
      </c>
      <c r="D515" s="9">
        <f t="shared" si="163"/>
        <v>2228</v>
      </c>
      <c r="E515" s="8">
        <f t="shared" si="144"/>
        <v>506</v>
      </c>
      <c r="F515" s="8">
        <f t="shared" si="145"/>
        <v>530</v>
      </c>
      <c r="G515" s="8">
        <f t="shared" si="146"/>
        <v>410</v>
      </c>
      <c r="H515" s="5">
        <f t="shared" si="147"/>
        <v>2564</v>
      </c>
      <c r="I515" s="5">
        <f t="shared" si="148"/>
        <v>2540</v>
      </c>
      <c r="J515" s="5">
        <f t="shared" si="149"/>
        <v>2660</v>
      </c>
      <c r="K515" s="5">
        <f t="shared" si="159"/>
        <v>3000</v>
      </c>
      <c r="L515" s="5">
        <f t="shared" si="160"/>
        <v>3000</v>
      </c>
      <c r="M515" s="5">
        <f t="shared" si="161"/>
        <v>3000</v>
      </c>
      <c r="N515" s="5">
        <f t="shared" si="153"/>
        <v>-436</v>
      </c>
      <c r="O515" s="5">
        <f t="shared" si="154"/>
        <v>-460</v>
      </c>
      <c r="P515" s="5">
        <f t="shared" si="155"/>
        <v>-340</v>
      </c>
      <c r="Q515" s="8">
        <v>0</v>
      </c>
      <c r="R515" s="8">
        <v>0</v>
      </c>
      <c r="S515" s="8">
        <v>0</v>
      </c>
      <c r="T515" s="6">
        <f t="shared" si="150"/>
        <v>1050</v>
      </c>
      <c r="U515" s="7">
        <f t="shared" si="156"/>
        <v>2044</v>
      </c>
      <c r="V515" s="7">
        <f t="shared" si="157"/>
        <v>2020</v>
      </c>
      <c r="W515" s="7">
        <f t="shared" si="158"/>
        <v>2080</v>
      </c>
      <c r="X515" s="6"/>
      <c r="Y515" s="5"/>
      <c r="Z515" s="5"/>
      <c r="AA515" s="5"/>
      <c r="AB515" s="5"/>
    </row>
    <row r="516" spans="1:28" ht="13.15" customHeight="1">
      <c r="A516" s="13">
        <f t="shared" si="162"/>
        <v>502</v>
      </c>
      <c r="B516" s="4">
        <f t="shared" si="151"/>
        <v>45545</v>
      </c>
      <c r="C516" s="10">
        <f t="shared" si="152"/>
        <v>842</v>
      </c>
      <c r="D516" s="9">
        <f t="shared" si="163"/>
        <v>2230</v>
      </c>
      <c r="E516" s="8">
        <f t="shared" si="144"/>
        <v>508</v>
      </c>
      <c r="F516" s="8">
        <f t="shared" si="145"/>
        <v>532</v>
      </c>
      <c r="G516" s="8">
        <f t="shared" si="146"/>
        <v>412</v>
      </c>
      <c r="H516" s="5">
        <f t="shared" si="147"/>
        <v>2564</v>
      </c>
      <c r="I516" s="5">
        <f t="shared" si="148"/>
        <v>2540</v>
      </c>
      <c r="J516" s="5">
        <f t="shared" si="149"/>
        <v>2660</v>
      </c>
      <c r="K516" s="5">
        <f t="shared" si="159"/>
        <v>3000</v>
      </c>
      <c r="L516" s="5">
        <f t="shared" si="160"/>
        <v>3000</v>
      </c>
      <c r="M516" s="5">
        <f t="shared" si="161"/>
        <v>3000</v>
      </c>
      <c r="N516" s="5">
        <f t="shared" si="153"/>
        <v>-436</v>
      </c>
      <c r="O516" s="5">
        <f t="shared" si="154"/>
        <v>-460</v>
      </c>
      <c r="P516" s="5">
        <f t="shared" si="155"/>
        <v>-340</v>
      </c>
      <c r="Q516" s="8">
        <v>0</v>
      </c>
      <c r="R516" s="8">
        <v>0</v>
      </c>
      <c r="S516" s="8">
        <v>0</v>
      </c>
      <c r="T516" s="6">
        <f t="shared" si="150"/>
        <v>1052</v>
      </c>
      <c r="U516" s="7">
        <f t="shared" si="156"/>
        <v>2044</v>
      </c>
      <c r="V516" s="7">
        <f t="shared" si="157"/>
        <v>2020</v>
      </c>
      <c r="W516" s="7">
        <f t="shared" si="158"/>
        <v>2080</v>
      </c>
      <c r="X516" s="6"/>
      <c r="Y516" s="5"/>
      <c r="Z516" s="5"/>
      <c r="AA516" s="5"/>
      <c r="AB516" s="5"/>
    </row>
    <row r="517" spans="1:28" ht="13.15" customHeight="1">
      <c r="A517" s="13">
        <f t="shared" si="162"/>
        <v>503</v>
      </c>
      <c r="B517" s="4">
        <f t="shared" si="151"/>
        <v>45546</v>
      </c>
      <c r="C517" s="10">
        <f t="shared" si="152"/>
        <v>842</v>
      </c>
      <c r="D517" s="9">
        <f t="shared" si="163"/>
        <v>2232</v>
      </c>
      <c r="E517" s="8">
        <f t="shared" si="144"/>
        <v>510</v>
      </c>
      <c r="F517" s="8">
        <f t="shared" si="145"/>
        <v>534</v>
      </c>
      <c r="G517" s="8">
        <f t="shared" si="146"/>
        <v>414</v>
      </c>
      <c r="H517" s="5">
        <f t="shared" si="147"/>
        <v>2564</v>
      </c>
      <c r="I517" s="5">
        <f t="shared" si="148"/>
        <v>2540</v>
      </c>
      <c r="J517" s="5">
        <f t="shared" si="149"/>
        <v>2660</v>
      </c>
      <c r="K517" s="5">
        <f t="shared" si="159"/>
        <v>3000</v>
      </c>
      <c r="L517" s="5">
        <f t="shared" si="160"/>
        <v>3000</v>
      </c>
      <c r="M517" s="5">
        <f t="shared" si="161"/>
        <v>3000</v>
      </c>
      <c r="N517" s="5">
        <f t="shared" si="153"/>
        <v>-436</v>
      </c>
      <c r="O517" s="5">
        <f t="shared" si="154"/>
        <v>-460</v>
      </c>
      <c r="P517" s="5">
        <f t="shared" si="155"/>
        <v>-340</v>
      </c>
      <c r="Q517" s="8">
        <v>0</v>
      </c>
      <c r="R517" s="8">
        <v>0</v>
      </c>
      <c r="S517" s="8">
        <v>0</v>
      </c>
      <c r="T517" s="6">
        <f t="shared" si="150"/>
        <v>1054</v>
      </c>
      <c r="U517" s="7">
        <f t="shared" si="156"/>
        <v>2044</v>
      </c>
      <c r="V517" s="7">
        <f t="shared" si="157"/>
        <v>2020</v>
      </c>
      <c r="W517" s="7">
        <f t="shared" si="158"/>
        <v>2080</v>
      </c>
      <c r="X517" s="6"/>
      <c r="Y517" s="5"/>
      <c r="Z517" s="5"/>
      <c r="AA517" s="5"/>
      <c r="AB517" s="5"/>
    </row>
    <row r="518" spans="1:28" ht="13.15" customHeight="1">
      <c r="A518" s="13">
        <f t="shared" si="162"/>
        <v>504</v>
      </c>
      <c r="B518" s="4">
        <f t="shared" si="151"/>
        <v>45547</v>
      </c>
      <c r="C518" s="10">
        <f t="shared" si="152"/>
        <v>842</v>
      </c>
      <c r="D518" s="9">
        <f t="shared" si="163"/>
        <v>2234</v>
      </c>
      <c r="E518" s="8">
        <f t="shared" si="144"/>
        <v>512</v>
      </c>
      <c r="F518" s="8">
        <f t="shared" si="145"/>
        <v>536</v>
      </c>
      <c r="G518" s="8">
        <f t="shared" si="146"/>
        <v>416</v>
      </c>
      <c r="H518" s="5">
        <f t="shared" si="147"/>
        <v>2564</v>
      </c>
      <c r="I518" s="5">
        <f t="shared" si="148"/>
        <v>2540</v>
      </c>
      <c r="J518" s="5">
        <f t="shared" si="149"/>
        <v>2660</v>
      </c>
      <c r="K518" s="5">
        <f t="shared" si="159"/>
        <v>3000</v>
      </c>
      <c r="L518" s="5">
        <f t="shared" si="160"/>
        <v>3000</v>
      </c>
      <c r="M518" s="5">
        <f t="shared" si="161"/>
        <v>3000</v>
      </c>
      <c r="N518" s="5">
        <f t="shared" si="153"/>
        <v>-436</v>
      </c>
      <c r="O518" s="5">
        <f t="shared" si="154"/>
        <v>-460</v>
      </c>
      <c r="P518" s="5">
        <f t="shared" si="155"/>
        <v>-340</v>
      </c>
      <c r="Q518" s="8">
        <v>0</v>
      </c>
      <c r="R518" s="8">
        <v>0</v>
      </c>
      <c r="S518" s="8">
        <v>0</v>
      </c>
      <c r="T518" s="6">
        <f t="shared" si="150"/>
        <v>1056</v>
      </c>
      <c r="U518" s="7">
        <f t="shared" si="156"/>
        <v>2044</v>
      </c>
      <c r="V518" s="7">
        <f t="shared" si="157"/>
        <v>2020</v>
      </c>
      <c r="W518" s="7">
        <f t="shared" si="158"/>
        <v>2080</v>
      </c>
      <c r="X518" s="6"/>
      <c r="Y518" s="5"/>
      <c r="Z518" s="5"/>
      <c r="AA518" s="5"/>
      <c r="AB518" s="5"/>
    </row>
    <row r="519" spans="1:28" ht="13.15" customHeight="1">
      <c r="A519" s="13">
        <f t="shared" si="162"/>
        <v>505</v>
      </c>
      <c r="B519" s="4">
        <f t="shared" si="151"/>
        <v>45548</v>
      </c>
      <c r="C519" s="10">
        <f t="shared" si="152"/>
        <v>842</v>
      </c>
      <c r="D519" s="9">
        <f t="shared" si="163"/>
        <v>2236</v>
      </c>
      <c r="E519" s="8">
        <f t="shared" si="144"/>
        <v>514</v>
      </c>
      <c r="F519" s="8">
        <f t="shared" si="145"/>
        <v>538</v>
      </c>
      <c r="G519" s="8">
        <f t="shared" si="146"/>
        <v>418</v>
      </c>
      <c r="H519" s="5">
        <f t="shared" si="147"/>
        <v>2564</v>
      </c>
      <c r="I519" s="5">
        <f t="shared" si="148"/>
        <v>2540</v>
      </c>
      <c r="J519" s="5">
        <f t="shared" si="149"/>
        <v>2660</v>
      </c>
      <c r="K519" s="5">
        <f t="shared" si="159"/>
        <v>3000</v>
      </c>
      <c r="L519" s="5">
        <f t="shared" si="160"/>
        <v>3000</v>
      </c>
      <c r="M519" s="5">
        <f t="shared" si="161"/>
        <v>3000</v>
      </c>
      <c r="N519" s="5">
        <f t="shared" si="153"/>
        <v>-436</v>
      </c>
      <c r="O519" s="5">
        <f t="shared" si="154"/>
        <v>-460</v>
      </c>
      <c r="P519" s="5">
        <f t="shared" si="155"/>
        <v>-340</v>
      </c>
      <c r="Q519" s="8">
        <v>0</v>
      </c>
      <c r="R519" s="8">
        <v>0</v>
      </c>
      <c r="S519" s="8">
        <v>0</v>
      </c>
      <c r="T519" s="6">
        <f t="shared" si="150"/>
        <v>1058</v>
      </c>
      <c r="U519" s="7">
        <f t="shared" si="156"/>
        <v>2044</v>
      </c>
      <c r="V519" s="7">
        <f t="shared" si="157"/>
        <v>2020</v>
      </c>
      <c r="W519" s="7">
        <f t="shared" si="158"/>
        <v>2080</v>
      </c>
      <c r="X519" s="6"/>
      <c r="Y519" s="5"/>
      <c r="Z519" s="5"/>
      <c r="AA519" s="5"/>
      <c r="AB519" s="5"/>
    </row>
    <row r="520" spans="1:28" ht="13.15" customHeight="1">
      <c r="A520" s="13">
        <f t="shared" si="162"/>
        <v>506</v>
      </c>
      <c r="B520" s="4">
        <f t="shared" si="151"/>
        <v>45549</v>
      </c>
      <c r="C520" s="10">
        <f t="shared" si="152"/>
        <v>842</v>
      </c>
      <c r="D520" s="9">
        <f t="shared" si="163"/>
        <v>2238</v>
      </c>
      <c r="E520" s="8">
        <f t="shared" si="144"/>
        <v>516</v>
      </c>
      <c r="F520" s="8">
        <f t="shared" si="145"/>
        <v>540</v>
      </c>
      <c r="G520" s="8">
        <f t="shared" si="146"/>
        <v>420</v>
      </c>
      <c r="H520" s="5">
        <f t="shared" si="147"/>
        <v>2564</v>
      </c>
      <c r="I520" s="5">
        <f t="shared" si="148"/>
        <v>2540</v>
      </c>
      <c r="J520" s="5">
        <f t="shared" si="149"/>
        <v>2660</v>
      </c>
      <c r="K520" s="5">
        <f t="shared" si="159"/>
        <v>3000</v>
      </c>
      <c r="L520" s="5">
        <f t="shared" si="160"/>
        <v>3000</v>
      </c>
      <c r="M520" s="5">
        <f t="shared" si="161"/>
        <v>3000</v>
      </c>
      <c r="N520" s="5">
        <f t="shared" si="153"/>
        <v>-436</v>
      </c>
      <c r="O520" s="5">
        <f t="shared" si="154"/>
        <v>-460</v>
      </c>
      <c r="P520" s="5">
        <f t="shared" si="155"/>
        <v>-340</v>
      </c>
      <c r="Q520" s="8">
        <v>0</v>
      </c>
      <c r="R520" s="8">
        <v>0</v>
      </c>
      <c r="S520" s="8">
        <v>0</v>
      </c>
      <c r="T520" s="6">
        <f t="shared" si="150"/>
        <v>1060</v>
      </c>
      <c r="U520" s="7">
        <f t="shared" si="156"/>
        <v>2044</v>
      </c>
      <c r="V520" s="7">
        <f t="shared" si="157"/>
        <v>2020</v>
      </c>
      <c r="W520" s="7">
        <f t="shared" si="158"/>
        <v>2080</v>
      </c>
      <c r="X520" s="6"/>
      <c r="Y520" s="5"/>
      <c r="Z520" s="5"/>
      <c r="AA520" s="5"/>
      <c r="AB520" s="5"/>
    </row>
    <row r="521" spans="1:28" ht="13.15" customHeight="1">
      <c r="A521" s="13">
        <f t="shared" si="162"/>
        <v>507</v>
      </c>
      <c r="B521" s="4">
        <f t="shared" si="151"/>
        <v>45550</v>
      </c>
      <c r="C521" s="10">
        <f t="shared" si="152"/>
        <v>842</v>
      </c>
      <c r="D521" s="9">
        <f t="shared" si="163"/>
        <v>2240</v>
      </c>
      <c r="E521" s="8">
        <f t="shared" si="144"/>
        <v>518</v>
      </c>
      <c r="F521" s="8">
        <f t="shared" si="145"/>
        <v>542</v>
      </c>
      <c r="G521" s="8">
        <f t="shared" si="146"/>
        <v>422</v>
      </c>
      <c r="H521" s="5">
        <f t="shared" si="147"/>
        <v>2564</v>
      </c>
      <c r="I521" s="5">
        <f t="shared" si="148"/>
        <v>2540</v>
      </c>
      <c r="J521" s="5">
        <f t="shared" si="149"/>
        <v>2660</v>
      </c>
      <c r="K521" s="5">
        <f t="shared" si="159"/>
        <v>3000</v>
      </c>
      <c r="L521" s="5">
        <f t="shared" si="160"/>
        <v>3000</v>
      </c>
      <c r="M521" s="5">
        <f t="shared" si="161"/>
        <v>3000</v>
      </c>
      <c r="N521" s="5">
        <f t="shared" si="153"/>
        <v>-436</v>
      </c>
      <c r="O521" s="5">
        <f t="shared" si="154"/>
        <v>-460</v>
      </c>
      <c r="P521" s="5">
        <f t="shared" si="155"/>
        <v>-340</v>
      </c>
      <c r="Q521" s="8">
        <v>0</v>
      </c>
      <c r="R521" s="8">
        <v>0</v>
      </c>
      <c r="S521" s="8">
        <v>0</v>
      </c>
      <c r="T521" s="6">
        <f t="shared" si="150"/>
        <v>1062</v>
      </c>
      <c r="U521" s="7">
        <f t="shared" si="156"/>
        <v>2044</v>
      </c>
      <c r="V521" s="7">
        <f t="shared" si="157"/>
        <v>2020</v>
      </c>
      <c r="W521" s="7">
        <f t="shared" si="158"/>
        <v>2080</v>
      </c>
      <c r="X521" s="6"/>
      <c r="Y521" s="5"/>
      <c r="Z521" s="5"/>
      <c r="AA521" s="5"/>
      <c r="AB521" s="5"/>
    </row>
    <row r="522" spans="1:28" ht="13.15" customHeight="1">
      <c r="A522" s="13">
        <f t="shared" si="162"/>
        <v>508</v>
      </c>
      <c r="B522" s="4">
        <f t="shared" si="151"/>
        <v>45551</v>
      </c>
      <c r="C522" s="10">
        <f t="shared" si="152"/>
        <v>842</v>
      </c>
      <c r="D522" s="9">
        <f t="shared" si="163"/>
        <v>2242</v>
      </c>
      <c r="E522" s="8">
        <f t="shared" si="144"/>
        <v>520</v>
      </c>
      <c r="F522" s="8">
        <f t="shared" si="145"/>
        <v>544</v>
      </c>
      <c r="G522" s="8">
        <f t="shared" si="146"/>
        <v>424</v>
      </c>
      <c r="H522" s="5">
        <f t="shared" si="147"/>
        <v>2564</v>
      </c>
      <c r="I522" s="5">
        <f t="shared" si="148"/>
        <v>2540</v>
      </c>
      <c r="J522" s="5">
        <f t="shared" si="149"/>
        <v>2660</v>
      </c>
      <c r="K522" s="5">
        <f t="shared" si="159"/>
        <v>3000</v>
      </c>
      <c r="L522" s="5">
        <f t="shared" si="160"/>
        <v>3000</v>
      </c>
      <c r="M522" s="5">
        <f t="shared" si="161"/>
        <v>3000</v>
      </c>
      <c r="N522" s="5">
        <f t="shared" si="153"/>
        <v>-436</v>
      </c>
      <c r="O522" s="5">
        <f t="shared" si="154"/>
        <v>-460</v>
      </c>
      <c r="P522" s="5">
        <f t="shared" si="155"/>
        <v>-340</v>
      </c>
      <c r="Q522" s="8">
        <v>0</v>
      </c>
      <c r="R522" s="8">
        <v>0</v>
      </c>
      <c r="S522" s="8">
        <v>0</v>
      </c>
      <c r="T522" s="6">
        <f t="shared" si="150"/>
        <v>1064</v>
      </c>
      <c r="U522" s="7">
        <f t="shared" si="156"/>
        <v>2044</v>
      </c>
      <c r="V522" s="7">
        <f t="shared" si="157"/>
        <v>2020</v>
      </c>
      <c r="W522" s="7">
        <f t="shared" si="158"/>
        <v>2080</v>
      </c>
      <c r="X522" s="6"/>
      <c r="Y522" s="5"/>
      <c r="Z522" s="5"/>
      <c r="AA522" s="5"/>
      <c r="AB522" s="5"/>
    </row>
    <row r="523" spans="1:28" ht="13.15" customHeight="1">
      <c r="A523" s="13">
        <f t="shared" si="162"/>
        <v>509</v>
      </c>
      <c r="B523" s="4">
        <f t="shared" si="151"/>
        <v>45552</v>
      </c>
      <c r="C523" s="10">
        <f t="shared" si="152"/>
        <v>842</v>
      </c>
      <c r="D523" s="9">
        <f t="shared" si="163"/>
        <v>2244</v>
      </c>
      <c r="E523" s="8">
        <f t="shared" si="144"/>
        <v>522</v>
      </c>
      <c r="F523" s="8">
        <f t="shared" si="145"/>
        <v>546</v>
      </c>
      <c r="G523" s="8">
        <f t="shared" si="146"/>
        <v>426</v>
      </c>
      <c r="H523" s="5">
        <f t="shared" si="147"/>
        <v>2564</v>
      </c>
      <c r="I523" s="5">
        <f t="shared" si="148"/>
        <v>2540</v>
      </c>
      <c r="J523" s="5">
        <f t="shared" si="149"/>
        <v>2660</v>
      </c>
      <c r="K523" s="5">
        <f t="shared" si="159"/>
        <v>3000</v>
      </c>
      <c r="L523" s="5">
        <f t="shared" si="160"/>
        <v>3000</v>
      </c>
      <c r="M523" s="5">
        <f t="shared" si="161"/>
        <v>3000</v>
      </c>
      <c r="N523" s="5">
        <f t="shared" si="153"/>
        <v>-436</v>
      </c>
      <c r="O523" s="5">
        <f t="shared" si="154"/>
        <v>-460</v>
      </c>
      <c r="P523" s="5">
        <f t="shared" si="155"/>
        <v>-340</v>
      </c>
      <c r="Q523" s="8">
        <v>0</v>
      </c>
      <c r="R523" s="8">
        <v>0</v>
      </c>
      <c r="S523" s="8">
        <v>0</v>
      </c>
      <c r="T523" s="6">
        <f t="shared" si="150"/>
        <v>1066</v>
      </c>
      <c r="U523" s="7">
        <f t="shared" si="156"/>
        <v>2044</v>
      </c>
      <c r="V523" s="7">
        <f t="shared" si="157"/>
        <v>2020</v>
      </c>
      <c r="W523" s="7">
        <f t="shared" si="158"/>
        <v>2080</v>
      </c>
      <c r="X523" s="6"/>
      <c r="Y523" s="5"/>
      <c r="Z523" s="5"/>
      <c r="AA523" s="5"/>
      <c r="AB523" s="11"/>
    </row>
    <row r="524" spans="1:28" ht="13.15" customHeight="1">
      <c r="A524" s="13">
        <f t="shared" si="162"/>
        <v>510</v>
      </c>
      <c r="B524" s="4">
        <f t="shared" si="151"/>
        <v>45553</v>
      </c>
      <c r="C524" s="10">
        <f t="shared" si="152"/>
        <v>842</v>
      </c>
      <c r="D524" s="9">
        <f t="shared" si="163"/>
        <v>2246</v>
      </c>
      <c r="E524" s="8">
        <f t="shared" si="144"/>
        <v>524</v>
      </c>
      <c r="F524" s="8">
        <f t="shared" si="145"/>
        <v>548</v>
      </c>
      <c r="G524" s="8">
        <f t="shared" si="146"/>
        <v>428</v>
      </c>
      <c r="H524" s="5">
        <f t="shared" si="147"/>
        <v>2564</v>
      </c>
      <c r="I524" s="5">
        <f t="shared" si="148"/>
        <v>2540</v>
      </c>
      <c r="J524" s="5">
        <f t="shared" si="149"/>
        <v>2660</v>
      </c>
      <c r="K524" s="5">
        <f t="shared" si="159"/>
        <v>3000</v>
      </c>
      <c r="L524" s="5">
        <f t="shared" si="160"/>
        <v>3000</v>
      </c>
      <c r="M524" s="5">
        <f t="shared" si="161"/>
        <v>3000</v>
      </c>
      <c r="N524" s="5">
        <f t="shared" si="153"/>
        <v>-436</v>
      </c>
      <c r="O524" s="5">
        <f t="shared" si="154"/>
        <v>-460</v>
      </c>
      <c r="P524" s="5">
        <f t="shared" si="155"/>
        <v>-340</v>
      </c>
      <c r="Q524" s="8">
        <v>0</v>
      </c>
      <c r="R524" s="8">
        <v>0</v>
      </c>
      <c r="S524" s="8">
        <v>0</v>
      </c>
      <c r="T524" s="6">
        <f t="shared" si="150"/>
        <v>1068</v>
      </c>
      <c r="U524" s="7">
        <f t="shared" si="156"/>
        <v>2044</v>
      </c>
      <c r="V524" s="7">
        <f t="shared" si="157"/>
        <v>2020</v>
      </c>
      <c r="W524" s="7">
        <f t="shared" si="158"/>
        <v>2080</v>
      </c>
      <c r="X524" s="6"/>
      <c r="Y524" s="5"/>
      <c r="Z524" s="5"/>
      <c r="AA524" s="5"/>
      <c r="AB524" s="11"/>
    </row>
    <row r="525" spans="1:28" ht="13.15" customHeight="1">
      <c r="A525" s="13">
        <f t="shared" si="162"/>
        <v>511</v>
      </c>
      <c r="B525" s="4">
        <f t="shared" si="151"/>
        <v>45554</v>
      </c>
      <c r="C525" s="10">
        <f t="shared" si="152"/>
        <v>842</v>
      </c>
      <c r="D525" s="9">
        <f t="shared" si="163"/>
        <v>2248</v>
      </c>
      <c r="E525" s="8">
        <f t="shared" si="144"/>
        <v>526</v>
      </c>
      <c r="F525" s="8">
        <f t="shared" si="145"/>
        <v>550</v>
      </c>
      <c r="G525" s="8">
        <f t="shared" si="146"/>
        <v>430</v>
      </c>
      <c r="H525" s="5">
        <f t="shared" si="147"/>
        <v>2564</v>
      </c>
      <c r="I525" s="5">
        <f t="shared" si="148"/>
        <v>2540</v>
      </c>
      <c r="J525" s="5">
        <f t="shared" si="149"/>
        <v>2660</v>
      </c>
      <c r="K525" s="5">
        <f t="shared" si="159"/>
        <v>3000</v>
      </c>
      <c r="L525" s="5">
        <f t="shared" si="160"/>
        <v>3000</v>
      </c>
      <c r="M525" s="5">
        <f t="shared" si="161"/>
        <v>3000</v>
      </c>
      <c r="N525" s="5">
        <f t="shared" si="153"/>
        <v>-436</v>
      </c>
      <c r="O525" s="5">
        <f t="shared" si="154"/>
        <v>-460</v>
      </c>
      <c r="P525" s="5">
        <f t="shared" si="155"/>
        <v>-340</v>
      </c>
      <c r="Q525" s="8">
        <v>0</v>
      </c>
      <c r="R525" s="8">
        <v>0</v>
      </c>
      <c r="S525" s="8">
        <v>0</v>
      </c>
      <c r="T525" s="6">
        <f t="shared" si="150"/>
        <v>1070</v>
      </c>
      <c r="U525" s="7">
        <f t="shared" si="156"/>
        <v>2044</v>
      </c>
      <c r="V525" s="7">
        <f t="shared" si="157"/>
        <v>2020</v>
      </c>
      <c r="W525" s="7">
        <f t="shared" si="158"/>
        <v>2080</v>
      </c>
      <c r="X525" s="6"/>
      <c r="Y525" s="5"/>
      <c r="Z525" s="5"/>
      <c r="AA525" s="5"/>
      <c r="AB525" s="11"/>
    </row>
    <row r="526" spans="1:28" ht="13.15" customHeight="1">
      <c r="A526" s="13">
        <f t="shared" si="162"/>
        <v>512</v>
      </c>
      <c r="B526" s="4">
        <f t="shared" si="151"/>
        <v>45555</v>
      </c>
      <c r="C526" s="10">
        <f t="shared" si="152"/>
        <v>842</v>
      </c>
      <c r="D526" s="9">
        <f t="shared" si="163"/>
        <v>2250</v>
      </c>
      <c r="E526" s="8">
        <f t="shared" ref="E526:E589" si="164">C526+D526-H526</f>
        <v>528</v>
      </c>
      <c r="F526" s="8">
        <f t="shared" ref="F526:F589" si="165">C526+D526-I526</f>
        <v>552</v>
      </c>
      <c r="G526" s="8">
        <f t="shared" ref="G526:G589" si="166">D526+C526-J526</f>
        <v>432</v>
      </c>
      <c r="H526" s="5">
        <f t="shared" ref="H526:H589" si="167">K526+N526</f>
        <v>2564</v>
      </c>
      <c r="I526" s="5">
        <f t="shared" ref="I526:I589" si="168">L526+O526</f>
        <v>2540</v>
      </c>
      <c r="J526" s="5">
        <f t="shared" ref="J526:J589" si="169">M526+P526</f>
        <v>2660</v>
      </c>
      <c r="K526" s="5">
        <f t="shared" si="159"/>
        <v>3000</v>
      </c>
      <c r="L526" s="5">
        <f t="shared" si="160"/>
        <v>3000</v>
      </c>
      <c r="M526" s="5">
        <f t="shared" si="161"/>
        <v>3000</v>
      </c>
      <c r="N526" s="5">
        <f t="shared" si="153"/>
        <v>-436</v>
      </c>
      <c r="O526" s="5">
        <f t="shared" si="154"/>
        <v>-460</v>
      </c>
      <c r="P526" s="5">
        <f t="shared" si="155"/>
        <v>-340</v>
      </c>
      <c r="Q526" s="8">
        <v>0</v>
      </c>
      <c r="R526" s="8">
        <v>0</v>
      </c>
      <c r="S526" s="8">
        <v>0</v>
      </c>
      <c r="T526" s="6">
        <f t="shared" ref="T526:T589" si="170">D526+C526-V526</f>
        <v>1072</v>
      </c>
      <c r="U526" s="7">
        <f t="shared" si="156"/>
        <v>2044</v>
      </c>
      <c r="V526" s="7">
        <f t="shared" si="157"/>
        <v>2020</v>
      </c>
      <c r="W526" s="7">
        <f t="shared" si="158"/>
        <v>2080</v>
      </c>
      <c r="X526" s="6"/>
      <c r="Y526" s="5"/>
      <c r="Z526" s="5"/>
      <c r="AA526" s="5"/>
      <c r="AB526" s="11"/>
    </row>
    <row r="527" spans="1:28" ht="13.15" customHeight="1">
      <c r="A527" s="13">
        <f t="shared" si="162"/>
        <v>513</v>
      </c>
      <c r="B527" s="4">
        <f t="shared" ref="B527:B590" si="171">B526+1</f>
        <v>45556</v>
      </c>
      <c r="C527" s="10">
        <f t="shared" ref="C527:C590" si="172">C526</f>
        <v>842</v>
      </c>
      <c r="D527" s="9">
        <f t="shared" si="163"/>
        <v>2252</v>
      </c>
      <c r="E527" s="8">
        <f t="shared" si="164"/>
        <v>530</v>
      </c>
      <c r="F527" s="8">
        <f t="shared" si="165"/>
        <v>554</v>
      </c>
      <c r="G527" s="8">
        <f t="shared" si="166"/>
        <v>434</v>
      </c>
      <c r="H527" s="5">
        <f t="shared" si="167"/>
        <v>2564</v>
      </c>
      <c r="I527" s="5">
        <f t="shared" si="168"/>
        <v>2540</v>
      </c>
      <c r="J527" s="5">
        <f t="shared" si="169"/>
        <v>2660</v>
      </c>
      <c r="K527" s="5">
        <f t="shared" si="159"/>
        <v>3000</v>
      </c>
      <c r="L527" s="5">
        <f t="shared" si="160"/>
        <v>3000</v>
      </c>
      <c r="M527" s="5">
        <f t="shared" si="161"/>
        <v>3000</v>
      </c>
      <c r="N527" s="5">
        <f t="shared" ref="N527:N590" si="173">N526-Q527</f>
        <v>-436</v>
      </c>
      <c r="O527" s="5">
        <f t="shared" ref="O527:O590" si="174">O526-R527</f>
        <v>-460</v>
      </c>
      <c r="P527" s="5">
        <f t="shared" ref="P527:P590" si="175">P526-S527</f>
        <v>-340</v>
      </c>
      <c r="Q527" s="8">
        <v>0</v>
      </c>
      <c r="R527" s="8">
        <v>0</v>
      </c>
      <c r="S527" s="8">
        <v>0</v>
      </c>
      <c r="T527" s="6">
        <f t="shared" si="170"/>
        <v>1074</v>
      </c>
      <c r="U527" s="7">
        <f t="shared" si="156"/>
        <v>2044</v>
      </c>
      <c r="V527" s="7">
        <f t="shared" si="157"/>
        <v>2020</v>
      </c>
      <c r="W527" s="7">
        <f t="shared" si="158"/>
        <v>2080</v>
      </c>
      <c r="X527" s="6"/>
      <c r="Y527" s="5"/>
      <c r="Z527" s="5"/>
      <c r="AA527" s="5"/>
      <c r="AB527" s="11"/>
    </row>
    <row r="528" spans="1:28" ht="13.15" customHeight="1">
      <c r="A528" s="13">
        <f t="shared" si="162"/>
        <v>514</v>
      </c>
      <c r="B528" s="4">
        <f t="shared" si="171"/>
        <v>45557</v>
      </c>
      <c r="C528" s="10">
        <f t="shared" si="172"/>
        <v>842</v>
      </c>
      <c r="D528" s="9">
        <f t="shared" si="163"/>
        <v>2254</v>
      </c>
      <c r="E528" s="8">
        <f t="shared" si="164"/>
        <v>542</v>
      </c>
      <c r="F528" s="8">
        <f t="shared" si="165"/>
        <v>566</v>
      </c>
      <c r="G528" s="8">
        <f t="shared" si="166"/>
        <v>446</v>
      </c>
      <c r="H528" s="5">
        <f t="shared" si="167"/>
        <v>2554</v>
      </c>
      <c r="I528" s="5">
        <f t="shared" si="168"/>
        <v>2530</v>
      </c>
      <c r="J528" s="5">
        <f t="shared" si="169"/>
        <v>2650</v>
      </c>
      <c r="K528" s="5">
        <f t="shared" si="159"/>
        <v>3000</v>
      </c>
      <c r="L528" s="5">
        <f t="shared" si="160"/>
        <v>3000</v>
      </c>
      <c r="M528" s="5">
        <f t="shared" si="161"/>
        <v>3000</v>
      </c>
      <c r="N528" s="5">
        <f t="shared" si="173"/>
        <v>-446</v>
      </c>
      <c r="O528" s="5">
        <f t="shared" si="174"/>
        <v>-470</v>
      </c>
      <c r="P528" s="5">
        <f t="shared" si="175"/>
        <v>-350</v>
      </c>
      <c r="Q528" s="8">
        <v>10</v>
      </c>
      <c r="R528" s="8">
        <v>10</v>
      </c>
      <c r="S528" s="8">
        <v>10</v>
      </c>
      <c r="T528" s="6">
        <f t="shared" si="170"/>
        <v>796</v>
      </c>
      <c r="U528" s="7">
        <f t="shared" si="156"/>
        <v>2324</v>
      </c>
      <c r="V528" s="7">
        <f t="shared" si="157"/>
        <v>2300</v>
      </c>
      <c r="W528" s="7">
        <f t="shared" si="158"/>
        <v>2360</v>
      </c>
      <c r="X528" s="12">
        <v>0.28999999999999998</v>
      </c>
      <c r="Y528" s="5"/>
      <c r="Z528" s="5"/>
      <c r="AA528" s="5"/>
      <c r="AB528" s="11" t="s">
        <v>5</v>
      </c>
    </row>
    <row r="529" spans="1:28" ht="13.15" customHeight="1">
      <c r="A529" s="13">
        <f t="shared" si="162"/>
        <v>515</v>
      </c>
      <c r="B529" s="4">
        <f t="shared" si="171"/>
        <v>45558</v>
      </c>
      <c r="C529" s="10">
        <f t="shared" si="172"/>
        <v>842</v>
      </c>
      <c r="D529" s="9">
        <f t="shared" si="163"/>
        <v>2256</v>
      </c>
      <c r="E529" s="8">
        <f t="shared" si="164"/>
        <v>554</v>
      </c>
      <c r="F529" s="8">
        <f t="shared" si="165"/>
        <v>578</v>
      </c>
      <c r="G529" s="8">
        <f t="shared" si="166"/>
        <v>458</v>
      </c>
      <c r="H529" s="5">
        <f t="shared" si="167"/>
        <v>2544</v>
      </c>
      <c r="I529" s="5">
        <f t="shared" si="168"/>
        <v>2520</v>
      </c>
      <c r="J529" s="5">
        <f t="shared" si="169"/>
        <v>2640</v>
      </c>
      <c r="K529" s="5">
        <f t="shared" si="159"/>
        <v>3000</v>
      </c>
      <c r="L529" s="5">
        <f t="shared" si="160"/>
        <v>3000</v>
      </c>
      <c r="M529" s="5">
        <f t="shared" si="161"/>
        <v>3000</v>
      </c>
      <c r="N529" s="5">
        <f t="shared" si="173"/>
        <v>-456</v>
      </c>
      <c r="O529" s="5">
        <f t="shared" si="174"/>
        <v>-480</v>
      </c>
      <c r="P529" s="5">
        <f t="shared" si="175"/>
        <v>-360</v>
      </c>
      <c r="Q529" s="8">
        <v>10</v>
      </c>
      <c r="R529" s="8">
        <v>10</v>
      </c>
      <c r="S529" s="8">
        <v>10</v>
      </c>
      <c r="T529" s="6">
        <f t="shared" si="170"/>
        <v>808</v>
      </c>
      <c r="U529" s="7">
        <f t="shared" si="156"/>
        <v>2314</v>
      </c>
      <c r="V529" s="7">
        <f t="shared" si="157"/>
        <v>2290</v>
      </c>
      <c r="W529" s="7">
        <f t="shared" si="158"/>
        <v>2350</v>
      </c>
      <c r="X529" s="6"/>
      <c r="Y529" s="5"/>
      <c r="Z529" s="5"/>
      <c r="AA529" s="5"/>
      <c r="AB529" s="11"/>
    </row>
    <row r="530" spans="1:28" ht="13.15" customHeight="1">
      <c r="A530" s="13">
        <f t="shared" si="162"/>
        <v>516</v>
      </c>
      <c r="B530" s="4">
        <f t="shared" si="171"/>
        <v>45559</v>
      </c>
      <c r="C530" s="10">
        <f t="shared" si="172"/>
        <v>842</v>
      </c>
      <c r="D530" s="9">
        <f t="shared" si="163"/>
        <v>2258</v>
      </c>
      <c r="E530" s="8">
        <f t="shared" si="164"/>
        <v>566</v>
      </c>
      <c r="F530" s="8">
        <f t="shared" si="165"/>
        <v>590</v>
      </c>
      <c r="G530" s="8">
        <f t="shared" si="166"/>
        <v>468</v>
      </c>
      <c r="H530" s="5">
        <f t="shared" si="167"/>
        <v>2534</v>
      </c>
      <c r="I530" s="5">
        <f t="shared" si="168"/>
        <v>2510</v>
      </c>
      <c r="J530" s="5">
        <f t="shared" si="169"/>
        <v>2632</v>
      </c>
      <c r="K530" s="5">
        <f t="shared" si="159"/>
        <v>3000</v>
      </c>
      <c r="L530" s="5">
        <f t="shared" si="160"/>
        <v>3000</v>
      </c>
      <c r="M530" s="5">
        <f t="shared" si="161"/>
        <v>3000</v>
      </c>
      <c r="N530" s="5">
        <f t="shared" si="173"/>
        <v>-466</v>
      </c>
      <c r="O530" s="5">
        <f t="shared" si="174"/>
        <v>-490</v>
      </c>
      <c r="P530" s="5">
        <f t="shared" si="175"/>
        <v>-368</v>
      </c>
      <c r="Q530" s="8">
        <v>10</v>
      </c>
      <c r="R530" s="8">
        <v>10</v>
      </c>
      <c r="S530" s="8">
        <v>8</v>
      </c>
      <c r="T530" s="6">
        <f t="shared" si="170"/>
        <v>820</v>
      </c>
      <c r="U530" s="7">
        <f t="shared" si="156"/>
        <v>2304</v>
      </c>
      <c r="V530" s="7">
        <f t="shared" si="157"/>
        <v>2280</v>
      </c>
      <c r="W530" s="7">
        <f t="shared" si="158"/>
        <v>2342</v>
      </c>
      <c r="X530" s="6"/>
      <c r="Y530" s="5"/>
      <c r="Z530" s="5"/>
      <c r="AA530" s="5"/>
      <c r="AB530" s="11"/>
    </row>
    <row r="531" spans="1:28" ht="13.15" customHeight="1">
      <c r="A531" s="13">
        <f t="shared" si="162"/>
        <v>517</v>
      </c>
      <c r="B531" s="4">
        <f t="shared" si="171"/>
        <v>45560</v>
      </c>
      <c r="C531" s="10">
        <f t="shared" si="172"/>
        <v>842</v>
      </c>
      <c r="D531" s="9">
        <f t="shared" si="163"/>
        <v>2260</v>
      </c>
      <c r="E531" s="8">
        <f t="shared" si="164"/>
        <v>576</v>
      </c>
      <c r="F531" s="8">
        <f t="shared" si="165"/>
        <v>602</v>
      </c>
      <c r="G531" s="8">
        <f t="shared" si="166"/>
        <v>478</v>
      </c>
      <c r="H531" s="5">
        <f t="shared" si="167"/>
        <v>2526</v>
      </c>
      <c r="I531" s="5">
        <f t="shared" si="168"/>
        <v>2500</v>
      </c>
      <c r="J531" s="5">
        <f t="shared" si="169"/>
        <v>2624</v>
      </c>
      <c r="K531" s="5">
        <f t="shared" si="159"/>
        <v>3000</v>
      </c>
      <c r="L531" s="5">
        <f t="shared" si="160"/>
        <v>3000</v>
      </c>
      <c r="M531" s="5">
        <f t="shared" si="161"/>
        <v>3000</v>
      </c>
      <c r="N531" s="5">
        <f t="shared" si="173"/>
        <v>-474</v>
      </c>
      <c r="O531" s="5">
        <f t="shared" si="174"/>
        <v>-500</v>
      </c>
      <c r="P531" s="5">
        <f t="shared" si="175"/>
        <v>-376</v>
      </c>
      <c r="Q531" s="8">
        <v>8</v>
      </c>
      <c r="R531" s="8">
        <v>10</v>
      </c>
      <c r="S531" s="8">
        <v>8</v>
      </c>
      <c r="T531" s="6">
        <f t="shared" si="170"/>
        <v>832</v>
      </c>
      <c r="U531" s="7">
        <f t="shared" si="156"/>
        <v>2296</v>
      </c>
      <c r="V531" s="7">
        <f t="shared" si="157"/>
        <v>2270</v>
      </c>
      <c r="W531" s="7">
        <f t="shared" si="158"/>
        <v>2334</v>
      </c>
      <c r="X531" s="6"/>
      <c r="Y531" s="5"/>
      <c r="Z531" s="5"/>
      <c r="AA531" s="5"/>
      <c r="AB531" s="11"/>
    </row>
    <row r="532" spans="1:28" ht="13.15" customHeight="1">
      <c r="A532" s="13">
        <f t="shared" si="162"/>
        <v>518</v>
      </c>
      <c r="B532" s="4">
        <f t="shared" si="171"/>
        <v>45561</v>
      </c>
      <c r="C532" s="10">
        <f t="shared" si="172"/>
        <v>842</v>
      </c>
      <c r="D532" s="9">
        <f t="shared" si="163"/>
        <v>2262</v>
      </c>
      <c r="E532" s="8">
        <f t="shared" si="164"/>
        <v>587</v>
      </c>
      <c r="F532" s="8">
        <f t="shared" si="165"/>
        <v>611</v>
      </c>
      <c r="G532" s="8">
        <f t="shared" si="166"/>
        <v>490</v>
      </c>
      <c r="H532" s="5">
        <f t="shared" si="167"/>
        <v>2517</v>
      </c>
      <c r="I532" s="5">
        <f t="shared" si="168"/>
        <v>2493</v>
      </c>
      <c r="J532" s="5">
        <f t="shared" si="169"/>
        <v>2614</v>
      </c>
      <c r="K532" s="5">
        <f t="shared" si="159"/>
        <v>3000</v>
      </c>
      <c r="L532" s="5">
        <f t="shared" si="160"/>
        <v>3000</v>
      </c>
      <c r="M532" s="5">
        <f t="shared" si="161"/>
        <v>3000</v>
      </c>
      <c r="N532" s="5">
        <f t="shared" si="173"/>
        <v>-483</v>
      </c>
      <c r="O532" s="5">
        <f t="shared" si="174"/>
        <v>-507</v>
      </c>
      <c r="P532" s="5">
        <f t="shared" si="175"/>
        <v>-386</v>
      </c>
      <c r="Q532" s="8">
        <v>9</v>
      </c>
      <c r="R532" s="8">
        <v>7</v>
      </c>
      <c r="S532" s="8">
        <v>10</v>
      </c>
      <c r="T532" s="6">
        <f t="shared" si="170"/>
        <v>541</v>
      </c>
      <c r="U532" s="7">
        <f t="shared" si="156"/>
        <v>2587</v>
      </c>
      <c r="V532" s="7">
        <f t="shared" si="157"/>
        <v>2563</v>
      </c>
      <c r="W532" s="7">
        <f t="shared" si="158"/>
        <v>2624</v>
      </c>
      <c r="X532" s="12">
        <v>0.3</v>
      </c>
      <c r="Y532" s="5"/>
      <c r="Z532" s="5"/>
      <c r="AA532" s="5"/>
      <c r="AB532" s="11" t="s">
        <v>4</v>
      </c>
    </row>
    <row r="533" spans="1:28" ht="13.15" customHeight="1">
      <c r="A533" s="13">
        <f t="shared" si="162"/>
        <v>519</v>
      </c>
      <c r="B533" s="4">
        <f t="shared" si="171"/>
        <v>45562</v>
      </c>
      <c r="C533" s="10">
        <f t="shared" si="172"/>
        <v>842</v>
      </c>
      <c r="D533" s="9">
        <f t="shared" si="163"/>
        <v>2264</v>
      </c>
      <c r="E533" s="8">
        <f t="shared" si="164"/>
        <v>599</v>
      </c>
      <c r="F533" s="8">
        <f t="shared" si="165"/>
        <v>623</v>
      </c>
      <c r="G533" s="8">
        <f t="shared" si="166"/>
        <v>502</v>
      </c>
      <c r="H533" s="5">
        <f t="shared" si="167"/>
        <v>2507</v>
      </c>
      <c r="I533" s="5">
        <f t="shared" si="168"/>
        <v>2483</v>
      </c>
      <c r="J533" s="5">
        <f t="shared" si="169"/>
        <v>2604</v>
      </c>
      <c r="K533" s="5">
        <f t="shared" si="159"/>
        <v>3000</v>
      </c>
      <c r="L533" s="5">
        <f t="shared" si="160"/>
        <v>3000</v>
      </c>
      <c r="M533" s="5">
        <f t="shared" si="161"/>
        <v>3000</v>
      </c>
      <c r="N533" s="5">
        <f t="shared" si="173"/>
        <v>-493</v>
      </c>
      <c r="O533" s="5">
        <f t="shared" si="174"/>
        <v>-517</v>
      </c>
      <c r="P533" s="5">
        <f t="shared" si="175"/>
        <v>-396</v>
      </c>
      <c r="Q533" s="8">
        <v>10</v>
      </c>
      <c r="R533" s="8">
        <v>10</v>
      </c>
      <c r="S533" s="8">
        <v>10</v>
      </c>
      <c r="T533" s="6">
        <f t="shared" si="170"/>
        <v>553</v>
      </c>
      <c r="U533" s="7">
        <f t="shared" si="156"/>
        <v>2577</v>
      </c>
      <c r="V533" s="7">
        <f t="shared" si="157"/>
        <v>2553</v>
      </c>
      <c r="W533" s="7">
        <f t="shared" si="158"/>
        <v>2614</v>
      </c>
      <c r="X533" s="6"/>
      <c r="Y533" s="5"/>
      <c r="Z533" s="5"/>
      <c r="AA533" s="5"/>
      <c r="AB533" s="11"/>
    </row>
    <row r="534" spans="1:28" ht="13.15" customHeight="1">
      <c r="A534" s="13">
        <f t="shared" si="162"/>
        <v>520</v>
      </c>
      <c r="B534" s="4">
        <f t="shared" si="171"/>
        <v>45563</v>
      </c>
      <c r="C534" s="10">
        <f t="shared" si="172"/>
        <v>842</v>
      </c>
      <c r="D534" s="9">
        <f t="shared" si="163"/>
        <v>2266</v>
      </c>
      <c r="E534" s="8">
        <f t="shared" si="164"/>
        <v>611</v>
      </c>
      <c r="F534" s="8">
        <f t="shared" si="165"/>
        <v>635</v>
      </c>
      <c r="G534" s="8">
        <f t="shared" si="166"/>
        <v>512</v>
      </c>
      <c r="H534" s="5">
        <f t="shared" si="167"/>
        <v>2497</v>
      </c>
      <c r="I534" s="5">
        <f t="shared" si="168"/>
        <v>2473</v>
      </c>
      <c r="J534" s="5">
        <f t="shared" si="169"/>
        <v>2596</v>
      </c>
      <c r="K534" s="5">
        <f t="shared" si="159"/>
        <v>3000</v>
      </c>
      <c r="L534" s="5">
        <f t="shared" si="160"/>
        <v>3000</v>
      </c>
      <c r="M534" s="5">
        <f t="shared" si="161"/>
        <v>3000</v>
      </c>
      <c r="N534" s="5">
        <f t="shared" si="173"/>
        <v>-503</v>
      </c>
      <c r="O534" s="5">
        <f t="shared" si="174"/>
        <v>-527</v>
      </c>
      <c r="P534" s="5">
        <f t="shared" si="175"/>
        <v>-404</v>
      </c>
      <c r="Q534" s="8">
        <v>10</v>
      </c>
      <c r="R534" s="8">
        <v>10</v>
      </c>
      <c r="S534" s="8">
        <v>8</v>
      </c>
      <c r="T534" s="6">
        <f t="shared" si="170"/>
        <v>565</v>
      </c>
      <c r="U534" s="7">
        <f t="shared" si="156"/>
        <v>2567</v>
      </c>
      <c r="V534" s="7">
        <f t="shared" si="157"/>
        <v>2543</v>
      </c>
      <c r="W534" s="7">
        <f t="shared" si="158"/>
        <v>2606</v>
      </c>
      <c r="X534" s="6"/>
      <c r="Y534" s="5"/>
      <c r="Z534" s="5"/>
      <c r="AA534" s="5"/>
      <c r="AB534" s="11"/>
    </row>
    <row r="535" spans="1:28" ht="13.15" customHeight="1">
      <c r="A535" s="13">
        <f t="shared" si="162"/>
        <v>521</v>
      </c>
      <c r="B535" s="4">
        <f t="shared" si="171"/>
        <v>45564</v>
      </c>
      <c r="C535" s="10">
        <f t="shared" si="172"/>
        <v>842</v>
      </c>
      <c r="D535" s="9">
        <f t="shared" si="163"/>
        <v>2268</v>
      </c>
      <c r="E535" s="8">
        <f t="shared" si="164"/>
        <v>622</v>
      </c>
      <c r="F535" s="8">
        <f t="shared" si="165"/>
        <v>647</v>
      </c>
      <c r="G535" s="8">
        <f t="shared" si="166"/>
        <v>522</v>
      </c>
      <c r="H535" s="5">
        <f t="shared" si="167"/>
        <v>2488</v>
      </c>
      <c r="I535" s="5">
        <f t="shared" si="168"/>
        <v>2463</v>
      </c>
      <c r="J535" s="5">
        <f t="shared" si="169"/>
        <v>2588</v>
      </c>
      <c r="K535" s="5">
        <f t="shared" si="159"/>
        <v>3000</v>
      </c>
      <c r="L535" s="5">
        <f t="shared" si="160"/>
        <v>3000</v>
      </c>
      <c r="M535" s="5">
        <f t="shared" si="161"/>
        <v>3000</v>
      </c>
      <c r="N535" s="5">
        <f t="shared" si="173"/>
        <v>-512</v>
      </c>
      <c r="O535" s="5">
        <f t="shared" si="174"/>
        <v>-537</v>
      </c>
      <c r="P535" s="5">
        <f t="shared" si="175"/>
        <v>-412</v>
      </c>
      <c r="Q535" s="8">
        <v>9</v>
      </c>
      <c r="R535" s="8">
        <v>10</v>
      </c>
      <c r="S535" s="8">
        <v>8</v>
      </c>
      <c r="T535" s="6">
        <f t="shared" si="170"/>
        <v>577</v>
      </c>
      <c r="U535" s="7">
        <f t="shared" si="156"/>
        <v>2558</v>
      </c>
      <c r="V535" s="7">
        <f t="shared" si="157"/>
        <v>2533</v>
      </c>
      <c r="W535" s="7">
        <f t="shared" si="158"/>
        <v>2598</v>
      </c>
      <c r="X535" s="6"/>
      <c r="Y535" s="5"/>
      <c r="Z535" s="5"/>
      <c r="AA535" s="5"/>
      <c r="AB535" s="11"/>
    </row>
    <row r="536" spans="1:28" ht="13.15" customHeight="1">
      <c r="A536" s="10">
        <f t="shared" si="162"/>
        <v>522</v>
      </c>
      <c r="B536" s="4">
        <f t="shared" si="171"/>
        <v>45565</v>
      </c>
      <c r="C536" s="10">
        <f t="shared" si="172"/>
        <v>842</v>
      </c>
      <c r="D536" s="9">
        <f t="shared" si="163"/>
        <v>2270</v>
      </c>
      <c r="E536" s="8">
        <f t="shared" si="164"/>
        <v>633</v>
      </c>
      <c r="F536" s="8">
        <f t="shared" si="165"/>
        <v>656</v>
      </c>
      <c r="G536" s="8">
        <f t="shared" si="166"/>
        <v>531</v>
      </c>
      <c r="H536" s="5">
        <f t="shared" si="167"/>
        <v>2479</v>
      </c>
      <c r="I536" s="5">
        <f t="shared" si="168"/>
        <v>2456</v>
      </c>
      <c r="J536" s="5">
        <f t="shared" si="169"/>
        <v>2581</v>
      </c>
      <c r="K536" s="5">
        <f t="shared" si="159"/>
        <v>3000</v>
      </c>
      <c r="L536" s="5">
        <f t="shared" si="160"/>
        <v>3000</v>
      </c>
      <c r="M536" s="5">
        <f t="shared" si="161"/>
        <v>3000</v>
      </c>
      <c r="N536" s="5">
        <f t="shared" si="173"/>
        <v>-521</v>
      </c>
      <c r="O536" s="5">
        <f t="shared" si="174"/>
        <v>-544</v>
      </c>
      <c r="P536" s="5">
        <f t="shared" si="175"/>
        <v>-419</v>
      </c>
      <c r="Q536" s="8">
        <v>9</v>
      </c>
      <c r="R536" s="8">
        <v>7</v>
      </c>
      <c r="S536" s="8">
        <v>7</v>
      </c>
      <c r="T536" s="6">
        <f t="shared" si="170"/>
        <v>586</v>
      </c>
      <c r="U536" s="7">
        <f t="shared" si="156"/>
        <v>2549</v>
      </c>
      <c r="V536" s="7">
        <f t="shared" si="157"/>
        <v>2526</v>
      </c>
      <c r="W536" s="7">
        <f t="shared" si="158"/>
        <v>2591</v>
      </c>
      <c r="X536" s="6"/>
      <c r="Y536" s="5"/>
      <c r="Z536" s="5"/>
      <c r="AA536" s="5"/>
      <c r="AB536" s="11"/>
    </row>
    <row r="537" spans="1:28" ht="13.15" customHeight="1">
      <c r="A537" s="10">
        <f t="shared" si="162"/>
        <v>523</v>
      </c>
      <c r="B537" s="4">
        <f t="shared" si="171"/>
        <v>45566</v>
      </c>
      <c r="C537" s="10">
        <f t="shared" si="172"/>
        <v>842</v>
      </c>
      <c r="D537" s="9">
        <f t="shared" si="163"/>
        <v>2272</v>
      </c>
      <c r="E537" s="8">
        <f t="shared" si="164"/>
        <v>644</v>
      </c>
      <c r="F537" s="8">
        <f t="shared" si="165"/>
        <v>665</v>
      </c>
      <c r="G537" s="8">
        <f t="shared" si="166"/>
        <v>543</v>
      </c>
      <c r="H537" s="5">
        <f t="shared" si="167"/>
        <v>2470</v>
      </c>
      <c r="I537" s="5">
        <f t="shared" si="168"/>
        <v>2449</v>
      </c>
      <c r="J537" s="5">
        <f t="shared" si="169"/>
        <v>2571</v>
      </c>
      <c r="K537" s="5">
        <f t="shared" si="159"/>
        <v>3000</v>
      </c>
      <c r="L537" s="5">
        <f t="shared" si="160"/>
        <v>3000</v>
      </c>
      <c r="M537" s="5">
        <f t="shared" si="161"/>
        <v>3000</v>
      </c>
      <c r="N537" s="5">
        <f t="shared" si="173"/>
        <v>-530</v>
      </c>
      <c r="O537" s="5">
        <f t="shared" si="174"/>
        <v>-551</v>
      </c>
      <c r="P537" s="5">
        <f t="shared" si="175"/>
        <v>-429</v>
      </c>
      <c r="Q537" s="8">
        <v>9</v>
      </c>
      <c r="R537" s="8">
        <v>7</v>
      </c>
      <c r="S537" s="8">
        <v>10</v>
      </c>
      <c r="T537" s="6">
        <f t="shared" si="170"/>
        <v>295</v>
      </c>
      <c r="U537" s="7">
        <f t="shared" si="156"/>
        <v>2840</v>
      </c>
      <c r="V537" s="7">
        <f t="shared" si="157"/>
        <v>2819</v>
      </c>
      <c r="W537" s="7">
        <f t="shared" si="158"/>
        <v>2881</v>
      </c>
      <c r="X537" s="12">
        <v>0.3</v>
      </c>
      <c r="Y537" s="5"/>
      <c r="Z537" s="5"/>
      <c r="AA537" s="5"/>
      <c r="AB537" s="11" t="s">
        <v>3</v>
      </c>
    </row>
    <row r="538" spans="1:28" ht="13.15" customHeight="1">
      <c r="A538" s="10">
        <f t="shared" si="162"/>
        <v>524</v>
      </c>
      <c r="B538" s="4">
        <f t="shared" si="171"/>
        <v>45567</v>
      </c>
      <c r="C538" s="10">
        <f t="shared" si="172"/>
        <v>842</v>
      </c>
      <c r="D538" s="9">
        <f t="shared" si="163"/>
        <v>2274</v>
      </c>
      <c r="E538" s="8">
        <f t="shared" si="164"/>
        <v>656</v>
      </c>
      <c r="F538" s="8">
        <f t="shared" si="165"/>
        <v>677</v>
      </c>
      <c r="G538" s="8">
        <f t="shared" si="166"/>
        <v>553</v>
      </c>
      <c r="H538" s="5">
        <f t="shared" si="167"/>
        <v>2460</v>
      </c>
      <c r="I538" s="5">
        <f t="shared" si="168"/>
        <v>2439</v>
      </c>
      <c r="J538" s="5">
        <f t="shared" si="169"/>
        <v>2563</v>
      </c>
      <c r="K538" s="5">
        <f t="shared" si="159"/>
        <v>3000</v>
      </c>
      <c r="L538" s="5">
        <f t="shared" si="160"/>
        <v>3000</v>
      </c>
      <c r="M538" s="5">
        <f t="shared" si="161"/>
        <v>3000</v>
      </c>
      <c r="N538" s="5">
        <f t="shared" si="173"/>
        <v>-540</v>
      </c>
      <c r="O538" s="5">
        <f t="shared" si="174"/>
        <v>-561</v>
      </c>
      <c r="P538" s="5">
        <f t="shared" si="175"/>
        <v>-437</v>
      </c>
      <c r="Q538" s="8">
        <v>10</v>
      </c>
      <c r="R538" s="8">
        <v>10</v>
      </c>
      <c r="S538" s="8">
        <v>8</v>
      </c>
      <c r="T538" s="6">
        <f t="shared" si="170"/>
        <v>307</v>
      </c>
      <c r="U538" s="7">
        <f t="shared" si="156"/>
        <v>2830</v>
      </c>
      <c r="V538" s="7">
        <f t="shared" si="157"/>
        <v>2809</v>
      </c>
      <c r="W538" s="7">
        <f t="shared" si="158"/>
        <v>2873</v>
      </c>
      <c r="X538" s="6"/>
      <c r="Y538" s="5"/>
      <c r="Z538" s="5"/>
      <c r="AA538" s="5"/>
      <c r="AB538" s="11"/>
    </row>
    <row r="539" spans="1:28" ht="13.15" customHeight="1">
      <c r="A539" s="10">
        <f t="shared" si="162"/>
        <v>525</v>
      </c>
      <c r="B539" s="4">
        <f t="shared" si="171"/>
        <v>45568</v>
      </c>
      <c r="C539" s="10">
        <f t="shared" si="172"/>
        <v>842</v>
      </c>
      <c r="D539" s="9">
        <f t="shared" si="163"/>
        <v>2276</v>
      </c>
      <c r="E539" s="8">
        <f t="shared" si="164"/>
        <v>668</v>
      </c>
      <c r="F539" s="8">
        <f t="shared" si="165"/>
        <v>687</v>
      </c>
      <c r="G539" s="8">
        <f t="shared" si="166"/>
        <v>562</v>
      </c>
      <c r="H539" s="5">
        <f t="shared" si="167"/>
        <v>2450</v>
      </c>
      <c r="I539" s="5">
        <f t="shared" si="168"/>
        <v>2431</v>
      </c>
      <c r="J539" s="5">
        <f t="shared" si="169"/>
        <v>2556</v>
      </c>
      <c r="K539" s="5">
        <f t="shared" si="159"/>
        <v>3000</v>
      </c>
      <c r="L539" s="5">
        <f t="shared" si="160"/>
        <v>3000</v>
      </c>
      <c r="M539" s="5">
        <f t="shared" si="161"/>
        <v>3000</v>
      </c>
      <c r="N539" s="5">
        <f t="shared" si="173"/>
        <v>-550</v>
      </c>
      <c r="O539" s="5">
        <f t="shared" si="174"/>
        <v>-569</v>
      </c>
      <c r="P539" s="5">
        <f t="shared" si="175"/>
        <v>-444</v>
      </c>
      <c r="Q539" s="8">
        <v>10</v>
      </c>
      <c r="R539" s="8">
        <v>8</v>
      </c>
      <c r="S539" s="8">
        <v>7</v>
      </c>
      <c r="T539" s="6">
        <f t="shared" si="170"/>
        <v>317</v>
      </c>
      <c r="U539" s="7">
        <f t="shared" si="156"/>
        <v>2820</v>
      </c>
      <c r="V539" s="7">
        <f t="shared" si="157"/>
        <v>2801</v>
      </c>
      <c r="W539" s="7">
        <f t="shared" si="158"/>
        <v>2866</v>
      </c>
      <c r="X539" s="6"/>
      <c r="Y539" s="5"/>
      <c r="Z539" s="5"/>
      <c r="AA539" s="5"/>
      <c r="AB539" s="11"/>
    </row>
    <row r="540" spans="1:28" ht="13.15" customHeight="1">
      <c r="A540" s="10">
        <f t="shared" si="162"/>
        <v>526</v>
      </c>
      <c r="B540" s="4">
        <f t="shared" si="171"/>
        <v>45569</v>
      </c>
      <c r="C540" s="10">
        <f t="shared" si="172"/>
        <v>842</v>
      </c>
      <c r="D540" s="9">
        <f t="shared" si="163"/>
        <v>2278</v>
      </c>
      <c r="E540" s="8">
        <f t="shared" si="164"/>
        <v>679</v>
      </c>
      <c r="F540" s="8">
        <f t="shared" si="165"/>
        <v>698</v>
      </c>
      <c r="G540" s="8">
        <f t="shared" si="166"/>
        <v>572</v>
      </c>
      <c r="H540" s="5">
        <f t="shared" si="167"/>
        <v>2441</v>
      </c>
      <c r="I540" s="5">
        <f t="shared" si="168"/>
        <v>2422</v>
      </c>
      <c r="J540" s="5">
        <f t="shared" si="169"/>
        <v>2548</v>
      </c>
      <c r="K540" s="5">
        <f t="shared" si="159"/>
        <v>3000</v>
      </c>
      <c r="L540" s="5">
        <f t="shared" si="160"/>
        <v>3000</v>
      </c>
      <c r="M540" s="5">
        <f t="shared" si="161"/>
        <v>3000</v>
      </c>
      <c r="N540" s="5">
        <f t="shared" si="173"/>
        <v>-559</v>
      </c>
      <c r="O540" s="5">
        <f t="shared" si="174"/>
        <v>-578</v>
      </c>
      <c r="P540" s="5">
        <f t="shared" si="175"/>
        <v>-452</v>
      </c>
      <c r="Q540" s="8">
        <v>9</v>
      </c>
      <c r="R540" s="8">
        <v>9</v>
      </c>
      <c r="S540" s="8">
        <v>8</v>
      </c>
      <c r="T540" s="6">
        <f t="shared" si="170"/>
        <v>328</v>
      </c>
      <c r="U540" s="7">
        <f t="shared" si="156"/>
        <v>2811</v>
      </c>
      <c r="V540" s="7">
        <f t="shared" si="157"/>
        <v>2792</v>
      </c>
      <c r="W540" s="7">
        <f t="shared" si="158"/>
        <v>2858</v>
      </c>
      <c r="X540" s="6"/>
      <c r="Y540" s="5"/>
      <c r="Z540" s="5"/>
      <c r="AA540" s="5"/>
      <c r="AB540" s="11"/>
    </row>
    <row r="541" spans="1:28" ht="13.15" customHeight="1">
      <c r="A541" s="10">
        <f t="shared" si="162"/>
        <v>527</v>
      </c>
      <c r="B541" s="4">
        <f t="shared" si="171"/>
        <v>45570</v>
      </c>
      <c r="C541" s="10">
        <f t="shared" si="172"/>
        <v>842</v>
      </c>
      <c r="D541" s="9">
        <f t="shared" si="163"/>
        <v>2280</v>
      </c>
      <c r="E541" s="8">
        <f t="shared" si="164"/>
        <v>690</v>
      </c>
      <c r="F541" s="8">
        <f t="shared" si="165"/>
        <v>707</v>
      </c>
      <c r="G541" s="8">
        <f t="shared" si="166"/>
        <v>581</v>
      </c>
      <c r="H541" s="5">
        <f t="shared" si="167"/>
        <v>2432</v>
      </c>
      <c r="I541" s="5">
        <f t="shared" si="168"/>
        <v>2415</v>
      </c>
      <c r="J541" s="5">
        <f t="shared" si="169"/>
        <v>2541</v>
      </c>
      <c r="K541" s="5">
        <f t="shared" si="159"/>
        <v>3000</v>
      </c>
      <c r="L541" s="5">
        <f t="shared" si="160"/>
        <v>3000</v>
      </c>
      <c r="M541" s="5">
        <f t="shared" si="161"/>
        <v>3000</v>
      </c>
      <c r="N541" s="5">
        <f t="shared" si="173"/>
        <v>-568</v>
      </c>
      <c r="O541" s="5">
        <f t="shared" si="174"/>
        <v>-585</v>
      </c>
      <c r="P541" s="5">
        <f t="shared" si="175"/>
        <v>-459</v>
      </c>
      <c r="Q541" s="8">
        <v>9</v>
      </c>
      <c r="R541" s="8">
        <v>7</v>
      </c>
      <c r="S541" s="8">
        <v>7</v>
      </c>
      <c r="T541" s="6">
        <f t="shared" si="170"/>
        <v>337</v>
      </c>
      <c r="U541" s="7">
        <f t="shared" si="156"/>
        <v>2802</v>
      </c>
      <c r="V541" s="7">
        <f t="shared" si="157"/>
        <v>2785</v>
      </c>
      <c r="W541" s="7">
        <f t="shared" si="158"/>
        <v>2851</v>
      </c>
      <c r="X541" s="6"/>
      <c r="Y541" s="5"/>
      <c r="Z541" s="5"/>
      <c r="AA541" s="5"/>
      <c r="AB541" s="11"/>
    </row>
    <row r="542" spans="1:28" ht="13.15" customHeight="1">
      <c r="A542" s="10">
        <f t="shared" si="162"/>
        <v>528</v>
      </c>
      <c r="B542" s="4">
        <f t="shared" si="171"/>
        <v>45571</v>
      </c>
      <c r="C542" s="10">
        <f t="shared" si="172"/>
        <v>842</v>
      </c>
      <c r="D542" s="9">
        <f t="shared" si="163"/>
        <v>2282</v>
      </c>
      <c r="E542" s="8">
        <f t="shared" si="164"/>
        <v>702</v>
      </c>
      <c r="F542" s="8">
        <f t="shared" si="165"/>
        <v>719</v>
      </c>
      <c r="G542" s="8">
        <f t="shared" si="166"/>
        <v>593</v>
      </c>
      <c r="H542" s="5">
        <f t="shared" si="167"/>
        <v>2422</v>
      </c>
      <c r="I542" s="5">
        <f t="shared" si="168"/>
        <v>2405</v>
      </c>
      <c r="J542" s="5">
        <f t="shared" si="169"/>
        <v>2531</v>
      </c>
      <c r="K542" s="5">
        <f t="shared" si="159"/>
        <v>3000</v>
      </c>
      <c r="L542" s="5">
        <f t="shared" si="160"/>
        <v>3000</v>
      </c>
      <c r="M542" s="5">
        <f t="shared" si="161"/>
        <v>3000</v>
      </c>
      <c r="N542" s="5">
        <f t="shared" si="173"/>
        <v>-578</v>
      </c>
      <c r="O542" s="5">
        <f t="shared" si="174"/>
        <v>-595</v>
      </c>
      <c r="P542" s="5">
        <f t="shared" si="175"/>
        <v>-469</v>
      </c>
      <c r="Q542" s="8">
        <v>10</v>
      </c>
      <c r="R542" s="8">
        <v>10</v>
      </c>
      <c r="S542" s="8">
        <v>10</v>
      </c>
      <c r="T542" s="6">
        <f t="shared" si="170"/>
        <v>49</v>
      </c>
      <c r="U542" s="7">
        <f t="shared" si="156"/>
        <v>3092</v>
      </c>
      <c r="V542" s="7">
        <f t="shared" si="157"/>
        <v>3075</v>
      </c>
      <c r="W542" s="7">
        <f t="shared" si="158"/>
        <v>3141</v>
      </c>
      <c r="X542" s="12">
        <v>0.3</v>
      </c>
      <c r="Y542" s="5"/>
      <c r="Z542" s="5"/>
      <c r="AA542" s="5"/>
      <c r="AB542" s="11" t="s">
        <v>2</v>
      </c>
    </row>
    <row r="543" spans="1:28" ht="13.15" customHeight="1">
      <c r="A543" s="10">
        <f t="shared" si="162"/>
        <v>529</v>
      </c>
      <c r="B543" s="4">
        <f t="shared" si="171"/>
        <v>45572</v>
      </c>
      <c r="C543" s="10">
        <f t="shared" si="172"/>
        <v>842</v>
      </c>
      <c r="D543" s="9">
        <f t="shared" si="163"/>
        <v>2284</v>
      </c>
      <c r="E543" s="8">
        <f t="shared" si="164"/>
        <v>714</v>
      </c>
      <c r="F543" s="8">
        <f t="shared" si="165"/>
        <v>731</v>
      </c>
      <c r="G543" s="8">
        <f t="shared" si="166"/>
        <v>604</v>
      </c>
      <c r="H543" s="5">
        <f t="shared" si="167"/>
        <v>2412</v>
      </c>
      <c r="I543" s="5">
        <f t="shared" si="168"/>
        <v>2395</v>
      </c>
      <c r="J543" s="5">
        <f t="shared" si="169"/>
        <v>2522</v>
      </c>
      <c r="K543" s="5">
        <f t="shared" si="159"/>
        <v>3000</v>
      </c>
      <c r="L543" s="5">
        <f t="shared" si="160"/>
        <v>3000</v>
      </c>
      <c r="M543" s="5">
        <f t="shared" si="161"/>
        <v>3000</v>
      </c>
      <c r="N543" s="5">
        <f t="shared" si="173"/>
        <v>-588</v>
      </c>
      <c r="O543" s="5">
        <f t="shared" si="174"/>
        <v>-605</v>
      </c>
      <c r="P543" s="5">
        <f t="shared" si="175"/>
        <v>-478</v>
      </c>
      <c r="Q543" s="8">
        <v>10</v>
      </c>
      <c r="R543" s="8">
        <v>10</v>
      </c>
      <c r="S543" s="8">
        <v>9</v>
      </c>
      <c r="T543" s="6">
        <f t="shared" si="170"/>
        <v>61</v>
      </c>
      <c r="U543" s="7">
        <f t="shared" si="156"/>
        <v>3082</v>
      </c>
      <c r="V543" s="7">
        <f t="shared" si="157"/>
        <v>3065</v>
      </c>
      <c r="W543" s="7">
        <f t="shared" si="158"/>
        <v>3132</v>
      </c>
      <c r="X543" s="6"/>
      <c r="Y543" s="5"/>
      <c r="Z543" s="5"/>
      <c r="AA543" s="5"/>
      <c r="AB543" s="11"/>
    </row>
    <row r="544" spans="1:28" ht="13.15" customHeight="1">
      <c r="A544" s="10">
        <f t="shared" si="162"/>
        <v>530</v>
      </c>
      <c r="B544" s="4">
        <f t="shared" si="171"/>
        <v>45573</v>
      </c>
      <c r="C544" s="10">
        <f t="shared" si="172"/>
        <v>842</v>
      </c>
      <c r="D544" s="9">
        <f t="shared" si="163"/>
        <v>2286</v>
      </c>
      <c r="E544" s="8">
        <f t="shared" si="164"/>
        <v>725</v>
      </c>
      <c r="F544" s="8">
        <f t="shared" si="165"/>
        <v>743</v>
      </c>
      <c r="G544" s="8">
        <f t="shared" si="166"/>
        <v>614</v>
      </c>
      <c r="H544" s="5">
        <f t="shared" si="167"/>
        <v>2403</v>
      </c>
      <c r="I544" s="5">
        <f t="shared" si="168"/>
        <v>2385</v>
      </c>
      <c r="J544" s="5">
        <f t="shared" si="169"/>
        <v>2514</v>
      </c>
      <c r="K544" s="5">
        <f t="shared" si="159"/>
        <v>3000</v>
      </c>
      <c r="L544" s="5">
        <f t="shared" si="160"/>
        <v>3000</v>
      </c>
      <c r="M544" s="5">
        <f t="shared" si="161"/>
        <v>3000</v>
      </c>
      <c r="N544" s="5">
        <f t="shared" si="173"/>
        <v>-597</v>
      </c>
      <c r="O544" s="5">
        <f t="shared" si="174"/>
        <v>-615</v>
      </c>
      <c r="P544" s="5">
        <f t="shared" si="175"/>
        <v>-486</v>
      </c>
      <c r="Q544" s="8">
        <v>9</v>
      </c>
      <c r="R544" s="8">
        <v>10</v>
      </c>
      <c r="S544" s="8">
        <v>8</v>
      </c>
      <c r="T544" s="6">
        <f t="shared" si="170"/>
        <v>73</v>
      </c>
      <c r="U544" s="7">
        <f t="shared" si="156"/>
        <v>3073</v>
      </c>
      <c r="V544" s="7">
        <f t="shared" si="157"/>
        <v>3055</v>
      </c>
      <c r="W544" s="7">
        <f t="shared" si="158"/>
        <v>3124</v>
      </c>
      <c r="X544" s="6"/>
      <c r="Y544" s="5"/>
      <c r="Z544" s="5"/>
      <c r="AA544" s="5"/>
      <c r="AB544" s="11"/>
    </row>
    <row r="545" spans="1:28" ht="13.15" customHeight="1">
      <c r="A545" s="10">
        <f t="shared" si="162"/>
        <v>531</v>
      </c>
      <c r="B545" s="4">
        <f t="shared" si="171"/>
        <v>45574</v>
      </c>
      <c r="C545" s="10">
        <f t="shared" si="172"/>
        <v>842</v>
      </c>
      <c r="D545" s="9">
        <f t="shared" si="163"/>
        <v>2288</v>
      </c>
      <c r="E545" s="8">
        <f t="shared" si="164"/>
        <v>735</v>
      </c>
      <c r="F545" s="8">
        <f t="shared" si="165"/>
        <v>754</v>
      </c>
      <c r="G545" s="8">
        <f t="shared" si="166"/>
        <v>623</v>
      </c>
      <c r="H545" s="5">
        <f t="shared" si="167"/>
        <v>2395</v>
      </c>
      <c r="I545" s="5">
        <f t="shared" si="168"/>
        <v>2376</v>
      </c>
      <c r="J545" s="5">
        <f t="shared" si="169"/>
        <v>2507</v>
      </c>
      <c r="K545" s="5">
        <f t="shared" si="159"/>
        <v>3000</v>
      </c>
      <c r="L545" s="5">
        <f t="shared" si="160"/>
        <v>3000</v>
      </c>
      <c r="M545" s="5">
        <f t="shared" si="161"/>
        <v>3000</v>
      </c>
      <c r="N545" s="5">
        <f t="shared" si="173"/>
        <v>-605</v>
      </c>
      <c r="O545" s="5">
        <f t="shared" si="174"/>
        <v>-624</v>
      </c>
      <c r="P545" s="5">
        <f t="shared" si="175"/>
        <v>-493</v>
      </c>
      <c r="Q545" s="8">
        <v>8</v>
      </c>
      <c r="R545" s="8">
        <v>9</v>
      </c>
      <c r="S545" s="8">
        <v>7</v>
      </c>
      <c r="T545" s="6">
        <f t="shared" si="170"/>
        <v>84</v>
      </c>
      <c r="U545" s="7">
        <f t="shared" si="156"/>
        <v>3065</v>
      </c>
      <c r="V545" s="7">
        <f t="shared" si="157"/>
        <v>3046</v>
      </c>
      <c r="W545" s="7">
        <f t="shared" si="158"/>
        <v>3117</v>
      </c>
      <c r="X545" s="6"/>
      <c r="Y545" s="5"/>
      <c r="Z545" s="5"/>
      <c r="AA545" s="5"/>
      <c r="AB545" s="11"/>
    </row>
    <row r="546" spans="1:28" ht="13.15" customHeight="1">
      <c r="A546" s="10">
        <f t="shared" si="162"/>
        <v>532</v>
      </c>
      <c r="B546" s="4">
        <f t="shared" si="171"/>
        <v>45575</v>
      </c>
      <c r="C546" s="10">
        <f t="shared" si="172"/>
        <v>842</v>
      </c>
      <c r="D546" s="9">
        <f t="shared" si="163"/>
        <v>2290</v>
      </c>
      <c r="E546" s="8">
        <f t="shared" si="164"/>
        <v>746</v>
      </c>
      <c r="F546" s="8">
        <f t="shared" si="165"/>
        <v>764</v>
      </c>
      <c r="G546" s="8">
        <f t="shared" si="166"/>
        <v>635</v>
      </c>
      <c r="H546" s="5">
        <f t="shared" si="167"/>
        <v>2386</v>
      </c>
      <c r="I546" s="5">
        <f t="shared" si="168"/>
        <v>2368</v>
      </c>
      <c r="J546" s="5">
        <f t="shared" si="169"/>
        <v>2497</v>
      </c>
      <c r="K546" s="5">
        <f t="shared" si="159"/>
        <v>3000</v>
      </c>
      <c r="L546" s="5">
        <f t="shared" si="160"/>
        <v>3000</v>
      </c>
      <c r="M546" s="5">
        <f t="shared" si="161"/>
        <v>3000</v>
      </c>
      <c r="N546" s="5">
        <f t="shared" si="173"/>
        <v>-614</v>
      </c>
      <c r="O546" s="5">
        <f t="shared" si="174"/>
        <v>-632</v>
      </c>
      <c r="P546" s="5">
        <f t="shared" si="175"/>
        <v>-503</v>
      </c>
      <c r="Q546" s="8">
        <v>9</v>
      </c>
      <c r="R546" s="8">
        <v>8</v>
      </c>
      <c r="S546" s="8">
        <v>10</v>
      </c>
      <c r="T546" s="6">
        <f t="shared" si="170"/>
        <v>-206</v>
      </c>
      <c r="U546" s="7">
        <f t="shared" si="156"/>
        <v>3356</v>
      </c>
      <c r="V546" s="7">
        <f t="shared" si="157"/>
        <v>3338</v>
      </c>
      <c r="W546" s="7">
        <f t="shared" si="158"/>
        <v>3407</v>
      </c>
      <c r="X546" s="12">
        <v>0.3</v>
      </c>
      <c r="Y546" s="5"/>
      <c r="Z546" s="5"/>
      <c r="AA546" s="5"/>
      <c r="AB546" s="11" t="s">
        <v>1</v>
      </c>
    </row>
    <row r="547" spans="1:28" ht="13.15" customHeight="1">
      <c r="A547" s="10">
        <f t="shared" si="162"/>
        <v>533</v>
      </c>
      <c r="B547" s="4">
        <f t="shared" si="171"/>
        <v>45576</v>
      </c>
      <c r="C547" s="10">
        <f t="shared" si="172"/>
        <v>842</v>
      </c>
      <c r="D547" s="9">
        <f t="shared" si="163"/>
        <v>2292</v>
      </c>
      <c r="E547" s="8">
        <f t="shared" si="164"/>
        <v>756</v>
      </c>
      <c r="F547" s="8">
        <f t="shared" si="165"/>
        <v>775</v>
      </c>
      <c r="G547" s="8">
        <f t="shared" si="166"/>
        <v>644</v>
      </c>
      <c r="H547" s="5">
        <f t="shared" si="167"/>
        <v>2378</v>
      </c>
      <c r="I547" s="5">
        <f t="shared" si="168"/>
        <v>2359</v>
      </c>
      <c r="J547" s="5">
        <f t="shared" si="169"/>
        <v>2490</v>
      </c>
      <c r="K547" s="5">
        <f t="shared" si="159"/>
        <v>3000</v>
      </c>
      <c r="L547" s="5">
        <f t="shared" si="160"/>
        <v>3000</v>
      </c>
      <c r="M547" s="5">
        <f t="shared" si="161"/>
        <v>3000</v>
      </c>
      <c r="N547" s="5">
        <f t="shared" si="173"/>
        <v>-622</v>
      </c>
      <c r="O547" s="5">
        <f t="shared" si="174"/>
        <v>-641</v>
      </c>
      <c r="P547" s="5">
        <f t="shared" si="175"/>
        <v>-510</v>
      </c>
      <c r="Q547" s="8">
        <v>8</v>
      </c>
      <c r="R547" s="8">
        <v>9</v>
      </c>
      <c r="S547" s="8">
        <v>7</v>
      </c>
      <c r="T547" s="6">
        <f t="shared" si="170"/>
        <v>-195</v>
      </c>
      <c r="U547" s="7">
        <f t="shared" si="156"/>
        <v>3348</v>
      </c>
      <c r="V547" s="7">
        <f t="shared" si="157"/>
        <v>3329</v>
      </c>
      <c r="W547" s="7">
        <f t="shared" si="158"/>
        <v>3400</v>
      </c>
      <c r="X547" s="6"/>
      <c r="Y547" s="5"/>
      <c r="Z547" s="5"/>
      <c r="AA547" s="5"/>
      <c r="AB547" s="11"/>
    </row>
    <row r="548" spans="1:28" ht="13.15" customHeight="1">
      <c r="A548" s="10">
        <f t="shared" si="162"/>
        <v>534</v>
      </c>
      <c r="B548" s="4">
        <f t="shared" si="171"/>
        <v>45577</v>
      </c>
      <c r="C548" s="10">
        <f t="shared" si="172"/>
        <v>842</v>
      </c>
      <c r="D548" s="9">
        <f t="shared" si="163"/>
        <v>2294</v>
      </c>
      <c r="E548" s="8">
        <f t="shared" si="164"/>
        <v>765</v>
      </c>
      <c r="F548" s="8">
        <f t="shared" si="165"/>
        <v>785</v>
      </c>
      <c r="G548" s="8">
        <f t="shared" si="166"/>
        <v>653</v>
      </c>
      <c r="H548" s="5">
        <f t="shared" si="167"/>
        <v>2371</v>
      </c>
      <c r="I548" s="5">
        <f t="shared" si="168"/>
        <v>2351</v>
      </c>
      <c r="J548" s="5">
        <f t="shared" si="169"/>
        <v>2483</v>
      </c>
      <c r="K548" s="5">
        <f t="shared" si="159"/>
        <v>3000</v>
      </c>
      <c r="L548" s="5">
        <f t="shared" si="160"/>
        <v>3000</v>
      </c>
      <c r="M548" s="5">
        <f t="shared" si="161"/>
        <v>3000</v>
      </c>
      <c r="N548" s="5">
        <f t="shared" si="173"/>
        <v>-629</v>
      </c>
      <c r="O548" s="5">
        <f t="shared" si="174"/>
        <v>-649</v>
      </c>
      <c r="P548" s="5">
        <f t="shared" si="175"/>
        <v>-517</v>
      </c>
      <c r="Q548" s="8">
        <v>7</v>
      </c>
      <c r="R548" s="8">
        <v>8</v>
      </c>
      <c r="S548" s="8">
        <v>7</v>
      </c>
      <c r="T548" s="6">
        <f t="shared" si="170"/>
        <v>-185</v>
      </c>
      <c r="U548" s="7">
        <f t="shared" si="156"/>
        <v>3341</v>
      </c>
      <c r="V548" s="7">
        <f t="shared" si="157"/>
        <v>3321</v>
      </c>
      <c r="W548" s="7">
        <f t="shared" si="158"/>
        <v>3393</v>
      </c>
      <c r="X548" s="6"/>
      <c r="Y548" s="5"/>
      <c r="Z548" s="5"/>
      <c r="AA548" s="5"/>
      <c r="AB548" s="11"/>
    </row>
    <row r="549" spans="1:28" ht="13.15" customHeight="1">
      <c r="A549" s="10">
        <f t="shared" si="162"/>
        <v>535</v>
      </c>
      <c r="B549" s="4">
        <f t="shared" si="171"/>
        <v>45578</v>
      </c>
      <c r="C549" s="10">
        <f t="shared" si="172"/>
        <v>842</v>
      </c>
      <c r="D549" s="9">
        <f t="shared" si="163"/>
        <v>2296</v>
      </c>
      <c r="E549" s="8">
        <f t="shared" si="164"/>
        <v>776</v>
      </c>
      <c r="F549" s="8">
        <f t="shared" si="165"/>
        <v>796</v>
      </c>
      <c r="G549" s="8">
        <f t="shared" si="166"/>
        <v>663</v>
      </c>
      <c r="H549" s="5">
        <f t="shared" si="167"/>
        <v>2362</v>
      </c>
      <c r="I549" s="5">
        <f t="shared" si="168"/>
        <v>2342</v>
      </c>
      <c r="J549" s="5">
        <f t="shared" si="169"/>
        <v>2475</v>
      </c>
      <c r="K549" s="5">
        <f t="shared" si="159"/>
        <v>3000</v>
      </c>
      <c r="L549" s="5">
        <f t="shared" si="160"/>
        <v>3000</v>
      </c>
      <c r="M549" s="5">
        <f t="shared" si="161"/>
        <v>3000</v>
      </c>
      <c r="N549" s="5">
        <f t="shared" si="173"/>
        <v>-638</v>
      </c>
      <c r="O549" s="5">
        <f t="shared" si="174"/>
        <v>-658</v>
      </c>
      <c r="P549" s="5">
        <f t="shared" si="175"/>
        <v>-525</v>
      </c>
      <c r="Q549" s="8">
        <v>9</v>
      </c>
      <c r="R549" s="8">
        <v>9</v>
      </c>
      <c r="S549" s="8">
        <v>8</v>
      </c>
      <c r="T549" s="6">
        <f t="shared" si="170"/>
        <v>-174</v>
      </c>
      <c r="U549" s="7">
        <f t="shared" si="156"/>
        <v>3332</v>
      </c>
      <c r="V549" s="7">
        <f t="shared" si="157"/>
        <v>3312</v>
      </c>
      <c r="W549" s="7">
        <f t="shared" si="158"/>
        <v>3385</v>
      </c>
      <c r="X549" s="6"/>
      <c r="Y549" s="5"/>
      <c r="Z549" s="5"/>
      <c r="AA549" s="5"/>
      <c r="AB549" s="11"/>
    </row>
    <row r="550" spans="1:28" ht="13.15" customHeight="1">
      <c r="A550" s="10">
        <f t="shared" si="162"/>
        <v>536</v>
      </c>
      <c r="B550" s="4">
        <f t="shared" si="171"/>
        <v>45579</v>
      </c>
      <c r="C550" s="10">
        <f t="shared" si="172"/>
        <v>842</v>
      </c>
      <c r="D550" s="9">
        <f t="shared" si="163"/>
        <v>2298</v>
      </c>
      <c r="E550" s="8">
        <f t="shared" si="164"/>
        <v>786</v>
      </c>
      <c r="F550" s="8">
        <f t="shared" si="165"/>
        <v>806</v>
      </c>
      <c r="G550" s="8">
        <f t="shared" si="166"/>
        <v>672</v>
      </c>
      <c r="H550" s="5">
        <f t="shared" si="167"/>
        <v>2354</v>
      </c>
      <c r="I550" s="5">
        <f t="shared" si="168"/>
        <v>2334</v>
      </c>
      <c r="J550" s="5">
        <f t="shared" si="169"/>
        <v>2468</v>
      </c>
      <c r="K550" s="5">
        <f t="shared" si="159"/>
        <v>3000</v>
      </c>
      <c r="L550" s="5">
        <f t="shared" si="160"/>
        <v>3000</v>
      </c>
      <c r="M550" s="5">
        <f t="shared" si="161"/>
        <v>3000</v>
      </c>
      <c r="N550" s="5">
        <f t="shared" si="173"/>
        <v>-646</v>
      </c>
      <c r="O550" s="5">
        <f t="shared" si="174"/>
        <v>-666</v>
      </c>
      <c r="P550" s="5">
        <f t="shared" si="175"/>
        <v>-532</v>
      </c>
      <c r="Q550" s="8">
        <v>8</v>
      </c>
      <c r="R550" s="8">
        <v>8</v>
      </c>
      <c r="S550" s="8">
        <v>7</v>
      </c>
      <c r="T550" s="6">
        <f t="shared" si="170"/>
        <v>-164</v>
      </c>
      <c r="U550" s="7">
        <f t="shared" si="156"/>
        <v>3324</v>
      </c>
      <c r="V550" s="7">
        <f t="shared" si="157"/>
        <v>3304</v>
      </c>
      <c r="W550" s="7">
        <f t="shared" si="158"/>
        <v>3378</v>
      </c>
      <c r="X550" s="6"/>
      <c r="Y550" s="5"/>
      <c r="Z550" s="5"/>
      <c r="AA550" s="5"/>
      <c r="AB550" s="11"/>
    </row>
    <row r="551" spans="1:28" ht="13.15" customHeight="1">
      <c r="A551" s="10">
        <f t="shared" si="162"/>
        <v>537</v>
      </c>
      <c r="B551" s="4">
        <f t="shared" si="171"/>
        <v>45580</v>
      </c>
      <c r="C551" s="10">
        <f t="shared" si="172"/>
        <v>842</v>
      </c>
      <c r="D551" s="9">
        <f t="shared" si="163"/>
        <v>2300</v>
      </c>
      <c r="E551" s="8">
        <f t="shared" si="164"/>
        <v>796</v>
      </c>
      <c r="F551" s="8">
        <f t="shared" si="165"/>
        <v>817</v>
      </c>
      <c r="G551" s="8">
        <f t="shared" si="166"/>
        <v>684</v>
      </c>
      <c r="H551" s="5">
        <f t="shared" si="167"/>
        <v>2346</v>
      </c>
      <c r="I551" s="5">
        <f t="shared" si="168"/>
        <v>2325</v>
      </c>
      <c r="J551" s="5">
        <f t="shared" si="169"/>
        <v>2458</v>
      </c>
      <c r="K551" s="5">
        <f t="shared" si="159"/>
        <v>3000</v>
      </c>
      <c r="L551" s="5">
        <f t="shared" si="160"/>
        <v>3000</v>
      </c>
      <c r="M551" s="5">
        <f t="shared" si="161"/>
        <v>3000</v>
      </c>
      <c r="N551" s="5">
        <f t="shared" si="173"/>
        <v>-654</v>
      </c>
      <c r="O551" s="5">
        <f t="shared" si="174"/>
        <v>-675</v>
      </c>
      <c r="P551" s="5">
        <f t="shared" si="175"/>
        <v>-542</v>
      </c>
      <c r="Q551" s="8">
        <v>8</v>
      </c>
      <c r="R551" s="8">
        <v>9</v>
      </c>
      <c r="S551" s="8">
        <v>10</v>
      </c>
      <c r="T551" s="6">
        <f t="shared" si="170"/>
        <v>-453</v>
      </c>
      <c r="U551" s="7">
        <f t="shared" si="156"/>
        <v>3616</v>
      </c>
      <c r="V551" s="7">
        <f t="shared" si="157"/>
        <v>3595</v>
      </c>
      <c r="W551" s="7">
        <f t="shared" si="158"/>
        <v>3668</v>
      </c>
      <c r="X551" s="12">
        <v>0.3</v>
      </c>
      <c r="Y551" s="5"/>
      <c r="Z551" s="5"/>
      <c r="AA551" s="5"/>
      <c r="AB551" s="11" t="s">
        <v>0</v>
      </c>
    </row>
    <row r="552" spans="1:28" ht="13.15" customHeight="1">
      <c r="A552" s="10">
        <f t="shared" si="162"/>
        <v>538</v>
      </c>
      <c r="B552" s="4">
        <f t="shared" si="171"/>
        <v>45581</v>
      </c>
      <c r="C552" s="10">
        <f t="shared" si="172"/>
        <v>842</v>
      </c>
      <c r="D552" s="9">
        <f t="shared" si="163"/>
        <v>2302</v>
      </c>
      <c r="E552" s="8">
        <f t="shared" si="164"/>
        <v>805</v>
      </c>
      <c r="F552" s="8">
        <f t="shared" si="165"/>
        <v>827</v>
      </c>
      <c r="G552" s="8">
        <f t="shared" si="166"/>
        <v>695</v>
      </c>
      <c r="H552" s="5">
        <f t="shared" si="167"/>
        <v>2339</v>
      </c>
      <c r="I552" s="5">
        <f t="shared" si="168"/>
        <v>2317</v>
      </c>
      <c r="J552" s="5">
        <f t="shared" si="169"/>
        <v>2449</v>
      </c>
      <c r="K552" s="5">
        <f t="shared" si="159"/>
        <v>3000</v>
      </c>
      <c r="L552" s="5">
        <f t="shared" si="160"/>
        <v>3000</v>
      </c>
      <c r="M552" s="5">
        <f t="shared" si="161"/>
        <v>3000</v>
      </c>
      <c r="N552" s="5">
        <f t="shared" si="173"/>
        <v>-661</v>
      </c>
      <c r="O552" s="5">
        <f t="shared" si="174"/>
        <v>-683</v>
      </c>
      <c r="P552" s="5">
        <f t="shared" si="175"/>
        <v>-551</v>
      </c>
      <c r="Q552" s="8">
        <v>7</v>
      </c>
      <c r="R552" s="8">
        <v>8</v>
      </c>
      <c r="S552" s="8">
        <v>9</v>
      </c>
      <c r="T552" s="6">
        <f t="shared" si="170"/>
        <v>-443</v>
      </c>
      <c r="U552" s="7">
        <f t="shared" ref="U552:U615" si="176">U551+$X552*1000-Q552</f>
        <v>3609</v>
      </c>
      <c r="V552" s="7">
        <f t="shared" ref="V552:V615" si="177">V551+$X552*1000-R552</f>
        <v>3587</v>
      </c>
      <c r="W552" s="7">
        <f t="shared" ref="W552:W615" si="178">W551+$X552*1000-S552</f>
        <v>3659</v>
      </c>
      <c r="X552" s="6"/>
      <c r="Y552" s="5"/>
      <c r="Z552" s="5"/>
      <c r="AA552" s="5"/>
      <c r="AB552" s="5"/>
    </row>
    <row r="553" spans="1:28" ht="13.15" customHeight="1">
      <c r="A553" s="10">
        <f t="shared" si="162"/>
        <v>539</v>
      </c>
      <c r="B553" s="4">
        <f t="shared" si="171"/>
        <v>45582</v>
      </c>
      <c r="C553" s="10">
        <f t="shared" si="172"/>
        <v>842</v>
      </c>
      <c r="D553" s="9">
        <f t="shared" si="163"/>
        <v>2304</v>
      </c>
      <c r="E553" s="8">
        <f t="shared" si="164"/>
        <v>816</v>
      </c>
      <c r="F553" s="8">
        <f t="shared" si="165"/>
        <v>838</v>
      </c>
      <c r="G553" s="8">
        <f t="shared" si="166"/>
        <v>705</v>
      </c>
      <c r="H553" s="5">
        <f t="shared" si="167"/>
        <v>2330</v>
      </c>
      <c r="I553" s="5">
        <f t="shared" si="168"/>
        <v>2308</v>
      </c>
      <c r="J553" s="5">
        <f t="shared" si="169"/>
        <v>2441</v>
      </c>
      <c r="K553" s="5">
        <f t="shared" si="159"/>
        <v>3000</v>
      </c>
      <c r="L553" s="5">
        <f t="shared" si="160"/>
        <v>3000</v>
      </c>
      <c r="M553" s="5">
        <f t="shared" si="161"/>
        <v>3000</v>
      </c>
      <c r="N553" s="5">
        <f t="shared" si="173"/>
        <v>-670</v>
      </c>
      <c r="O553" s="5">
        <f t="shared" si="174"/>
        <v>-692</v>
      </c>
      <c r="P553" s="5">
        <f t="shared" si="175"/>
        <v>-559</v>
      </c>
      <c r="Q553" s="8">
        <v>9</v>
      </c>
      <c r="R553" s="8">
        <v>9</v>
      </c>
      <c r="S553" s="8">
        <v>8</v>
      </c>
      <c r="T553" s="6">
        <f t="shared" si="170"/>
        <v>-432</v>
      </c>
      <c r="U553" s="7">
        <f t="shared" si="176"/>
        <v>3600</v>
      </c>
      <c r="V553" s="7">
        <f t="shared" si="177"/>
        <v>3578</v>
      </c>
      <c r="W553" s="7">
        <f t="shared" si="178"/>
        <v>3651</v>
      </c>
      <c r="X553" s="6"/>
      <c r="Y553" s="5"/>
      <c r="Z553" s="5"/>
      <c r="AA553" s="5"/>
      <c r="AB553" s="5"/>
    </row>
    <row r="554" spans="1:28" ht="13.15" customHeight="1">
      <c r="A554" s="10">
        <f t="shared" si="162"/>
        <v>540</v>
      </c>
      <c r="B554" s="4">
        <f t="shared" si="171"/>
        <v>45583</v>
      </c>
      <c r="C554" s="10">
        <f t="shared" si="172"/>
        <v>842</v>
      </c>
      <c r="D554" s="9">
        <f t="shared" si="163"/>
        <v>2306</v>
      </c>
      <c r="E554" s="8">
        <f t="shared" si="164"/>
        <v>826</v>
      </c>
      <c r="F554" s="8">
        <f t="shared" si="165"/>
        <v>848</v>
      </c>
      <c r="G554" s="8">
        <f t="shared" si="166"/>
        <v>714</v>
      </c>
      <c r="H554" s="5">
        <f t="shared" si="167"/>
        <v>2322</v>
      </c>
      <c r="I554" s="5">
        <f t="shared" si="168"/>
        <v>2300</v>
      </c>
      <c r="J554" s="5">
        <f t="shared" si="169"/>
        <v>2434</v>
      </c>
      <c r="K554" s="5">
        <f t="shared" si="159"/>
        <v>3000</v>
      </c>
      <c r="L554" s="5">
        <f t="shared" si="160"/>
        <v>3000</v>
      </c>
      <c r="M554" s="5">
        <f t="shared" si="161"/>
        <v>3000</v>
      </c>
      <c r="N554" s="5">
        <f t="shared" si="173"/>
        <v>-678</v>
      </c>
      <c r="O554" s="5">
        <f t="shared" si="174"/>
        <v>-700</v>
      </c>
      <c r="P554" s="5">
        <f t="shared" si="175"/>
        <v>-566</v>
      </c>
      <c r="Q554" s="8">
        <v>8</v>
      </c>
      <c r="R554" s="8">
        <v>8</v>
      </c>
      <c r="S554" s="8">
        <v>7</v>
      </c>
      <c r="T554" s="6">
        <f t="shared" si="170"/>
        <v>-422</v>
      </c>
      <c r="U554" s="7">
        <f t="shared" si="176"/>
        <v>3592</v>
      </c>
      <c r="V554" s="7">
        <f t="shared" si="177"/>
        <v>3570</v>
      </c>
      <c r="W554" s="7">
        <f t="shared" si="178"/>
        <v>3644</v>
      </c>
      <c r="X554" s="6"/>
      <c r="Y554" s="5"/>
      <c r="Z554" s="5"/>
      <c r="AA554" s="5"/>
      <c r="AB554" s="5"/>
    </row>
    <row r="555" spans="1:28" ht="13.15" customHeight="1">
      <c r="A555" s="10">
        <f t="shared" si="162"/>
        <v>541</v>
      </c>
      <c r="B555" s="4">
        <f t="shared" si="171"/>
        <v>45584</v>
      </c>
      <c r="C555" s="10">
        <f t="shared" si="172"/>
        <v>842</v>
      </c>
      <c r="D555" s="9">
        <f t="shared" si="163"/>
        <v>2308</v>
      </c>
      <c r="E555" s="8">
        <f t="shared" si="164"/>
        <v>835</v>
      </c>
      <c r="F555" s="8">
        <f t="shared" si="165"/>
        <v>857</v>
      </c>
      <c r="G555" s="8">
        <f t="shared" si="166"/>
        <v>723</v>
      </c>
      <c r="H555" s="5">
        <f t="shared" si="167"/>
        <v>2315</v>
      </c>
      <c r="I555" s="5">
        <f t="shared" si="168"/>
        <v>2293</v>
      </c>
      <c r="J555" s="5">
        <f t="shared" si="169"/>
        <v>2427</v>
      </c>
      <c r="K555" s="5">
        <f t="shared" si="159"/>
        <v>3000</v>
      </c>
      <c r="L555" s="5">
        <f t="shared" si="160"/>
        <v>3000</v>
      </c>
      <c r="M555" s="5">
        <f t="shared" si="161"/>
        <v>3000</v>
      </c>
      <c r="N555" s="5">
        <f t="shared" si="173"/>
        <v>-685</v>
      </c>
      <c r="O555" s="5">
        <f t="shared" si="174"/>
        <v>-707</v>
      </c>
      <c r="P555" s="5">
        <f t="shared" si="175"/>
        <v>-573</v>
      </c>
      <c r="Q555" s="8">
        <v>7</v>
      </c>
      <c r="R555" s="8">
        <v>7</v>
      </c>
      <c r="S555" s="8">
        <v>7</v>
      </c>
      <c r="T555" s="6">
        <f t="shared" si="170"/>
        <v>-413</v>
      </c>
      <c r="U555" s="7">
        <f t="shared" si="176"/>
        <v>3585</v>
      </c>
      <c r="V555" s="7">
        <f t="shared" si="177"/>
        <v>3563</v>
      </c>
      <c r="W555" s="7">
        <f t="shared" si="178"/>
        <v>3637</v>
      </c>
      <c r="X555" s="6"/>
      <c r="Y555" s="5"/>
      <c r="Z555" s="5"/>
      <c r="AA555" s="5"/>
      <c r="AB555" s="5"/>
    </row>
    <row r="556" spans="1:28" ht="13.15" customHeight="1">
      <c r="A556" s="10">
        <f t="shared" si="162"/>
        <v>542</v>
      </c>
      <c r="B556" s="4">
        <f t="shared" si="171"/>
        <v>45585</v>
      </c>
      <c r="C556" s="10">
        <f t="shared" si="172"/>
        <v>842</v>
      </c>
      <c r="D556" s="9">
        <f t="shared" si="163"/>
        <v>2310</v>
      </c>
      <c r="E556" s="8">
        <f t="shared" si="164"/>
        <v>845</v>
      </c>
      <c r="F556" s="8">
        <f t="shared" si="165"/>
        <v>868</v>
      </c>
      <c r="G556" s="8">
        <f t="shared" si="166"/>
        <v>734</v>
      </c>
      <c r="H556" s="5">
        <f t="shared" si="167"/>
        <v>2307</v>
      </c>
      <c r="I556" s="5">
        <f t="shared" si="168"/>
        <v>2284</v>
      </c>
      <c r="J556" s="5">
        <f t="shared" si="169"/>
        <v>2418</v>
      </c>
      <c r="K556" s="5">
        <f t="shared" ref="K556:K619" si="179">K555</f>
        <v>3000</v>
      </c>
      <c r="L556" s="5">
        <f t="shared" ref="L556:L619" si="180">L555</f>
        <v>3000</v>
      </c>
      <c r="M556" s="5">
        <f t="shared" ref="M556:M619" si="181">M555</f>
        <v>3000</v>
      </c>
      <c r="N556" s="5">
        <f t="shared" si="173"/>
        <v>-693</v>
      </c>
      <c r="O556" s="5">
        <f t="shared" si="174"/>
        <v>-716</v>
      </c>
      <c r="P556" s="5">
        <f t="shared" si="175"/>
        <v>-582</v>
      </c>
      <c r="Q556" s="8">
        <v>8</v>
      </c>
      <c r="R556" s="8">
        <v>9</v>
      </c>
      <c r="S556" s="8">
        <v>9</v>
      </c>
      <c r="T556" s="6">
        <f t="shared" si="170"/>
        <v>-402</v>
      </c>
      <c r="U556" s="7">
        <f t="shared" si="176"/>
        <v>3577</v>
      </c>
      <c r="V556" s="7">
        <f t="shared" si="177"/>
        <v>3554</v>
      </c>
      <c r="W556" s="7">
        <f t="shared" si="178"/>
        <v>3628</v>
      </c>
      <c r="X556" s="6"/>
      <c r="Y556" s="5"/>
      <c r="Z556" s="5"/>
      <c r="AA556" s="5"/>
      <c r="AB556" s="5"/>
    </row>
    <row r="557" spans="1:28" ht="13.15" customHeight="1">
      <c r="A557" s="10">
        <f t="shared" si="162"/>
        <v>543</v>
      </c>
      <c r="B557" s="4">
        <f t="shared" si="171"/>
        <v>45586</v>
      </c>
      <c r="C557" s="10">
        <f t="shared" si="172"/>
        <v>842</v>
      </c>
      <c r="D557" s="9">
        <f t="shared" si="163"/>
        <v>2312</v>
      </c>
      <c r="E557" s="8">
        <f t="shared" si="164"/>
        <v>856</v>
      </c>
      <c r="F557" s="8">
        <f t="shared" si="165"/>
        <v>878</v>
      </c>
      <c r="G557" s="8">
        <f t="shared" si="166"/>
        <v>744</v>
      </c>
      <c r="H557" s="5">
        <f t="shared" si="167"/>
        <v>2298</v>
      </c>
      <c r="I557" s="5">
        <f t="shared" si="168"/>
        <v>2276</v>
      </c>
      <c r="J557" s="5">
        <f t="shared" si="169"/>
        <v>2410</v>
      </c>
      <c r="K557" s="5">
        <f t="shared" si="179"/>
        <v>3000</v>
      </c>
      <c r="L557" s="5">
        <f t="shared" si="180"/>
        <v>3000</v>
      </c>
      <c r="M557" s="5">
        <f t="shared" si="181"/>
        <v>3000</v>
      </c>
      <c r="N557" s="5">
        <f t="shared" si="173"/>
        <v>-702</v>
      </c>
      <c r="O557" s="5">
        <f t="shared" si="174"/>
        <v>-724</v>
      </c>
      <c r="P557" s="5">
        <f t="shared" si="175"/>
        <v>-590</v>
      </c>
      <c r="Q557" s="8">
        <v>9</v>
      </c>
      <c r="R557" s="8">
        <v>8</v>
      </c>
      <c r="S557" s="8">
        <v>8</v>
      </c>
      <c r="T557" s="6">
        <f t="shared" si="170"/>
        <v>-392</v>
      </c>
      <c r="U557" s="7">
        <f t="shared" si="176"/>
        <v>3568</v>
      </c>
      <c r="V557" s="7">
        <f t="shared" si="177"/>
        <v>3546</v>
      </c>
      <c r="W557" s="7">
        <f t="shared" si="178"/>
        <v>3620</v>
      </c>
      <c r="X557" s="6"/>
      <c r="Y557" s="5"/>
      <c r="Z557" s="5"/>
      <c r="AA557" s="5"/>
      <c r="AB557" s="5"/>
    </row>
    <row r="558" spans="1:28" ht="13.15" customHeight="1">
      <c r="A558" s="10">
        <f t="shared" si="162"/>
        <v>544</v>
      </c>
      <c r="B558" s="4">
        <f t="shared" si="171"/>
        <v>45587</v>
      </c>
      <c r="C558" s="10">
        <f t="shared" si="172"/>
        <v>842</v>
      </c>
      <c r="D558" s="9">
        <f t="shared" si="163"/>
        <v>2314</v>
      </c>
      <c r="E558" s="8">
        <f t="shared" si="164"/>
        <v>866</v>
      </c>
      <c r="F558" s="8">
        <f t="shared" si="165"/>
        <v>888</v>
      </c>
      <c r="G558" s="8">
        <f t="shared" si="166"/>
        <v>753</v>
      </c>
      <c r="H558" s="5">
        <f t="shared" si="167"/>
        <v>2290</v>
      </c>
      <c r="I558" s="5">
        <f t="shared" si="168"/>
        <v>2268</v>
      </c>
      <c r="J558" s="5">
        <f t="shared" si="169"/>
        <v>2403</v>
      </c>
      <c r="K558" s="5">
        <f t="shared" si="179"/>
        <v>3000</v>
      </c>
      <c r="L558" s="5">
        <f t="shared" si="180"/>
        <v>3000</v>
      </c>
      <c r="M558" s="5">
        <f t="shared" si="181"/>
        <v>3000</v>
      </c>
      <c r="N558" s="5">
        <f t="shared" si="173"/>
        <v>-710</v>
      </c>
      <c r="O558" s="5">
        <f t="shared" si="174"/>
        <v>-732</v>
      </c>
      <c r="P558" s="5">
        <f t="shared" si="175"/>
        <v>-597</v>
      </c>
      <c r="Q558" s="8">
        <v>8</v>
      </c>
      <c r="R558" s="8">
        <v>8</v>
      </c>
      <c r="S558" s="8">
        <v>7</v>
      </c>
      <c r="T558" s="6">
        <f t="shared" si="170"/>
        <v>-382</v>
      </c>
      <c r="U558" s="7">
        <f t="shared" si="176"/>
        <v>3560</v>
      </c>
      <c r="V558" s="7">
        <f t="shared" si="177"/>
        <v>3538</v>
      </c>
      <c r="W558" s="7">
        <f t="shared" si="178"/>
        <v>3613</v>
      </c>
      <c r="X558" s="6"/>
      <c r="Y558" s="5"/>
      <c r="Z558" s="5"/>
      <c r="AA558" s="5"/>
      <c r="AB558" s="5"/>
    </row>
    <row r="559" spans="1:28" ht="13.15" customHeight="1">
      <c r="A559" s="10">
        <f t="shared" si="162"/>
        <v>545</v>
      </c>
      <c r="B559" s="4">
        <f t="shared" si="171"/>
        <v>45588</v>
      </c>
      <c r="C559" s="10">
        <f t="shared" si="172"/>
        <v>842</v>
      </c>
      <c r="D559" s="9">
        <f t="shared" si="163"/>
        <v>2316</v>
      </c>
      <c r="E559" s="8">
        <f t="shared" si="164"/>
        <v>877</v>
      </c>
      <c r="F559" s="8">
        <f t="shared" si="165"/>
        <v>899</v>
      </c>
      <c r="G559" s="8">
        <f t="shared" si="166"/>
        <v>764</v>
      </c>
      <c r="H559" s="5">
        <f t="shared" si="167"/>
        <v>2281</v>
      </c>
      <c r="I559" s="5">
        <f t="shared" si="168"/>
        <v>2259</v>
      </c>
      <c r="J559" s="5">
        <f t="shared" si="169"/>
        <v>2394</v>
      </c>
      <c r="K559" s="5">
        <f t="shared" si="179"/>
        <v>3000</v>
      </c>
      <c r="L559" s="5">
        <f t="shared" si="180"/>
        <v>3000</v>
      </c>
      <c r="M559" s="5">
        <f t="shared" si="181"/>
        <v>3000</v>
      </c>
      <c r="N559" s="5">
        <f t="shared" si="173"/>
        <v>-719</v>
      </c>
      <c r="O559" s="5">
        <f t="shared" si="174"/>
        <v>-741</v>
      </c>
      <c r="P559" s="5">
        <f t="shared" si="175"/>
        <v>-606</v>
      </c>
      <c r="Q559" s="8">
        <v>9</v>
      </c>
      <c r="R559" s="8">
        <v>9</v>
      </c>
      <c r="S559" s="8">
        <v>9</v>
      </c>
      <c r="T559" s="6">
        <f t="shared" si="170"/>
        <v>-371</v>
      </c>
      <c r="U559" s="7">
        <f t="shared" si="176"/>
        <v>3551</v>
      </c>
      <c r="V559" s="7">
        <f t="shared" si="177"/>
        <v>3529</v>
      </c>
      <c r="W559" s="7">
        <f t="shared" si="178"/>
        <v>3604</v>
      </c>
      <c r="X559" s="6"/>
      <c r="Y559" s="5"/>
      <c r="Z559" s="5"/>
      <c r="AA559" s="5"/>
      <c r="AB559" s="5"/>
    </row>
    <row r="560" spans="1:28" ht="13.15" customHeight="1">
      <c r="A560" s="10">
        <f t="shared" si="162"/>
        <v>546</v>
      </c>
      <c r="B560" s="4">
        <f t="shared" si="171"/>
        <v>45589</v>
      </c>
      <c r="C560" s="10">
        <f t="shared" si="172"/>
        <v>842</v>
      </c>
      <c r="D560" s="9">
        <f t="shared" si="163"/>
        <v>2318</v>
      </c>
      <c r="E560" s="8">
        <f t="shared" si="164"/>
        <v>887</v>
      </c>
      <c r="F560" s="8">
        <f t="shared" si="165"/>
        <v>909</v>
      </c>
      <c r="G560" s="8">
        <f t="shared" si="166"/>
        <v>774</v>
      </c>
      <c r="H560" s="5">
        <f t="shared" si="167"/>
        <v>2273</v>
      </c>
      <c r="I560" s="5">
        <f t="shared" si="168"/>
        <v>2251</v>
      </c>
      <c r="J560" s="5">
        <f t="shared" si="169"/>
        <v>2386</v>
      </c>
      <c r="K560" s="5">
        <f t="shared" si="179"/>
        <v>3000</v>
      </c>
      <c r="L560" s="5">
        <f t="shared" si="180"/>
        <v>3000</v>
      </c>
      <c r="M560" s="5">
        <f t="shared" si="181"/>
        <v>3000</v>
      </c>
      <c r="N560" s="5">
        <f t="shared" si="173"/>
        <v>-727</v>
      </c>
      <c r="O560" s="5">
        <f t="shared" si="174"/>
        <v>-749</v>
      </c>
      <c r="P560" s="5">
        <f t="shared" si="175"/>
        <v>-614</v>
      </c>
      <c r="Q560" s="8">
        <v>8</v>
      </c>
      <c r="R560" s="8">
        <v>8</v>
      </c>
      <c r="S560" s="8">
        <v>8</v>
      </c>
      <c r="T560" s="6">
        <f t="shared" si="170"/>
        <v>-361</v>
      </c>
      <c r="U560" s="7">
        <f t="shared" si="176"/>
        <v>3543</v>
      </c>
      <c r="V560" s="7">
        <f t="shared" si="177"/>
        <v>3521</v>
      </c>
      <c r="W560" s="7">
        <f t="shared" si="178"/>
        <v>3596</v>
      </c>
      <c r="X560" s="6"/>
      <c r="Y560" s="5"/>
      <c r="Z560" s="5"/>
      <c r="AA560" s="5"/>
      <c r="AB560" s="5"/>
    </row>
    <row r="561" spans="1:28" ht="13.15" customHeight="1">
      <c r="A561" s="10">
        <f t="shared" si="162"/>
        <v>547</v>
      </c>
      <c r="B561" s="4">
        <f t="shared" si="171"/>
        <v>45590</v>
      </c>
      <c r="C561" s="10">
        <f t="shared" si="172"/>
        <v>842</v>
      </c>
      <c r="D561" s="9">
        <f t="shared" si="163"/>
        <v>2320</v>
      </c>
      <c r="E561" s="8">
        <f t="shared" si="164"/>
        <v>898</v>
      </c>
      <c r="F561" s="8">
        <f t="shared" si="165"/>
        <v>920</v>
      </c>
      <c r="G561" s="8">
        <f t="shared" si="166"/>
        <v>783</v>
      </c>
      <c r="H561" s="5">
        <f t="shared" si="167"/>
        <v>2264</v>
      </c>
      <c r="I561" s="5">
        <f t="shared" si="168"/>
        <v>2242</v>
      </c>
      <c r="J561" s="5">
        <f t="shared" si="169"/>
        <v>2379</v>
      </c>
      <c r="K561" s="5">
        <f t="shared" si="179"/>
        <v>3000</v>
      </c>
      <c r="L561" s="5">
        <f t="shared" si="180"/>
        <v>3000</v>
      </c>
      <c r="M561" s="5">
        <f t="shared" si="181"/>
        <v>3000</v>
      </c>
      <c r="N561" s="5">
        <f t="shared" si="173"/>
        <v>-736</v>
      </c>
      <c r="O561" s="5">
        <f t="shared" si="174"/>
        <v>-758</v>
      </c>
      <c r="P561" s="5">
        <f t="shared" si="175"/>
        <v>-621</v>
      </c>
      <c r="Q561" s="8">
        <v>9</v>
      </c>
      <c r="R561" s="8">
        <v>9</v>
      </c>
      <c r="S561" s="8">
        <v>7</v>
      </c>
      <c r="T561" s="6">
        <f t="shared" si="170"/>
        <v>-350</v>
      </c>
      <c r="U561" s="7">
        <f t="shared" si="176"/>
        <v>3534</v>
      </c>
      <c r="V561" s="7">
        <f t="shared" si="177"/>
        <v>3512</v>
      </c>
      <c r="W561" s="7">
        <f t="shared" si="178"/>
        <v>3589</v>
      </c>
      <c r="X561" s="6"/>
      <c r="Y561" s="5"/>
      <c r="Z561" s="5"/>
      <c r="AA561" s="5"/>
      <c r="AB561" s="5"/>
    </row>
    <row r="562" spans="1:28" ht="13.15" customHeight="1">
      <c r="A562" s="10">
        <f t="shared" si="162"/>
        <v>548</v>
      </c>
      <c r="B562" s="4">
        <f t="shared" si="171"/>
        <v>45591</v>
      </c>
      <c r="C562" s="10">
        <f t="shared" si="172"/>
        <v>842</v>
      </c>
      <c r="D562" s="9">
        <f t="shared" si="163"/>
        <v>2322</v>
      </c>
      <c r="E562" s="8">
        <f t="shared" si="164"/>
        <v>908</v>
      </c>
      <c r="F562" s="8">
        <f t="shared" si="165"/>
        <v>930</v>
      </c>
      <c r="G562" s="8">
        <f t="shared" si="166"/>
        <v>792</v>
      </c>
      <c r="H562" s="5">
        <f t="shared" si="167"/>
        <v>2256</v>
      </c>
      <c r="I562" s="5">
        <f t="shared" si="168"/>
        <v>2234</v>
      </c>
      <c r="J562" s="5">
        <f t="shared" si="169"/>
        <v>2372</v>
      </c>
      <c r="K562" s="5">
        <f t="shared" si="179"/>
        <v>3000</v>
      </c>
      <c r="L562" s="5">
        <f t="shared" si="180"/>
        <v>3000</v>
      </c>
      <c r="M562" s="5">
        <f t="shared" si="181"/>
        <v>3000</v>
      </c>
      <c r="N562" s="5">
        <f t="shared" si="173"/>
        <v>-744</v>
      </c>
      <c r="O562" s="5">
        <f t="shared" si="174"/>
        <v>-766</v>
      </c>
      <c r="P562" s="5">
        <f t="shared" si="175"/>
        <v>-628</v>
      </c>
      <c r="Q562" s="8">
        <v>8</v>
      </c>
      <c r="R562" s="8">
        <v>8</v>
      </c>
      <c r="S562" s="8">
        <v>7</v>
      </c>
      <c r="T562" s="6">
        <f t="shared" si="170"/>
        <v>-340</v>
      </c>
      <c r="U562" s="7">
        <f t="shared" si="176"/>
        <v>3526</v>
      </c>
      <c r="V562" s="7">
        <f t="shared" si="177"/>
        <v>3504</v>
      </c>
      <c r="W562" s="7">
        <f t="shared" si="178"/>
        <v>3582</v>
      </c>
      <c r="X562" s="6"/>
      <c r="Y562" s="5"/>
      <c r="Z562" s="5"/>
      <c r="AA562" s="5"/>
      <c r="AB562" s="5"/>
    </row>
    <row r="563" spans="1:28" ht="13.15" customHeight="1">
      <c r="A563" s="10">
        <f t="shared" si="162"/>
        <v>549</v>
      </c>
      <c r="B563" s="4">
        <f t="shared" si="171"/>
        <v>45592</v>
      </c>
      <c r="C563" s="10">
        <f t="shared" si="172"/>
        <v>842</v>
      </c>
      <c r="D563" s="9">
        <f t="shared" si="163"/>
        <v>2324</v>
      </c>
      <c r="E563" s="8">
        <f t="shared" si="164"/>
        <v>917</v>
      </c>
      <c r="F563" s="8">
        <f t="shared" si="165"/>
        <v>939</v>
      </c>
      <c r="G563" s="8">
        <f t="shared" si="166"/>
        <v>801</v>
      </c>
      <c r="H563" s="5">
        <f t="shared" si="167"/>
        <v>2249</v>
      </c>
      <c r="I563" s="5">
        <f t="shared" si="168"/>
        <v>2227</v>
      </c>
      <c r="J563" s="5">
        <f t="shared" si="169"/>
        <v>2365</v>
      </c>
      <c r="K563" s="5">
        <f t="shared" si="179"/>
        <v>3000</v>
      </c>
      <c r="L563" s="5">
        <f t="shared" si="180"/>
        <v>3000</v>
      </c>
      <c r="M563" s="5">
        <f t="shared" si="181"/>
        <v>3000</v>
      </c>
      <c r="N563" s="5">
        <f t="shared" si="173"/>
        <v>-751</v>
      </c>
      <c r="O563" s="5">
        <f t="shared" si="174"/>
        <v>-773</v>
      </c>
      <c r="P563" s="5">
        <f t="shared" si="175"/>
        <v>-635</v>
      </c>
      <c r="Q563" s="8">
        <v>7</v>
      </c>
      <c r="R563" s="8">
        <v>7</v>
      </c>
      <c r="S563" s="8">
        <v>7</v>
      </c>
      <c r="T563" s="6">
        <f t="shared" si="170"/>
        <v>-331</v>
      </c>
      <c r="U563" s="7">
        <f t="shared" si="176"/>
        <v>3519</v>
      </c>
      <c r="V563" s="7">
        <f t="shared" si="177"/>
        <v>3497</v>
      </c>
      <c r="W563" s="7">
        <f t="shared" si="178"/>
        <v>3575</v>
      </c>
      <c r="X563" s="6"/>
      <c r="Y563" s="5"/>
      <c r="Z563" s="5"/>
      <c r="AA563" s="5"/>
      <c r="AB563" s="5"/>
    </row>
    <row r="564" spans="1:28" ht="13.15" customHeight="1">
      <c r="A564" s="10">
        <f t="shared" si="162"/>
        <v>550</v>
      </c>
      <c r="B564" s="4">
        <f t="shared" si="171"/>
        <v>45593</v>
      </c>
      <c r="C564" s="10">
        <f t="shared" si="172"/>
        <v>842</v>
      </c>
      <c r="D564" s="9">
        <f t="shared" si="163"/>
        <v>2326</v>
      </c>
      <c r="E564" s="8">
        <f t="shared" si="164"/>
        <v>924</v>
      </c>
      <c r="F564" s="8">
        <f t="shared" si="165"/>
        <v>950</v>
      </c>
      <c r="G564" s="8">
        <f t="shared" si="166"/>
        <v>812</v>
      </c>
      <c r="H564" s="5">
        <f t="shared" si="167"/>
        <v>2244</v>
      </c>
      <c r="I564" s="5">
        <f t="shared" si="168"/>
        <v>2218</v>
      </c>
      <c r="J564" s="5">
        <f t="shared" si="169"/>
        <v>2356</v>
      </c>
      <c r="K564" s="5">
        <f t="shared" si="179"/>
        <v>3000</v>
      </c>
      <c r="L564" s="5">
        <f t="shared" si="180"/>
        <v>3000</v>
      </c>
      <c r="M564" s="5">
        <f t="shared" si="181"/>
        <v>3000</v>
      </c>
      <c r="N564" s="5">
        <f t="shared" si="173"/>
        <v>-756</v>
      </c>
      <c r="O564" s="5">
        <f t="shared" si="174"/>
        <v>-782</v>
      </c>
      <c r="P564" s="5">
        <f t="shared" si="175"/>
        <v>-644</v>
      </c>
      <c r="Q564" s="8">
        <v>5</v>
      </c>
      <c r="R564" s="8">
        <v>9</v>
      </c>
      <c r="S564" s="8">
        <v>9</v>
      </c>
      <c r="T564" s="6">
        <f t="shared" si="170"/>
        <v>-320</v>
      </c>
      <c r="U564" s="7">
        <f t="shared" si="176"/>
        <v>3514</v>
      </c>
      <c r="V564" s="7">
        <f t="shared" si="177"/>
        <v>3488</v>
      </c>
      <c r="W564" s="7">
        <f t="shared" si="178"/>
        <v>3566</v>
      </c>
      <c r="X564" s="6"/>
      <c r="Y564" s="5"/>
      <c r="Z564" s="5"/>
      <c r="AA564" s="5"/>
      <c r="AB564" s="5"/>
    </row>
    <row r="565" spans="1:28" ht="13.15" customHeight="1">
      <c r="A565" s="10">
        <f t="shared" si="162"/>
        <v>551</v>
      </c>
      <c r="B565" s="4">
        <f t="shared" si="171"/>
        <v>45594</v>
      </c>
      <c r="C565" s="10">
        <f t="shared" si="172"/>
        <v>842</v>
      </c>
      <c r="D565" s="9">
        <f t="shared" si="163"/>
        <v>2328</v>
      </c>
      <c r="E565" s="8">
        <f t="shared" si="164"/>
        <v>931</v>
      </c>
      <c r="F565" s="8">
        <f t="shared" si="165"/>
        <v>960</v>
      </c>
      <c r="G565" s="8">
        <f t="shared" si="166"/>
        <v>822</v>
      </c>
      <c r="H565" s="5">
        <f t="shared" si="167"/>
        <v>2239</v>
      </c>
      <c r="I565" s="5">
        <f t="shared" si="168"/>
        <v>2210</v>
      </c>
      <c r="J565" s="5">
        <f t="shared" si="169"/>
        <v>2348</v>
      </c>
      <c r="K565" s="5">
        <f t="shared" si="179"/>
        <v>3000</v>
      </c>
      <c r="L565" s="5">
        <f t="shared" si="180"/>
        <v>3000</v>
      </c>
      <c r="M565" s="5">
        <f t="shared" si="181"/>
        <v>3000</v>
      </c>
      <c r="N565" s="5">
        <f t="shared" si="173"/>
        <v>-761</v>
      </c>
      <c r="O565" s="5">
        <f t="shared" si="174"/>
        <v>-790</v>
      </c>
      <c r="P565" s="5">
        <f t="shared" si="175"/>
        <v>-652</v>
      </c>
      <c r="Q565" s="8">
        <v>5</v>
      </c>
      <c r="R565" s="8">
        <v>8</v>
      </c>
      <c r="S565" s="8">
        <v>8</v>
      </c>
      <c r="T565" s="6">
        <f t="shared" si="170"/>
        <v>-310</v>
      </c>
      <c r="U565" s="7">
        <f t="shared" si="176"/>
        <v>3509</v>
      </c>
      <c r="V565" s="7">
        <f t="shared" si="177"/>
        <v>3480</v>
      </c>
      <c r="W565" s="7">
        <f t="shared" si="178"/>
        <v>3558</v>
      </c>
      <c r="X565" s="6"/>
      <c r="Y565" s="5"/>
      <c r="Z565" s="5"/>
      <c r="AA565" s="5"/>
      <c r="AB565" s="5"/>
    </row>
    <row r="566" spans="1:28" ht="13.15" customHeight="1">
      <c r="A566" s="10">
        <f t="shared" si="162"/>
        <v>552</v>
      </c>
      <c r="B566" s="4">
        <f t="shared" si="171"/>
        <v>45595</v>
      </c>
      <c r="C566" s="10">
        <f t="shared" si="172"/>
        <v>842</v>
      </c>
      <c r="D566" s="9">
        <f t="shared" si="163"/>
        <v>2330</v>
      </c>
      <c r="E566" s="8">
        <f t="shared" si="164"/>
        <v>937</v>
      </c>
      <c r="F566" s="8">
        <f t="shared" si="165"/>
        <v>969</v>
      </c>
      <c r="G566" s="8">
        <f t="shared" si="166"/>
        <v>831</v>
      </c>
      <c r="H566" s="5">
        <f t="shared" si="167"/>
        <v>2235</v>
      </c>
      <c r="I566" s="5">
        <f t="shared" si="168"/>
        <v>2203</v>
      </c>
      <c r="J566" s="5">
        <f t="shared" si="169"/>
        <v>2341</v>
      </c>
      <c r="K566" s="5">
        <f t="shared" si="179"/>
        <v>3000</v>
      </c>
      <c r="L566" s="5">
        <f t="shared" si="180"/>
        <v>3000</v>
      </c>
      <c r="M566" s="5">
        <f t="shared" si="181"/>
        <v>3000</v>
      </c>
      <c r="N566" s="5">
        <f t="shared" si="173"/>
        <v>-765</v>
      </c>
      <c r="O566" s="5">
        <f t="shared" si="174"/>
        <v>-797</v>
      </c>
      <c r="P566" s="5">
        <f t="shared" si="175"/>
        <v>-659</v>
      </c>
      <c r="Q566" s="8">
        <v>4</v>
      </c>
      <c r="R566" s="8">
        <v>7</v>
      </c>
      <c r="S566" s="8">
        <v>7</v>
      </c>
      <c r="T566" s="6">
        <f t="shared" si="170"/>
        <v>-301</v>
      </c>
      <c r="U566" s="7">
        <f t="shared" si="176"/>
        <v>3505</v>
      </c>
      <c r="V566" s="7">
        <f t="shared" si="177"/>
        <v>3473</v>
      </c>
      <c r="W566" s="7">
        <f t="shared" si="178"/>
        <v>3551</v>
      </c>
      <c r="X566" s="6"/>
      <c r="Y566" s="5"/>
      <c r="Z566" s="5"/>
      <c r="AA566" s="5"/>
      <c r="AB566" s="5"/>
    </row>
    <row r="567" spans="1:28" ht="13.15" customHeight="1">
      <c r="A567" s="10">
        <f t="shared" si="162"/>
        <v>553</v>
      </c>
      <c r="B567" s="4">
        <f t="shared" si="171"/>
        <v>45596</v>
      </c>
      <c r="C567" s="10">
        <f t="shared" si="172"/>
        <v>842</v>
      </c>
      <c r="D567" s="9">
        <f t="shared" si="163"/>
        <v>2332</v>
      </c>
      <c r="E567" s="8">
        <f t="shared" si="164"/>
        <v>942</v>
      </c>
      <c r="F567" s="8">
        <f t="shared" si="165"/>
        <v>978</v>
      </c>
      <c r="G567" s="8">
        <f t="shared" si="166"/>
        <v>842</v>
      </c>
      <c r="H567" s="5">
        <f t="shared" si="167"/>
        <v>2232</v>
      </c>
      <c r="I567" s="5">
        <f t="shared" si="168"/>
        <v>2196</v>
      </c>
      <c r="J567" s="5">
        <f t="shared" si="169"/>
        <v>2332</v>
      </c>
      <c r="K567" s="5">
        <f t="shared" si="179"/>
        <v>3000</v>
      </c>
      <c r="L567" s="5">
        <f t="shared" si="180"/>
        <v>3000</v>
      </c>
      <c r="M567" s="5">
        <f t="shared" si="181"/>
        <v>3000</v>
      </c>
      <c r="N567" s="5">
        <f t="shared" si="173"/>
        <v>-768</v>
      </c>
      <c r="O567" s="5">
        <f t="shared" si="174"/>
        <v>-804</v>
      </c>
      <c r="P567" s="5">
        <f t="shared" si="175"/>
        <v>-668</v>
      </c>
      <c r="Q567" s="8">
        <v>3</v>
      </c>
      <c r="R567" s="8">
        <v>7</v>
      </c>
      <c r="S567" s="8">
        <v>9</v>
      </c>
      <c r="T567" s="6">
        <f t="shared" si="170"/>
        <v>-292</v>
      </c>
      <c r="U567" s="7">
        <f t="shared" si="176"/>
        <v>3502</v>
      </c>
      <c r="V567" s="7">
        <f t="shared" si="177"/>
        <v>3466</v>
      </c>
      <c r="W567" s="7">
        <f t="shared" si="178"/>
        <v>3542</v>
      </c>
      <c r="X567" s="6"/>
      <c r="Y567" s="5"/>
      <c r="Z567" s="5"/>
      <c r="AA567" s="5"/>
      <c r="AB567" s="5"/>
    </row>
    <row r="568" spans="1:28" ht="13.15" customHeight="1">
      <c r="A568" s="10">
        <f t="shared" si="162"/>
        <v>554</v>
      </c>
      <c r="B568" s="4">
        <f t="shared" si="171"/>
        <v>45597</v>
      </c>
      <c r="C568" s="10">
        <f t="shared" si="172"/>
        <v>842</v>
      </c>
      <c r="D568" s="9">
        <f t="shared" si="163"/>
        <v>2334</v>
      </c>
      <c r="E568" s="8">
        <f t="shared" si="164"/>
        <v>946</v>
      </c>
      <c r="F568" s="8">
        <f t="shared" si="165"/>
        <v>986</v>
      </c>
      <c r="G568" s="8">
        <f t="shared" si="166"/>
        <v>852</v>
      </c>
      <c r="H568" s="5">
        <f t="shared" si="167"/>
        <v>2230</v>
      </c>
      <c r="I568" s="5">
        <f t="shared" si="168"/>
        <v>2190</v>
      </c>
      <c r="J568" s="5">
        <f t="shared" si="169"/>
        <v>2324</v>
      </c>
      <c r="K568" s="5">
        <f t="shared" si="179"/>
        <v>3000</v>
      </c>
      <c r="L568" s="5">
        <f t="shared" si="180"/>
        <v>3000</v>
      </c>
      <c r="M568" s="5">
        <f t="shared" si="181"/>
        <v>3000</v>
      </c>
      <c r="N568" s="5">
        <f t="shared" si="173"/>
        <v>-770</v>
      </c>
      <c r="O568" s="5">
        <f t="shared" si="174"/>
        <v>-810</v>
      </c>
      <c r="P568" s="5">
        <f t="shared" si="175"/>
        <v>-676</v>
      </c>
      <c r="Q568" s="8">
        <v>2</v>
      </c>
      <c r="R568" s="8">
        <v>6</v>
      </c>
      <c r="S568" s="8">
        <v>8</v>
      </c>
      <c r="T568" s="6">
        <f t="shared" si="170"/>
        <v>-284</v>
      </c>
      <c r="U568" s="7">
        <f t="shared" si="176"/>
        <v>3500</v>
      </c>
      <c r="V568" s="7">
        <f t="shared" si="177"/>
        <v>3460</v>
      </c>
      <c r="W568" s="7">
        <f t="shared" si="178"/>
        <v>3534</v>
      </c>
      <c r="X568" s="6"/>
      <c r="Y568" s="5"/>
      <c r="Z568" s="5"/>
      <c r="AA568" s="5"/>
      <c r="AB568" s="5"/>
    </row>
    <row r="569" spans="1:28" ht="13.15" customHeight="1">
      <c r="A569" s="10">
        <f t="shared" si="162"/>
        <v>555</v>
      </c>
      <c r="B569" s="4">
        <f t="shared" si="171"/>
        <v>45598</v>
      </c>
      <c r="C569" s="10">
        <f t="shared" si="172"/>
        <v>842</v>
      </c>
      <c r="D569" s="9">
        <f t="shared" si="163"/>
        <v>2336</v>
      </c>
      <c r="E569" s="8">
        <f t="shared" si="164"/>
        <v>952</v>
      </c>
      <c r="F569" s="8">
        <f t="shared" si="165"/>
        <v>996</v>
      </c>
      <c r="G569" s="8">
        <f t="shared" si="166"/>
        <v>861</v>
      </c>
      <c r="H569" s="5">
        <f t="shared" si="167"/>
        <v>2226</v>
      </c>
      <c r="I569" s="5">
        <f t="shared" si="168"/>
        <v>2182</v>
      </c>
      <c r="J569" s="5">
        <f t="shared" si="169"/>
        <v>2317</v>
      </c>
      <c r="K569" s="5">
        <f t="shared" si="179"/>
        <v>3000</v>
      </c>
      <c r="L569" s="5">
        <f t="shared" si="180"/>
        <v>3000</v>
      </c>
      <c r="M569" s="5">
        <f t="shared" si="181"/>
        <v>3000</v>
      </c>
      <c r="N569" s="5">
        <f t="shared" si="173"/>
        <v>-774</v>
      </c>
      <c r="O569" s="5">
        <f t="shared" si="174"/>
        <v>-818</v>
      </c>
      <c r="P569" s="5">
        <f t="shared" si="175"/>
        <v>-683</v>
      </c>
      <c r="Q569" s="8">
        <v>4</v>
      </c>
      <c r="R569" s="8">
        <v>8</v>
      </c>
      <c r="S569" s="8">
        <v>7</v>
      </c>
      <c r="T569" s="6">
        <f t="shared" si="170"/>
        <v>-274</v>
      </c>
      <c r="U569" s="7">
        <f t="shared" si="176"/>
        <v>3496</v>
      </c>
      <c r="V569" s="7">
        <f t="shared" si="177"/>
        <v>3452</v>
      </c>
      <c r="W569" s="7">
        <f t="shared" si="178"/>
        <v>3527</v>
      </c>
      <c r="X569" s="6"/>
      <c r="Y569" s="5"/>
      <c r="Z569" s="5"/>
      <c r="AA569" s="5"/>
      <c r="AB569" s="5"/>
    </row>
    <row r="570" spans="1:28" ht="13.15" customHeight="1">
      <c r="A570" s="10">
        <f t="shared" ref="A570:A633" si="182">+A569+1</f>
        <v>556</v>
      </c>
      <c r="B570" s="4">
        <f t="shared" si="171"/>
        <v>45599</v>
      </c>
      <c r="C570" s="10">
        <f t="shared" si="172"/>
        <v>842</v>
      </c>
      <c r="D570" s="9">
        <f t="shared" si="163"/>
        <v>2338</v>
      </c>
      <c r="E570" s="8">
        <f t="shared" si="164"/>
        <v>961</v>
      </c>
      <c r="F570" s="8">
        <f t="shared" si="165"/>
        <v>1005</v>
      </c>
      <c r="G570" s="8">
        <f t="shared" si="166"/>
        <v>867</v>
      </c>
      <c r="H570" s="5">
        <f t="shared" si="167"/>
        <v>2219</v>
      </c>
      <c r="I570" s="5">
        <f t="shared" si="168"/>
        <v>2175</v>
      </c>
      <c r="J570" s="5">
        <f t="shared" si="169"/>
        <v>2313</v>
      </c>
      <c r="K570" s="5">
        <f t="shared" si="179"/>
        <v>3000</v>
      </c>
      <c r="L570" s="5">
        <f t="shared" si="180"/>
        <v>3000</v>
      </c>
      <c r="M570" s="5">
        <f t="shared" si="181"/>
        <v>3000</v>
      </c>
      <c r="N570" s="5">
        <f t="shared" si="173"/>
        <v>-781</v>
      </c>
      <c r="O570" s="5">
        <f t="shared" si="174"/>
        <v>-825</v>
      </c>
      <c r="P570" s="5">
        <f t="shared" si="175"/>
        <v>-687</v>
      </c>
      <c r="Q570" s="8">
        <v>7</v>
      </c>
      <c r="R570" s="8">
        <v>7</v>
      </c>
      <c r="S570" s="8">
        <v>4</v>
      </c>
      <c r="T570" s="6">
        <f t="shared" si="170"/>
        <v>-265</v>
      </c>
      <c r="U570" s="7">
        <f t="shared" si="176"/>
        <v>3489</v>
      </c>
      <c r="V570" s="7">
        <f t="shared" si="177"/>
        <v>3445</v>
      </c>
      <c r="W570" s="7">
        <f t="shared" si="178"/>
        <v>3523</v>
      </c>
      <c r="X570" s="6"/>
      <c r="Y570" s="5"/>
      <c r="Z570" s="5"/>
      <c r="AA570" s="5"/>
      <c r="AB570" s="5"/>
    </row>
    <row r="571" spans="1:28" ht="13.15" customHeight="1">
      <c r="A571" s="10">
        <f t="shared" si="182"/>
        <v>557</v>
      </c>
      <c r="B571" s="4">
        <f t="shared" si="171"/>
        <v>45600</v>
      </c>
      <c r="C571" s="10">
        <f t="shared" si="172"/>
        <v>842</v>
      </c>
      <c r="D571" s="9">
        <f t="shared" si="163"/>
        <v>2340</v>
      </c>
      <c r="E571" s="8">
        <f t="shared" si="164"/>
        <v>968</v>
      </c>
      <c r="F571" s="8">
        <f t="shared" si="165"/>
        <v>1016</v>
      </c>
      <c r="G571" s="8">
        <f t="shared" si="166"/>
        <v>872</v>
      </c>
      <c r="H571" s="5">
        <f t="shared" si="167"/>
        <v>2214</v>
      </c>
      <c r="I571" s="5">
        <f t="shared" si="168"/>
        <v>2166</v>
      </c>
      <c r="J571" s="5">
        <f t="shared" si="169"/>
        <v>2310</v>
      </c>
      <c r="K571" s="5">
        <f t="shared" si="179"/>
        <v>3000</v>
      </c>
      <c r="L571" s="5">
        <f t="shared" si="180"/>
        <v>3000</v>
      </c>
      <c r="M571" s="5">
        <f t="shared" si="181"/>
        <v>3000</v>
      </c>
      <c r="N571" s="5">
        <f t="shared" si="173"/>
        <v>-786</v>
      </c>
      <c r="O571" s="5">
        <f t="shared" si="174"/>
        <v>-834</v>
      </c>
      <c r="P571" s="5">
        <f t="shared" si="175"/>
        <v>-690</v>
      </c>
      <c r="Q571" s="8">
        <v>5</v>
      </c>
      <c r="R571" s="8">
        <v>9</v>
      </c>
      <c r="S571" s="8">
        <v>3</v>
      </c>
      <c r="T571" s="6">
        <f t="shared" si="170"/>
        <v>-254</v>
      </c>
      <c r="U571" s="7">
        <f t="shared" si="176"/>
        <v>3484</v>
      </c>
      <c r="V571" s="7">
        <f t="shared" si="177"/>
        <v>3436</v>
      </c>
      <c r="W571" s="7">
        <f t="shared" si="178"/>
        <v>3520</v>
      </c>
      <c r="X571" s="6"/>
      <c r="Y571" s="5"/>
      <c r="Z571" s="5"/>
      <c r="AA571" s="5"/>
      <c r="AB571" s="5"/>
    </row>
    <row r="572" spans="1:28" ht="13.15" customHeight="1">
      <c r="A572" s="10">
        <f t="shared" si="182"/>
        <v>558</v>
      </c>
      <c r="B572" s="4">
        <f t="shared" si="171"/>
        <v>45601</v>
      </c>
      <c r="C572" s="10">
        <f t="shared" si="172"/>
        <v>842</v>
      </c>
      <c r="D572" s="9">
        <f t="shared" si="163"/>
        <v>2342</v>
      </c>
      <c r="E572" s="8">
        <f t="shared" si="164"/>
        <v>975</v>
      </c>
      <c r="F572" s="8">
        <f t="shared" si="165"/>
        <v>1026</v>
      </c>
      <c r="G572" s="8">
        <f t="shared" si="166"/>
        <v>876</v>
      </c>
      <c r="H572" s="5">
        <f t="shared" si="167"/>
        <v>2209</v>
      </c>
      <c r="I572" s="5">
        <f t="shared" si="168"/>
        <v>2158</v>
      </c>
      <c r="J572" s="5">
        <f t="shared" si="169"/>
        <v>2308</v>
      </c>
      <c r="K572" s="5">
        <f t="shared" si="179"/>
        <v>3000</v>
      </c>
      <c r="L572" s="5">
        <f t="shared" si="180"/>
        <v>3000</v>
      </c>
      <c r="M572" s="5">
        <f t="shared" si="181"/>
        <v>3000</v>
      </c>
      <c r="N572" s="5">
        <f t="shared" si="173"/>
        <v>-791</v>
      </c>
      <c r="O572" s="5">
        <f t="shared" si="174"/>
        <v>-842</v>
      </c>
      <c r="P572" s="5">
        <f t="shared" si="175"/>
        <v>-692</v>
      </c>
      <c r="Q572" s="8">
        <v>5</v>
      </c>
      <c r="R572" s="8">
        <v>8</v>
      </c>
      <c r="S572" s="8">
        <v>2</v>
      </c>
      <c r="T572" s="6">
        <f t="shared" si="170"/>
        <v>-244</v>
      </c>
      <c r="U572" s="7">
        <f t="shared" si="176"/>
        <v>3479</v>
      </c>
      <c r="V572" s="7">
        <f t="shared" si="177"/>
        <v>3428</v>
      </c>
      <c r="W572" s="7">
        <f t="shared" si="178"/>
        <v>3518</v>
      </c>
      <c r="X572" s="6"/>
      <c r="Y572" s="5"/>
      <c r="Z572" s="5"/>
      <c r="AA572" s="5"/>
      <c r="AB572" s="5"/>
    </row>
    <row r="573" spans="1:28" ht="13.15" customHeight="1">
      <c r="A573" s="10">
        <f t="shared" si="182"/>
        <v>559</v>
      </c>
      <c r="B573" s="4">
        <f t="shared" si="171"/>
        <v>45602</v>
      </c>
      <c r="C573" s="10">
        <f t="shared" si="172"/>
        <v>842</v>
      </c>
      <c r="D573" s="9">
        <f t="shared" si="163"/>
        <v>2344</v>
      </c>
      <c r="E573" s="8">
        <f t="shared" si="164"/>
        <v>981</v>
      </c>
      <c r="F573" s="8">
        <f t="shared" si="165"/>
        <v>1036</v>
      </c>
      <c r="G573" s="8">
        <f t="shared" si="166"/>
        <v>882</v>
      </c>
      <c r="H573" s="5">
        <f t="shared" si="167"/>
        <v>2205</v>
      </c>
      <c r="I573" s="5">
        <f t="shared" si="168"/>
        <v>2150</v>
      </c>
      <c r="J573" s="5">
        <f t="shared" si="169"/>
        <v>2304</v>
      </c>
      <c r="K573" s="5">
        <f t="shared" si="179"/>
        <v>3000</v>
      </c>
      <c r="L573" s="5">
        <f t="shared" si="180"/>
        <v>3000</v>
      </c>
      <c r="M573" s="5">
        <f t="shared" si="181"/>
        <v>3000</v>
      </c>
      <c r="N573" s="5">
        <f t="shared" si="173"/>
        <v>-795</v>
      </c>
      <c r="O573" s="5">
        <f t="shared" si="174"/>
        <v>-850</v>
      </c>
      <c r="P573" s="5">
        <f t="shared" si="175"/>
        <v>-696</v>
      </c>
      <c r="Q573" s="8">
        <v>4</v>
      </c>
      <c r="R573" s="8">
        <v>8</v>
      </c>
      <c r="S573" s="8">
        <v>4</v>
      </c>
      <c r="T573" s="6">
        <f t="shared" si="170"/>
        <v>-234</v>
      </c>
      <c r="U573" s="7">
        <f t="shared" si="176"/>
        <v>3475</v>
      </c>
      <c r="V573" s="7">
        <f t="shared" si="177"/>
        <v>3420</v>
      </c>
      <c r="W573" s="7">
        <f t="shared" si="178"/>
        <v>3514</v>
      </c>
      <c r="X573" s="6"/>
      <c r="Y573" s="5"/>
      <c r="Z573" s="5"/>
      <c r="AA573" s="5"/>
      <c r="AB573" s="5"/>
    </row>
    <row r="574" spans="1:28" ht="13.15" customHeight="1">
      <c r="A574" s="10">
        <f t="shared" si="182"/>
        <v>560</v>
      </c>
      <c r="B574" s="4">
        <f t="shared" si="171"/>
        <v>45603</v>
      </c>
      <c r="C574" s="10">
        <f t="shared" si="172"/>
        <v>842</v>
      </c>
      <c r="D574" s="9">
        <f t="shared" si="163"/>
        <v>2346</v>
      </c>
      <c r="E574" s="8">
        <f t="shared" si="164"/>
        <v>986</v>
      </c>
      <c r="F574" s="8">
        <f t="shared" si="165"/>
        <v>1047</v>
      </c>
      <c r="G574" s="8">
        <f t="shared" si="166"/>
        <v>891</v>
      </c>
      <c r="H574" s="5">
        <f t="shared" si="167"/>
        <v>2202</v>
      </c>
      <c r="I574" s="5">
        <f t="shared" si="168"/>
        <v>2141</v>
      </c>
      <c r="J574" s="5">
        <f t="shared" si="169"/>
        <v>2297</v>
      </c>
      <c r="K574" s="5">
        <f t="shared" si="179"/>
        <v>3000</v>
      </c>
      <c r="L574" s="5">
        <f t="shared" si="180"/>
        <v>3000</v>
      </c>
      <c r="M574" s="5">
        <f t="shared" si="181"/>
        <v>3000</v>
      </c>
      <c r="N574" s="5">
        <f t="shared" si="173"/>
        <v>-798</v>
      </c>
      <c r="O574" s="5">
        <f t="shared" si="174"/>
        <v>-859</v>
      </c>
      <c r="P574" s="5">
        <f t="shared" si="175"/>
        <v>-703</v>
      </c>
      <c r="Q574" s="8">
        <v>3</v>
      </c>
      <c r="R574" s="8">
        <v>9</v>
      </c>
      <c r="S574" s="8">
        <v>7</v>
      </c>
      <c r="T574" s="6">
        <f t="shared" si="170"/>
        <v>-223</v>
      </c>
      <c r="U574" s="7">
        <f t="shared" si="176"/>
        <v>3472</v>
      </c>
      <c r="V574" s="7">
        <f t="shared" si="177"/>
        <v>3411</v>
      </c>
      <c r="W574" s="7">
        <f t="shared" si="178"/>
        <v>3507</v>
      </c>
      <c r="X574" s="6"/>
      <c r="Y574" s="5"/>
      <c r="Z574" s="5"/>
      <c r="AA574" s="5"/>
      <c r="AB574" s="5"/>
    </row>
    <row r="575" spans="1:28" ht="13.15" customHeight="1">
      <c r="A575" s="10">
        <f t="shared" si="182"/>
        <v>561</v>
      </c>
      <c r="B575" s="4">
        <f t="shared" si="171"/>
        <v>45604</v>
      </c>
      <c r="C575" s="10">
        <f t="shared" si="172"/>
        <v>842</v>
      </c>
      <c r="D575" s="9">
        <f t="shared" ref="D575:D638" si="183">D574+2</f>
        <v>2348</v>
      </c>
      <c r="E575" s="8">
        <f t="shared" si="164"/>
        <v>990</v>
      </c>
      <c r="F575" s="8">
        <f t="shared" si="165"/>
        <v>1057</v>
      </c>
      <c r="G575" s="8">
        <f t="shared" si="166"/>
        <v>898</v>
      </c>
      <c r="H575" s="5">
        <f t="shared" si="167"/>
        <v>2200</v>
      </c>
      <c r="I575" s="5">
        <f t="shared" si="168"/>
        <v>2133</v>
      </c>
      <c r="J575" s="5">
        <f t="shared" si="169"/>
        <v>2292</v>
      </c>
      <c r="K575" s="5">
        <f t="shared" si="179"/>
        <v>3000</v>
      </c>
      <c r="L575" s="5">
        <f t="shared" si="180"/>
        <v>3000</v>
      </c>
      <c r="M575" s="5">
        <f t="shared" si="181"/>
        <v>3000</v>
      </c>
      <c r="N575" s="5">
        <f t="shared" si="173"/>
        <v>-800</v>
      </c>
      <c r="O575" s="5">
        <f t="shared" si="174"/>
        <v>-867</v>
      </c>
      <c r="P575" s="5">
        <f t="shared" si="175"/>
        <v>-708</v>
      </c>
      <c r="Q575" s="8">
        <v>2</v>
      </c>
      <c r="R575" s="8">
        <v>8</v>
      </c>
      <c r="S575" s="8">
        <v>5</v>
      </c>
      <c r="T575" s="6">
        <f t="shared" si="170"/>
        <v>-213</v>
      </c>
      <c r="U575" s="7">
        <f t="shared" si="176"/>
        <v>3470</v>
      </c>
      <c r="V575" s="7">
        <f t="shared" si="177"/>
        <v>3403</v>
      </c>
      <c r="W575" s="7">
        <f t="shared" si="178"/>
        <v>3502</v>
      </c>
      <c r="X575" s="6"/>
      <c r="Y575" s="5"/>
      <c r="Z575" s="5"/>
      <c r="AA575" s="5"/>
      <c r="AB575" s="5"/>
    </row>
    <row r="576" spans="1:28" ht="13.15" customHeight="1">
      <c r="A576" s="10">
        <f t="shared" si="182"/>
        <v>562</v>
      </c>
      <c r="B576" s="4">
        <f t="shared" si="171"/>
        <v>45605</v>
      </c>
      <c r="C576" s="10">
        <f t="shared" si="172"/>
        <v>842</v>
      </c>
      <c r="D576" s="9">
        <f t="shared" si="183"/>
        <v>2350</v>
      </c>
      <c r="E576" s="8">
        <f t="shared" si="164"/>
        <v>996</v>
      </c>
      <c r="F576" s="8">
        <f t="shared" si="165"/>
        <v>1068</v>
      </c>
      <c r="G576" s="8">
        <f t="shared" si="166"/>
        <v>905</v>
      </c>
      <c r="H576" s="5">
        <f t="shared" si="167"/>
        <v>2196</v>
      </c>
      <c r="I576" s="5">
        <f t="shared" si="168"/>
        <v>2124</v>
      </c>
      <c r="J576" s="5">
        <f t="shared" si="169"/>
        <v>2287</v>
      </c>
      <c r="K576" s="5">
        <f t="shared" si="179"/>
        <v>3000</v>
      </c>
      <c r="L576" s="5">
        <f t="shared" si="180"/>
        <v>3000</v>
      </c>
      <c r="M576" s="5">
        <f t="shared" si="181"/>
        <v>3000</v>
      </c>
      <c r="N576" s="5">
        <f t="shared" si="173"/>
        <v>-804</v>
      </c>
      <c r="O576" s="5">
        <f t="shared" si="174"/>
        <v>-876</v>
      </c>
      <c r="P576" s="5">
        <f t="shared" si="175"/>
        <v>-713</v>
      </c>
      <c r="Q576" s="8">
        <v>4</v>
      </c>
      <c r="R576" s="8">
        <v>9</v>
      </c>
      <c r="S576" s="8">
        <v>5</v>
      </c>
      <c r="T576" s="6">
        <f t="shared" si="170"/>
        <v>-202</v>
      </c>
      <c r="U576" s="7">
        <f t="shared" si="176"/>
        <v>3466</v>
      </c>
      <c r="V576" s="7">
        <f t="shared" si="177"/>
        <v>3394</v>
      </c>
      <c r="W576" s="7">
        <f t="shared" si="178"/>
        <v>3497</v>
      </c>
      <c r="X576" s="6"/>
      <c r="Y576" s="5"/>
      <c r="Z576" s="5"/>
      <c r="AA576" s="5"/>
      <c r="AB576" s="5"/>
    </row>
    <row r="577" spans="1:28" ht="13.15" customHeight="1">
      <c r="A577" s="10">
        <f t="shared" si="182"/>
        <v>563</v>
      </c>
      <c r="B577" s="4">
        <f t="shared" si="171"/>
        <v>45606</v>
      </c>
      <c r="C577" s="10">
        <f t="shared" si="172"/>
        <v>842</v>
      </c>
      <c r="D577" s="9">
        <f t="shared" si="183"/>
        <v>2352</v>
      </c>
      <c r="E577" s="8">
        <f t="shared" si="164"/>
        <v>1001</v>
      </c>
      <c r="F577" s="8">
        <f t="shared" si="165"/>
        <v>1078</v>
      </c>
      <c r="G577" s="8">
        <f t="shared" si="166"/>
        <v>911</v>
      </c>
      <c r="H577" s="5">
        <f t="shared" si="167"/>
        <v>2193</v>
      </c>
      <c r="I577" s="5">
        <f t="shared" si="168"/>
        <v>2116</v>
      </c>
      <c r="J577" s="5">
        <f t="shared" si="169"/>
        <v>2283</v>
      </c>
      <c r="K577" s="5">
        <f t="shared" si="179"/>
        <v>3000</v>
      </c>
      <c r="L577" s="5">
        <f t="shared" si="180"/>
        <v>3000</v>
      </c>
      <c r="M577" s="5">
        <f t="shared" si="181"/>
        <v>3000</v>
      </c>
      <c r="N577" s="5">
        <f t="shared" si="173"/>
        <v>-807</v>
      </c>
      <c r="O577" s="5">
        <f t="shared" si="174"/>
        <v>-884</v>
      </c>
      <c r="P577" s="5">
        <f t="shared" si="175"/>
        <v>-717</v>
      </c>
      <c r="Q577" s="8">
        <v>3</v>
      </c>
      <c r="R577" s="8">
        <v>8</v>
      </c>
      <c r="S577" s="8">
        <v>4</v>
      </c>
      <c r="T577" s="6">
        <f t="shared" si="170"/>
        <v>-192</v>
      </c>
      <c r="U577" s="7">
        <f t="shared" si="176"/>
        <v>3463</v>
      </c>
      <c r="V577" s="7">
        <f t="shared" si="177"/>
        <v>3386</v>
      </c>
      <c r="W577" s="7">
        <f t="shared" si="178"/>
        <v>3493</v>
      </c>
      <c r="X577" s="6"/>
      <c r="Y577" s="5"/>
      <c r="Z577" s="5"/>
      <c r="AA577" s="5"/>
      <c r="AB577" s="5"/>
    </row>
    <row r="578" spans="1:28" ht="13.15" customHeight="1">
      <c r="A578" s="10">
        <f t="shared" si="182"/>
        <v>564</v>
      </c>
      <c r="B578" s="4">
        <f t="shared" si="171"/>
        <v>45607</v>
      </c>
      <c r="C578" s="10">
        <f t="shared" si="172"/>
        <v>842</v>
      </c>
      <c r="D578" s="9">
        <f t="shared" si="183"/>
        <v>2354</v>
      </c>
      <c r="E578" s="8">
        <f t="shared" si="164"/>
        <v>1005</v>
      </c>
      <c r="F578" s="8">
        <f t="shared" si="165"/>
        <v>1087</v>
      </c>
      <c r="G578" s="8">
        <f t="shared" si="166"/>
        <v>916</v>
      </c>
      <c r="H578" s="5">
        <f t="shared" si="167"/>
        <v>2191</v>
      </c>
      <c r="I578" s="5">
        <f t="shared" si="168"/>
        <v>2109</v>
      </c>
      <c r="J578" s="5">
        <f t="shared" si="169"/>
        <v>2280</v>
      </c>
      <c r="K578" s="5">
        <f t="shared" si="179"/>
        <v>3000</v>
      </c>
      <c r="L578" s="5">
        <f t="shared" si="180"/>
        <v>3000</v>
      </c>
      <c r="M578" s="5">
        <f t="shared" si="181"/>
        <v>3000</v>
      </c>
      <c r="N578" s="5">
        <f t="shared" si="173"/>
        <v>-809</v>
      </c>
      <c r="O578" s="5">
        <f t="shared" si="174"/>
        <v>-891</v>
      </c>
      <c r="P578" s="5">
        <f t="shared" si="175"/>
        <v>-720</v>
      </c>
      <c r="Q578" s="8">
        <v>2</v>
      </c>
      <c r="R578" s="8">
        <v>7</v>
      </c>
      <c r="S578" s="8">
        <v>3</v>
      </c>
      <c r="T578" s="6">
        <f t="shared" si="170"/>
        <v>-183</v>
      </c>
      <c r="U578" s="7">
        <f t="shared" si="176"/>
        <v>3461</v>
      </c>
      <c r="V578" s="7">
        <f t="shared" si="177"/>
        <v>3379</v>
      </c>
      <c r="W578" s="7">
        <f t="shared" si="178"/>
        <v>3490</v>
      </c>
      <c r="X578" s="6"/>
      <c r="Y578" s="5"/>
      <c r="Z578" s="5"/>
      <c r="AA578" s="5"/>
      <c r="AB578" s="5"/>
    </row>
    <row r="579" spans="1:28" ht="13.15" customHeight="1">
      <c r="A579" s="10">
        <f t="shared" si="182"/>
        <v>565</v>
      </c>
      <c r="B579" s="4">
        <f t="shared" si="171"/>
        <v>45608</v>
      </c>
      <c r="C579" s="10">
        <f t="shared" si="172"/>
        <v>842</v>
      </c>
      <c r="D579" s="9">
        <f t="shared" si="183"/>
        <v>2356</v>
      </c>
      <c r="E579" s="8">
        <f t="shared" si="164"/>
        <v>1011</v>
      </c>
      <c r="F579" s="8">
        <f t="shared" si="165"/>
        <v>1098</v>
      </c>
      <c r="G579" s="8">
        <f t="shared" si="166"/>
        <v>920</v>
      </c>
      <c r="H579" s="5">
        <f t="shared" si="167"/>
        <v>2187</v>
      </c>
      <c r="I579" s="5">
        <f t="shared" si="168"/>
        <v>2100</v>
      </c>
      <c r="J579" s="5">
        <f t="shared" si="169"/>
        <v>2278</v>
      </c>
      <c r="K579" s="5">
        <f t="shared" si="179"/>
        <v>3000</v>
      </c>
      <c r="L579" s="5">
        <f t="shared" si="180"/>
        <v>3000</v>
      </c>
      <c r="M579" s="5">
        <f t="shared" si="181"/>
        <v>3000</v>
      </c>
      <c r="N579" s="5">
        <f t="shared" si="173"/>
        <v>-813</v>
      </c>
      <c r="O579" s="5">
        <f t="shared" si="174"/>
        <v>-900</v>
      </c>
      <c r="P579" s="5">
        <f t="shared" si="175"/>
        <v>-722</v>
      </c>
      <c r="Q579" s="8">
        <v>4</v>
      </c>
      <c r="R579" s="8">
        <v>9</v>
      </c>
      <c r="S579" s="8">
        <v>2</v>
      </c>
      <c r="T579" s="6">
        <f t="shared" si="170"/>
        <v>-172</v>
      </c>
      <c r="U579" s="7">
        <f t="shared" si="176"/>
        <v>3457</v>
      </c>
      <c r="V579" s="7">
        <f t="shared" si="177"/>
        <v>3370</v>
      </c>
      <c r="W579" s="7">
        <f t="shared" si="178"/>
        <v>3488</v>
      </c>
      <c r="X579" s="6"/>
      <c r="Y579" s="5"/>
      <c r="Z579" s="5"/>
      <c r="AA579" s="5"/>
      <c r="AB579" s="5"/>
    </row>
    <row r="580" spans="1:28" ht="13.15" customHeight="1">
      <c r="A580" s="10">
        <f t="shared" si="182"/>
        <v>566</v>
      </c>
      <c r="B580" s="4">
        <f t="shared" si="171"/>
        <v>45609</v>
      </c>
      <c r="C580" s="10">
        <f t="shared" si="172"/>
        <v>842</v>
      </c>
      <c r="D580" s="9">
        <f t="shared" si="183"/>
        <v>2358</v>
      </c>
      <c r="E580" s="8">
        <f t="shared" si="164"/>
        <v>1020</v>
      </c>
      <c r="F580" s="8">
        <f t="shared" si="165"/>
        <v>1108</v>
      </c>
      <c r="G580" s="8">
        <f t="shared" si="166"/>
        <v>926</v>
      </c>
      <c r="H580" s="5">
        <f t="shared" si="167"/>
        <v>2180</v>
      </c>
      <c r="I580" s="5">
        <f t="shared" si="168"/>
        <v>2092</v>
      </c>
      <c r="J580" s="5">
        <f t="shared" si="169"/>
        <v>2274</v>
      </c>
      <c r="K580" s="5">
        <f t="shared" si="179"/>
        <v>3000</v>
      </c>
      <c r="L580" s="5">
        <f t="shared" si="180"/>
        <v>3000</v>
      </c>
      <c r="M580" s="5">
        <f t="shared" si="181"/>
        <v>3000</v>
      </c>
      <c r="N580" s="5">
        <f t="shared" si="173"/>
        <v>-820</v>
      </c>
      <c r="O580" s="5">
        <f t="shared" si="174"/>
        <v>-908</v>
      </c>
      <c r="P580" s="5">
        <f t="shared" si="175"/>
        <v>-726</v>
      </c>
      <c r="Q580" s="8">
        <v>7</v>
      </c>
      <c r="R580" s="8">
        <v>8</v>
      </c>
      <c r="S580" s="8">
        <v>4</v>
      </c>
      <c r="T580" s="6">
        <f t="shared" si="170"/>
        <v>-162</v>
      </c>
      <c r="U580" s="7">
        <f t="shared" si="176"/>
        <v>3450</v>
      </c>
      <c r="V580" s="7">
        <f t="shared" si="177"/>
        <v>3362</v>
      </c>
      <c r="W580" s="7">
        <f t="shared" si="178"/>
        <v>3484</v>
      </c>
      <c r="X580" s="6"/>
      <c r="Y580" s="5"/>
      <c r="Z580" s="5"/>
      <c r="AA580" s="5"/>
      <c r="AB580" s="5"/>
    </row>
    <row r="581" spans="1:28" ht="13.15" customHeight="1">
      <c r="A581" s="10">
        <f t="shared" si="182"/>
        <v>567</v>
      </c>
      <c r="B581" s="4">
        <f t="shared" si="171"/>
        <v>45610</v>
      </c>
      <c r="C581" s="10">
        <f t="shared" si="172"/>
        <v>842</v>
      </c>
      <c r="D581" s="9">
        <f t="shared" si="183"/>
        <v>2360</v>
      </c>
      <c r="E581" s="8">
        <f t="shared" si="164"/>
        <v>1027</v>
      </c>
      <c r="F581" s="8">
        <f t="shared" si="165"/>
        <v>1117</v>
      </c>
      <c r="G581" s="8">
        <f t="shared" si="166"/>
        <v>931</v>
      </c>
      <c r="H581" s="5">
        <f t="shared" si="167"/>
        <v>2175</v>
      </c>
      <c r="I581" s="5">
        <f t="shared" si="168"/>
        <v>2085</v>
      </c>
      <c r="J581" s="5">
        <f t="shared" si="169"/>
        <v>2271</v>
      </c>
      <c r="K581" s="5">
        <f t="shared" si="179"/>
        <v>3000</v>
      </c>
      <c r="L581" s="5">
        <f t="shared" si="180"/>
        <v>3000</v>
      </c>
      <c r="M581" s="5">
        <f t="shared" si="181"/>
        <v>3000</v>
      </c>
      <c r="N581" s="5">
        <f t="shared" si="173"/>
        <v>-825</v>
      </c>
      <c r="O581" s="5">
        <f t="shared" si="174"/>
        <v>-915</v>
      </c>
      <c r="P581" s="5">
        <f t="shared" si="175"/>
        <v>-729</v>
      </c>
      <c r="Q581" s="8">
        <v>5</v>
      </c>
      <c r="R581" s="8">
        <v>7</v>
      </c>
      <c r="S581" s="8">
        <v>3</v>
      </c>
      <c r="T581" s="6">
        <f t="shared" si="170"/>
        <v>-153</v>
      </c>
      <c r="U581" s="7">
        <f t="shared" si="176"/>
        <v>3445</v>
      </c>
      <c r="V581" s="7">
        <f t="shared" si="177"/>
        <v>3355</v>
      </c>
      <c r="W581" s="7">
        <f t="shared" si="178"/>
        <v>3481</v>
      </c>
      <c r="X581" s="6"/>
      <c r="Y581" s="5"/>
      <c r="Z581" s="5"/>
      <c r="AA581" s="5"/>
      <c r="AB581" s="5"/>
    </row>
    <row r="582" spans="1:28" ht="13.15" customHeight="1">
      <c r="A582" s="10">
        <f t="shared" si="182"/>
        <v>568</v>
      </c>
      <c r="B582" s="4">
        <f t="shared" si="171"/>
        <v>45611</v>
      </c>
      <c r="C582" s="10">
        <f t="shared" si="172"/>
        <v>842</v>
      </c>
      <c r="D582" s="9">
        <f t="shared" si="183"/>
        <v>2362</v>
      </c>
      <c r="E582" s="8">
        <f t="shared" si="164"/>
        <v>1034</v>
      </c>
      <c r="F582" s="8">
        <f t="shared" si="165"/>
        <v>1126</v>
      </c>
      <c r="G582" s="8">
        <f t="shared" si="166"/>
        <v>935</v>
      </c>
      <c r="H582" s="5">
        <f t="shared" si="167"/>
        <v>2170</v>
      </c>
      <c r="I582" s="5">
        <f t="shared" si="168"/>
        <v>2078</v>
      </c>
      <c r="J582" s="5">
        <f t="shared" si="169"/>
        <v>2269</v>
      </c>
      <c r="K582" s="5">
        <f t="shared" si="179"/>
        <v>3000</v>
      </c>
      <c r="L582" s="5">
        <f t="shared" si="180"/>
        <v>3000</v>
      </c>
      <c r="M582" s="5">
        <f t="shared" si="181"/>
        <v>3000</v>
      </c>
      <c r="N582" s="5">
        <f t="shared" si="173"/>
        <v>-830</v>
      </c>
      <c r="O582" s="5">
        <f t="shared" si="174"/>
        <v>-922</v>
      </c>
      <c r="P582" s="5">
        <f t="shared" si="175"/>
        <v>-731</v>
      </c>
      <c r="Q582" s="8">
        <v>5</v>
      </c>
      <c r="R582" s="8">
        <v>7</v>
      </c>
      <c r="S582" s="8">
        <v>2</v>
      </c>
      <c r="T582" s="6">
        <f t="shared" si="170"/>
        <v>-144</v>
      </c>
      <c r="U582" s="7">
        <f t="shared" si="176"/>
        <v>3440</v>
      </c>
      <c r="V582" s="7">
        <f t="shared" si="177"/>
        <v>3348</v>
      </c>
      <c r="W582" s="7">
        <f t="shared" si="178"/>
        <v>3479</v>
      </c>
      <c r="X582" s="6"/>
      <c r="Y582" s="5"/>
      <c r="Z582" s="5"/>
      <c r="AA582" s="5"/>
      <c r="AB582" s="5"/>
    </row>
    <row r="583" spans="1:28" ht="13.15" customHeight="1">
      <c r="A583" s="10">
        <f t="shared" si="182"/>
        <v>569</v>
      </c>
      <c r="B583" s="4">
        <f t="shared" si="171"/>
        <v>45612</v>
      </c>
      <c r="C583" s="10">
        <f t="shared" si="172"/>
        <v>842</v>
      </c>
      <c r="D583" s="9">
        <f t="shared" si="183"/>
        <v>2364</v>
      </c>
      <c r="E583" s="8">
        <f t="shared" si="164"/>
        <v>1040</v>
      </c>
      <c r="F583" s="8">
        <f t="shared" si="165"/>
        <v>1134</v>
      </c>
      <c r="G583" s="8">
        <f t="shared" si="166"/>
        <v>941</v>
      </c>
      <c r="H583" s="5">
        <f t="shared" si="167"/>
        <v>2166</v>
      </c>
      <c r="I583" s="5">
        <f t="shared" si="168"/>
        <v>2072</v>
      </c>
      <c r="J583" s="5">
        <f t="shared" si="169"/>
        <v>2265</v>
      </c>
      <c r="K583" s="5">
        <f t="shared" si="179"/>
        <v>3000</v>
      </c>
      <c r="L583" s="5">
        <f t="shared" si="180"/>
        <v>3000</v>
      </c>
      <c r="M583" s="5">
        <f t="shared" si="181"/>
        <v>3000</v>
      </c>
      <c r="N583" s="5">
        <f t="shared" si="173"/>
        <v>-834</v>
      </c>
      <c r="O583" s="5">
        <f t="shared" si="174"/>
        <v>-928</v>
      </c>
      <c r="P583" s="5">
        <f t="shared" si="175"/>
        <v>-735</v>
      </c>
      <c r="Q583" s="8">
        <v>4</v>
      </c>
      <c r="R583" s="8">
        <v>6</v>
      </c>
      <c r="S583" s="8">
        <v>4</v>
      </c>
      <c r="T583" s="6">
        <f t="shared" si="170"/>
        <v>-136</v>
      </c>
      <c r="U583" s="7">
        <f t="shared" si="176"/>
        <v>3436</v>
      </c>
      <c r="V583" s="7">
        <f t="shared" si="177"/>
        <v>3342</v>
      </c>
      <c r="W583" s="7">
        <f t="shared" si="178"/>
        <v>3475</v>
      </c>
      <c r="X583" s="6"/>
      <c r="Y583" s="5"/>
      <c r="Z583" s="5"/>
      <c r="AA583" s="5"/>
      <c r="AB583" s="5"/>
    </row>
    <row r="584" spans="1:28" ht="13.15" customHeight="1">
      <c r="A584" s="10">
        <f t="shared" si="182"/>
        <v>570</v>
      </c>
      <c r="B584" s="4">
        <f t="shared" si="171"/>
        <v>45613</v>
      </c>
      <c r="C584" s="10">
        <f t="shared" si="172"/>
        <v>842</v>
      </c>
      <c r="D584" s="9">
        <f t="shared" si="183"/>
        <v>2366</v>
      </c>
      <c r="E584" s="8">
        <f t="shared" si="164"/>
        <v>1045</v>
      </c>
      <c r="F584" s="8">
        <f t="shared" si="165"/>
        <v>1139</v>
      </c>
      <c r="G584" s="8">
        <f t="shared" si="166"/>
        <v>950</v>
      </c>
      <c r="H584" s="5">
        <f t="shared" si="167"/>
        <v>2163</v>
      </c>
      <c r="I584" s="5">
        <f t="shared" si="168"/>
        <v>2069</v>
      </c>
      <c r="J584" s="5">
        <f t="shared" si="169"/>
        <v>2258</v>
      </c>
      <c r="K584" s="5">
        <f t="shared" si="179"/>
        <v>3000</v>
      </c>
      <c r="L584" s="5">
        <f t="shared" si="180"/>
        <v>3000</v>
      </c>
      <c r="M584" s="5">
        <f t="shared" si="181"/>
        <v>3000</v>
      </c>
      <c r="N584" s="5">
        <f t="shared" si="173"/>
        <v>-837</v>
      </c>
      <c r="O584" s="5">
        <f t="shared" si="174"/>
        <v>-931</v>
      </c>
      <c r="P584" s="5">
        <f t="shared" si="175"/>
        <v>-742</v>
      </c>
      <c r="Q584" s="8">
        <v>3</v>
      </c>
      <c r="R584" s="8">
        <v>3</v>
      </c>
      <c r="S584" s="8">
        <v>7</v>
      </c>
      <c r="T584" s="6">
        <f t="shared" si="170"/>
        <v>-131</v>
      </c>
      <c r="U584" s="7">
        <f t="shared" si="176"/>
        <v>3433</v>
      </c>
      <c r="V584" s="7">
        <f t="shared" si="177"/>
        <v>3339</v>
      </c>
      <c r="W584" s="7">
        <f t="shared" si="178"/>
        <v>3468</v>
      </c>
      <c r="X584" s="6"/>
      <c r="Y584" s="5"/>
      <c r="Z584" s="5"/>
      <c r="AA584" s="5"/>
      <c r="AB584" s="5"/>
    </row>
    <row r="585" spans="1:28" ht="13.15" customHeight="1">
      <c r="A585" s="10">
        <f t="shared" si="182"/>
        <v>571</v>
      </c>
      <c r="B585" s="4">
        <f t="shared" si="171"/>
        <v>45614</v>
      </c>
      <c r="C585" s="10">
        <f t="shared" si="172"/>
        <v>842</v>
      </c>
      <c r="D585" s="9">
        <f t="shared" si="183"/>
        <v>2368</v>
      </c>
      <c r="E585" s="8">
        <f t="shared" si="164"/>
        <v>1049</v>
      </c>
      <c r="F585" s="8">
        <f t="shared" si="165"/>
        <v>1143</v>
      </c>
      <c r="G585" s="8">
        <f t="shared" si="166"/>
        <v>957</v>
      </c>
      <c r="H585" s="5">
        <f t="shared" si="167"/>
        <v>2161</v>
      </c>
      <c r="I585" s="5">
        <f t="shared" si="168"/>
        <v>2067</v>
      </c>
      <c r="J585" s="5">
        <f t="shared" si="169"/>
        <v>2253</v>
      </c>
      <c r="K585" s="5">
        <f t="shared" si="179"/>
        <v>3000</v>
      </c>
      <c r="L585" s="5">
        <f t="shared" si="180"/>
        <v>3000</v>
      </c>
      <c r="M585" s="5">
        <f t="shared" si="181"/>
        <v>3000</v>
      </c>
      <c r="N585" s="5">
        <f t="shared" si="173"/>
        <v>-839</v>
      </c>
      <c r="O585" s="5">
        <f t="shared" si="174"/>
        <v>-933</v>
      </c>
      <c r="P585" s="5">
        <f t="shared" si="175"/>
        <v>-747</v>
      </c>
      <c r="Q585" s="8">
        <v>2</v>
      </c>
      <c r="R585" s="8">
        <v>2</v>
      </c>
      <c r="S585" s="8">
        <v>5</v>
      </c>
      <c r="T585" s="6">
        <f t="shared" si="170"/>
        <v>-127</v>
      </c>
      <c r="U585" s="7">
        <f t="shared" si="176"/>
        <v>3431</v>
      </c>
      <c r="V585" s="7">
        <f t="shared" si="177"/>
        <v>3337</v>
      </c>
      <c r="W585" s="7">
        <f t="shared" si="178"/>
        <v>3463</v>
      </c>
      <c r="X585" s="6"/>
      <c r="Y585" s="5"/>
      <c r="Z585" s="5"/>
      <c r="AA585" s="5"/>
      <c r="AB585" s="5"/>
    </row>
    <row r="586" spans="1:28" ht="13.15" customHeight="1">
      <c r="A586" s="10">
        <f t="shared" si="182"/>
        <v>572</v>
      </c>
      <c r="B586" s="4">
        <f t="shared" si="171"/>
        <v>45615</v>
      </c>
      <c r="C586" s="10">
        <f t="shared" si="172"/>
        <v>842</v>
      </c>
      <c r="D586" s="9">
        <f t="shared" si="183"/>
        <v>2370</v>
      </c>
      <c r="E586" s="8">
        <f t="shared" si="164"/>
        <v>1055</v>
      </c>
      <c r="F586" s="8">
        <f t="shared" si="165"/>
        <v>1149</v>
      </c>
      <c r="G586" s="8">
        <f t="shared" si="166"/>
        <v>964</v>
      </c>
      <c r="H586" s="5">
        <f t="shared" si="167"/>
        <v>2157</v>
      </c>
      <c r="I586" s="5">
        <f t="shared" si="168"/>
        <v>2063</v>
      </c>
      <c r="J586" s="5">
        <f t="shared" si="169"/>
        <v>2248</v>
      </c>
      <c r="K586" s="5">
        <f t="shared" si="179"/>
        <v>3000</v>
      </c>
      <c r="L586" s="5">
        <f t="shared" si="180"/>
        <v>3000</v>
      </c>
      <c r="M586" s="5">
        <f t="shared" si="181"/>
        <v>3000</v>
      </c>
      <c r="N586" s="5">
        <f t="shared" si="173"/>
        <v>-843</v>
      </c>
      <c r="O586" s="5">
        <f t="shared" si="174"/>
        <v>-937</v>
      </c>
      <c r="P586" s="5">
        <f t="shared" si="175"/>
        <v>-752</v>
      </c>
      <c r="Q586" s="8">
        <v>4</v>
      </c>
      <c r="R586" s="8">
        <v>4</v>
      </c>
      <c r="S586" s="8">
        <v>5</v>
      </c>
      <c r="T586" s="6">
        <f t="shared" si="170"/>
        <v>-121</v>
      </c>
      <c r="U586" s="7">
        <f t="shared" si="176"/>
        <v>3427</v>
      </c>
      <c r="V586" s="7">
        <f t="shared" si="177"/>
        <v>3333</v>
      </c>
      <c r="W586" s="7">
        <f t="shared" si="178"/>
        <v>3458</v>
      </c>
      <c r="X586" s="6"/>
      <c r="Y586" s="5"/>
      <c r="Z586" s="5"/>
      <c r="AA586" s="5"/>
      <c r="AB586" s="5"/>
    </row>
    <row r="587" spans="1:28" ht="13.15" customHeight="1">
      <c r="A587" s="10">
        <f t="shared" si="182"/>
        <v>573</v>
      </c>
      <c r="B587" s="4">
        <f t="shared" si="171"/>
        <v>45616</v>
      </c>
      <c r="C587" s="10">
        <f t="shared" si="172"/>
        <v>842</v>
      </c>
      <c r="D587" s="9">
        <f t="shared" si="183"/>
        <v>2372</v>
      </c>
      <c r="E587" s="8">
        <f t="shared" si="164"/>
        <v>1060</v>
      </c>
      <c r="F587" s="8">
        <f t="shared" si="165"/>
        <v>1154</v>
      </c>
      <c r="G587" s="8">
        <f t="shared" si="166"/>
        <v>970</v>
      </c>
      <c r="H587" s="5">
        <f t="shared" si="167"/>
        <v>2154</v>
      </c>
      <c r="I587" s="5">
        <f t="shared" si="168"/>
        <v>2060</v>
      </c>
      <c r="J587" s="5">
        <f t="shared" si="169"/>
        <v>2244</v>
      </c>
      <c r="K587" s="5">
        <f t="shared" si="179"/>
        <v>3000</v>
      </c>
      <c r="L587" s="5">
        <f t="shared" si="180"/>
        <v>3000</v>
      </c>
      <c r="M587" s="5">
        <f t="shared" si="181"/>
        <v>3000</v>
      </c>
      <c r="N587" s="5">
        <f t="shared" si="173"/>
        <v>-846</v>
      </c>
      <c r="O587" s="5">
        <f t="shared" si="174"/>
        <v>-940</v>
      </c>
      <c r="P587" s="5">
        <f t="shared" si="175"/>
        <v>-756</v>
      </c>
      <c r="Q587" s="8">
        <v>3</v>
      </c>
      <c r="R587" s="8">
        <v>3</v>
      </c>
      <c r="S587" s="8">
        <v>4</v>
      </c>
      <c r="T587" s="6">
        <f t="shared" si="170"/>
        <v>-116</v>
      </c>
      <c r="U587" s="7">
        <f t="shared" si="176"/>
        <v>3424</v>
      </c>
      <c r="V587" s="7">
        <f t="shared" si="177"/>
        <v>3330</v>
      </c>
      <c r="W587" s="7">
        <f t="shared" si="178"/>
        <v>3454</v>
      </c>
      <c r="X587" s="6"/>
      <c r="Y587" s="5"/>
      <c r="Z587" s="5"/>
      <c r="AA587" s="5"/>
      <c r="AB587" s="5"/>
    </row>
    <row r="588" spans="1:28" ht="13.15" customHeight="1">
      <c r="A588" s="10">
        <f t="shared" si="182"/>
        <v>574</v>
      </c>
      <c r="B588" s="4">
        <f t="shared" si="171"/>
        <v>45617</v>
      </c>
      <c r="C588" s="10">
        <f t="shared" si="172"/>
        <v>842</v>
      </c>
      <c r="D588" s="9">
        <f t="shared" si="183"/>
        <v>2374</v>
      </c>
      <c r="E588" s="8">
        <f t="shared" si="164"/>
        <v>1066</v>
      </c>
      <c r="F588" s="8">
        <f t="shared" si="165"/>
        <v>1160</v>
      </c>
      <c r="G588" s="8">
        <f t="shared" si="166"/>
        <v>975</v>
      </c>
      <c r="H588" s="5">
        <f t="shared" si="167"/>
        <v>2150</v>
      </c>
      <c r="I588" s="5">
        <f t="shared" si="168"/>
        <v>2056</v>
      </c>
      <c r="J588" s="5">
        <f t="shared" si="169"/>
        <v>2241</v>
      </c>
      <c r="K588" s="5">
        <f t="shared" si="179"/>
        <v>3000</v>
      </c>
      <c r="L588" s="5">
        <f t="shared" si="180"/>
        <v>3000</v>
      </c>
      <c r="M588" s="5">
        <f t="shared" si="181"/>
        <v>3000</v>
      </c>
      <c r="N588" s="5">
        <f t="shared" si="173"/>
        <v>-850</v>
      </c>
      <c r="O588" s="5">
        <f t="shared" si="174"/>
        <v>-944</v>
      </c>
      <c r="P588" s="5">
        <f t="shared" si="175"/>
        <v>-759</v>
      </c>
      <c r="Q588" s="8">
        <v>4</v>
      </c>
      <c r="R588" s="8">
        <v>4</v>
      </c>
      <c r="S588" s="8">
        <v>3</v>
      </c>
      <c r="T588" s="6">
        <f t="shared" si="170"/>
        <v>-110</v>
      </c>
      <c r="U588" s="7">
        <f t="shared" si="176"/>
        <v>3420</v>
      </c>
      <c r="V588" s="7">
        <f t="shared" si="177"/>
        <v>3326</v>
      </c>
      <c r="W588" s="7">
        <f t="shared" si="178"/>
        <v>3451</v>
      </c>
      <c r="X588" s="6"/>
      <c r="Y588" s="5"/>
      <c r="Z588" s="5"/>
      <c r="AA588" s="5"/>
      <c r="AB588" s="5"/>
    </row>
    <row r="589" spans="1:28" ht="13.15" customHeight="1">
      <c r="A589" s="10">
        <f t="shared" si="182"/>
        <v>575</v>
      </c>
      <c r="B589" s="4">
        <f t="shared" si="171"/>
        <v>45618</v>
      </c>
      <c r="C589" s="10">
        <f t="shared" si="172"/>
        <v>842</v>
      </c>
      <c r="D589" s="9">
        <f t="shared" si="183"/>
        <v>2376</v>
      </c>
      <c r="E589" s="8">
        <f t="shared" si="164"/>
        <v>1075</v>
      </c>
      <c r="F589" s="8">
        <f t="shared" si="165"/>
        <v>1165</v>
      </c>
      <c r="G589" s="8">
        <f t="shared" si="166"/>
        <v>979</v>
      </c>
      <c r="H589" s="5">
        <f t="shared" si="167"/>
        <v>2143</v>
      </c>
      <c r="I589" s="5">
        <f t="shared" si="168"/>
        <v>2053</v>
      </c>
      <c r="J589" s="5">
        <f t="shared" si="169"/>
        <v>2239</v>
      </c>
      <c r="K589" s="5">
        <f t="shared" si="179"/>
        <v>3000</v>
      </c>
      <c r="L589" s="5">
        <f t="shared" si="180"/>
        <v>3000</v>
      </c>
      <c r="M589" s="5">
        <f t="shared" si="181"/>
        <v>3000</v>
      </c>
      <c r="N589" s="5">
        <f t="shared" si="173"/>
        <v>-857</v>
      </c>
      <c r="O589" s="5">
        <f t="shared" si="174"/>
        <v>-947</v>
      </c>
      <c r="P589" s="5">
        <f t="shared" si="175"/>
        <v>-761</v>
      </c>
      <c r="Q589" s="8">
        <v>7</v>
      </c>
      <c r="R589" s="8">
        <v>3</v>
      </c>
      <c r="S589" s="8">
        <v>2</v>
      </c>
      <c r="T589" s="6">
        <f t="shared" si="170"/>
        <v>-105</v>
      </c>
      <c r="U589" s="7">
        <f t="shared" si="176"/>
        <v>3413</v>
      </c>
      <c r="V589" s="7">
        <f t="shared" si="177"/>
        <v>3323</v>
      </c>
      <c r="W589" s="7">
        <f t="shared" si="178"/>
        <v>3449</v>
      </c>
      <c r="X589" s="6"/>
      <c r="Y589" s="5"/>
      <c r="Z589" s="5"/>
      <c r="AA589" s="5"/>
      <c r="AB589" s="5"/>
    </row>
    <row r="590" spans="1:28" ht="13.15" customHeight="1">
      <c r="A590" s="10">
        <f t="shared" si="182"/>
        <v>576</v>
      </c>
      <c r="B590" s="4">
        <f t="shared" si="171"/>
        <v>45619</v>
      </c>
      <c r="C590" s="10">
        <f t="shared" si="172"/>
        <v>842</v>
      </c>
      <c r="D590" s="9">
        <f t="shared" si="183"/>
        <v>2378</v>
      </c>
      <c r="E590" s="8">
        <f t="shared" ref="E590:E653" si="184">C590+D590-H590</f>
        <v>1082</v>
      </c>
      <c r="F590" s="8">
        <f t="shared" ref="F590:F653" si="185">C590+D590-I590</f>
        <v>1169</v>
      </c>
      <c r="G590" s="8">
        <f t="shared" ref="G590:G653" si="186">D590+C590-J590</f>
        <v>985</v>
      </c>
      <c r="H590" s="5">
        <f t="shared" ref="H590:H653" si="187">K590+N590</f>
        <v>2138</v>
      </c>
      <c r="I590" s="5">
        <f t="shared" ref="I590:I653" si="188">L590+O590</f>
        <v>2051</v>
      </c>
      <c r="J590" s="5">
        <f t="shared" ref="J590:J653" si="189">M590+P590</f>
        <v>2235</v>
      </c>
      <c r="K590" s="5">
        <f t="shared" si="179"/>
        <v>3000</v>
      </c>
      <c r="L590" s="5">
        <f t="shared" si="180"/>
        <v>3000</v>
      </c>
      <c r="M590" s="5">
        <f t="shared" si="181"/>
        <v>3000</v>
      </c>
      <c r="N590" s="5">
        <f t="shared" si="173"/>
        <v>-862</v>
      </c>
      <c r="O590" s="5">
        <f t="shared" si="174"/>
        <v>-949</v>
      </c>
      <c r="P590" s="5">
        <f t="shared" si="175"/>
        <v>-765</v>
      </c>
      <c r="Q590" s="8">
        <v>5</v>
      </c>
      <c r="R590" s="8">
        <v>2</v>
      </c>
      <c r="S590" s="8">
        <v>4</v>
      </c>
      <c r="T590" s="6">
        <f t="shared" ref="T590:T653" si="190">D590+C590-V590</f>
        <v>-101</v>
      </c>
      <c r="U590" s="7">
        <f t="shared" si="176"/>
        <v>3408</v>
      </c>
      <c r="V590" s="7">
        <f t="shared" si="177"/>
        <v>3321</v>
      </c>
      <c r="W590" s="7">
        <f t="shared" si="178"/>
        <v>3445</v>
      </c>
      <c r="X590" s="6"/>
      <c r="Y590" s="5"/>
      <c r="Z590" s="5"/>
      <c r="AA590" s="5"/>
      <c r="AB590" s="5"/>
    </row>
    <row r="591" spans="1:28" ht="13.15" customHeight="1">
      <c r="A591" s="10">
        <f t="shared" si="182"/>
        <v>577</v>
      </c>
      <c r="B591" s="4">
        <f t="shared" ref="B591:B654" si="191">B590+1</f>
        <v>45620</v>
      </c>
      <c r="C591" s="10">
        <f t="shared" ref="C591:C654" si="192">C590</f>
        <v>842</v>
      </c>
      <c r="D591" s="9">
        <f t="shared" si="183"/>
        <v>2380</v>
      </c>
      <c r="E591" s="8">
        <f t="shared" si="184"/>
        <v>1089</v>
      </c>
      <c r="F591" s="8">
        <f t="shared" si="185"/>
        <v>1175</v>
      </c>
      <c r="G591" s="8">
        <f t="shared" si="186"/>
        <v>990</v>
      </c>
      <c r="H591" s="5">
        <f t="shared" si="187"/>
        <v>2133</v>
      </c>
      <c r="I591" s="5">
        <f t="shared" si="188"/>
        <v>2047</v>
      </c>
      <c r="J591" s="5">
        <f t="shared" si="189"/>
        <v>2232</v>
      </c>
      <c r="K591" s="5">
        <f t="shared" si="179"/>
        <v>3000</v>
      </c>
      <c r="L591" s="5">
        <f t="shared" si="180"/>
        <v>3000</v>
      </c>
      <c r="M591" s="5">
        <f t="shared" si="181"/>
        <v>3000</v>
      </c>
      <c r="N591" s="5">
        <f t="shared" ref="N591:N654" si="193">N590-Q591</f>
        <v>-867</v>
      </c>
      <c r="O591" s="5">
        <f t="shared" ref="O591:O654" si="194">O590-R591</f>
        <v>-953</v>
      </c>
      <c r="P591" s="5">
        <f t="shared" ref="P591:P654" si="195">P590-S591</f>
        <v>-768</v>
      </c>
      <c r="Q591" s="8">
        <v>5</v>
      </c>
      <c r="R591" s="8">
        <v>4</v>
      </c>
      <c r="S591" s="8">
        <v>3</v>
      </c>
      <c r="T591" s="6">
        <f t="shared" si="190"/>
        <v>-95</v>
      </c>
      <c r="U591" s="7">
        <f t="shared" si="176"/>
        <v>3403</v>
      </c>
      <c r="V591" s="7">
        <f t="shared" si="177"/>
        <v>3317</v>
      </c>
      <c r="W591" s="7">
        <f t="shared" si="178"/>
        <v>3442</v>
      </c>
      <c r="X591" s="6"/>
      <c r="Y591" s="5"/>
      <c r="Z591" s="5"/>
      <c r="AA591" s="5"/>
      <c r="AB591" s="5"/>
    </row>
    <row r="592" spans="1:28" ht="13.15" customHeight="1">
      <c r="A592" s="10">
        <f t="shared" si="182"/>
        <v>578</v>
      </c>
      <c r="B592" s="4">
        <f t="shared" si="191"/>
        <v>45621</v>
      </c>
      <c r="C592" s="10">
        <f t="shared" si="192"/>
        <v>842</v>
      </c>
      <c r="D592" s="9">
        <f t="shared" si="183"/>
        <v>2382</v>
      </c>
      <c r="E592" s="8">
        <f t="shared" si="184"/>
        <v>1095</v>
      </c>
      <c r="F592" s="8">
        <f t="shared" si="185"/>
        <v>1184</v>
      </c>
      <c r="G592" s="8">
        <f t="shared" si="186"/>
        <v>996</v>
      </c>
      <c r="H592" s="5">
        <f t="shared" si="187"/>
        <v>2129</v>
      </c>
      <c r="I592" s="5">
        <f t="shared" si="188"/>
        <v>2040</v>
      </c>
      <c r="J592" s="5">
        <f t="shared" si="189"/>
        <v>2228</v>
      </c>
      <c r="K592" s="5">
        <f t="shared" si="179"/>
        <v>3000</v>
      </c>
      <c r="L592" s="5">
        <f t="shared" si="180"/>
        <v>3000</v>
      </c>
      <c r="M592" s="5">
        <f t="shared" si="181"/>
        <v>3000</v>
      </c>
      <c r="N592" s="5">
        <f t="shared" si="193"/>
        <v>-871</v>
      </c>
      <c r="O592" s="5">
        <f t="shared" si="194"/>
        <v>-960</v>
      </c>
      <c r="P592" s="5">
        <f t="shared" si="195"/>
        <v>-772</v>
      </c>
      <c r="Q592" s="8">
        <v>4</v>
      </c>
      <c r="R592" s="8">
        <v>7</v>
      </c>
      <c r="S592" s="8">
        <v>4</v>
      </c>
      <c r="T592" s="6">
        <f t="shared" si="190"/>
        <v>-86</v>
      </c>
      <c r="U592" s="7">
        <f t="shared" si="176"/>
        <v>3399</v>
      </c>
      <c r="V592" s="7">
        <f t="shared" si="177"/>
        <v>3310</v>
      </c>
      <c r="W592" s="7">
        <f t="shared" si="178"/>
        <v>3438</v>
      </c>
      <c r="X592" s="6"/>
      <c r="Y592" s="5"/>
      <c r="Z592" s="5"/>
      <c r="AA592" s="5"/>
      <c r="AB592" s="5"/>
    </row>
    <row r="593" spans="1:28" ht="13.15" customHeight="1">
      <c r="A593" s="10">
        <f t="shared" si="182"/>
        <v>579</v>
      </c>
      <c r="B593" s="4">
        <f t="shared" si="191"/>
        <v>45622</v>
      </c>
      <c r="C593" s="10">
        <f t="shared" si="192"/>
        <v>842</v>
      </c>
      <c r="D593" s="9">
        <f t="shared" si="183"/>
        <v>2384</v>
      </c>
      <c r="E593" s="8">
        <f t="shared" si="184"/>
        <v>1100</v>
      </c>
      <c r="F593" s="8">
        <f t="shared" si="185"/>
        <v>1191</v>
      </c>
      <c r="G593" s="8">
        <f t="shared" si="186"/>
        <v>1005</v>
      </c>
      <c r="H593" s="5">
        <f t="shared" si="187"/>
        <v>2126</v>
      </c>
      <c r="I593" s="5">
        <f t="shared" si="188"/>
        <v>2035</v>
      </c>
      <c r="J593" s="5">
        <f t="shared" si="189"/>
        <v>2221</v>
      </c>
      <c r="K593" s="5">
        <f t="shared" si="179"/>
        <v>3000</v>
      </c>
      <c r="L593" s="5">
        <f t="shared" si="180"/>
        <v>3000</v>
      </c>
      <c r="M593" s="5">
        <f t="shared" si="181"/>
        <v>3000</v>
      </c>
      <c r="N593" s="5">
        <f t="shared" si="193"/>
        <v>-874</v>
      </c>
      <c r="O593" s="5">
        <f t="shared" si="194"/>
        <v>-965</v>
      </c>
      <c r="P593" s="5">
        <f t="shared" si="195"/>
        <v>-779</v>
      </c>
      <c r="Q593" s="8">
        <v>3</v>
      </c>
      <c r="R593" s="8">
        <v>5</v>
      </c>
      <c r="S593" s="8">
        <v>7</v>
      </c>
      <c r="T593" s="6">
        <f t="shared" si="190"/>
        <v>-79</v>
      </c>
      <c r="U593" s="7">
        <f t="shared" si="176"/>
        <v>3396</v>
      </c>
      <c r="V593" s="7">
        <f t="shared" si="177"/>
        <v>3305</v>
      </c>
      <c r="W593" s="7">
        <f t="shared" si="178"/>
        <v>3431</v>
      </c>
      <c r="X593" s="6"/>
      <c r="Y593" s="5"/>
      <c r="Z593" s="5"/>
      <c r="AA593" s="5"/>
      <c r="AB593" s="5"/>
    </row>
    <row r="594" spans="1:28" ht="13.15" customHeight="1">
      <c r="A594" s="10">
        <f t="shared" si="182"/>
        <v>580</v>
      </c>
      <c r="B594" s="4">
        <f t="shared" si="191"/>
        <v>45623</v>
      </c>
      <c r="C594" s="10">
        <f t="shared" si="192"/>
        <v>842</v>
      </c>
      <c r="D594" s="9">
        <f t="shared" si="183"/>
        <v>2386</v>
      </c>
      <c r="E594" s="8">
        <f t="shared" si="184"/>
        <v>1104</v>
      </c>
      <c r="F594" s="8">
        <f t="shared" si="185"/>
        <v>1198</v>
      </c>
      <c r="G594" s="8">
        <f t="shared" si="186"/>
        <v>1012</v>
      </c>
      <c r="H594" s="5">
        <f t="shared" si="187"/>
        <v>2124</v>
      </c>
      <c r="I594" s="5">
        <f t="shared" si="188"/>
        <v>2030</v>
      </c>
      <c r="J594" s="5">
        <f t="shared" si="189"/>
        <v>2216</v>
      </c>
      <c r="K594" s="5">
        <f t="shared" si="179"/>
        <v>3000</v>
      </c>
      <c r="L594" s="5">
        <f t="shared" si="180"/>
        <v>3000</v>
      </c>
      <c r="M594" s="5">
        <f t="shared" si="181"/>
        <v>3000</v>
      </c>
      <c r="N594" s="5">
        <f t="shared" si="193"/>
        <v>-876</v>
      </c>
      <c r="O594" s="5">
        <f t="shared" si="194"/>
        <v>-970</v>
      </c>
      <c r="P594" s="5">
        <f t="shared" si="195"/>
        <v>-784</v>
      </c>
      <c r="Q594" s="8">
        <v>2</v>
      </c>
      <c r="R594" s="8">
        <v>5</v>
      </c>
      <c r="S594" s="8">
        <v>5</v>
      </c>
      <c r="T594" s="6">
        <f t="shared" si="190"/>
        <v>-72</v>
      </c>
      <c r="U594" s="7">
        <f t="shared" si="176"/>
        <v>3394</v>
      </c>
      <c r="V594" s="7">
        <f t="shared" si="177"/>
        <v>3300</v>
      </c>
      <c r="W594" s="7">
        <f t="shared" si="178"/>
        <v>3426</v>
      </c>
      <c r="X594" s="6"/>
      <c r="Y594" s="5"/>
      <c r="Z594" s="5"/>
      <c r="AA594" s="5"/>
      <c r="AB594" s="5"/>
    </row>
    <row r="595" spans="1:28" ht="13.15" customHeight="1">
      <c r="A595" s="10">
        <f t="shared" si="182"/>
        <v>581</v>
      </c>
      <c r="B595" s="4">
        <f t="shared" si="191"/>
        <v>45624</v>
      </c>
      <c r="C595" s="10">
        <f t="shared" si="192"/>
        <v>842</v>
      </c>
      <c r="D595" s="9">
        <f t="shared" si="183"/>
        <v>2388</v>
      </c>
      <c r="E595" s="8">
        <f t="shared" si="184"/>
        <v>1110</v>
      </c>
      <c r="F595" s="8">
        <f t="shared" si="185"/>
        <v>1204</v>
      </c>
      <c r="G595" s="8">
        <f t="shared" si="186"/>
        <v>1019</v>
      </c>
      <c r="H595" s="5">
        <f t="shared" si="187"/>
        <v>2120</v>
      </c>
      <c r="I595" s="5">
        <f t="shared" si="188"/>
        <v>2026</v>
      </c>
      <c r="J595" s="5">
        <f t="shared" si="189"/>
        <v>2211</v>
      </c>
      <c r="K595" s="5">
        <f t="shared" si="179"/>
        <v>3000</v>
      </c>
      <c r="L595" s="5">
        <f t="shared" si="180"/>
        <v>3000</v>
      </c>
      <c r="M595" s="5">
        <f t="shared" si="181"/>
        <v>3000</v>
      </c>
      <c r="N595" s="5">
        <f t="shared" si="193"/>
        <v>-880</v>
      </c>
      <c r="O595" s="5">
        <f t="shared" si="194"/>
        <v>-974</v>
      </c>
      <c r="P595" s="5">
        <f t="shared" si="195"/>
        <v>-789</v>
      </c>
      <c r="Q595" s="8">
        <v>4</v>
      </c>
      <c r="R595" s="8">
        <v>4</v>
      </c>
      <c r="S595" s="8">
        <v>5</v>
      </c>
      <c r="T595" s="6">
        <f t="shared" si="190"/>
        <v>-66</v>
      </c>
      <c r="U595" s="7">
        <f t="shared" si="176"/>
        <v>3390</v>
      </c>
      <c r="V595" s="7">
        <f t="shared" si="177"/>
        <v>3296</v>
      </c>
      <c r="W595" s="7">
        <f t="shared" si="178"/>
        <v>3421</v>
      </c>
      <c r="X595" s="6"/>
      <c r="Y595" s="5"/>
      <c r="Z595" s="5"/>
      <c r="AA595" s="5"/>
      <c r="AB595" s="5"/>
    </row>
    <row r="596" spans="1:28" ht="13.15" customHeight="1">
      <c r="A596" s="10">
        <f t="shared" si="182"/>
        <v>582</v>
      </c>
      <c r="B596" s="4">
        <f t="shared" si="191"/>
        <v>45625</v>
      </c>
      <c r="C596" s="10">
        <f t="shared" si="192"/>
        <v>842</v>
      </c>
      <c r="D596" s="9">
        <f t="shared" si="183"/>
        <v>2390</v>
      </c>
      <c r="E596" s="8">
        <f t="shared" si="184"/>
        <v>1115</v>
      </c>
      <c r="F596" s="8">
        <f t="shared" si="185"/>
        <v>1209</v>
      </c>
      <c r="G596" s="8">
        <f t="shared" si="186"/>
        <v>1025</v>
      </c>
      <c r="H596" s="5">
        <f t="shared" si="187"/>
        <v>2117</v>
      </c>
      <c r="I596" s="5">
        <f t="shared" si="188"/>
        <v>2023</v>
      </c>
      <c r="J596" s="5">
        <f t="shared" si="189"/>
        <v>2207</v>
      </c>
      <c r="K596" s="5">
        <f t="shared" si="179"/>
        <v>3000</v>
      </c>
      <c r="L596" s="5">
        <f t="shared" si="180"/>
        <v>3000</v>
      </c>
      <c r="M596" s="5">
        <f t="shared" si="181"/>
        <v>3000</v>
      </c>
      <c r="N596" s="5">
        <f t="shared" si="193"/>
        <v>-883</v>
      </c>
      <c r="O596" s="5">
        <f t="shared" si="194"/>
        <v>-977</v>
      </c>
      <c r="P596" s="5">
        <f t="shared" si="195"/>
        <v>-793</v>
      </c>
      <c r="Q596" s="8">
        <v>3</v>
      </c>
      <c r="R596" s="8">
        <v>3</v>
      </c>
      <c r="S596" s="8">
        <v>4</v>
      </c>
      <c r="T596" s="6">
        <f t="shared" si="190"/>
        <v>-61</v>
      </c>
      <c r="U596" s="7">
        <f t="shared" si="176"/>
        <v>3387</v>
      </c>
      <c r="V596" s="7">
        <f t="shared" si="177"/>
        <v>3293</v>
      </c>
      <c r="W596" s="7">
        <f t="shared" si="178"/>
        <v>3417</v>
      </c>
      <c r="X596" s="6"/>
      <c r="Y596" s="5"/>
      <c r="Z596" s="5"/>
      <c r="AA596" s="5"/>
      <c r="AB596" s="5"/>
    </row>
    <row r="597" spans="1:28" ht="13.15" customHeight="1">
      <c r="A597" s="10">
        <f t="shared" si="182"/>
        <v>583</v>
      </c>
      <c r="B597" s="4">
        <f t="shared" si="191"/>
        <v>45626</v>
      </c>
      <c r="C597" s="10">
        <f t="shared" si="192"/>
        <v>842</v>
      </c>
      <c r="D597" s="9">
        <f t="shared" si="183"/>
        <v>2392</v>
      </c>
      <c r="E597" s="8">
        <f t="shared" si="184"/>
        <v>1119</v>
      </c>
      <c r="F597" s="8">
        <f t="shared" si="185"/>
        <v>1213</v>
      </c>
      <c r="G597" s="8">
        <f t="shared" si="186"/>
        <v>1030</v>
      </c>
      <c r="H597" s="5">
        <f t="shared" si="187"/>
        <v>2115</v>
      </c>
      <c r="I597" s="5">
        <f t="shared" si="188"/>
        <v>2021</v>
      </c>
      <c r="J597" s="5">
        <f t="shared" si="189"/>
        <v>2204</v>
      </c>
      <c r="K597" s="5">
        <f t="shared" si="179"/>
        <v>3000</v>
      </c>
      <c r="L597" s="5">
        <f t="shared" si="180"/>
        <v>3000</v>
      </c>
      <c r="M597" s="5">
        <f t="shared" si="181"/>
        <v>3000</v>
      </c>
      <c r="N597" s="5">
        <f t="shared" si="193"/>
        <v>-885</v>
      </c>
      <c r="O597" s="5">
        <f t="shared" si="194"/>
        <v>-979</v>
      </c>
      <c r="P597" s="5">
        <f t="shared" si="195"/>
        <v>-796</v>
      </c>
      <c r="Q597" s="8">
        <v>2</v>
      </c>
      <c r="R597" s="8">
        <v>2</v>
      </c>
      <c r="S597" s="8">
        <v>3</v>
      </c>
      <c r="T597" s="6">
        <f t="shared" si="190"/>
        <v>-57</v>
      </c>
      <c r="U597" s="7">
        <f t="shared" si="176"/>
        <v>3385</v>
      </c>
      <c r="V597" s="7">
        <f t="shared" si="177"/>
        <v>3291</v>
      </c>
      <c r="W597" s="7">
        <f t="shared" si="178"/>
        <v>3414</v>
      </c>
      <c r="X597" s="6"/>
      <c r="Y597" s="5"/>
      <c r="Z597" s="5"/>
      <c r="AA597" s="5"/>
      <c r="AB597" s="5"/>
    </row>
    <row r="598" spans="1:28" ht="13.15" customHeight="1">
      <c r="A598" s="10">
        <f t="shared" si="182"/>
        <v>584</v>
      </c>
      <c r="B598" s="4">
        <f t="shared" si="191"/>
        <v>45627</v>
      </c>
      <c r="C598" s="10">
        <f t="shared" si="192"/>
        <v>842</v>
      </c>
      <c r="D598" s="9">
        <f t="shared" si="183"/>
        <v>2394</v>
      </c>
      <c r="E598" s="8">
        <f t="shared" si="184"/>
        <v>1125</v>
      </c>
      <c r="F598" s="8">
        <f t="shared" si="185"/>
        <v>1219</v>
      </c>
      <c r="G598" s="8">
        <f t="shared" si="186"/>
        <v>1034</v>
      </c>
      <c r="H598" s="5">
        <f t="shared" si="187"/>
        <v>2111</v>
      </c>
      <c r="I598" s="5">
        <f t="shared" si="188"/>
        <v>2017</v>
      </c>
      <c r="J598" s="5">
        <f t="shared" si="189"/>
        <v>2202</v>
      </c>
      <c r="K598" s="5">
        <f t="shared" si="179"/>
        <v>3000</v>
      </c>
      <c r="L598" s="5">
        <f t="shared" si="180"/>
        <v>3000</v>
      </c>
      <c r="M598" s="5">
        <f t="shared" si="181"/>
        <v>3000</v>
      </c>
      <c r="N598" s="5">
        <f t="shared" si="193"/>
        <v>-889</v>
      </c>
      <c r="O598" s="5">
        <f t="shared" si="194"/>
        <v>-983</v>
      </c>
      <c r="P598" s="5">
        <f t="shared" si="195"/>
        <v>-798</v>
      </c>
      <c r="Q598" s="8">
        <v>4</v>
      </c>
      <c r="R598" s="8">
        <v>4</v>
      </c>
      <c r="S598" s="8">
        <v>2</v>
      </c>
      <c r="T598" s="6">
        <f t="shared" si="190"/>
        <v>-51</v>
      </c>
      <c r="U598" s="7">
        <f t="shared" si="176"/>
        <v>3381</v>
      </c>
      <c r="V598" s="7">
        <f t="shared" si="177"/>
        <v>3287</v>
      </c>
      <c r="W598" s="7">
        <f t="shared" si="178"/>
        <v>3412</v>
      </c>
      <c r="X598" s="6"/>
      <c r="Y598" s="5"/>
      <c r="Z598" s="5"/>
      <c r="AA598" s="5"/>
      <c r="AB598" s="5"/>
    </row>
    <row r="599" spans="1:28" ht="13.15" customHeight="1">
      <c r="A599" s="10">
        <f t="shared" si="182"/>
        <v>585</v>
      </c>
      <c r="B599" s="4">
        <f t="shared" si="191"/>
        <v>45628</v>
      </c>
      <c r="C599" s="10">
        <f t="shared" si="192"/>
        <v>842</v>
      </c>
      <c r="D599" s="9">
        <f t="shared" si="183"/>
        <v>2396</v>
      </c>
      <c r="E599" s="8">
        <f t="shared" si="184"/>
        <v>1129</v>
      </c>
      <c r="F599" s="8">
        <f t="shared" si="185"/>
        <v>1228</v>
      </c>
      <c r="G599" s="8">
        <f t="shared" si="186"/>
        <v>1040</v>
      </c>
      <c r="H599" s="5">
        <f t="shared" si="187"/>
        <v>2109</v>
      </c>
      <c r="I599" s="5">
        <f t="shared" si="188"/>
        <v>2010</v>
      </c>
      <c r="J599" s="5">
        <f t="shared" si="189"/>
        <v>2198</v>
      </c>
      <c r="K599" s="5">
        <f t="shared" si="179"/>
        <v>3000</v>
      </c>
      <c r="L599" s="5">
        <f t="shared" si="180"/>
        <v>3000</v>
      </c>
      <c r="M599" s="5">
        <f t="shared" si="181"/>
        <v>3000</v>
      </c>
      <c r="N599" s="5">
        <f t="shared" si="193"/>
        <v>-891</v>
      </c>
      <c r="O599" s="5">
        <f t="shared" si="194"/>
        <v>-990</v>
      </c>
      <c r="P599" s="5">
        <f t="shared" si="195"/>
        <v>-802</v>
      </c>
      <c r="Q599" s="8">
        <v>2</v>
      </c>
      <c r="R599" s="8">
        <v>7</v>
      </c>
      <c r="S599" s="8">
        <v>4</v>
      </c>
      <c r="T599" s="6">
        <f t="shared" si="190"/>
        <v>-42</v>
      </c>
      <c r="U599" s="7">
        <f t="shared" si="176"/>
        <v>3379</v>
      </c>
      <c r="V599" s="7">
        <f t="shared" si="177"/>
        <v>3280</v>
      </c>
      <c r="W599" s="7">
        <f t="shared" si="178"/>
        <v>3408</v>
      </c>
      <c r="X599" s="6"/>
      <c r="Y599" s="5"/>
      <c r="Z599" s="5"/>
      <c r="AA599" s="5"/>
      <c r="AB599" s="5"/>
    </row>
    <row r="600" spans="1:28" ht="13.15" customHeight="1">
      <c r="A600" s="10">
        <f t="shared" si="182"/>
        <v>586</v>
      </c>
      <c r="B600" s="4">
        <f t="shared" si="191"/>
        <v>45629</v>
      </c>
      <c r="C600" s="10">
        <f t="shared" si="192"/>
        <v>842</v>
      </c>
      <c r="D600" s="9">
        <f t="shared" si="183"/>
        <v>2398</v>
      </c>
      <c r="E600" s="8">
        <f t="shared" si="184"/>
        <v>1133</v>
      </c>
      <c r="F600" s="8">
        <f t="shared" si="185"/>
        <v>1235</v>
      </c>
      <c r="G600" s="8">
        <f t="shared" si="186"/>
        <v>1045</v>
      </c>
      <c r="H600" s="5">
        <f t="shared" si="187"/>
        <v>2107</v>
      </c>
      <c r="I600" s="5">
        <f t="shared" si="188"/>
        <v>2005</v>
      </c>
      <c r="J600" s="5">
        <f t="shared" si="189"/>
        <v>2195</v>
      </c>
      <c r="K600" s="5">
        <f t="shared" si="179"/>
        <v>3000</v>
      </c>
      <c r="L600" s="5">
        <f t="shared" si="180"/>
        <v>3000</v>
      </c>
      <c r="M600" s="5">
        <f t="shared" si="181"/>
        <v>3000</v>
      </c>
      <c r="N600" s="5">
        <f t="shared" si="193"/>
        <v>-893</v>
      </c>
      <c r="O600" s="5">
        <f t="shared" si="194"/>
        <v>-995</v>
      </c>
      <c r="P600" s="5">
        <f t="shared" si="195"/>
        <v>-805</v>
      </c>
      <c r="Q600" s="8">
        <v>2</v>
      </c>
      <c r="R600" s="8">
        <v>5</v>
      </c>
      <c r="S600" s="8">
        <v>3</v>
      </c>
      <c r="T600" s="6">
        <f t="shared" si="190"/>
        <v>-35</v>
      </c>
      <c r="U600" s="7">
        <f t="shared" si="176"/>
        <v>3377</v>
      </c>
      <c r="V600" s="7">
        <f t="shared" si="177"/>
        <v>3275</v>
      </c>
      <c r="W600" s="7">
        <f t="shared" si="178"/>
        <v>3405</v>
      </c>
      <c r="X600" s="6"/>
      <c r="Y600" s="5"/>
      <c r="Z600" s="5"/>
      <c r="AA600" s="5"/>
      <c r="AB600" s="5"/>
    </row>
    <row r="601" spans="1:28" ht="13.15" customHeight="1">
      <c r="A601" s="10">
        <f t="shared" si="182"/>
        <v>587</v>
      </c>
      <c r="B601" s="4">
        <f t="shared" si="191"/>
        <v>45630</v>
      </c>
      <c r="C601" s="10">
        <f t="shared" si="192"/>
        <v>842</v>
      </c>
      <c r="D601" s="9">
        <f t="shared" si="183"/>
        <v>2400</v>
      </c>
      <c r="E601" s="8">
        <f t="shared" si="184"/>
        <v>1138</v>
      </c>
      <c r="F601" s="8">
        <f t="shared" si="185"/>
        <v>1242</v>
      </c>
      <c r="G601" s="8">
        <f t="shared" si="186"/>
        <v>1049</v>
      </c>
      <c r="H601" s="5">
        <f t="shared" si="187"/>
        <v>2104</v>
      </c>
      <c r="I601" s="5">
        <f t="shared" si="188"/>
        <v>2000</v>
      </c>
      <c r="J601" s="5">
        <f t="shared" si="189"/>
        <v>2193</v>
      </c>
      <c r="K601" s="5">
        <f t="shared" si="179"/>
        <v>3000</v>
      </c>
      <c r="L601" s="5">
        <f t="shared" si="180"/>
        <v>3000</v>
      </c>
      <c r="M601" s="5">
        <f t="shared" si="181"/>
        <v>3000</v>
      </c>
      <c r="N601" s="5">
        <f t="shared" si="193"/>
        <v>-896</v>
      </c>
      <c r="O601" s="5">
        <f t="shared" si="194"/>
        <v>-1000</v>
      </c>
      <c r="P601" s="5">
        <f t="shared" si="195"/>
        <v>-807</v>
      </c>
      <c r="Q601" s="8">
        <v>3</v>
      </c>
      <c r="R601" s="8">
        <v>5</v>
      </c>
      <c r="S601" s="8">
        <v>2</v>
      </c>
      <c r="T601" s="6">
        <f t="shared" si="190"/>
        <v>-28</v>
      </c>
      <c r="U601" s="7">
        <f t="shared" si="176"/>
        <v>3374</v>
      </c>
      <c r="V601" s="7">
        <f t="shared" si="177"/>
        <v>3270</v>
      </c>
      <c r="W601" s="7">
        <f t="shared" si="178"/>
        <v>3403</v>
      </c>
      <c r="X601" s="6"/>
      <c r="Y601" s="5"/>
      <c r="Z601" s="5"/>
      <c r="AA601" s="5"/>
      <c r="AB601" s="5"/>
    </row>
    <row r="602" spans="1:28" ht="13.15" customHeight="1">
      <c r="A602" s="10">
        <f t="shared" si="182"/>
        <v>588</v>
      </c>
      <c r="B602" s="4">
        <f t="shared" si="191"/>
        <v>45631</v>
      </c>
      <c r="C602" s="10">
        <f t="shared" si="192"/>
        <v>842</v>
      </c>
      <c r="D602" s="9">
        <f t="shared" si="183"/>
        <v>2402</v>
      </c>
      <c r="E602" s="8">
        <f t="shared" si="184"/>
        <v>1144</v>
      </c>
      <c r="F602" s="8">
        <f t="shared" si="185"/>
        <v>1248</v>
      </c>
      <c r="G602" s="8">
        <f t="shared" si="186"/>
        <v>1055</v>
      </c>
      <c r="H602" s="5">
        <f t="shared" si="187"/>
        <v>2100</v>
      </c>
      <c r="I602" s="5">
        <f t="shared" si="188"/>
        <v>1996</v>
      </c>
      <c r="J602" s="5">
        <f t="shared" si="189"/>
        <v>2189</v>
      </c>
      <c r="K602" s="5">
        <f t="shared" si="179"/>
        <v>3000</v>
      </c>
      <c r="L602" s="5">
        <f t="shared" si="180"/>
        <v>3000</v>
      </c>
      <c r="M602" s="5">
        <f t="shared" si="181"/>
        <v>3000</v>
      </c>
      <c r="N602" s="5">
        <f t="shared" si="193"/>
        <v>-900</v>
      </c>
      <c r="O602" s="5">
        <f t="shared" si="194"/>
        <v>-1004</v>
      </c>
      <c r="P602" s="5">
        <f t="shared" si="195"/>
        <v>-811</v>
      </c>
      <c r="Q602" s="8">
        <v>4</v>
      </c>
      <c r="R602" s="8">
        <v>4</v>
      </c>
      <c r="S602" s="8">
        <v>4</v>
      </c>
      <c r="T602" s="6">
        <f t="shared" si="190"/>
        <v>-22</v>
      </c>
      <c r="U602" s="7">
        <f t="shared" si="176"/>
        <v>3370</v>
      </c>
      <c r="V602" s="7">
        <f t="shared" si="177"/>
        <v>3266</v>
      </c>
      <c r="W602" s="7">
        <f t="shared" si="178"/>
        <v>3399</v>
      </c>
      <c r="X602" s="6"/>
      <c r="Y602" s="5"/>
      <c r="Z602" s="5"/>
      <c r="AA602" s="5"/>
      <c r="AB602" s="5"/>
    </row>
    <row r="603" spans="1:28" ht="13.15" customHeight="1">
      <c r="A603" s="10">
        <f t="shared" si="182"/>
        <v>589</v>
      </c>
      <c r="B603" s="4">
        <f t="shared" si="191"/>
        <v>45632</v>
      </c>
      <c r="C603" s="10">
        <f t="shared" si="192"/>
        <v>842</v>
      </c>
      <c r="D603" s="9">
        <f t="shared" si="183"/>
        <v>2404</v>
      </c>
      <c r="E603" s="8">
        <f t="shared" si="184"/>
        <v>1149</v>
      </c>
      <c r="F603" s="8">
        <f t="shared" si="185"/>
        <v>1253</v>
      </c>
      <c r="G603" s="8">
        <f t="shared" si="186"/>
        <v>1064</v>
      </c>
      <c r="H603" s="5">
        <f t="shared" si="187"/>
        <v>2097</v>
      </c>
      <c r="I603" s="5">
        <f t="shared" si="188"/>
        <v>1993</v>
      </c>
      <c r="J603" s="5">
        <f t="shared" si="189"/>
        <v>2182</v>
      </c>
      <c r="K603" s="5">
        <f t="shared" si="179"/>
        <v>3000</v>
      </c>
      <c r="L603" s="5">
        <f t="shared" si="180"/>
        <v>3000</v>
      </c>
      <c r="M603" s="5">
        <f t="shared" si="181"/>
        <v>3000</v>
      </c>
      <c r="N603" s="5">
        <f t="shared" si="193"/>
        <v>-903</v>
      </c>
      <c r="O603" s="5">
        <f t="shared" si="194"/>
        <v>-1007</v>
      </c>
      <c r="P603" s="5">
        <f t="shared" si="195"/>
        <v>-818</v>
      </c>
      <c r="Q603" s="8">
        <v>3</v>
      </c>
      <c r="R603" s="8">
        <v>3</v>
      </c>
      <c r="S603" s="8">
        <v>7</v>
      </c>
      <c r="T603" s="6">
        <f t="shared" si="190"/>
        <v>-17</v>
      </c>
      <c r="U603" s="7">
        <f t="shared" si="176"/>
        <v>3367</v>
      </c>
      <c r="V603" s="7">
        <f t="shared" si="177"/>
        <v>3263</v>
      </c>
      <c r="W603" s="7">
        <f t="shared" si="178"/>
        <v>3392</v>
      </c>
      <c r="X603" s="6"/>
      <c r="Y603" s="5"/>
      <c r="Z603" s="5"/>
      <c r="AA603" s="5"/>
      <c r="AB603" s="5"/>
    </row>
    <row r="604" spans="1:28" ht="13.15" customHeight="1">
      <c r="A604" s="10">
        <f t="shared" si="182"/>
        <v>590</v>
      </c>
      <c r="B604" s="4">
        <f t="shared" si="191"/>
        <v>45633</v>
      </c>
      <c r="C604" s="10">
        <f t="shared" si="192"/>
        <v>842</v>
      </c>
      <c r="D604" s="9">
        <f t="shared" si="183"/>
        <v>2406</v>
      </c>
      <c r="E604" s="8">
        <f t="shared" si="184"/>
        <v>1153</v>
      </c>
      <c r="F604" s="8">
        <f t="shared" si="185"/>
        <v>1257</v>
      </c>
      <c r="G604" s="8">
        <f t="shared" si="186"/>
        <v>1071</v>
      </c>
      <c r="H604" s="5">
        <f t="shared" si="187"/>
        <v>2095</v>
      </c>
      <c r="I604" s="5">
        <f t="shared" si="188"/>
        <v>1991</v>
      </c>
      <c r="J604" s="5">
        <f t="shared" si="189"/>
        <v>2177</v>
      </c>
      <c r="K604" s="5">
        <f t="shared" si="179"/>
        <v>3000</v>
      </c>
      <c r="L604" s="5">
        <f t="shared" si="180"/>
        <v>3000</v>
      </c>
      <c r="M604" s="5">
        <f t="shared" si="181"/>
        <v>3000</v>
      </c>
      <c r="N604" s="5">
        <f t="shared" si="193"/>
        <v>-905</v>
      </c>
      <c r="O604" s="5">
        <f t="shared" si="194"/>
        <v>-1009</v>
      </c>
      <c r="P604" s="5">
        <f t="shared" si="195"/>
        <v>-823</v>
      </c>
      <c r="Q604" s="8">
        <v>2</v>
      </c>
      <c r="R604" s="8">
        <v>2</v>
      </c>
      <c r="S604" s="8">
        <v>5</v>
      </c>
      <c r="T604" s="6">
        <f t="shared" si="190"/>
        <v>-13</v>
      </c>
      <c r="U604" s="7">
        <f t="shared" si="176"/>
        <v>3365</v>
      </c>
      <c r="V604" s="7">
        <f t="shared" si="177"/>
        <v>3261</v>
      </c>
      <c r="W604" s="7">
        <f t="shared" si="178"/>
        <v>3387</v>
      </c>
      <c r="X604" s="6"/>
      <c r="Y604" s="5"/>
      <c r="Z604" s="5"/>
      <c r="AA604" s="5"/>
      <c r="AB604" s="5"/>
    </row>
    <row r="605" spans="1:28" ht="13.15" customHeight="1">
      <c r="A605" s="10">
        <f t="shared" si="182"/>
        <v>591</v>
      </c>
      <c r="B605" s="4">
        <f t="shared" si="191"/>
        <v>45634</v>
      </c>
      <c r="C605" s="10">
        <f t="shared" si="192"/>
        <v>842</v>
      </c>
      <c r="D605" s="9">
        <f t="shared" si="183"/>
        <v>2408</v>
      </c>
      <c r="E605" s="8">
        <f t="shared" si="184"/>
        <v>1159</v>
      </c>
      <c r="F605" s="8">
        <f t="shared" si="185"/>
        <v>1263</v>
      </c>
      <c r="G605" s="8">
        <f t="shared" si="186"/>
        <v>1078</v>
      </c>
      <c r="H605" s="5">
        <f t="shared" si="187"/>
        <v>2091</v>
      </c>
      <c r="I605" s="5">
        <f t="shared" si="188"/>
        <v>1987</v>
      </c>
      <c r="J605" s="5">
        <f t="shared" si="189"/>
        <v>2172</v>
      </c>
      <c r="K605" s="5">
        <f t="shared" si="179"/>
        <v>3000</v>
      </c>
      <c r="L605" s="5">
        <f t="shared" si="180"/>
        <v>3000</v>
      </c>
      <c r="M605" s="5">
        <f t="shared" si="181"/>
        <v>3000</v>
      </c>
      <c r="N605" s="5">
        <f t="shared" si="193"/>
        <v>-909</v>
      </c>
      <c r="O605" s="5">
        <f t="shared" si="194"/>
        <v>-1013</v>
      </c>
      <c r="P605" s="5">
        <f t="shared" si="195"/>
        <v>-828</v>
      </c>
      <c r="Q605" s="8">
        <v>4</v>
      </c>
      <c r="R605" s="8">
        <v>4</v>
      </c>
      <c r="S605" s="8">
        <v>5</v>
      </c>
      <c r="T605" s="6">
        <f t="shared" si="190"/>
        <v>-7</v>
      </c>
      <c r="U605" s="7">
        <f t="shared" si="176"/>
        <v>3361</v>
      </c>
      <c r="V605" s="7">
        <f t="shared" si="177"/>
        <v>3257</v>
      </c>
      <c r="W605" s="7">
        <f t="shared" si="178"/>
        <v>3382</v>
      </c>
      <c r="X605" s="6"/>
      <c r="Y605" s="5"/>
      <c r="Z605" s="5"/>
      <c r="AA605" s="5"/>
      <c r="AB605" s="5"/>
    </row>
    <row r="606" spans="1:28" ht="13.15" customHeight="1">
      <c r="A606" s="10">
        <f t="shared" si="182"/>
        <v>592</v>
      </c>
      <c r="B606" s="4">
        <f t="shared" si="191"/>
        <v>45635</v>
      </c>
      <c r="C606" s="10">
        <f t="shared" si="192"/>
        <v>842</v>
      </c>
      <c r="D606" s="9">
        <f t="shared" si="183"/>
        <v>2410</v>
      </c>
      <c r="E606" s="8">
        <f t="shared" si="184"/>
        <v>1164</v>
      </c>
      <c r="F606" s="8">
        <f t="shared" si="185"/>
        <v>1268</v>
      </c>
      <c r="G606" s="8">
        <f t="shared" si="186"/>
        <v>1084</v>
      </c>
      <c r="H606" s="5">
        <f t="shared" si="187"/>
        <v>2088</v>
      </c>
      <c r="I606" s="5">
        <f t="shared" si="188"/>
        <v>1984</v>
      </c>
      <c r="J606" s="5">
        <f t="shared" si="189"/>
        <v>2168</v>
      </c>
      <c r="K606" s="5">
        <f t="shared" si="179"/>
        <v>3000</v>
      </c>
      <c r="L606" s="5">
        <f t="shared" si="180"/>
        <v>3000</v>
      </c>
      <c r="M606" s="5">
        <f t="shared" si="181"/>
        <v>3000</v>
      </c>
      <c r="N606" s="5">
        <f t="shared" si="193"/>
        <v>-912</v>
      </c>
      <c r="O606" s="5">
        <f t="shared" si="194"/>
        <v>-1016</v>
      </c>
      <c r="P606" s="5">
        <f t="shared" si="195"/>
        <v>-832</v>
      </c>
      <c r="Q606" s="8">
        <v>3</v>
      </c>
      <c r="R606" s="8">
        <v>3</v>
      </c>
      <c r="S606" s="8">
        <v>4</v>
      </c>
      <c r="T606" s="6">
        <f t="shared" si="190"/>
        <v>-2</v>
      </c>
      <c r="U606" s="7">
        <f t="shared" si="176"/>
        <v>3358</v>
      </c>
      <c r="V606" s="7">
        <f t="shared" si="177"/>
        <v>3254</v>
      </c>
      <c r="W606" s="7">
        <f t="shared" si="178"/>
        <v>3378</v>
      </c>
      <c r="X606" s="6"/>
      <c r="Y606" s="5"/>
      <c r="Z606" s="5"/>
      <c r="AA606" s="5"/>
      <c r="AB606" s="5"/>
    </row>
    <row r="607" spans="1:28" ht="13.15" customHeight="1">
      <c r="A607" s="10">
        <f t="shared" si="182"/>
        <v>593</v>
      </c>
      <c r="B607" s="4">
        <f t="shared" si="191"/>
        <v>45636</v>
      </c>
      <c r="C607" s="10">
        <f t="shared" si="192"/>
        <v>842</v>
      </c>
      <c r="D607" s="9">
        <f t="shared" si="183"/>
        <v>2412</v>
      </c>
      <c r="E607" s="8">
        <f t="shared" si="184"/>
        <v>1170</v>
      </c>
      <c r="F607" s="8">
        <f t="shared" si="185"/>
        <v>1274</v>
      </c>
      <c r="G607" s="8">
        <f t="shared" si="186"/>
        <v>1089</v>
      </c>
      <c r="H607" s="5">
        <f t="shared" si="187"/>
        <v>2084</v>
      </c>
      <c r="I607" s="5">
        <f t="shared" si="188"/>
        <v>1980</v>
      </c>
      <c r="J607" s="5">
        <f t="shared" si="189"/>
        <v>2165</v>
      </c>
      <c r="K607" s="5">
        <f t="shared" si="179"/>
        <v>3000</v>
      </c>
      <c r="L607" s="5">
        <f t="shared" si="180"/>
        <v>3000</v>
      </c>
      <c r="M607" s="5">
        <f t="shared" si="181"/>
        <v>3000</v>
      </c>
      <c r="N607" s="5">
        <f t="shared" si="193"/>
        <v>-916</v>
      </c>
      <c r="O607" s="5">
        <f t="shared" si="194"/>
        <v>-1020</v>
      </c>
      <c r="P607" s="5">
        <f t="shared" si="195"/>
        <v>-835</v>
      </c>
      <c r="Q607" s="8">
        <v>4</v>
      </c>
      <c r="R607" s="8">
        <v>4</v>
      </c>
      <c r="S607" s="8">
        <v>3</v>
      </c>
      <c r="T607" s="6">
        <f t="shared" si="190"/>
        <v>4</v>
      </c>
      <c r="U607" s="7">
        <f t="shared" si="176"/>
        <v>3354</v>
      </c>
      <c r="V607" s="7">
        <f t="shared" si="177"/>
        <v>3250</v>
      </c>
      <c r="W607" s="7">
        <f t="shared" si="178"/>
        <v>3375</v>
      </c>
      <c r="X607" s="6"/>
      <c r="Y607" s="5"/>
      <c r="Z607" s="5"/>
      <c r="AA607" s="5"/>
      <c r="AB607" s="5"/>
    </row>
    <row r="608" spans="1:28" ht="13.15" customHeight="1">
      <c r="A608" s="10">
        <f t="shared" si="182"/>
        <v>594</v>
      </c>
      <c r="B608" s="4">
        <f t="shared" si="191"/>
        <v>45637</v>
      </c>
      <c r="C608" s="10">
        <f t="shared" si="192"/>
        <v>842</v>
      </c>
      <c r="D608" s="9">
        <f t="shared" si="183"/>
        <v>2414</v>
      </c>
      <c r="E608" s="8">
        <f t="shared" si="184"/>
        <v>1179</v>
      </c>
      <c r="F608" s="8">
        <f t="shared" si="185"/>
        <v>1279</v>
      </c>
      <c r="G608" s="8">
        <f t="shared" si="186"/>
        <v>1093</v>
      </c>
      <c r="H608" s="5">
        <f t="shared" si="187"/>
        <v>2077</v>
      </c>
      <c r="I608" s="5">
        <f t="shared" si="188"/>
        <v>1977</v>
      </c>
      <c r="J608" s="5">
        <f t="shared" si="189"/>
        <v>2163</v>
      </c>
      <c r="K608" s="5">
        <f t="shared" si="179"/>
        <v>3000</v>
      </c>
      <c r="L608" s="5">
        <f t="shared" si="180"/>
        <v>3000</v>
      </c>
      <c r="M608" s="5">
        <f t="shared" si="181"/>
        <v>3000</v>
      </c>
      <c r="N608" s="5">
        <f t="shared" si="193"/>
        <v>-923</v>
      </c>
      <c r="O608" s="5">
        <f t="shared" si="194"/>
        <v>-1023</v>
      </c>
      <c r="P608" s="5">
        <f t="shared" si="195"/>
        <v>-837</v>
      </c>
      <c r="Q608" s="8">
        <v>7</v>
      </c>
      <c r="R608" s="8">
        <v>3</v>
      </c>
      <c r="S608" s="8">
        <v>2</v>
      </c>
      <c r="T608" s="6">
        <f t="shared" si="190"/>
        <v>9</v>
      </c>
      <c r="U608" s="7">
        <f t="shared" si="176"/>
        <v>3347</v>
      </c>
      <c r="V608" s="7">
        <f t="shared" si="177"/>
        <v>3247</v>
      </c>
      <c r="W608" s="7">
        <f t="shared" si="178"/>
        <v>3373</v>
      </c>
      <c r="X608" s="6"/>
      <c r="Y608" s="5"/>
      <c r="Z608" s="5"/>
      <c r="AA608" s="5"/>
      <c r="AB608" s="5"/>
    </row>
    <row r="609" spans="1:28" ht="13.15" customHeight="1">
      <c r="A609" s="10">
        <f t="shared" si="182"/>
        <v>595</v>
      </c>
      <c r="B609" s="4">
        <f t="shared" si="191"/>
        <v>45638</v>
      </c>
      <c r="C609" s="10">
        <f t="shared" si="192"/>
        <v>842</v>
      </c>
      <c r="D609" s="9">
        <f t="shared" si="183"/>
        <v>2416</v>
      </c>
      <c r="E609" s="8">
        <f t="shared" si="184"/>
        <v>1186</v>
      </c>
      <c r="F609" s="8">
        <f t="shared" si="185"/>
        <v>1283</v>
      </c>
      <c r="G609" s="8">
        <f t="shared" si="186"/>
        <v>1099</v>
      </c>
      <c r="H609" s="5">
        <f t="shared" si="187"/>
        <v>2072</v>
      </c>
      <c r="I609" s="5">
        <f t="shared" si="188"/>
        <v>1975</v>
      </c>
      <c r="J609" s="5">
        <f t="shared" si="189"/>
        <v>2159</v>
      </c>
      <c r="K609" s="5">
        <f t="shared" si="179"/>
        <v>3000</v>
      </c>
      <c r="L609" s="5">
        <f t="shared" si="180"/>
        <v>3000</v>
      </c>
      <c r="M609" s="5">
        <f t="shared" si="181"/>
        <v>3000</v>
      </c>
      <c r="N609" s="5">
        <f t="shared" si="193"/>
        <v>-928</v>
      </c>
      <c r="O609" s="5">
        <f t="shared" si="194"/>
        <v>-1025</v>
      </c>
      <c r="P609" s="5">
        <f t="shared" si="195"/>
        <v>-841</v>
      </c>
      <c r="Q609" s="8">
        <v>5</v>
      </c>
      <c r="R609" s="8">
        <v>2</v>
      </c>
      <c r="S609" s="8">
        <v>4</v>
      </c>
      <c r="T609" s="6">
        <f t="shared" si="190"/>
        <v>13</v>
      </c>
      <c r="U609" s="7">
        <f t="shared" si="176"/>
        <v>3342</v>
      </c>
      <c r="V609" s="7">
        <f t="shared" si="177"/>
        <v>3245</v>
      </c>
      <c r="W609" s="7">
        <f t="shared" si="178"/>
        <v>3369</v>
      </c>
      <c r="X609" s="6"/>
      <c r="Y609" s="5"/>
      <c r="Z609" s="5"/>
      <c r="AA609" s="5"/>
      <c r="AB609" s="5"/>
    </row>
    <row r="610" spans="1:28" ht="13.15" customHeight="1">
      <c r="A610" s="10">
        <f t="shared" si="182"/>
        <v>596</v>
      </c>
      <c r="B610" s="4">
        <f t="shared" si="191"/>
        <v>45639</v>
      </c>
      <c r="C610" s="10">
        <f t="shared" si="192"/>
        <v>842</v>
      </c>
      <c r="D610" s="9">
        <f t="shared" si="183"/>
        <v>2418</v>
      </c>
      <c r="E610" s="8">
        <f t="shared" si="184"/>
        <v>1193</v>
      </c>
      <c r="F610" s="8">
        <f t="shared" si="185"/>
        <v>1289</v>
      </c>
      <c r="G610" s="8">
        <f t="shared" si="186"/>
        <v>1104</v>
      </c>
      <c r="H610" s="5">
        <f t="shared" si="187"/>
        <v>2067</v>
      </c>
      <c r="I610" s="5">
        <f t="shared" si="188"/>
        <v>1971</v>
      </c>
      <c r="J610" s="5">
        <f t="shared" si="189"/>
        <v>2156</v>
      </c>
      <c r="K610" s="5">
        <f t="shared" si="179"/>
        <v>3000</v>
      </c>
      <c r="L610" s="5">
        <f t="shared" si="180"/>
        <v>3000</v>
      </c>
      <c r="M610" s="5">
        <f t="shared" si="181"/>
        <v>3000</v>
      </c>
      <c r="N610" s="5">
        <f t="shared" si="193"/>
        <v>-933</v>
      </c>
      <c r="O610" s="5">
        <f t="shared" si="194"/>
        <v>-1029</v>
      </c>
      <c r="P610" s="5">
        <f t="shared" si="195"/>
        <v>-844</v>
      </c>
      <c r="Q610" s="8">
        <v>5</v>
      </c>
      <c r="R610" s="8">
        <v>4</v>
      </c>
      <c r="S610" s="8">
        <v>3</v>
      </c>
      <c r="T610" s="6">
        <f t="shared" si="190"/>
        <v>19</v>
      </c>
      <c r="U610" s="7">
        <f t="shared" si="176"/>
        <v>3337</v>
      </c>
      <c r="V610" s="7">
        <f t="shared" si="177"/>
        <v>3241</v>
      </c>
      <c r="W610" s="7">
        <f t="shared" si="178"/>
        <v>3366</v>
      </c>
      <c r="X610" s="6"/>
      <c r="Y610" s="5"/>
      <c r="Z610" s="5"/>
      <c r="AA610" s="5"/>
      <c r="AB610" s="5"/>
    </row>
    <row r="611" spans="1:28" ht="13.15" customHeight="1">
      <c r="A611" s="10">
        <f t="shared" si="182"/>
        <v>597</v>
      </c>
      <c r="B611" s="4">
        <f t="shared" si="191"/>
        <v>45640</v>
      </c>
      <c r="C611" s="10">
        <f t="shared" si="192"/>
        <v>842</v>
      </c>
      <c r="D611" s="9">
        <f t="shared" si="183"/>
        <v>2420</v>
      </c>
      <c r="E611" s="8">
        <f t="shared" si="184"/>
        <v>1199</v>
      </c>
      <c r="F611" s="8">
        <f t="shared" si="185"/>
        <v>1298</v>
      </c>
      <c r="G611" s="8">
        <f t="shared" si="186"/>
        <v>1110</v>
      </c>
      <c r="H611" s="5">
        <f t="shared" si="187"/>
        <v>2063</v>
      </c>
      <c r="I611" s="5">
        <f t="shared" si="188"/>
        <v>1964</v>
      </c>
      <c r="J611" s="5">
        <f t="shared" si="189"/>
        <v>2152</v>
      </c>
      <c r="K611" s="5">
        <f t="shared" si="179"/>
        <v>3000</v>
      </c>
      <c r="L611" s="5">
        <f t="shared" si="180"/>
        <v>3000</v>
      </c>
      <c r="M611" s="5">
        <f t="shared" si="181"/>
        <v>3000</v>
      </c>
      <c r="N611" s="5">
        <f t="shared" si="193"/>
        <v>-937</v>
      </c>
      <c r="O611" s="5">
        <f t="shared" si="194"/>
        <v>-1036</v>
      </c>
      <c r="P611" s="5">
        <f t="shared" si="195"/>
        <v>-848</v>
      </c>
      <c r="Q611" s="8">
        <v>4</v>
      </c>
      <c r="R611" s="8">
        <v>7</v>
      </c>
      <c r="S611" s="8">
        <v>4</v>
      </c>
      <c r="T611" s="6">
        <f t="shared" si="190"/>
        <v>28</v>
      </c>
      <c r="U611" s="7">
        <f t="shared" si="176"/>
        <v>3333</v>
      </c>
      <c r="V611" s="7">
        <f t="shared" si="177"/>
        <v>3234</v>
      </c>
      <c r="W611" s="7">
        <f t="shared" si="178"/>
        <v>3362</v>
      </c>
      <c r="X611" s="6"/>
      <c r="Y611" s="5"/>
      <c r="Z611" s="5"/>
      <c r="AA611" s="5"/>
      <c r="AB611" s="5"/>
    </row>
    <row r="612" spans="1:28" ht="13.15" customHeight="1">
      <c r="A612" s="10">
        <f t="shared" si="182"/>
        <v>598</v>
      </c>
      <c r="B612" s="4">
        <f t="shared" si="191"/>
        <v>45641</v>
      </c>
      <c r="C612" s="10">
        <f t="shared" si="192"/>
        <v>842</v>
      </c>
      <c r="D612" s="9">
        <f t="shared" si="183"/>
        <v>2422</v>
      </c>
      <c r="E612" s="8">
        <f t="shared" si="184"/>
        <v>1204</v>
      </c>
      <c r="F612" s="8">
        <f t="shared" si="185"/>
        <v>1305</v>
      </c>
      <c r="G612" s="8">
        <f t="shared" si="186"/>
        <v>1119</v>
      </c>
      <c r="H612" s="5">
        <f t="shared" si="187"/>
        <v>2060</v>
      </c>
      <c r="I612" s="5">
        <f t="shared" si="188"/>
        <v>1959</v>
      </c>
      <c r="J612" s="5">
        <f t="shared" si="189"/>
        <v>2145</v>
      </c>
      <c r="K612" s="5">
        <f t="shared" si="179"/>
        <v>3000</v>
      </c>
      <c r="L612" s="5">
        <f t="shared" si="180"/>
        <v>3000</v>
      </c>
      <c r="M612" s="5">
        <f t="shared" si="181"/>
        <v>3000</v>
      </c>
      <c r="N612" s="5">
        <f t="shared" si="193"/>
        <v>-940</v>
      </c>
      <c r="O612" s="5">
        <f t="shared" si="194"/>
        <v>-1041</v>
      </c>
      <c r="P612" s="5">
        <f t="shared" si="195"/>
        <v>-855</v>
      </c>
      <c r="Q612" s="8">
        <v>3</v>
      </c>
      <c r="R612" s="8">
        <v>5</v>
      </c>
      <c r="S612" s="8">
        <v>7</v>
      </c>
      <c r="T612" s="6">
        <f t="shared" si="190"/>
        <v>35</v>
      </c>
      <c r="U612" s="7">
        <f t="shared" si="176"/>
        <v>3330</v>
      </c>
      <c r="V612" s="7">
        <f t="shared" si="177"/>
        <v>3229</v>
      </c>
      <c r="W612" s="7">
        <f t="shared" si="178"/>
        <v>3355</v>
      </c>
      <c r="X612" s="6"/>
      <c r="Y612" s="5"/>
      <c r="Z612" s="5"/>
      <c r="AA612" s="5"/>
      <c r="AB612" s="5"/>
    </row>
    <row r="613" spans="1:28" ht="13.15" customHeight="1">
      <c r="A613" s="10">
        <f t="shared" si="182"/>
        <v>599</v>
      </c>
      <c r="B613" s="4">
        <f t="shared" si="191"/>
        <v>45642</v>
      </c>
      <c r="C613" s="10">
        <f t="shared" si="192"/>
        <v>842</v>
      </c>
      <c r="D613" s="9">
        <f t="shared" si="183"/>
        <v>2424</v>
      </c>
      <c r="E613" s="8">
        <f t="shared" si="184"/>
        <v>1208</v>
      </c>
      <c r="F613" s="8">
        <f t="shared" si="185"/>
        <v>1312</v>
      </c>
      <c r="G613" s="8">
        <f t="shared" si="186"/>
        <v>1126</v>
      </c>
      <c r="H613" s="5">
        <f t="shared" si="187"/>
        <v>2058</v>
      </c>
      <c r="I613" s="5">
        <f t="shared" si="188"/>
        <v>1954</v>
      </c>
      <c r="J613" s="5">
        <f t="shared" si="189"/>
        <v>2140</v>
      </c>
      <c r="K613" s="5">
        <f t="shared" si="179"/>
        <v>3000</v>
      </c>
      <c r="L613" s="5">
        <f t="shared" si="180"/>
        <v>3000</v>
      </c>
      <c r="M613" s="5">
        <f t="shared" si="181"/>
        <v>3000</v>
      </c>
      <c r="N613" s="5">
        <f t="shared" si="193"/>
        <v>-942</v>
      </c>
      <c r="O613" s="5">
        <f t="shared" si="194"/>
        <v>-1046</v>
      </c>
      <c r="P613" s="5">
        <f t="shared" si="195"/>
        <v>-860</v>
      </c>
      <c r="Q613" s="8">
        <v>2</v>
      </c>
      <c r="R613" s="8">
        <v>5</v>
      </c>
      <c r="S613" s="8">
        <v>5</v>
      </c>
      <c r="T613" s="6">
        <f t="shared" si="190"/>
        <v>42</v>
      </c>
      <c r="U613" s="7">
        <f t="shared" si="176"/>
        <v>3328</v>
      </c>
      <c r="V613" s="7">
        <f t="shared" si="177"/>
        <v>3224</v>
      </c>
      <c r="W613" s="7">
        <f t="shared" si="178"/>
        <v>3350</v>
      </c>
      <c r="X613" s="6"/>
      <c r="Y613" s="5"/>
      <c r="Z613" s="5"/>
      <c r="AA613" s="5"/>
      <c r="AB613" s="5"/>
    </row>
    <row r="614" spans="1:28" ht="13.15" customHeight="1">
      <c r="A614" s="10">
        <f t="shared" si="182"/>
        <v>600</v>
      </c>
      <c r="B614" s="4">
        <f t="shared" si="191"/>
        <v>45643</v>
      </c>
      <c r="C614" s="10">
        <f t="shared" si="192"/>
        <v>842</v>
      </c>
      <c r="D614" s="9">
        <f t="shared" si="183"/>
        <v>2426</v>
      </c>
      <c r="E614" s="8">
        <f t="shared" si="184"/>
        <v>1214</v>
      </c>
      <c r="F614" s="8">
        <f t="shared" si="185"/>
        <v>1318</v>
      </c>
      <c r="G614" s="8">
        <f t="shared" si="186"/>
        <v>1133</v>
      </c>
      <c r="H614" s="5">
        <f t="shared" si="187"/>
        <v>2054</v>
      </c>
      <c r="I614" s="5">
        <f t="shared" si="188"/>
        <v>1950</v>
      </c>
      <c r="J614" s="5">
        <f t="shared" si="189"/>
        <v>2135</v>
      </c>
      <c r="K614" s="5">
        <f t="shared" si="179"/>
        <v>3000</v>
      </c>
      <c r="L614" s="5">
        <f t="shared" si="180"/>
        <v>3000</v>
      </c>
      <c r="M614" s="5">
        <f t="shared" si="181"/>
        <v>3000</v>
      </c>
      <c r="N614" s="5">
        <f t="shared" si="193"/>
        <v>-946</v>
      </c>
      <c r="O614" s="5">
        <f t="shared" si="194"/>
        <v>-1050</v>
      </c>
      <c r="P614" s="5">
        <f t="shared" si="195"/>
        <v>-865</v>
      </c>
      <c r="Q614" s="8">
        <v>4</v>
      </c>
      <c r="R614" s="8">
        <v>4</v>
      </c>
      <c r="S614" s="8">
        <v>5</v>
      </c>
      <c r="T614" s="6">
        <f t="shared" si="190"/>
        <v>48</v>
      </c>
      <c r="U614" s="7">
        <f t="shared" si="176"/>
        <v>3324</v>
      </c>
      <c r="V614" s="7">
        <f t="shared" si="177"/>
        <v>3220</v>
      </c>
      <c r="W614" s="7">
        <f t="shared" si="178"/>
        <v>3345</v>
      </c>
      <c r="X614" s="6"/>
      <c r="Y614" s="5"/>
      <c r="Z614" s="5"/>
      <c r="AA614" s="5"/>
      <c r="AB614" s="5"/>
    </row>
    <row r="615" spans="1:28" ht="13.15" customHeight="1">
      <c r="A615" s="10">
        <f t="shared" si="182"/>
        <v>601</v>
      </c>
      <c r="B615" s="4">
        <f t="shared" si="191"/>
        <v>45644</v>
      </c>
      <c r="C615" s="10">
        <f t="shared" si="192"/>
        <v>842</v>
      </c>
      <c r="D615" s="9">
        <f t="shared" si="183"/>
        <v>2428</v>
      </c>
      <c r="E615" s="8">
        <f t="shared" si="184"/>
        <v>1219</v>
      </c>
      <c r="F615" s="8">
        <f t="shared" si="185"/>
        <v>1323</v>
      </c>
      <c r="G615" s="8">
        <f t="shared" si="186"/>
        <v>1139</v>
      </c>
      <c r="H615" s="5">
        <f t="shared" si="187"/>
        <v>2051</v>
      </c>
      <c r="I615" s="5">
        <f t="shared" si="188"/>
        <v>1947</v>
      </c>
      <c r="J615" s="5">
        <f t="shared" si="189"/>
        <v>2131</v>
      </c>
      <c r="K615" s="5">
        <f t="shared" si="179"/>
        <v>3000</v>
      </c>
      <c r="L615" s="5">
        <f t="shared" si="180"/>
        <v>3000</v>
      </c>
      <c r="M615" s="5">
        <f t="shared" si="181"/>
        <v>3000</v>
      </c>
      <c r="N615" s="5">
        <f t="shared" si="193"/>
        <v>-949</v>
      </c>
      <c r="O615" s="5">
        <f t="shared" si="194"/>
        <v>-1053</v>
      </c>
      <c r="P615" s="5">
        <f t="shared" si="195"/>
        <v>-869</v>
      </c>
      <c r="Q615" s="8">
        <v>3</v>
      </c>
      <c r="R615" s="8">
        <v>3</v>
      </c>
      <c r="S615" s="8">
        <v>4</v>
      </c>
      <c r="T615" s="6">
        <f t="shared" si="190"/>
        <v>53</v>
      </c>
      <c r="U615" s="7">
        <f t="shared" si="176"/>
        <v>3321</v>
      </c>
      <c r="V615" s="7">
        <f t="shared" si="177"/>
        <v>3217</v>
      </c>
      <c r="W615" s="7">
        <f t="shared" si="178"/>
        <v>3341</v>
      </c>
      <c r="X615" s="6"/>
      <c r="Y615" s="5"/>
      <c r="Z615" s="5"/>
      <c r="AA615" s="5"/>
      <c r="AB615" s="5"/>
    </row>
    <row r="616" spans="1:28" ht="13.15" customHeight="1">
      <c r="A616" s="10">
        <f t="shared" si="182"/>
        <v>602</v>
      </c>
      <c r="B616" s="4">
        <f t="shared" si="191"/>
        <v>45645</v>
      </c>
      <c r="C616" s="10">
        <f t="shared" si="192"/>
        <v>842</v>
      </c>
      <c r="D616" s="9">
        <f t="shared" si="183"/>
        <v>2430</v>
      </c>
      <c r="E616" s="8">
        <f t="shared" si="184"/>
        <v>1223</v>
      </c>
      <c r="F616" s="8">
        <f t="shared" si="185"/>
        <v>1327</v>
      </c>
      <c r="G616" s="8">
        <f t="shared" si="186"/>
        <v>1144</v>
      </c>
      <c r="H616" s="5">
        <f t="shared" si="187"/>
        <v>2049</v>
      </c>
      <c r="I616" s="5">
        <f t="shared" si="188"/>
        <v>1945</v>
      </c>
      <c r="J616" s="5">
        <f t="shared" si="189"/>
        <v>2128</v>
      </c>
      <c r="K616" s="5">
        <f t="shared" si="179"/>
        <v>3000</v>
      </c>
      <c r="L616" s="5">
        <f t="shared" si="180"/>
        <v>3000</v>
      </c>
      <c r="M616" s="5">
        <f t="shared" si="181"/>
        <v>3000</v>
      </c>
      <c r="N616" s="5">
        <f t="shared" si="193"/>
        <v>-951</v>
      </c>
      <c r="O616" s="5">
        <f t="shared" si="194"/>
        <v>-1055</v>
      </c>
      <c r="P616" s="5">
        <f t="shared" si="195"/>
        <v>-872</v>
      </c>
      <c r="Q616" s="8">
        <v>2</v>
      </c>
      <c r="R616" s="8">
        <v>2</v>
      </c>
      <c r="S616" s="8">
        <v>3</v>
      </c>
      <c r="T616" s="6">
        <f t="shared" si="190"/>
        <v>57</v>
      </c>
      <c r="U616" s="7">
        <f t="shared" ref="U616:U679" si="196">U615+$X616*1000-Q616</f>
        <v>3319</v>
      </c>
      <c r="V616" s="7">
        <f t="shared" ref="V616:V679" si="197">V615+$X616*1000-R616</f>
        <v>3215</v>
      </c>
      <c r="W616" s="7">
        <f t="shared" ref="W616:W679" si="198">W615+$X616*1000-S616</f>
        <v>3338</v>
      </c>
      <c r="X616" s="6"/>
      <c r="Y616" s="5"/>
      <c r="Z616" s="5"/>
      <c r="AA616" s="5"/>
      <c r="AB616" s="5"/>
    </row>
    <row r="617" spans="1:28" ht="13.15" customHeight="1">
      <c r="A617" s="10">
        <f t="shared" si="182"/>
        <v>603</v>
      </c>
      <c r="B617" s="4">
        <f t="shared" si="191"/>
        <v>45646</v>
      </c>
      <c r="C617" s="10">
        <f t="shared" si="192"/>
        <v>842</v>
      </c>
      <c r="D617" s="9">
        <f t="shared" si="183"/>
        <v>2432</v>
      </c>
      <c r="E617" s="8">
        <f t="shared" si="184"/>
        <v>1229</v>
      </c>
      <c r="F617" s="8">
        <f t="shared" si="185"/>
        <v>1333</v>
      </c>
      <c r="G617" s="8">
        <f t="shared" si="186"/>
        <v>1148</v>
      </c>
      <c r="H617" s="5">
        <f t="shared" si="187"/>
        <v>2045</v>
      </c>
      <c r="I617" s="5">
        <f t="shared" si="188"/>
        <v>1941</v>
      </c>
      <c r="J617" s="5">
        <f t="shared" si="189"/>
        <v>2126</v>
      </c>
      <c r="K617" s="5">
        <f t="shared" si="179"/>
        <v>3000</v>
      </c>
      <c r="L617" s="5">
        <f t="shared" si="180"/>
        <v>3000</v>
      </c>
      <c r="M617" s="5">
        <f t="shared" si="181"/>
        <v>3000</v>
      </c>
      <c r="N617" s="5">
        <f t="shared" si="193"/>
        <v>-955</v>
      </c>
      <c r="O617" s="5">
        <f t="shared" si="194"/>
        <v>-1059</v>
      </c>
      <c r="P617" s="5">
        <f t="shared" si="195"/>
        <v>-874</v>
      </c>
      <c r="Q617" s="8">
        <v>4</v>
      </c>
      <c r="R617" s="8">
        <v>4</v>
      </c>
      <c r="S617" s="8">
        <v>2</v>
      </c>
      <c r="T617" s="6">
        <f t="shared" si="190"/>
        <v>63</v>
      </c>
      <c r="U617" s="7">
        <f t="shared" si="196"/>
        <v>3315</v>
      </c>
      <c r="V617" s="7">
        <f t="shared" si="197"/>
        <v>3211</v>
      </c>
      <c r="W617" s="7">
        <f t="shared" si="198"/>
        <v>3336</v>
      </c>
      <c r="X617" s="6"/>
      <c r="Y617" s="5"/>
      <c r="Z617" s="5"/>
      <c r="AA617" s="5"/>
      <c r="AB617" s="5"/>
    </row>
    <row r="618" spans="1:28" ht="13.15" customHeight="1">
      <c r="A618" s="10">
        <f t="shared" si="182"/>
        <v>604</v>
      </c>
      <c r="B618" s="4">
        <f t="shared" si="191"/>
        <v>45647</v>
      </c>
      <c r="C618" s="10">
        <f t="shared" si="192"/>
        <v>842</v>
      </c>
      <c r="D618" s="9">
        <f t="shared" si="183"/>
        <v>2434</v>
      </c>
      <c r="E618" s="8">
        <f t="shared" si="184"/>
        <v>1238</v>
      </c>
      <c r="F618" s="8">
        <f t="shared" si="185"/>
        <v>1342</v>
      </c>
      <c r="G618" s="8">
        <f t="shared" si="186"/>
        <v>1154</v>
      </c>
      <c r="H618" s="5">
        <f t="shared" si="187"/>
        <v>2038</v>
      </c>
      <c r="I618" s="5">
        <f t="shared" si="188"/>
        <v>1934</v>
      </c>
      <c r="J618" s="5">
        <f t="shared" si="189"/>
        <v>2122</v>
      </c>
      <c r="K618" s="5">
        <f t="shared" si="179"/>
        <v>3000</v>
      </c>
      <c r="L618" s="5">
        <f t="shared" si="180"/>
        <v>3000</v>
      </c>
      <c r="M618" s="5">
        <f t="shared" si="181"/>
        <v>3000</v>
      </c>
      <c r="N618" s="5">
        <f t="shared" si="193"/>
        <v>-962</v>
      </c>
      <c r="O618" s="5">
        <f t="shared" si="194"/>
        <v>-1066</v>
      </c>
      <c r="P618" s="5">
        <f t="shared" si="195"/>
        <v>-878</v>
      </c>
      <c r="Q618" s="8">
        <v>7</v>
      </c>
      <c r="R618" s="8">
        <v>7</v>
      </c>
      <c r="S618" s="8">
        <v>4</v>
      </c>
      <c r="T618" s="6">
        <f t="shared" si="190"/>
        <v>72</v>
      </c>
      <c r="U618" s="7">
        <f t="shared" si="196"/>
        <v>3308</v>
      </c>
      <c r="V618" s="7">
        <f t="shared" si="197"/>
        <v>3204</v>
      </c>
      <c r="W618" s="7">
        <f t="shared" si="198"/>
        <v>3332</v>
      </c>
      <c r="X618" s="6"/>
      <c r="Y618" s="5"/>
      <c r="Z618" s="5"/>
      <c r="AA618" s="5"/>
      <c r="AB618" s="5"/>
    </row>
    <row r="619" spans="1:28" ht="13.15" customHeight="1">
      <c r="A619" s="10">
        <f t="shared" si="182"/>
        <v>605</v>
      </c>
      <c r="B619" s="4">
        <f t="shared" si="191"/>
        <v>45648</v>
      </c>
      <c r="C619" s="10">
        <f t="shared" si="192"/>
        <v>842</v>
      </c>
      <c r="D619" s="9">
        <f t="shared" si="183"/>
        <v>2436</v>
      </c>
      <c r="E619" s="8">
        <f t="shared" si="184"/>
        <v>1245</v>
      </c>
      <c r="F619" s="8">
        <f t="shared" si="185"/>
        <v>1349</v>
      </c>
      <c r="G619" s="8">
        <f t="shared" si="186"/>
        <v>1159</v>
      </c>
      <c r="H619" s="5">
        <f t="shared" si="187"/>
        <v>2033</v>
      </c>
      <c r="I619" s="5">
        <f t="shared" si="188"/>
        <v>1929</v>
      </c>
      <c r="J619" s="5">
        <f t="shared" si="189"/>
        <v>2119</v>
      </c>
      <c r="K619" s="5">
        <f t="shared" si="179"/>
        <v>3000</v>
      </c>
      <c r="L619" s="5">
        <f t="shared" si="180"/>
        <v>3000</v>
      </c>
      <c r="M619" s="5">
        <f t="shared" si="181"/>
        <v>3000</v>
      </c>
      <c r="N619" s="5">
        <f t="shared" si="193"/>
        <v>-967</v>
      </c>
      <c r="O619" s="5">
        <f t="shared" si="194"/>
        <v>-1071</v>
      </c>
      <c r="P619" s="5">
        <f t="shared" si="195"/>
        <v>-881</v>
      </c>
      <c r="Q619" s="8">
        <v>5</v>
      </c>
      <c r="R619" s="8">
        <v>5</v>
      </c>
      <c r="S619" s="8">
        <v>3</v>
      </c>
      <c r="T619" s="6">
        <f t="shared" si="190"/>
        <v>79</v>
      </c>
      <c r="U619" s="7">
        <f t="shared" si="196"/>
        <v>3303</v>
      </c>
      <c r="V619" s="7">
        <f t="shared" si="197"/>
        <v>3199</v>
      </c>
      <c r="W619" s="7">
        <f t="shared" si="198"/>
        <v>3329</v>
      </c>
      <c r="X619" s="6"/>
      <c r="Y619" s="5"/>
      <c r="Z619" s="5"/>
      <c r="AA619" s="5"/>
      <c r="AB619" s="5"/>
    </row>
    <row r="620" spans="1:28" ht="13.15" customHeight="1">
      <c r="A620" s="10">
        <f t="shared" si="182"/>
        <v>606</v>
      </c>
      <c r="B620" s="4">
        <f t="shared" si="191"/>
        <v>45649</v>
      </c>
      <c r="C620" s="10">
        <f t="shared" si="192"/>
        <v>842</v>
      </c>
      <c r="D620" s="9">
        <f t="shared" si="183"/>
        <v>2438</v>
      </c>
      <c r="E620" s="8">
        <f t="shared" si="184"/>
        <v>1252</v>
      </c>
      <c r="F620" s="8">
        <f t="shared" si="185"/>
        <v>1356</v>
      </c>
      <c r="G620" s="8">
        <f t="shared" si="186"/>
        <v>1163</v>
      </c>
      <c r="H620" s="5">
        <f t="shared" si="187"/>
        <v>2028</v>
      </c>
      <c r="I620" s="5">
        <f t="shared" si="188"/>
        <v>1924</v>
      </c>
      <c r="J620" s="5">
        <f t="shared" si="189"/>
        <v>2117</v>
      </c>
      <c r="K620" s="5">
        <f t="shared" ref="K620:K683" si="199">K619</f>
        <v>3000</v>
      </c>
      <c r="L620" s="5">
        <f t="shared" ref="L620:L683" si="200">L619</f>
        <v>3000</v>
      </c>
      <c r="M620" s="5">
        <f t="shared" ref="M620:M683" si="201">M619</f>
        <v>3000</v>
      </c>
      <c r="N620" s="5">
        <f t="shared" si="193"/>
        <v>-972</v>
      </c>
      <c r="O620" s="5">
        <f t="shared" si="194"/>
        <v>-1076</v>
      </c>
      <c r="P620" s="5">
        <f t="shared" si="195"/>
        <v>-883</v>
      </c>
      <c r="Q620" s="8">
        <v>5</v>
      </c>
      <c r="R620" s="8">
        <v>5</v>
      </c>
      <c r="S620" s="8">
        <v>2</v>
      </c>
      <c r="T620" s="6">
        <f t="shared" si="190"/>
        <v>86</v>
      </c>
      <c r="U620" s="7">
        <f t="shared" si="196"/>
        <v>3298</v>
      </c>
      <c r="V620" s="7">
        <f t="shared" si="197"/>
        <v>3194</v>
      </c>
      <c r="W620" s="7">
        <f t="shared" si="198"/>
        <v>3327</v>
      </c>
      <c r="X620" s="6"/>
      <c r="Y620" s="5"/>
      <c r="Z620" s="5"/>
      <c r="AA620" s="5"/>
      <c r="AB620" s="5"/>
    </row>
    <row r="621" spans="1:28" ht="13.15" customHeight="1">
      <c r="A621" s="10">
        <f t="shared" si="182"/>
        <v>607</v>
      </c>
      <c r="B621" s="4">
        <f t="shared" si="191"/>
        <v>45650</v>
      </c>
      <c r="C621" s="10">
        <f t="shared" si="192"/>
        <v>842</v>
      </c>
      <c r="D621" s="9">
        <f t="shared" si="183"/>
        <v>2440</v>
      </c>
      <c r="E621" s="8">
        <f t="shared" si="184"/>
        <v>1258</v>
      </c>
      <c r="F621" s="8">
        <f t="shared" si="185"/>
        <v>1362</v>
      </c>
      <c r="G621" s="8">
        <f t="shared" si="186"/>
        <v>1169</v>
      </c>
      <c r="H621" s="5">
        <f t="shared" si="187"/>
        <v>2024</v>
      </c>
      <c r="I621" s="5">
        <f t="shared" si="188"/>
        <v>1920</v>
      </c>
      <c r="J621" s="5">
        <f t="shared" si="189"/>
        <v>2113</v>
      </c>
      <c r="K621" s="5">
        <f t="shared" si="199"/>
        <v>3000</v>
      </c>
      <c r="L621" s="5">
        <f t="shared" si="200"/>
        <v>3000</v>
      </c>
      <c r="M621" s="5">
        <f t="shared" si="201"/>
        <v>3000</v>
      </c>
      <c r="N621" s="5">
        <f t="shared" si="193"/>
        <v>-976</v>
      </c>
      <c r="O621" s="5">
        <f t="shared" si="194"/>
        <v>-1080</v>
      </c>
      <c r="P621" s="5">
        <f t="shared" si="195"/>
        <v>-887</v>
      </c>
      <c r="Q621" s="8">
        <v>4</v>
      </c>
      <c r="R621" s="8">
        <v>4</v>
      </c>
      <c r="S621" s="8">
        <v>4</v>
      </c>
      <c r="T621" s="6">
        <f t="shared" si="190"/>
        <v>92</v>
      </c>
      <c r="U621" s="7">
        <f t="shared" si="196"/>
        <v>3294</v>
      </c>
      <c r="V621" s="7">
        <f t="shared" si="197"/>
        <v>3190</v>
      </c>
      <c r="W621" s="7">
        <f t="shared" si="198"/>
        <v>3323</v>
      </c>
      <c r="X621" s="6"/>
      <c r="Y621" s="5"/>
      <c r="Z621" s="5"/>
      <c r="AA621" s="5"/>
      <c r="AB621" s="5"/>
    </row>
    <row r="622" spans="1:28" ht="13.15" customHeight="1">
      <c r="A622" s="10">
        <f t="shared" si="182"/>
        <v>608</v>
      </c>
      <c r="B622" s="4">
        <f t="shared" si="191"/>
        <v>45651</v>
      </c>
      <c r="C622" s="10">
        <f t="shared" si="192"/>
        <v>842</v>
      </c>
      <c r="D622" s="9">
        <f t="shared" si="183"/>
        <v>2442</v>
      </c>
      <c r="E622" s="8">
        <f t="shared" si="184"/>
        <v>1263</v>
      </c>
      <c r="F622" s="8">
        <f t="shared" si="185"/>
        <v>1367</v>
      </c>
      <c r="G622" s="8">
        <f t="shared" si="186"/>
        <v>1178</v>
      </c>
      <c r="H622" s="5">
        <f t="shared" si="187"/>
        <v>2021</v>
      </c>
      <c r="I622" s="5">
        <f t="shared" si="188"/>
        <v>1917</v>
      </c>
      <c r="J622" s="5">
        <f t="shared" si="189"/>
        <v>2106</v>
      </c>
      <c r="K622" s="5">
        <f t="shared" si="199"/>
        <v>3000</v>
      </c>
      <c r="L622" s="5">
        <f t="shared" si="200"/>
        <v>3000</v>
      </c>
      <c r="M622" s="5">
        <f t="shared" si="201"/>
        <v>3000</v>
      </c>
      <c r="N622" s="5">
        <f t="shared" si="193"/>
        <v>-979</v>
      </c>
      <c r="O622" s="5">
        <f t="shared" si="194"/>
        <v>-1083</v>
      </c>
      <c r="P622" s="5">
        <f t="shared" si="195"/>
        <v>-894</v>
      </c>
      <c r="Q622" s="8">
        <v>3</v>
      </c>
      <c r="R622" s="8">
        <v>3</v>
      </c>
      <c r="S622" s="8">
        <v>7</v>
      </c>
      <c r="T622" s="6">
        <f t="shared" si="190"/>
        <v>97</v>
      </c>
      <c r="U622" s="7">
        <f t="shared" si="196"/>
        <v>3291</v>
      </c>
      <c r="V622" s="7">
        <f t="shared" si="197"/>
        <v>3187</v>
      </c>
      <c r="W622" s="7">
        <f t="shared" si="198"/>
        <v>3316</v>
      </c>
      <c r="X622" s="6"/>
      <c r="Y622" s="5"/>
      <c r="Z622" s="5"/>
      <c r="AA622" s="5"/>
      <c r="AB622" s="5"/>
    </row>
    <row r="623" spans="1:28" ht="13.15" customHeight="1">
      <c r="A623" s="10">
        <f t="shared" si="182"/>
        <v>609</v>
      </c>
      <c r="B623" s="4">
        <f t="shared" si="191"/>
        <v>45652</v>
      </c>
      <c r="C623" s="10">
        <f t="shared" si="192"/>
        <v>842</v>
      </c>
      <c r="D623" s="9">
        <f t="shared" si="183"/>
        <v>2444</v>
      </c>
      <c r="E623" s="8">
        <f t="shared" si="184"/>
        <v>1267</v>
      </c>
      <c r="F623" s="8">
        <f t="shared" si="185"/>
        <v>1371</v>
      </c>
      <c r="G623" s="8">
        <f t="shared" si="186"/>
        <v>1185</v>
      </c>
      <c r="H623" s="5">
        <f t="shared" si="187"/>
        <v>2019</v>
      </c>
      <c r="I623" s="5">
        <f t="shared" si="188"/>
        <v>1915</v>
      </c>
      <c r="J623" s="5">
        <f t="shared" si="189"/>
        <v>2101</v>
      </c>
      <c r="K623" s="5">
        <f t="shared" si="199"/>
        <v>3000</v>
      </c>
      <c r="L623" s="5">
        <f t="shared" si="200"/>
        <v>3000</v>
      </c>
      <c r="M623" s="5">
        <f t="shared" si="201"/>
        <v>3000</v>
      </c>
      <c r="N623" s="5">
        <f t="shared" si="193"/>
        <v>-981</v>
      </c>
      <c r="O623" s="5">
        <f t="shared" si="194"/>
        <v>-1085</v>
      </c>
      <c r="P623" s="5">
        <f t="shared" si="195"/>
        <v>-899</v>
      </c>
      <c r="Q623" s="8">
        <v>2</v>
      </c>
      <c r="R623" s="8">
        <v>2</v>
      </c>
      <c r="S623" s="8">
        <v>5</v>
      </c>
      <c r="T623" s="6">
        <f t="shared" si="190"/>
        <v>101</v>
      </c>
      <c r="U623" s="7">
        <f t="shared" si="196"/>
        <v>3289</v>
      </c>
      <c r="V623" s="7">
        <f t="shared" si="197"/>
        <v>3185</v>
      </c>
      <c r="W623" s="7">
        <f t="shared" si="198"/>
        <v>3311</v>
      </c>
      <c r="X623" s="6"/>
      <c r="Y623" s="5"/>
      <c r="Z623" s="5"/>
      <c r="AA623" s="5"/>
      <c r="AB623" s="5"/>
    </row>
    <row r="624" spans="1:28" ht="13.15" customHeight="1">
      <c r="A624" s="10">
        <f t="shared" si="182"/>
        <v>610</v>
      </c>
      <c r="B624" s="4">
        <f t="shared" si="191"/>
        <v>45653</v>
      </c>
      <c r="C624" s="10">
        <f t="shared" si="192"/>
        <v>842</v>
      </c>
      <c r="D624" s="9">
        <f t="shared" si="183"/>
        <v>2446</v>
      </c>
      <c r="E624" s="8">
        <f t="shared" si="184"/>
        <v>1273</v>
      </c>
      <c r="F624" s="8">
        <f t="shared" si="185"/>
        <v>1377</v>
      </c>
      <c r="G624" s="8">
        <f t="shared" si="186"/>
        <v>1192</v>
      </c>
      <c r="H624" s="5">
        <f t="shared" si="187"/>
        <v>2015</v>
      </c>
      <c r="I624" s="5">
        <f t="shared" si="188"/>
        <v>1911</v>
      </c>
      <c r="J624" s="5">
        <f t="shared" si="189"/>
        <v>2096</v>
      </c>
      <c r="K624" s="5">
        <f t="shared" si="199"/>
        <v>3000</v>
      </c>
      <c r="L624" s="5">
        <f t="shared" si="200"/>
        <v>3000</v>
      </c>
      <c r="M624" s="5">
        <f t="shared" si="201"/>
        <v>3000</v>
      </c>
      <c r="N624" s="5">
        <f t="shared" si="193"/>
        <v>-985</v>
      </c>
      <c r="O624" s="5">
        <f t="shared" si="194"/>
        <v>-1089</v>
      </c>
      <c r="P624" s="5">
        <f t="shared" si="195"/>
        <v>-904</v>
      </c>
      <c r="Q624" s="8">
        <v>4</v>
      </c>
      <c r="R624" s="8">
        <v>4</v>
      </c>
      <c r="S624" s="8">
        <v>5</v>
      </c>
      <c r="T624" s="6">
        <f t="shared" si="190"/>
        <v>107</v>
      </c>
      <c r="U624" s="7">
        <f t="shared" si="196"/>
        <v>3285</v>
      </c>
      <c r="V624" s="7">
        <f t="shared" si="197"/>
        <v>3181</v>
      </c>
      <c r="W624" s="7">
        <f t="shared" si="198"/>
        <v>3306</v>
      </c>
      <c r="X624" s="6"/>
      <c r="Y624" s="5"/>
      <c r="Z624" s="5"/>
      <c r="AA624" s="5"/>
      <c r="AB624" s="5"/>
    </row>
    <row r="625" spans="1:28" ht="13.15" customHeight="1">
      <c r="A625" s="10">
        <f t="shared" si="182"/>
        <v>611</v>
      </c>
      <c r="B625" s="4">
        <f t="shared" si="191"/>
        <v>45654</v>
      </c>
      <c r="C625" s="10">
        <f t="shared" si="192"/>
        <v>842</v>
      </c>
      <c r="D625" s="9">
        <f t="shared" si="183"/>
        <v>2448</v>
      </c>
      <c r="E625" s="8">
        <f t="shared" si="184"/>
        <v>1278</v>
      </c>
      <c r="F625" s="8">
        <f t="shared" si="185"/>
        <v>1381</v>
      </c>
      <c r="G625" s="8">
        <f t="shared" si="186"/>
        <v>1198</v>
      </c>
      <c r="H625" s="5">
        <f t="shared" si="187"/>
        <v>2012</v>
      </c>
      <c r="I625" s="5">
        <f t="shared" si="188"/>
        <v>1909</v>
      </c>
      <c r="J625" s="5">
        <f t="shared" si="189"/>
        <v>2092</v>
      </c>
      <c r="K625" s="5">
        <f t="shared" si="199"/>
        <v>3000</v>
      </c>
      <c r="L625" s="5">
        <f t="shared" si="200"/>
        <v>3000</v>
      </c>
      <c r="M625" s="5">
        <f t="shared" si="201"/>
        <v>3000</v>
      </c>
      <c r="N625" s="5">
        <f t="shared" si="193"/>
        <v>-988</v>
      </c>
      <c r="O625" s="5">
        <f t="shared" si="194"/>
        <v>-1091</v>
      </c>
      <c r="P625" s="5">
        <f t="shared" si="195"/>
        <v>-908</v>
      </c>
      <c r="Q625" s="8">
        <v>3</v>
      </c>
      <c r="R625" s="8">
        <v>2</v>
      </c>
      <c r="S625" s="8">
        <v>4</v>
      </c>
      <c r="T625" s="6">
        <f t="shared" si="190"/>
        <v>111</v>
      </c>
      <c r="U625" s="7">
        <f t="shared" si="196"/>
        <v>3282</v>
      </c>
      <c r="V625" s="7">
        <f t="shared" si="197"/>
        <v>3179</v>
      </c>
      <c r="W625" s="7">
        <f t="shared" si="198"/>
        <v>3302</v>
      </c>
      <c r="X625" s="6"/>
      <c r="Y625" s="5"/>
      <c r="Z625" s="5"/>
      <c r="AA625" s="5"/>
      <c r="AB625" s="5"/>
    </row>
    <row r="626" spans="1:28" ht="13.15" customHeight="1">
      <c r="A626" s="10">
        <f t="shared" si="182"/>
        <v>612</v>
      </c>
      <c r="B626" s="4">
        <f t="shared" si="191"/>
        <v>45655</v>
      </c>
      <c r="C626" s="10">
        <f t="shared" si="192"/>
        <v>842</v>
      </c>
      <c r="D626" s="9">
        <f t="shared" si="183"/>
        <v>2450</v>
      </c>
      <c r="E626" s="8">
        <f t="shared" si="184"/>
        <v>1284</v>
      </c>
      <c r="F626" s="8">
        <f t="shared" si="185"/>
        <v>1387</v>
      </c>
      <c r="G626" s="8">
        <f t="shared" si="186"/>
        <v>1203</v>
      </c>
      <c r="H626" s="5">
        <f t="shared" si="187"/>
        <v>2008</v>
      </c>
      <c r="I626" s="5">
        <f t="shared" si="188"/>
        <v>1905</v>
      </c>
      <c r="J626" s="5">
        <f t="shared" si="189"/>
        <v>2089</v>
      </c>
      <c r="K626" s="5">
        <f t="shared" si="199"/>
        <v>3000</v>
      </c>
      <c r="L626" s="5">
        <f t="shared" si="200"/>
        <v>3000</v>
      </c>
      <c r="M626" s="5">
        <f t="shared" si="201"/>
        <v>3000</v>
      </c>
      <c r="N626" s="5">
        <f t="shared" si="193"/>
        <v>-992</v>
      </c>
      <c r="O626" s="5">
        <f t="shared" si="194"/>
        <v>-1095</v>
      </c>
      <c r="P626" s="5">
        <f t="shared" si="195"/>
        <v>-911</v>
      </c>
      <c r="Q626" s="8">
        <v>4</v>
      </c>
      <c r="R626" s="8">
        <v>4</v>
      </c>
      <c r="S626" s="8">
        <v>3</v>
      </c>
      <c r="T626" s="6">
        <f t="shared" si="190"/>
        <v>117</v>
      </c>
      <c r="U626" s="7">
        <f t="shared" si="196"/>
        <v>3278</v>
      </c>
      <c r="V626" s="7">
        <f t="shared" si="197"/>
        <v>3175</v>
      </c>
      <c r="W626" s="7">
        <f t="shared" si="198"/>
        <v>3299</v>
      </c>
      <c r="X626" s="6"/>
      <c r="Y626" s="5"/>
      <c r="Z626" s="5"/>
      <c r="AA626" s="5"/>
      <c r="AB626" s="5"/>
    </row>
    <row r="627" spans="1:28" ht="13.15" customHeight="1">
      <c r="A627" s="10">
        <f t="shared" si="182"/>
        <v>613</v>
      </c>
      <c r="B627" s="4">
        <f t="shared" si="191"/>
        <v>45656</v>
      </c>
      <c r="C627" s="10">
        <f t="shared" si="192"/>
        <v>842</v>
      </c>
      <c r="D627" s="9">
        <f t="shared" si="183"/>
        <v>2452</v>
      </c>
      <c r="E627" s="8">
        <f t="shared" si="184"/>
        <v>1287</v>
      </c>
      <c r="F627" s="8">
        <f t="shared" si="185"/>
        <v>1390</v>
      </c>
      <c r="G627" s="8">
        <f t="shared" si="186"/>
        <v>1207</v>
      </c>
      <c r="H627" s="5">
        <f t="shared" si="187"/>
        <v>2007</v>
      </c>
      <c r="I627" s="5">
        <f t="shared" si="188"/>
        <v>1904</v>
      </c>
      <c r="J627" s="5">
        <f t="shared" si="189"/>
        <v>2087</v>
      </c>
      <c r="K627" s="5">
        <f t="shared" si="199"/>
        <v>3000</v>
      </c>
      <c r="L627" s="5">
        <f t="shared" si="200"/>
        <v>3000</v>
      </c>
      <c r="M627" s="5">
        <f t="shared" si="201"/>
        <v>3000</v>
      </c>
      <c r="N627" s="5">
        <f t="shared" si="193"/>
        <v>-993</v>
      </c>
      <c r="O627" s="5">
        <f t="shared" si="194"/>
        <v>-1096</v>
      </c>
      <c r="P627" s="5">
        <f t="shared" si="195"/>
        <v>-913</v>
      </c>
      <c r="Q627" s="8">
        <v>1</v>
      </c>
      <c r="R627" s="8">
        <v>1</v>
      </c>
      <c r="S627" s="8">
        <v>2</v>
      </c>
      <c r="T627" s="6">
        <f t="shared" si="190"/>
        <v>120</v>
      </c>
      <c r="U627" s="7">
        <f t="shared" si="196"/>
        <v>3277</v>
      </c>
      <c r="V627" s="7">
        <f t="shared" si="197"/>
        <v>3174</v>
      </c>
      <c r="W627" s="7">
        <f t="shared" si="198"/>
        <v>3297</v>
      </c>
      <c r="X627" s="6"/>
      <c r="Y627" s="5"/>
      <c r="Z627" s="5"/>
      <c r="AA627" s="5"/>
      <c r="AB627" s="5"/>
    </row>
    <row r="628" spans="1:28" ht="13.15" customHeight="1">
      <c r="A628" s="10">
        <f t="shared" si="182"/>
        <v>614</v>
      </c>
      <c r="B628" s="4">
        <f t="shared" si="191"/>
        <v>45657</v>
      </c>
      <c r="C628" s="10">
        <f t="shared" si="192"/>
        <v>842</v>
      </c>
      <c r="D628" s="9">
        <f t="shared" si="183"/>
        <v>2454</v>
      </c>
      <c r="E628" s="8">
        <f t="shared" si="184"/>
        <v>1293</v>
      </c>
      <c r="F628" s="8">
        <f t="shared" si="185"/>
        <v>1393</v>
      </c>
      <c r="G628" s="8">
        <f t="shared" si="186"/>
        <v>1213</v>
      </c>
      <c r="H628" s="5">
        <f t="shared" si="187"/>
        <v>2003</v>
      </c>
      <c r="I628" s="5">
        <f t="shared" si="188"/>
        <v>1903</v>
      </c>
      <c r="J628" s="5">
        <f t="shared" si="189"/>
        <v>2083</v>
      </c>
      <c r="K628" s="5">
        <f t="shared" si="199"/>
        <v>3000</v>
      </c>
      <c r="L628" s="5">
        <f t="shared" si="200"/>
        <v>3000</v>
      </c>
      <c r="M628" s="5">
        <f t="shared" si="201"/>
        <v>3000</v>
      </c>
      <c r="N628" s="5">
        <f t="shared" si="193"/>
        <v>-997</v>
      </c>
      <c r="O628" s="5">
        <f t="shared" si="194"/>
        <v>-1097</v>
      </c>
      <c r="P628" s="5">
        <f t="shared" si="195"/>
        <v>-917</v>
      </c>
      <c r="Q628" s="8">
        <v>4</v>
      </c>
      <c r="R628" s="8">
        <v>1</v>
      </c>
      <c r="S628" s="8">
        <v>4</v>
      </c>
      <c r="T628" s="6">
        <f t="shared" si="190"/>
        <v>123</v>
      </c>
      <c r="U628" s="7">
        <f t="shared" si="196"/>
        <v>3273</v>
      </c>
      <c r="V628" s="7">
        <f t="shared" si="197"/>
        <v>3173</v>
      </c>
      <c r="W628" s="7">
        <f t="shared" si="198"/>
        <v>3293</v>
      </c>
      <c r="X628" s="6"/>
      <c r="Y628" s="5"/>
      <c r="Z628" s="5"/>
      <c r="AA628" s="5"/>
      <c r="AB628" s="5"/>
    </row>
    <row r="629" spans="1:28" ht="13.15" customHeight="1">
      <c r="A629" s="10">
        <f t="shared" si="182"/>
        <v>615</v>
      </c>
      <c r="B629" s="4">
        <f t="shared" si="191"/>
        <v>45658</v>
      </c>
      <c r="C629" s="10">
        <f t="shared" si="192"/>
        <v>842</v>
      </c>
      <c r="D629" s="9">
        <f t="shared" si="183"/>
        <v>2456</v>
      </c>
      <c r="E629" s="8">
        <f t="shared" si="184"/>
        <v>1295</v>
      </c>
      <c r="F629" s="8">
        <f t="shared" si="185"/>
        <v>1396</v>
      </c>
      <c r="G629" s="8">
        <f t="shared" si="186"/>
        <v>1217</v>
      </c>
      <c r="H629" s="5">
        <f t="shared" si="187"/>
        <v>2003</v>
      </c>
      <c r="I629" s="5">
        <f t="shared" si="188"/>
        <v>1902</v>
      </c>
      <c r="J629" s="5">
        <f t="shared" si="189"/>
        <v>2081</v>
      </c>
      <c r="K629" s="5">
        <f t="shared" si="199"/>
        <v>3000</v>
      </c>
      <c r="L629" s="5">
        <f t="shared" si="200"/>
        <v>3000</v>
      </c>
      <c r="M629" s="5">
        <f t="shared" si="201"/>
        <v>3000</v>
      </c>
      <c r="N629" s="5">
        <f t="shared" si="193"/>
        <v>-997</v>
      </c>
      <c r="O629" s="5">
        <f t="shared" si="194"/>
        <v>-1098</v>
      </c>
      <c r="P629" s="5">
        <f t="shared" si="195"/>
        <v>-919</v>
      </c>
      <c r="Q629" s="8">
        <v>0</v>
      </c>
      <c r="R629" s="8">
        <v>1</v>
      </c>
      <c r="S629" s="8">
        <v>2</v>
      </c>
      <c r="T629" s="6">
        <f t="shared" si="190"/>
        <v>126</v>
      </c>
      <c r="U629" s="7">
        <f t="shared" si="196"/>
        <v>3273</v>
      </c>
      <c r="V629" s="7">
        <f t="shared" si="197"/>
        <v>3172</v>
      </c>
      <c r="W629" s="7">
        <f t="shared" si="198"/>
        <v>3291</v>
      </c>
      <c r="X629" s="6"/>
      <c r="Y629" s="5"/>
      <c r="Z629" s="5"/>
      <c r="AA629" s="5"/>
      <c r="AB629" s="5"/>
    </row>
    <row r="630" spans="1:28" ht="13.15" customHeight="1">
      <c r="A630" s="10">
        <f t="shared" si="182"/>
        <v>616</v>
      </c>
      <c r="B630" s="4">
        <f t="shared" si="191"/>
        <v>45659</v>
      </c>
      <c r="C630" s="10">
        <f t="shared" si="192"/>
        <v>842</v>
      </c>
      <c r="D630" s="9">
        <f t="shared" si="183"/>
        <v>2458</v>
      </c>
      <c r="E630" s="8">
        <f t="shared" si="184"/>
        <v>1299</v>
      </c>
      <c r="F630" s="8">
        <f t="shared" si="185"/>
        <v>1401</v>
      </c>
      <c r="G630" s="8">
        <f t="shared" si="186"/>
        <v>1223</v>
      </c>
      <c r="H630" s="5">
        <f t="shared" si="187"/>
        <v>2001</v>
      </c>
      <c r="I630" s="5">
        <f t="shared" si="188"/>
        <v>1899</v>
      </c>
      <c r="J630" s="5">
        <f t="shared" si="189"/>
        <v>2077</v>
      </c>
      <c r="K630" s="5">
        <f t="shared" si="199"/>
        <v>3000</v>
      </c>
      <c r="L630" s="5">
        <f t="shared" si="200"/>
        <v>3000</v>
      </c>
      <c r="M630" s="5">
        <f t="shared" si="201"/>
        <v>3000</v>
      </c>
      <c r="N630" s="5">
        <f t="shared" si="193"/>
        <v>-999</v>
      </c>
      <c r="O630" s="5">
        <f t="shared" si="194"/>
        <v>-1101</v>
      </c>
      <c r="P630" s="5">
        <f t="shared" si="195"/>
        <v>-923</v>
      </c>
      <c r="Q630" s="8">
        <v>2</v>
      </c>
      <c r="R630" s="8">
        <v>3</v>
      </c>
      <c r="S630" s="8">
        <v>4</v>
      </c>
      <c r="T630" s="6">
        <f t="shared" si="190"/>
        <v>131</v>
      </c>
      <c r="U630" s="7">
        <f t="shared" si="196"/>
        <v>3271</v>
      </c>
      <c r="V630" s="7">
        <f t="shared" si="197"/>
        <v>3169</v>
      </c>
      <c r="W630" s="7">
        <f t="shared" si="198"/>
        <v>3287</v>
      </c>
      <c r="X630" s="6"/>
      <c r="Y630" s="5"/>
      <c r="Z630" s="5"/>
      <c r="AA630" s="5"/>
      <c r="AB630" s="5"/>
    </row>
    <row r="631" spans="1:28" ht="13.15" customHeight="1">
      <c r="A631" s="10">
        <f t="shared" si="182"/>
        <v>617</v>
      </c>
      <c r="B631" s="4">
        <f t="shared" si="191"/>
        <v>45660</v>
      </c>
      <c r="C631" s="10">
        <f t="shared" si="192"/>
        <v>842</v>
      </c>
      <c r="D631" s="9">
        <f t="shared" si="183"/>
        <v>2460</v>
      </c>
      <c r="E631" s="8">
        <f t="shared" si="184"/>
        <v>1305</v>
      </c>
      <c r="F631" s="8">
        <f t="shared" si="185"/>
        <v>1404</v>
      </c>
      <c r="G631" s="8">
        <f t="shared" si="186"/>
        <v>1226</v>
      </c>
      <c r="H631" s="5">
        <f t="shared" si="187"/>
        <v>1997</v>
      </c>
      <c r="I631" s="5">
        <f t="shared" si="188"/>
        <v>1898</v>
      </c>
      <c r="J631" s="5">
        <f t="shared" si="189"/>
        <v>2076</v>
      </c>
      <c r="K631" s="5">
        <f t="shared" si="199"/>
        <v>3000</v>
      </c>
      <c r="L631" s="5">
        <f t="shared" si="200"/>
        <v>3000</v>
      </c>
      <c r="M631" s="5">
        <f t="shared" si="201"/>
        <v>3000</v>
      </c>
      <c r="N631" s="5">
        <f t="shared" si="193"/>
        <v>-1003</v>
      </c>
      <c r="O631" s="5">
        <f t="shared" si="194"/>
        <v>-1102</v>
      </c>
      <c r="P631" s="5">
        <f t="shared" si="195"/>
        <v>-924</v>
      </c>
      <c r="Q631" s="8">
        <v>4</v>
      </c>
      <c r="R631" s="8">
        <v>1</v>
      </c>
      <c r="S631" s="8">
        <v>1</v>
      </c>
      <c r="T631" s="6">
        <f t="shared" si="190"/>
        <v>134</v>
      </c>
      <c r="U631" s="7">
        <f t="shared" si="196"/>
        <v>3267</v>
      </c>
      <c r="V631" s="7">
        <f t="shared" si="197"/>
        <v>3168</v>
      </c>
      <c r="W631" s="7">
        <f t="shared" si="198"/>
        <v>3286</v>
      </c>
      <c r="X631" s="6"/>
      <c r="Y631" s="5"/>
      <c r="Z631" s="5"/>
      <c r="AA631" s="5"/>
      <c r="AB631" s="5"/>
    </row>
    <row r="632" spans="1:28" ht="13.15" customHeight="1">
      <c r="A632" s="10">
        <f t="shared" si="182"/>
        <v>618</v>
      </c>
      <c r="B632" s="4">
        <f t="shared" si="191"/>
        <v>45661</v>
      </c>
      <c r="C632" s="10">
        <f t="shared" si="192"/>
        <v>842</v>
      </c>
      <c r="D632" s="9">
        <f t="shared" si="183"/>
        <v>2462</v>
      </c>
      <c r="E632" s="8">
        <f t="shared" si="184"/>
        <v>1308</v>
      </c>
      <c r="F632" s="8">
        <f t="shared" si="185"/>
        <v>1408</v>
      </c>
      <c r="G632" s="8">
        <f t="shared" si="186"/>
        <v>1229</v>
      </c>
      <c r="H632" s="5">
        <f t="shared" si="187"/>
        <v>1996</v>
      </c>
      <c r="I632" s="5">
        <f t="shared" si="188"/>
        <v>1896</v>
      </c>
      <c r="J632" s="5">
        <f t="shared" si="189"/>
        <v>2075</v>
      </c>
      <c r="K632" s="5">
        <f t="shared" si="199"/>
        <v>3000</v>
      </c>
      <c r="L632" s="5">
        <f t="shared" si="200"/>
        <v>3000</v>
      </c>
      <c r="M632" s="5">
        <f t="shared" si="201"/>
        <v>3000</v>
      </c>
      <c r="N632" s="5">
        <f t="shared" si="193"/>
        <v>-1004</v>
      </c>
      <c r="O632" s="5">
        <f t="shared" si="194"/>
        <v>-1104</v>
      </c>
      <c r="P632" s="5">
        <f t="shared" si="195"/>
        <v>-925</v>
      </c>
      <c r="Q632" s="8">
        <v>1</v>
      </c>
      <c r="R632" s="8">
        <v>2</v>
      </c>
      <c r="S632" s="8">
        <v>1</v>
      </c>
      <c r="T632" s="6">
        <f t="shared" si="190"/>
        <v>138</v>
      </c>
      <c r="U632" s="7">
        <f t="shared" si="196"/>
        <v>3266</v>
      </c>
      <c r="V632" s="7">
        <f t="shared" si="197"/>
        <v>3166</v>
      </c>
      <c r="W632" s="7">
        <f t="shared" si="198"/>
        <v>3285</v>
      </c>
      <c r="X632" s="6"/>
      <c r="Y632" s="5"/>
      <c r="Z632" s="5"/>
      <c r="AA632" s="5"/>
      <c r="AB632" s="5"/>
    </row>
    <row r="633" spans="1:28" ht="13.15" customHeight="1">
      <c r="A633" s="10">
        <f t="shared" si="182"/>
        <v>619</v>
      </c>
      <c r="B633" s="4">
        <f t="shared" si="191"/>
        <v>45662</v>
      </c>
      <c r="C633" s="10">
        <f t="shared" si="192"/>
        <v>842</v>
      </c>
      <c r="D633" s="9">
        <f t="shared" si="183"/>
        <v>2464</v>
      </c>
      <c r="E633" s="8">
        <f t="shared" si="184"/>
        <v>1311</v>
      </c>
      <c r="F633" s="8">
        <f t="shared" si="185"/>
        <v>1411</v>
      </c>
      <c r="G633" s="8">
        <f t="shared" si="186"/>
        <v>1232</v>
      </c>
      <c r="H633" s="5">
        <f t="shared" si="187"/>
        <v>1995</v>
      </c>
      <c r="I633" s="5">
        <f t="shared" si="188"/>
        <v>1895</v>
      </c>
      <c r="J633" s="5">
        <f t="shared" si="189"/>
        <v>2074</v>
      </c>
      <c r="K633" s="5">
        <f t="shared" si="199"/>
        <v>3000</v>
      </c>
      <c r="L633" s="5">
        <f t="shared" si="200"/>
        <v>3000</v>
      </c>
      <c r="M633" s="5">
        <f t="shared" si="201"/>
        <v>3000</v>
      </c>
      <c r="N633" s="5">
        <f t="shared" si="193"/>
        <v>-1005</v>
      </c>
      <c r="O633" s="5">
        <f t="shared" si="194"/>
        <v>-1105</v>
      </c>
      <c r="P633" s="5">
        <f t="shared" si="195"/>
        <v>-926</v>
      </c>
      <c r="Q633" s="8">
        <v>1</v>
      </c>
      <c r="R633" s="8">
        <v>1</v>
      </c>
      <c r="S633" s="8">
        <v>1</v>
      </c>
      <c r="T633" s="6">
        <f t="shared" si="190"/>
        <v>141</v>
      </c>
      <c r="U633" s="7">
        <f t="shared" si="196"/>
        <v>3265</v>
      </c>
      <c r="V633" s="7">
        <f t="shared" si="197"/>
        <v>3165</v>
      </c>
      <c r="W633" s="7">
        <f t="shared" si="198"/>
        <v>3284</v>
      </c>
      <c r="X633" s="6"/>
      <c r="Y633" s="5"/>
      <c r="Z633" s="5"/>
      <c r="AA633" s="5"/>
      <c r="AB633" s="5"/>
    </row>
    <row r="634" spans="1:28" ht="13.15" customHeight="1">
      <c r="A634" s="10">
        <f t="shared" ref="A634:A697" si="202">+A633+1</f>
        <v>620</v>
      </c>
      <c r="B634" s="4">
        <f t="shared" si="191"/>
        <v>45663</v>
      </c>
      <c r="C634" s="10">
        <f t="shared" si="192"/>
        <v>842</v>
      </c>
      <c r="D634" s="9">
        <f t="shared" si="183"/>
        <v>2466</v>
      </c>
      <c r="E634" s="8">
        <f t="shared" si="184"/>
        <v>1314</v>
      </c>
      <c r="F634" s="8">
        <f t="shared" si="185"/>
        <v>1415</v>
      </c>
      <c r="G634" s="8">
        <f t="shared" si="186"/>
        <v>1237</v>
      </c>
      <c r="H634" s="5">
        <f t="shared" si="187"/>
        <v>1994</v>
      </c>
      <c r="I634" s="5">
        <f t="shared" si="188"/>
        <v>1893</v>
      </c>
      <c r="J634" s="5">
        <f t="shared" si="189"/>
        <v>2071</v>
      </c>
      <c r="K634" s="5">
        <f t="shared" si="199"/>
        <v>3000</v>
      </c>
      <c r="L634" s="5">
        <f t="shared" si="200"/>
        <v>3000</v>
      </c>
      <c r="M634" s="5">
        <f t="shared" si="201"/>
        <v>3000</v>
      </c>
      <c r="N634" s="5">
        <f t="shared" si="193"/>
        <v>-1006</v>
      </c>
      <c r="O634" s="5">
        <f t="shared" si="194"/>
        <v>-1107</v>
      </c>
      <c r="P634" s="5">
        <f t="shared" si="195"/>
        <v>-929</v>
      </c>
      <c r="Q634" s="8">
        <v>1</v>
      </c>
      <c r="R634" s="8">
        <v>2</v>
      </c>
      <c r="S634" s="8">
        <v>3</v>
      </c>
      <c r="T634" s="6">
        <f t="shared" si="190"/>
        <v>145</v>
      </c>
      <c r="U634" s="7">
        <f t="shared" si="196"/>
        <v>3264</v>
      </c>
      <c r="V634" s="7">
        <f t="shared" si="197"/>
        <v>3163</v>
      </c>
      <c r="W634" s="7">
        <f t="shared" si="198"/>
        <v>3281</v>
      </c>
      <c r="X634" s="6"/>
      <c r="Y634" s="5"/>
      <c r="Z634" s="5"/>
      <c r="AA634" s="5"/>
      <c r="AB634" s="5"/>
    </row>
    <row r="635" spans="1:28" ht="13.15" customHeight="1">
      <c r="A635" s="10">
        <f t="shared" si="202"/>
        <v>621</v>
      </c>
      <c r="B635" s="4">
        <f t="shared" si="191"/>
        <v>45664</v>
      </c>
      <c r="C635" s="10">
        <f t="shared" si="192"/>
        <v>842</v>
      </c>
      <c r="D635" s="9">
        <f t="shared" si="183"/>
        <v>2468</v>
      </c>
      <c r="E635" s="8">
        <f t="shared" si="184"/>
        <v>1319</v>
      </c>
      <c r="F635" s="8">
        <f t="shared" si="185"/>
        <v>1419</v>
      </c>
      <c r="G635" s="8">
        <f t="shared" si="186"/>
        <v>1240</v>
      </c>
      <c r="H635" s="5">
        <f t="shared" si="187"/>
        <v>1991</v>
      </c>
      <c r="I635" s="5">
        <f t="shared" si="188"/>
        <v>1891</v>
      </c>
      <c r="J635" s="5">
        <f t="shared" si="189"/>
        <v>2070</v>
      </c>
      <c r="K635" s="5">
        <f t="shared" si="199"/>
        <v>3000</v>
      </c>
      <c r="L635" s="5">
        <f t="shared" si="200"/>
        <v>3000</v>
      </c>
      <c r="M635" s="5">
        <f t="shared" si="201"/>
        <v>3000</v>
      </c>
      <c r="N635" s="5">
        <f t="shared" si="193"/>
        <v>-1009</v>
      </c>
      <c r="O635" s="5">
        <f t="shared" si="194"/>
        <v>-1109</v>
      </c>
      <c r="P635" s="5">
        <f t="shared" si="195"/>
        <v>-930</v>
      </c>
      <c r="Q635" s="8">
        <v>3</v>
      </c>
      <c r="R635" s="8">
        <v>2</v>
      </c>
      <c r="S635" s="8">
        <v>1</v>
      </c>
      <c r="T635" s="6">
        <f t="shared" si="190"/>
        <v>149</v>
      </c>
      <c r="U635" s="7">
        <f t="shared" si="196"/>
        <v>3261</v>
      </c>
      <c r="V635" s="7">
        <f t="shared" si="197"/>
        <v>3161</v>
      </c>
      <c r="W635" s="7">
        <f t="shared" si="198"/>
        <v>3280</v>
      </c>
      <c r="X635" s="6"/>
      <c r="Y635" s="5"/>
      <c r="Z635" s="5"/>
      <c r="AA635" s="5"/>
      <c r="AB635" s="5"/>
    </row>
    <row r="636" spans="1:28" ht="13.15" customHeight="1">
      <c r="A636" s="10">
        <f t="shared" si="202"/>
        <v>622</v>
      </c>
      <c r="B636" s="4">
        <f t="shared" si="191"/>
        <v>45665</v>
      </c>
      <c r="C636" s="10">
        <f t="shared" si="192"/>
        <v>842</v>
      </c>
      <c r="D636" s="9">
        <f t="shared" si="183"/>
        <v>2470</v>
      </c>
      <c r="E636" s="8">
        <f t="shared" si="184"/>
        <v>1322</v>
      </c>
      <c r="F636" s="8">
        <f t="shared" si="185"/>
        <v>1424</v>
      </c>
      <c r="G636" s="8">
        <f t="shared" si="186"/>
        <v>1244</v>
      </c>
      <c r="H636" s="5">
        <f t="shared" si="187"/>
        <v>1990</v>
      </c>
      <c r="I636" s="5">
        <f t="shared" si="188"/>
        <v>1888</v>
      </c>
      <c r="J636" s="5">
        <f t="shared" si="189"/>
        <v>2068</v>
      </c>
      <c r="K636" s="5">
        <f t="shared" si="199"/>
        <v>3000</v>
      </c>
      <c r="L636" s="5">
        <f t="shared" si="200"/>
        <v>3000</v>
      </c>
      <c r="M636" s="5">
        <f t="shared" si="201"/>
        <v>3000</v>
      </c>
      <c r="N636" s="5">
        <f t="shared" si="193"/>
        <v>-1010</v>
      </c>
      <c r="O636" s="5">
        <f t="shared" si="194"/>
        <v>-1112</v>
      </c>
      <c r="P636" s="5">
        <f t="shared" si="195"/>
        <v>-932</v>
      </c>
      <c r="Q636" s="8">
        <v>1</v>
      </c>
      <c r="R636" s="8">
        <v>3</v>
      </c>
      <c r="S636" s="8">
        <v>2</v>
      </c>
      <c r="T636" s="6">
        <f t="shared" si="190"/>
        <v>154</v>
      </c>
      <c r="U636" s="7">
        <f t="shared" si="196"/>
        <v>3260</v>
      </c>
      <c r="V636" s="7">
        <f t="shared" si="197"/>
        <v>3158</v>
      </c>
      <c r="W636" s="7">
        <f t="shared" si="198"/>
        <v>3278</v>
      </c>
      <c r="X636" s="6"/>
      <c r="Y636" s="5"/>
      <c r="Z636" s="5"/>
      <c r="AA636" s="5"/>
      <c r="AB636" s="5"/>
    </row>
    <row r="637" spans="1:28" ht="13.15" customHeight="1">
      <c r="A637" s="10">
        <f t="shared" si="202"/>
        <v>623</v>
      </c>
      <c r="B637" s="4">
        <f t="shared" si="191"/>
        <v>45666</v>
      </c>
      <c r="C637" s="10">
        <f t="shared" si="192"/>
        <v>842</v>
      </c>
      <c r="D637" s="9">
        <f t="shared" si="183"/>
        <v>2472</v>
      </c>
      <c r="E637" s="8">
        <f t="shared" si="184"/>
        <v>1326</v>
      </c>
      <c r="F637" s="8">
        <f t="shared" si="185"/>
        <v>1427</v>
      </c>
      <c r="G637" s="8">
        <f t="shared" si="186"/>
        <v>1247</v>
      </c>
      <c r="H637" s="5">
        <f t="shared" si="187"/>
        <v>1988</v>
      </c>
      <c r="I637" s="5">
        <f t="shared" si="188"/>
        <v>1887</v>
      </c>
      <c r="J637" s="5">
        <f t="shared" si="189"/>
        <v>2067</v>
      </c>
      <c r="K637" s="5">
        <f t="shared" si="199"/>
        <v>3000</v>
      </c>
      <c r="L637" s="5">
        <f t="shared" si="200"/>
        <v>3000</v>
      </c>
      <c r="M637" s="5">
        <f t="shared" si="201"/>
        <v>3000</v>
      </c>
      <c r="N637" s="5">
        <f t="shared" si="193"/>
        <v>-1012</v>
      </c>
      <c r="O637" s="5">
        <f t="shared" si="194"/>
        <v>-1113</v>
      </c>
      <c r="P637" s="5">
        <f t="shared" si="195"/>
        <v>-933</v>
      </c>
      <c r="Q637" s="8">
        <v>2</v>
      </c>
      <c r="R637" s="8">
        <v>1</v>
      </c>
      <c r="S637" s="8">
        <v>1</v>
      </c>
      <c r="T637" s="6">
        <f t="shared" si="190"/>
        <v>157</v>
      </c>
      <c r="U637" s="7">
        <f t="shared" si="196"/>
        <v>3258</v>
      </c>
      <c r="V637" s="7">
        <f t="shared" si="197"/>
        <v>3157</v>
      </c>
      <c r="W637" s="7">
        <f t="shared" si="198"/>
        <v>3277</v>
      </c>
      <c r="X637" s="6"/>
      <c r="Y637" s="5"/>
      <c r="Z637" s="5"/>
      <c r="AA637" s="5"/>
      <c r="AB637" s="5"/>
    </row>
    <row r="638" spans="1:28" ht="13.15" customHeight="1">
      <c r="A638" s="10">
        <f t="shared" si="202"/>
        <v>624</v>
      </c>
      <c r="B638" s="4">
        <f t="shared" si="191"/>
        <v>45667</v>
      </c>
      <c r="C638" s="10">
        <f t="shared" si="192"/>
        <v>842</v>
      </c>
      <c r="D638" s="9">
        <f t="shared" si="183"/>
        <v>2474</v>
      </c>
      <c r="E638" s="8">
        <f t="shared" si="184"/>
        <v>1329</v>
      </c>
      <c r="F638" s="8">
        <f t="shared" si="185"/>
        <v>1431</v>
      </c>
      <c r="G638" s="8">
        <f t="shared" si="186"/>
        <v>1251</v>
      </c>
      <c r="H638" s="5">
        <f t="shared" si="187"/>
        <v>1987</v>
      </c>
      <c r="I638" s="5">
        <f t="shared" si="188"/>
        <v>1885</v>
      </c>
      <c r="J638" s="5">
        <f t="shared" si="189"/>
        <v>2065</v>
      </c>
      <c r="K638" s="5">
        <f t="shared" si="199"/>
        <v>3000</v>
      </c>
      <c r="L638" s="5">
        <f t="shared" si="200"/>
        <v>3000</v>
      </c>
      <c r="M638" s="5">
        <f t="shared" si="201"/>
        <v>3000</v>
      </c>
      <c r="N638" s="5">
        <f t="shared" si="193"/>
        <v>-1013</v>
      </c>
      <c r="O638" s="5">
        <f t="shared" si="194"/>
        <v>-1115</v>
      </c>
      <c r="P638" s="5">
        <f t="shared" si="195"/>
        <v>-935</v>
      </c>
      <c r="Q638" s="8">
        <v>1</v>
      </c>
      <c r="R638" s="8">
        <v>2</v>
      </c>
      <c r="S638" s="8">
        <v>2</v>
      </c>
      <c r="T638" s="6">
        <f t="shared" si="190"/>
        <v>161</v>
      </c>
      <c r="U638" s="7">
        <f t="shared" si="196"/>
        <v>3257</v>
      </c>
      <c r="V638" s="7">
        <f t="shared" si="197"/>
        <v>3155</v>
      </c>
      <c r="W638" s="7">
        <f t="shared" si="198"/>
        <v>3275</v>
      </c>
      <c r="X638" s="6"/>
      <c r="Y638" s="5"/>
      <c r="Z638" s="5"/>
      <c r="AA638" s="5"/>
      <c r="AB638" s="5"/>
    </row>
    <row r="639" spans="1:28" ht="13.15" customHeight="1">
      <c r="A639" s="10">
        <f t="shared" si="202"/>
        <v>625</v>
      </c>
      <c r="B639" s="4">
        <f t="shared" si="191"/>
        <v>45668</v>
      </c>
      <c r="C639" s="10">
        <f t="shared" si="192"/>
        <v>842</v>
      </c>
      <c r="D639" s="9">
        <f t="shared" ref="D639:D702" si="203">D638+2</f>
        <v>2476</v>
      </c>
      <c r="E639" s="8">
        <f t="shared" si="184"/>
        <v>1333</v>
      </c>
      <c r="F639" s="8">
        <f t="shared" si="185"/>
        <v>1435</v>
      </c>
      <c r="G639" s="8">
        <f t="shared" si="186"/>
        <v>1255</v>
      </c>
      <c r="H639" s="5">
        <f t="shared" si="187"/>
        <v>1985</v>
      </c>
      <c r="I639" s="5">
        <f t="shared" si="188"/>
        <v>1883</v>
      </c>
      <c r="J639" s="5">
        <f t="shared" si="189"/>
        <v>2063</v>
      </c>
      <c r="K639" s="5">
        <f t="shared" si="199"/>
        <v>3000</v>
      </c>
      <c r="L639" s="5">
        <f t="shared" si="200"/>
        <v>3000</v>
      </c>
      <c r="M639" s="5">
        <f t="shared" si="201"/>
        <v>3000</v>
      </c>
      <c r="N639" s="5">
        <f t="shared" si="193"/>
        <v>-1015</v>
      </c>
      <c r="O639" s="5">
        <f t="shared" si="194"/>
        <v>-1117</v>
      </c>
      <c r="P639" s="5">
        <f t="shared" si="195"/>
        <v>-937</v>
      </c>
      <c r="Q639" s="8">
        <v>2</v>
      </c>
      <c r="R639" s="8">
        <v>2</v>
      </c>
      <c r="S639" s="8">
        <v>2</v>
      </c>
      <c r="T639" s="6">
        <f t="shared" si="190"/>
        <v>165</v>
      </c>
      <c r="U639" s="7">
        <f t="shared" si="196"/>
        <v>3255</v>
      </c>
      <c r="V639" s="7">
        <f t="shared" si="197"/>
        <v>3153</v>
      </c>
      <c r="W639" s="7">
        <f t="shared" si="198"/>
        <v>3273</v>
      </c>
      <c r="X639" s="6"/>
      <c r="Y639" s="5"/>
      <c r="Z639" s="5"/>
      <c r="AA639" s="5"/>
      <c r="AB639" s="5"/>
    </row>
    <row r="640" spans="1:28" ht="13.15" customHeight="1">
      <c r="A640" s="10">
        <f t="shared" si="202"/>
        <v>626</v>
      </c>
      <c r="B640" s="4">
        <f t="shared" si="191"/>
        <v>45669</v>
      </c>
      <c r="C640" s="10">
        <f t="shared" si="192"/>
        <v>842</v>
      </c>
      <c r="D640" s="9">
        <f t="shared" si="203"/>
        <v>2478</v>
      </c>
      <c r="E640" s="8">
        <f t="shared" si="184"/>
        <v>1337</v>
      </c>
      <c r="F640" s="8">
        <f t="shared" si="185"/>
        <v>1438</v>
      </c>
      <c r="G640" s="8">
        <f t="shared" si="186"/>
        <v>1260</v>
      </c>
      <c r="H640" s="5">
        <f t="shared" si="187"/>
        <v>1983</v>
      </c>
      <c r="I640" s="5">
        <f t="shared" si="188"/>
        <v>1882</v>
      </c>
      <c r="J640" s="5">
        <f t="shared" si="189"/>
        <v>2060</v>
      </c>
      <c r="K640" s="5">
        <f t="shared" si="199"/>
        <v>3000</v>
      </c>
      <c r="L640" s="5">
        <f t="shared" si="200"/>
        <v>3000</v>
      </c>
      <c r="M640" s="5">
        <f t="shared" si="201"/>
        <v>3000</v>
      </c>
      <c r="N640" s="5">
        <f t="shared" si="193"/>
        <v>-1017</v>
      </c>
      <c r="O640" s="5">
        <f t="shared" si="194"/>
        <v>-1118</v>
      </c>
      <c r="P640" s="5">
        <f t="shared" si="195"/>
        <v>-940</v>
      </c>
      <c r="Q640" s="8">
        <v>2</v>
      </c>
      <c r="R640" s="8">
        <v>1</v>
      </c>
      <c r="S640" s="8">
        <v>3</v>
      </c>
      <c r="T640" s="6">
        <f t="shared" si="190"/>
        <v>168</v>
      </c>
      <c r="U640" s="7">
        <f t="shared" si="196"/>
        <v>3253</v>
      </c>
      <c r="V640" s="7">
        <f t="shared" si="197"/>
        <v>3152</v>
      </c>
      <c r="W640" s="7">
        <f t="shared" si="198"/>
        <v>3270</v>
      </c>
      <c r="X640" s="6"/>
      <c r="Y640" s="5"/>
      <c r="Z640" s="5"/>
      <c r="AA640" s="5"/>
      <c r="AB640" s="5"/>
    </row>
    <row r="641" spans="1:28" ht="13.15" customHeight="1">
      <c r="A641" s="10">
        <f t="shared" si="202"/>
        <v>627</v>
      </c>
      <c r="B641" s="4">
        <f t="shared" si="191"/>
        <v>45670</v>
      </c>
      <c r="C641" s="10">
        <f t="shared" si="192"/>
        <v>842</v>
      </c>
      <c r="D641" s="9">
        <f t="shared" si="203"/>
        <v>2480</v>
      </c>
      <c r="E641" s="8">
        <f t="shared" si="184"/>
        <v>1342</v>
      </c>
      <c r="F641" s="8">
        <f t="shared" si="185"/>
        <v>1442</v>
      </c>
      <c r="G641" s="8">
        <f t="shared" si="186"/>
        <v>1263</v>
      </c>
      <c r="H641" s="5">
        <f t="shared" si="187"/>
        <v>1980</v>
      </c>
      <c r="I641" s="5">
        <f t="shared" si="188"/>
        <v>1880</v>
      </c>
      <c r="J641" s="5">
        <f t="shared" si="189"/>
        <v>2059</v>
      </c>
      <c r="K641" s="5">
        <f t="shared" si="199"/>
        <v>3000</v>
      </c>
      <c r="L641" s="5">
        <f t="shared" si="200"/>
        <v>3000</v>
      </c>
      <c r="M641" s="5">
        <f t="shared" si="201"/>
        <v>3000</v>
      </c>
      <c r="N641" s="5">
        <f t="shared" si="193"/>
        <v>-1020</v>
      </c>
      <c r="O641" s="5">
        <f t="shared" si="194"/>
        <v>-1120</v>
      </c>
      <c r="P641" s="5">
        <f t="shared" si="195"/>
        <v>-941</v>
      </c>
      <c r="Q641" s="8">
        <v>3</v>
      </c>
      <c r="R641" s="8">
        <v>2</v>
      </c>
      <c r="S641" s="8">
        <v>1</v>
      </c>
      <c r="T641" s="6">
        <f t="shared" si="190"/>
        <v>172</v>
      </c>
      <c r="U641" s="7">
        <f t="shared" si="196"/>
        <v>3250</v>
      </c>
      <c r="V641" s="7">
        <f t="shared" si="197"/>
        <v>3150</v>
      </c>
      <c r="W641" s="7">
        <f t="shared" si="198"/>
        <v>3269</v>
      </c>
      <c r="X641" s="6"/>
      <c r="Y641" s="5"/>
      <c r="Z641" s="5"/>
      <c r="AA641" s="5"/>
      <c r="AB641" s="5"/>
    </row>
    <row r="642" spans="1:28" ht="13.15" customHeight="1">
      <c r="A642" s="10">
        <f t="shared" si="202"/>
        <v>628</v>
      </c>
      <c r="B642" s="4">
        <f t="shared" si="191"/>
        <v>45671</v>
      </c>
      <c r="C642" s="10">
        <f t="shared" si="192"/>
        <v>842</v>
      </c>
      <c r="D642" s="9">
        <f t="shared" si="203"/>
        <v>2482</v>
      </c>
      <c r="E642" s="8">
        <f t="shared" si="184"/>
        <v>1345</v>
      </c>
      <c r="F642" s="8">
        <f t="shared" si="185"/>
        <v>1448</v>
      </c>
      <c r="G642" s="8">
        <f t="shared" si="186"/>
        <v>1267</v>
      </c>
      <c r="H642" s="5">
        <f t="shared" si="187"/>
        <v>1979</v>
      </c>
      <c r="I642" s="5">
        <f t="shared" si="188"/>
        <v>1876</v>
      </c>
      <c r="J642" s="5">
        <f t="shared" si="189"/>
        <v>2057</v>
      </c>
      <c r="K642" s="5">
        <f t="shared" si="199"/>
        <v>3000</v>
      </c>
      <c r="L642" s="5">
        <f t="shared" si="200"/>
        <v>3000</v>
      </c>
      <c r="M642" s="5">
        <f t="shared" si="201"/>
        <v>3000</v>
      </c>
      <c r="N642" s="5">
        <f t="shared" si="193"/>
        <v>-1021</v>
      </c>
      <c r="O642" s="5">
        <f t="shared" si="194"/>
        <v>-1124</v>
      </c>
      <c r="P642" s="5">
        <f t="shared" si="195"/>
        <v>-943</v>
      </c>
      <c r="Q642" s="8">
        <v>1</v>
      </c>
      <c r="R642" s="8">
        <v>4</v>
      </c>
      <c r="S642" s="8">
        <v>2</v>
      </c>
      <c r="T642" s="6">
        <f t="shared" si="190"/>
        <v>178</v>
      </c>
      <c r="U642" s="7">
        <f t="shared" si="196"/>
        <v>3249</v>
      </c>
      <c r="V642" s="7">
        <f t="shared" si="197"/>
        <v>3146</v>
      </c>
      <c r="W642" s="7">
        <f t="shared" si="198"/>
        <v>3267</v>
      </c>
      <c r="X642" s="6"/>
      <c r="Y642" s="5"/>
      <c r="Z642" s="5"/>
      <c r="AA642" s="5"/>
      <c r="AB642" s="5"/>
    </row>
    <row r="643" spans="1:28" ht="13.15" customHeight="1">
      <c r="A643" s="10">
        <f t="shared" si="202"/>
        <v>629</v>
      </c>
      <c r="B643" s="4">
        <f t="shared" si="191"/>
        <v>45672</v>
      </c>
      <c r="C643" s="10">
        <f t="shared" si="192"/>
        <v>842</v>
      </c>
      <c r="D643" s="9">
        <f t="shared" si="203"/>
        <v>2484</v>
      </c>
      <c r="E643" s="8">
        <f t="shared" si="184"/>
        <v>1349</v>
      </c>
      <c r="F643" s="8">
        <f t="shared" si="185"/>
        <v>1452</v>
      </c>
      <c r="G643" s="8">
        <f t="shared" si="186"/>
        <v>1271</v>
      </c>
      <c r="H643" s="5">
        <f t="shared" si="187"/>
        <v>1977</v>
      </c>
      <c r="I643" s="5">
        <f t="shared" si="188"/>
        <v>1874</v>
      </c>
      <c r="J643" s="5">
        <f t="shared" si="189"/>
        <v>2055</v>
      </c>
      <c r="K643" s="5">
        <f t="shared" si="199"/>
        <v>3000</v>
      </c>
      <c r="L643" s="5">
        <f t="shared" si="200"/>
        <v>3000</v>
      </c>
      <c r="M643" s="5">
        <f t="shared" si="201"/>
        <v>3000</v>
      </c>
      <c r="N643" s="5">
        <f t="shared" si="193"/>
        <v>-1023</v>
      </c>
      <c r="O643" s="5">
        <f t="shared" si="194"/>
        <v>-1126</v>
      </c>
      <c r="P643" s="5">
        <f t="shared" si="195"/>
        <v>-945</v>
      </c>
      <c r="Q643" s="8">
        <v>2</v>
      </c>
      <c r="R643" s="8">
        <v>2</v>
      </c>
      <c r="S643" s="8">
        <v>2</v>
      </c>
      <c r="T643" s="6">
        <f t="shared" si="190"/>
        <v>182</v>
      </c>
      <c r="U643" s="7">
        <f t="shared" si="196"/>
        <v>3247</v>
      </c>
      <c r="V643" s="7">
        <f t="shared" si="197"/>
        <v>3144</v>
      </c>
      <c r="W643" s="7">
        <f t="shared" si="198"/>
        <v>3265</v>
      </c>
      <c r="X643" s="6"/>
      <c r="Y643" s="5"/>
      <c r="Z643" s="5"/>
      <c r="AA643" s="5"/>
      <c r="AB643" s="5"/>
    </row>
    <row r="644" spans="1:28" ht="13.15" customHeight="1">
      <c r="A644" s="10">
        <f t="shared" si="202"/>
        <v>630</v>
      </c>
      <c r="B644" s="4">
        <f t="shared" si="191"/>
        <v>45673</v>
      </c>
      <c r="C644" s="10">
        <f t="shared" si="192"/>
        <v>842</v>
      </c>
      <c r="D644" s="9">
        <f t="shared" si="203"/>
        <v>2486</v>
      </c>
      <c r="E644" s="8">
        <f t="shared" si="184"/>
        <v>1353</v>
      </c>
      <c r="F644" s="8">
        <f t="shared" si="185"/>
        <v>1456</v>
      </c>
      <c r="G644" s="8">
        <f t="shared" si="186"/>
        <v>1274</v>
      </c>
      <c r="H644" s="5">
        <f t="shared" si="187"/>
        <v>1975</v>
      </c>
      <c r="I644" s="5">
        <f t="shared" si="188"/>
        <v>1872</v>
      </c>
      <c r="J644" s="5">
        <f t="shared" si="189"/>
        <v>2054</v>
      </c>
      <c r="K644" s="5">
        <f t="shared" si="199"/>
        <v>3000</v>
      </c>
      <c r="L644" s="5">
        <f t="shared" si="200"/>
        <v>3000</v>
      </c>
      <c r="M644" s="5">
        <f t="shared" si="201"/>
        <v>3000</v>
      </c>
      <c r="N644" s="5">
        <f t="shared" si="193"/>
        <v>-1025</v>
      </c>
      <c r="O644" s="5">
        <f t="shared" si="194"/>
        <v>-1128</v>
      </c>
      <c r="P644" s="5">
        <f t="shared" si="195"/>
        <v>-946</v>
      </c>
      <c r="Q644" s="8">
        <v>2</v>
      </c>
      <c r="R644" s="8">
        <v>2</v>
      </c>
      <c r="S644" s="8">
        <v>1</v>
      </c>
      <c r="T644" s="6">
        <f t="shared" si="190"/>
        <v>186</v>
      </c>
      <c r="U644" s="7">
        <f t="shared" si="196"/>
        <v>3245</v>
      </c>
      <c r="V644" s="7">
        <f t="shared" si="197"/>
        <v>3142</v>
      </c>
      <c r="W644" s="7">
        <f t="shared" si="198"/>
        <v>3264</v>
      </c>
      <c r="X644" s="6"/>
      <c r="Y644" s="5"/>
      <c r="Z644" s="5"/>
      <c r="AA644" s="5"/>
      <c r="AB644" s="5"/>
    </row>
    <row r="645" spans="1:28" ht="13.15" customHeight="1">
      <c r="A645" s="10">
        <f t="shared" si="202"/>
        <v>631</v>
      </c>
      <c r="B645" s="4">
        <f t="shared" si="191"/>
        <v>45674</v>
      </c>
      <c r="C645" s="10">
        <f t="shared" si="192"/>
        <v>842</v>
      </c>
      <c r="D645" s="9">
        <f t="shared" si="203"/>
        <v>2488</v>
      </c>
      <c r="E645" s="8">
        <f t="shared" si="184"/>
        <v>1356</v>
      </c>
      <c r="F645" s="8">
        <f t="shared" si="185"/>
        <v>1459</v>
      </c>
      <c r="G645" s="8">
        <f t="shared" si="186"/>
        <v>1278</v>
      </c>
      <c r="H645" s="5">
        <f t="shared" si="187"/>
        <v>1974</v>
      </c>
      <c r="I645" s="5">
        <f t="shared" si="188"/>
        <v>1871</v>
      </c>
      <c r="J645" s="5">
        <f t="shared" si="189"/>
        <v>2052</v>
      </c>
      <c r="K645" s="5">
        <f t="shared" si="199"/>
        <v>3000</v>
      </c>
      <c r="L645" s="5">
        <f t="shared" si="200"/>
        <v>3000</v>
      </c>
      <c r="M645" s="5">
        <f t="shared" si="201"/>
        <v>3000</v>
      </c>
      <c r="N645" s="5">
        <f t="shared" si="193"/>
        <v>-1026</v>
      </c>
      <c r="O645" s="5">
        <f t="shared" si="194"/>
        <v>-1129</v>
      </c>
      <c r="P645" s="5">
        <f t="shared" si="195"/>
        <v>-948</v>
      </c>
      <c r="Q645" s="8">
        <v>1</v>
      </c>
      <c r="R645" s="8">
        <v>1</v>
      </c>
      <c r="S645" s="8">
        <v>2</v>
      </c>
      <c r="T645" s="6">
        <f t="shared" si="190"/>
        <v>189</v>
      </c>
      <c r="U645" s="7">
        <f t="shared" si="196"/>
        <v>3244</v>
      </c>
      <c r="V645" s="7">
        <f t="shared" si="197"/>
        <v>3141</v>
      </c>
      <c r="W645" s="7">
        <f t="shared" si="198"/>
        <v>3262</v>
      </c>
      <c r="X645" s="6"/>
      <c r="Y645" s="5"/>
      <c r="Z645" s="5"/>
      <c r="AA645" s="5"/>
      <c r="AB645" s="5"/>
    </row>
    <row r="646" spans="1:28" ht="13.15" customHeight="1">
      <c r="A646" s="10">
        <f t="shared" si="202"/>
        <v>632</v>
      </c>
      <c r="B646" s="4">
        <f t="shared" si="191"/>
        <v>45675</v>
      </c>
      <c r="C646" s="10">
        <f t="shared" si="192"/>
        <v>842</v>
      </c>
      <c r="D646" s="9">
        <f t="shared" si="203"/>
        <v>2490</v>
      </c>
      <c r="E646" s="8">
        <f t="shared" si="184"/>
        <v>1360</v>
      </c>
      <c r="F646" s="8">
        <f t="shared" si="185"/>
        <v>1463</v>
      </c>
      <c r="G646" s="8">
        <f t="shared" si="186"/>
        <v>1284</v>
      </c>
      <c r="H646" s="5">
        <f t="shared" si="187"/>
        <v>1972</v>
      </c>
      <c r="I646" s="5">
        <f t="shared" si="188"/>
        <v>1869</v>
      </c>
      <c r="J646" s="5">
        <f t="shared" si="189"/>
        <v>2048</v>
      </c>
      <c r="K646" s="5">
        <f t="shared" si="199"/>
        <v>3000</v>
      </c>
      <c r="L646" s="5">
        <f t="shared" si="200"/>
        <v>3000</v>
      </c>
      <c r="M646" s="5">
        <f t="shared" si="201"/>
        <v>3000</v>
      </c>
      <c r="N646" s="5">
        <f t="shared" si="193"/>
        <v>-1028</v>
      </c>
      <c r="O646" s="5">
        <f t="shared" si="194"/>
        <v>-1131</v>
      </c>
      <c r="P646" s="5">
        <f t="shared" si="195"/>
        <v>-952</v>
      </c>
      <c r="Q646" s="8">
        <v>2</v>
      </c>
      <c r="R646" s="8">
        <v>2</v>
      </c>
      <c r="S646" s="8">
        <v>4</v>
      </c>
      <c r="T646" s="6">
        <f t="shared" si="190"/>
        <v>193</v>
      </c>
      <c r="U646" s="7">
        <f t="shared" si="196"/>
        <v>3242</v>
      </c>
      <c r="V646" s="7">
        <f t="shared" si="197"/>
        <v>3139</v>
      </c>
      <c r="W646" s="7">
        <f t="shared" si="198"/>
        <v>3258</v>
      </c>
      <c r="X646" s="6"/>
      <c r="Y646" s="5"/>
      <c r="Z646" s="5"/>
      <c r="AA646" s="5"/>
      <c r="AB646" s="5"/>
    </row>
    <row r="647" spans="1:28" ht="13.15" customHeight="1">
      <c r="A647" s="10">
        <f t="shared" si="202"/>
        <v>633</v>
      </c>
      <c r="B647" s="4">
        <f t="shared" si="191"/>
        <v>45676</v>
      </c>
      <c r="C647" s="10">
        <f t="shared" si="192"/>
        <v>842</v>
      </c>
      <c r="D647" s="9">
        <f t="shared" si="203"/>
        <v>2492</v>
      </c>
      <c r="E647" s="8">
        <f t="shared" si="184"/>
        <v>1366</v>
      </c>
      <c r="F647" s="8">
        <f t="shared" si="185"/>
        <v>1468</v>
      </c>
      <c r="G647" s="8">
        <f t="shared" si="186"/>
        <v>1288</v>
      </c>
      <c r="H647" s="5">
        <f t="shared" si="187"/>
        <v>1968</v>
      </c>
      <c r="I647" s="5">
        <f t="shared" si="188"/>
        <v>1866</v>
      </c>
      <c r="J647" s="5">
        <f t="shared" si="189"/>
        <v>2046</v>
      </c>
      <c r="K647" s="5">
        <f t="shared" si="199"/>
        <v>3000</v>
      </c>
      <c r="L647" s="5">
        <f t="shared" si="200"/>
        <v>3000</v>
      </c>
      <c r="M647" s="5">
        <f t="shared" si="201"/>
        <v>3000</v>
      </c>
      <c r="N647" s="5">
        <f t="shared" si="193"/>
        <v>-1032</v>
      </c>
      <c r="O647" s="5">
        <f t="shared" si="194"/>
        <v>-1134</v>
      </c>
      <c r="P647" s="5">
        <f t="shared" si="195"/>
        <v>-954</v>
      </c>
      <c r="Q647" s="8">
        <v>4</v>
      </c>
      <c r="R647" s="8">
        <v>3</v>
      </c>
      <c r="S647" s="8">
        <v>2</v>
      </c>
      <c r="T647" s="6">
        <f t="shared" si="190"/>
        <v>198</v>
      </c>
      <c r="U647" s="7">
        <f t="shared" si="196"/>
        <v>3238</v>
      </c>
      <c r="V647" s="7">
        <f t="shared" si="197"/>
        <v>3136</v>
      </c>
      <c r="W647" s="7">
        <f t="shared" si="198"/>
        <v>3256</v>
      </c>
      <c r="X647" s="6"/>
      <c r="Y647" s="5"/>
      <c r="Z647" s="5"/>
      <c r="AA647" s="5"/>
      <c r="AB647" s="5"/>
    </row>
    <row r="648" spans="1:28" ht="13.15" customHeight="1">
      <c r="A648" s="10">
        <f t="shared" si="202"/>
        <v>634</v>
      </c>
      <c r="B648" s="4">
        <f t="shared" si="191"/>
        <v>45677</v>
      </c>
      <c r="C648" s="10">
        <f t="shared" si="192"/>
        <v>842</v>
      </c>
      <c r="D648" s="9">
        <f t="shared" si="203"/>
        <v>2494</v>
      </c>
      <c r="E648" s="8">
        <f t="shared" si="184"/>
        <v>1370</v>
      </c>
      <c r="F648" s="8">
        <f t="shared" si="185"/>
        <v>1472</v>
      </c>
      <c r="G648" s="8">
        <f t="shared" si="186"/>
        <v>1292</v>
      </c>
      <c r="H648" s="5">
        <f t="shared" si="187"/>
        <v>1966</v>
      </c>
      <c r="I648" s="5">
        <f t="shared" si="188"/>
        <v>1864</v>
      </c>
      <c r="J648" s="5">
        <f t="shared" si="189"/>
        <v>2044</v>
      </c>
      <c r="K648" s="5">
        <f t="shared" si="199"/>
        <v>3000</v>
      </c>
      <c r="L648" s="5">
        <f t="shared" si="200"/>
        <v>3000</v>
      </c>
      <c r="M648" s="5">
        <f t="shared" si="201"/>
        <v>3000</v>
      </c>
      <c r="N648" s="5">
        <f t="shared" si="193"/>
        <v>-1034</v>
      </c>
      <c r="O648" s="5">
        <f t="shared" si="194"/>
        <v>-1136</v>
      </c>
      <c r="P648" s="5">
        <f t="shared" si="195"/>
        <v>-956</v>
      </c>
      <c r="Q648" s="8">
        <v>2</v>
      </c>
      <c r="R648" s="8">
        <v>2</v>
      </c>
      <c r="S648" s="8">
        <v>2</v>
      </c>
      <c r="T648" s="6">
        <f t="shared" si="190"/>
        <v>202</v>
      </c>
      <c r="U648" s="7">
        <f t="shared" si="196"/>
        <v>3236</v>
      </c>
      <c r="V648" s="7">
        <f t="shared" si="197"/>
        <v>3134</v>
      </c>
      <c r="W648" s="7">
        <f t="shared" si="198"/>
        <v>3254</v>
      </c>
      <c r="X648" s="6"/>
      <c r="Y648" s="5"/>
      <c r="Z648" s="5"/>
      <c r="AA648" s="5"/>
      <c r="AB648" s="5"/>
    </row>
    <row r="649" spans="1:28" ht="13.15" customHeight="1">
      <c r="A649" s="10">
        <f t="shared" si="202"/>
        <v>635</v>
      </c>
      <c r="B649" s="4">
        <f t="shared" si="191"/>
        <v>45678</v>
      </c>
      <c r="C649" s="10">
        <f t="shared" si="192"/>
        <v>842</v>
      </c>
      <c r="D649" s="9">
        <f t="shared" si="203"/>
        <v>2496</v>
      </c>
      <c r="E649" s="8">
        <f t="shared" si="184"/>
        <v>1374</v>
      </c>
      <c r="F649" s="8">
        <f t="shared" si="185"/>
        <v>1477</v>
      </c>
      <c r="G649" s="8">
        <f t="shared" si="186"/>
        <v>1295</v>
      </c>
      <c r="H649" s="5">
        <f t="shared" si="187"/>
        <v>1964</v>
      </c>
      <c r="I649" s="5">
        <f t="shared" si="188"/>
        <v>1861</v>
      </c>
      <c r="J649" s="5">
        <f t="shared" si="189"/>
        <v>2043</v>
      </c>
      <c r="K649" s="5">
        <f t="shared" si="199"/>
        <v>3000</v>
      </c>
      <c r="L649" s="5">
        <f t="shared" si="200"/>
        <v>3000</v>
      </c>
      <c r="M649" s="5">
        <f t="shared" si="201"/>
        <v>3000</v>
      </c>
      <c r="N649" s="5">
        <f t="shared" si="193"/>
        <v>-1036</v>
      </c>
      <c r="O649" s="5">
        <f t="shared" si="194"/>
        <v>-1139</v>
      </c>
      <c r="P649" s="5">
        <f t="shared" si="195"/>
        <v>-957</v>
      </c>
      <c r="Q649" s="8">
        <v>2</v>
      </c>
      <c r="R649" s="8">
        <v>3</v>
      </c>
      <c r="S649" s="8">
        <v>1</v>
      </c>
      <c r="T649" s="6">
        <f t="shared" si="190"/>
        <v>207</v>
      </c>
      <c r="U649" s="7">
        <f t="shared" si="196"/>
        <v>3234</v>
      </c>
      <c r="V649" s="7">
        <f t="shared" si="197"/>
        <v>3131</v>
      </c>
      <c r="W649" s="7">
        <f t="shared" si="198"/>
        <v>3253</v>
      </c>
      <c r="X649" s="6"/>
      <c r="Y649" s="5"/>
      <c r="Z649" s="5"/>
      <c r="AA649" s="5"/>
      <c r="AB649" s="5"/>
    </row>
    <row r="650" spans="1:28" ht="13.15" customHeight="1">
      <c r="A650" s="10">
        <f t="shared" si="202"/>
        <v>636</v>
      </c>
      <c r="B650" s="4">
        <f t="shared" si="191"/>
        <v>45679</v>
      </c>
      <c r="C650" s="10">
        <f t="shared" si="192"/>
        <v>842</v>
      </c>
      <c r="D650" s="9">
        <f t="shared" si="203"/>
        <v>2498</v>
      </c>
      <c r="E650" s="8">
        <f t="shared" si="184"/>
        <v>1377</v>
      </c>
      <c r="F650" s="8">
        <f t="shared" si="185"/>
        <v>1483</v>
      </c>
      <c r="G650" s="8">
        <f t="shared" si="186"/>
        <v>1299</v>
      </c>
      <c r="H650" s="5">
        <f t="shared" si="187"/>
        <v>1963</v>
      </c>
      <c r="I650" s="5">
        <f t="shared" si="188"/>
        <v>1857</v>
      </c>
      <c r="J650" s="5">
        <f t="shared" si="189"/>
        <v>2041</v>
      </c>
      <c r="K650" s="5">
        <f t="shared" si="199"/>
        <v>3000</v>
      </c>
      <c r="L650" s="5">
        <f t="shared" si="200"/>
        <v>3000</v>
      </c>
      <c r="M650" s="5">
        <f t="shared" si="201"/>
        <v>3000</v>
      </c>
      <c r="N650" s="5">
        <f t="shared" si="193"/>
        <v>-1037</v>
      </c>
      <c r="O650" s="5">
        <f t="shared" si="194"/>
        <v>-1143</v>
      </c>
      <c r="P650" s="5">
        <f t="shared" si="195"/>
        <v>-959</v>
      </c>
      <c r="Q650" s="8">
        <v>1</v>
      </c>
      <c r="R650" s="8">
        <v>4</v>
      </c>
      <c r="S650" s="8">
        <v>2</v>
      </c>
      <c r="T650" s="6">
        <f t="shared" si="190"/>
        <v>213</v>
      </c>
      <c r="U650" s="7">
        <f t="shared" si="196"/>
        <v>3233</v>
      </c>
      <c r="V650" s="7">
        <f t="shared" si="197"/>
        <v>3127</v>
      </c>
      <c r="W650" s="7">
        <f t="shared" si="198"/>
        <v>3251</v>
      </c>
      <c r="X650" s="6"/>
      <c r="Y650" s="5"/>
      <c r="Z650" s="5"/>
      <c r="AA650" s="5"/>
      <c r="AB650" s="5"/>
    </row>
    <row r="651" spans="1:28" ht="13.15" customHeight="1">
      <c r="A651" s="10">
        <f t="shared" si="202"/>
        <v>637</v>
      </c>
      <c r="B651" s="4">
        <f t="shared" si="191"/>
        <v>45680</v>
      </c>
      <c r="C651" s="10">
        <f t="shared" si="192"/>
        <v>842</v>
      </c>
      <c r="D651" s="9">
        <f t="shared" si="203"/>
        <v>2500</v>
      </c>
      <c r="E651" s="8">
        <f t="shared" si="184"/>
        <v>1381</v>
      </c>
      <c r="F651" s="8">
        <f t="shared" si="185"/>
        <v>1488</v>
      </c>
      <c r="G651" s="8">
        <f t="shared" si="186"/>
        <v>1304</v>
      </c>
      <c r="H651" s="5">
        <f t="shared" si="187"/>
        <v>1961</v>
      </c>
      <c r="I651" s="5">
        <f t="shared" si="188"/>
        <v>1854</v>
      </c>
      <c r="J651" s="5">
        <f t="shared" si="189"/>
        <v>2038</v>
      </c>
      <c r="K651" s="5">
        <f t="shared" si="199"/>
        <v>3000</v>
      </c>
      <c r="L651" s="5">
        <f t="shared" si="200"/>
        <v>3000</v>
      </c>
      <c r="M651" s="5">
        <f t="shared" si="201"/>
        <v>3000</v>
      </c>
      <c r="N651" s="5">
        <f t="shared" si="193"/>
        <v>-1039</v>
      </c>
      <c r="O651" s="5">
        <f t="shared" si="194"/>
        <v>-1146</v>
      </c>
      <c r="P651" s="5">
        <f t="shared" si="195"/>
        <v>-962</v>
      </c>
      <c r="Q651" s="8">
        <v>2</v>
      </c>
      <c r="R651" s="8">
        <v>3</v>
      </c>
      <c r="S651" s="8">
        <v>3</v>
      </c>
      <c r="T651" s="6">
        <f t="shared" si="190"/>
        <v>218</v>
      </c>
      <c r="U651" s="7">
        <f t="shared" si="196"/>
        <v>3231</v>
      </c>
      <c r="V651" s="7">
        <f t="shared" si="197"/>
        <v>3124</v>
      </c>
      <c r="W651" s="7">
        <f t="shared" si="198"/>
        <v>3248</v>
      </c>
      <c r="X651" s="6"/>
      <c r="Y651" s="5"/>
      <c r="Z651" s="5"/>
      <c r="AA651" s="5"/>
      <c r="AB651" s="5"/>
    </row>
    <row r="652" spans="1:28" ht="13.15" customHeight="1">
      <c r="A652" s="10">
        <f t="shared" si="202"/>
        <v>638</v>
      </c>
      <c r="B652" s="4">
        <f t="shared" si="191"/>
        <v>45681</v>
      </c>
      <c r="C652" s="10">
        <f t="shared" si="192"/>
        <v>842</v>
      </c>
      <c r="D652" s="9">
        <f t="shared" si="203"/>
        <v>2502</v>
      </c>
      <c r="E652" s="8">
        <f t="shared" si="184"/>
        <v>1386</v>
      </c>
      <c r="F652" s="8">
        <f t="shared" si="185"/>
        <v>1491</v>
      </c>
      <c r="G652" s="8">
        <f t="shared" si="186"/>
        <v>1308</v>
      </c>
      <c r="H652" s="5">
        <f t="shared" si="187"/>
        <v>1958</v>
      </c>
      <c r="I652" s="5">
        <f t="shared" si="188"/>
        <v>1853</v>
      </c>
      <c r="J652" s="5">
        <f t="shared" si="189"/>
        <v>2036</v>
      </c>
      <c r="K652" s="5">
        <f t="shared" si="199"/>
        <v>3000</v>
      </c>
      <c r="L652" s="5">
        <f t="shared" si="200"/>
        <v>3000</v>
      </c>
      <c r="M652" s="5">
        <f t="shared" si="201"/>
        <v>3000</v>
      </c>
      <c r="N652" s="5">
        <f t="shared" si="193"/>
        <v>-1042</v>
      </c>
      <c r="O652" s="5">
        <f t="shared" si="194"/>
        <v>-1147</v>
      </c>
      <c r="P652" s="5">
        <f t="shared" si="195"/>
        <v>-964</v>
      </c>
      <c r="Q652" s="8">
        <v>3</v>
      </c>
      <c r="R652" s="8">
        <v>1</v>
      </c>
      <c r="S652" s="8">
        <v>2</v>
      </c>
      <c r="T652" s="6">
        <f t="shared" si="190"/>
        <v>221</v>
      </c>
      <c r="U652" s="7">
        <f t="shared" si="196"/>
        <v>3228</v>
      </c>
      <c r="V652" s="7">
        <f t="shared" si="197"/>
        <v>3123</v>
      </c>
      <c r="W652" s="7">
        <f t="shared" si="198"/>
        <v>3246</v>
      </c>
      <c r="X652" s="6"/>
      <c r="Y652" s="5"/>
      <c r="Z652" s="5"/>
      <c r="AA652" s="5"/>
      <c r="AB652" s="5"/>
    </row>
    <row r="653" spans="1:28" ht="13.15" customHeight="1">
      <c r="A653" s="10">
        <f t="shared" si="202"/>
        <v>639</v>
      </c>
      <c r="B653" s="4">
        <f t="shared" si="191"/>
        <v>45682</v>
      </c>
      <c r="C653" s="10">
        <f t="shared" si="192"/>
        <v>842</v>
      </c>
      <c r="D653" s="9">
        <f t="shared" si="203"/>
        <v>2504</v>
      </c>
      <c r="E653" s="8">
        <f t="shared" si="184"/>
        <v>1390</v>
      </c>
      <c r="F653" s="8">
        <f t="shared" si="185"/>
        <v>1495</v>
      </c>
      <c r="G653" s="8">
        <f t="shared" si="186"/>
        <v>1313</v>
      </c>
      <c r="H653" s="5">
        <f t="shared" si="187"/>
        <v>1956</v>
      </c>
      <c r="I653" s="5">
        <f t="shared" si="188"/>
        <v>1851</v>
      </c>
      <c r="J653" s="5">
        <f t="shared" si="189"/>
        <v>2033</v>
      </c>
      <c r="K653" s="5">
        <f t="shared" si="199"/>
        <v>3000</v>
      </c>
      <c r="L653" s="5">
        <f t="shared" si="200"/>
        <v>3000</v>
      </c>
      <c r="M653" s="5">
        <f t="shared" si="201"/>
        <v>3000</v>
      </c>
      <c r="N653" s="5">
        <f t="shared" si="193"/>
        <v>-1044</v>
      </c>
      <c r="O653" s="5">
        <f t="shared" si="194"/>
        <v>-1149</v>
      </c>
      <c r="P653" s="5">
        <f t="shared" si="195"/>
        <v>-967</v>
      </c>
      <c r="Q653" s="8">
        <v>2</v>
      </c>
      <c r="R653" s="8">
        <v>2</v>
      </c>
      <c r="S653" s="8">
        <v>3</v>
      </c>
      <c r="T653" s="6">
        <f t="shared" si="190"/>
        <v>225</v>
      </c>
      <c r="U653" s="7">
        <f t="shared" si="196"/>
        <v>3226</v>
      </c>
      <c r="V653" s="7">
        <f t="shared" si="197"/>
        <v>3121</v>
      </c>
      <c r="W653" s="7">
        <f t="shared" si="198"/>
        <v>3243</v>
      </c>
      <c r="X653" s="6"/>
      <c r="Y653" s="5"/>
      <c r="Z653" s="5"/>
      <c r="AA653" s="5"/>
      <c r="AB653" s="5"/>
    </row>
    <row r="654" spans="1:28" ht="13.15" customHeight="1">
      <c r="A654" s="10">
        <f t="shared" si="202"/>
        <v>640</v>
      </c>
      <c r="B654" s="4">
        <f t="shared" si="191"/>
        <v>45683</v>
      </c>
      <c r="C654" s="10">
        <f t="shared" si="192"/>
        <v>842</v>
      </c>
      <c r="D654" s="9">
        <f t="shared" si="203"/>
        <v>2506</v>
      </c>
      <c r="E654" s="8">
        <f t="shared" ref="E654:E717" si="204">C654+D654-H654</f>
        <v>1395</v>
      </c>
      <c r="F654" s="8">
        <f t="shared" ref="F654:F718" si="205">C654+D654-I654</f>
        <v>1500</v>
      </c>
      <c r="G654" s="8">
        <f t="shared" ref="G654:G718" si="206">D654+C654-J654</f>
        <v>1319</v>
      </c>
      <c r="H654" s="5">
        <f t="shared" ref="H654:H718" si="207">K654+N654</f>
        <v>1953</v>
      </c>
      <c r="I654" s="5">
        <f t="shared" ref="I654:I718" si="208">L654+O654</f>
        <v>1848</v>
      </c>
      <c r="J654" s="5">
        <f t="shared" ref="J654:J718" si="209">M654+P654</f>
        <v>2029</v>
      </c>
      <c r="K654" s="5">
        <f t="shared" si="199"/>
        <v>3000</v>
      </c>
      <c r="L654" s="5">
        <f t="shared" si="200"/>
        <v>3000</v>
      </c>
      <c r="M654" s="5">
        <f t="shared" si="201"/>
        <v>3000</v>
      </c>
      <c r="N654" s="5">
        <f t="shared" si="193"/>
        <v>-1047</v>
      </c>
      <c r="O654" s="5">
        <f t="shared" si="194"/>
        <v>-1152</v>
      </c>
      <c r="P654" s="5">
        <f t="shared" si="195"/>
        <v>-971</v>
      </c>
      <c r="Q654" s="8">
        <v>3</v>
      </c>
      <c r="R654" s="8">
        <v>3</v>
      </c>
      <c r="S654" s="8">
        <v>4</v>
      </c>
      <c r="T654" s="6">
        <f t="shared" ref="T654:T718" si="210">D654+C654-V654</f>
        <v>230</v>
      </c>
      <c r="U654" s="7">
        <f t="shared" si="196"/>
        <v>3223</v>
      </c>
      <c r="V654" s="7">
        <f t="shared" si="197"/>
        <v>3118</v>
      </c>
      <c r="W654" s="7">
        <f t="shared" si="198"/>
        <v>3239</v>
      </c>
      <c r="X654" s="6"/>
      <c r="Y654" s="5"/>
      <c r="Z654" s="5"/>
      <c r="AA654" s="5"/>
      <c r="AB654" s="5"/>
    </row>
    <row r="655" spans="1:28" ht="13.15" customHeight="1">
      <c r="A655" s="10">
        <f t="shared" si="202"/>
        <v>641</v>
      </c>
      <c r="B655" s="4">
        <f t="shared" ref="B655:B718" si="211">B654+1</f>
        <v>45684</v>
      </c>
      <c r="C655" s="10">
        <f t="shared" ref="C655:C718" si="212">C654</f>
        <v>842</v>
      </c>
      <c r="D655" s="9">
        <f t="shared" si="203"/>
        <v>2508</v>
      </c>
      <c r="E655" s="8">
        <f t="shared" si="204"/>
        <v>1401</v>
      </c>
      <c r="F655" s="8">
        <f t="shared" si="205"/>
        <v>1505</v>
      </c>
      <c r="G655" s="8">
        <f t="shared" si="206"/>
        <v>1324</v>
      </c>
      <c r="H655" s="5">
        <f t="shared" si="207"/>
        <v>1949</v>
      </c>
      <c r="I655" s="5">
        <f t="shared" si="208"/>
        <v>1845</v>
      </c>
      <c r="J655" s="5">
        <f t="shared" si="209"/>
        <v>2026</v>
      </c>
      <c r="K655" s="5">
        <f t="shared" si="199"/>
        <v>3000</v>
      </c>
      <c r="L655" s="5">
        <f t="shared" si="200"/>
        <v>3000</v>
      </c>
      <c r="M655" s="5">
        <f t="shared" si="201"/>
        <v>3000</v>
      </c>
      <c r="N655" s="5">
        <f t="shared" ref="N655:N718" si="213">N654-Q655</f>
        <v>-1051</v>
      </c>
      <c r="O655" s="5">
        <f t="shared" ref="O655:O718" si="214">O654-R655</f>
        <v>-1155</v>
      </c>
      <c r="P655" s="5">
        <f t="shared" ref="P655:P718" si="215">P654-S655</f>
        <v>-974</v>
      </c>
      <c r="Q655" s="8">
        <v>4</v>
      </c>
      <c r="R655" s="8">
        <v>3</v>
      </c>
      <c r="S655" s="8">
        <v>3</v>
      </c>
      <c r="T655" s="6">
        <f t="shared" si="210"/>
        <v>235</v>
      </c>
      <c r="U655" s="7">
        <f t="shared" si="196"/>
        <v>3219</v>
      </c>
      <c r="V655" s="7">
        <f t="shared" si="197"/>
        <v>3115</v>
      </c>
      <c r="W655" s="7">
        <f t="shared" si="198"/>
        <v>3236</v>
      </c>
      <c r="X655" s="6"/>
      <c r="Y655" s="5"/>
      <c r="Z655" s="5"/>
      <c r="AA655" s="5"/>
      <c r="AB655" s="5"/>
    </row>
    <row r="656" spans="1:28" ht="13.15" customHeight="1">
      <c r="A656" s="10">
        <f t="shared" si="202"/>
        <v>642</v>
      </c>
      <c r="B656" s="4">
        <f t="shared" si="211"/>
        <v>45685</v>
      </c>
      <c r="C656" s="10">
        <f t="shared" si="212"/>
        <v>842</v>
      </c>
      <c r="D656" s="9">
        <f t="shared" si="203"/>
        <v>2510</v>
      </c>
      <c r="E656" s="8">
        <f t="shared" si="204"/>
        <v>1406</v>
      </c>
      <c r="F656" s="8">
        <f t="shared" si="205"/>
        <v>1511</v>
      </c>
      <c r="G656" s="8">
        <f t="shared" si="206"/>
        <v>1327</v>
      </c>
      <c r="H656" s="5">
        <f t="shared" si="207"/>
        <v>1946</v>
      </c>
      <c r="I656" s="5">
        <f t="shared" si="208"/>
        <v>1841</v>
      </c>
      <c r="J656" s="5">
        <f t="shared" si="209"/>
        <v>2025</v>
      </c>
      <c r="K656" s="5">
        <f t="shared" si="199"/>
        <v>3000</v>
      </c>
      <c r="L656" s="5">
        <f t="shared" si="200"/>
        <v>3000</v>
      </c>
      <c r="M656" s="5">
        <f t="shared" si="201"/>
        <v>3000</v>
      </c>
      <c r="N656" s="5">
        <f t="shared" si="213"/>
        <v>-1054</v>
      </c>
      <c r="O656" s="5">
        <f t="shared" si="214"/>
        <v>-1159</v>
      </c>
      <c r="P656" s="5">
        <f t="shared" si="215"/>
        <v>-975</v>
      </c>
      <c r="Q656" s="8">
        <v>3</v>
      </c>
      <c r="R656" s="8">
        <v>4</v>
      </c>
      <c r="S656" s="8">
        <v>1</v>
      </c>
      <c r="T656" s="6">
        <f t="shared" si="210"/>
        <v>241</v>
      </c>
      <c r="U656" s="7">
        <f t="shared" si="196"/>
        <v>3216</v>
      </c>
      <c r="V656" s="7">
        <f t="shared" si="197"/>
        <v>3111</v>
      </c>
      <c r="W656" s="7">
        <f t="shared" si="198"/>
        <v>3235</v>
      </c>
      <c r="X656" s="6"/>
      <c r="Y656" s="5"/>
      <c r="Z656" s="5"/>
      <c r="AA656" s="5"/>
      <c r="AB656" s="5"/>
    </row>
    <row r="657" spans="1:28" ht="13.15" customHeight="1">
      <c r="A657" s="10">
        <f t="shared" si="202"/>
        <v>643</v>
      </c>
      <c r="B657" s="4">
        <f t="shared" si="211"/>
        <v>45686</v>
      </c>
      <c r="C657" s="10">
        <f t="shared" si="212"/>
        <v>842</v>
      </c>
      <c r="D657" s="9">
        <f t="shared" si="203"/>
        <v>2512</v>
      </c>
      <c r="E657" s="8">
        <f t="shared" si="204"/>
        <v>1409</v>
      </c>
      <c r="F657" s="8">
        <f t="shared" si="205"/>
        <v>1516</v>
      </c>
      <c r="G657" s="8">
        <f t="shared" si="206"/>
        <v>1331</v>
      </c>
      <c r="H657" s="5">
        <f t="shared" si="207"/>
        <v>1945</v>
      </c>
      <c r="I657" s="5">
        <f t="shared" si="208"/>
        <v>1838</v>
      </c>
      <c r="J657" s="5">
        <f t="shared" si="209"/>
        <v>2023</v>
      </c>
      <c r="K657" s="5">
        <f t="shared" si="199"/>
        <v>3000</v>
      </c>
      <c r="L657" s="5">
        <f t="shared" si="200"/>
        <v>3000</v>
      </c>
      <c r="M657" s="5">
        <f t="shared" si="201"/>
        <v>3000</v>
      </c>
      <c r="N657" s="5">
        <f t="shared" si="213"/>
        <v>-1055</v>
      </c>
      <c r="O657" s="5">
        <f t="shared" si="214"/>
        <v>-1162</v>
      </c>
      <c r="P657" s="5">
        <f t="shared" si="215"/>
        <v>-977</v>
      </c>
      <c r="Q657" s="8">
        <v>1</v>
      </c>
      <c r="R657" s="8">
        <v>3</v>
      </c>
      <c r="S657" s="8">
        <v>2</v>
      </c>
      <c r="T657" s="6">
        <f t="shared" si="210"/>
        <v>246</v>
      </c>
      <c r="U657" s="7">
        <f t="shared" si="196"/>
        <v>3215</v>
      </c>
      <c r="V657" s="7">
        <f t="shared" si="197"/>
        <v>3108</v>
      </c>
      <c r="W657" s="7">
        <f t="shared" si="198"/>
        <v>3233</v>
      </c>
      <c r="X657" s="6"/>
      <c r="Y657" s="5"/>
      <c r="Z657" s="5"/>
      <c r="AA657" s="5"/>
      <c r="AB657" s="5"/>
    </row>
    <row r="658" spans="1:28" ht="13.15" customHeight="1">
      <c r="A658" s="10">
        <f t="shared" si="202"/>
        <v>644</v>
      </c>
      <c r="B658" s="4">
        <f t="shared" si="211"/>
        <v>45687</v>
      </c>
      <c r="C658" s="10">
        <f t="shared" si="212"/>
        <v>842</v>
      </c>
      <c r="D658" s="9">
        <f t="shared" si="203"/>
        <v>2514</v>
      </c>
      <c r="E658" s="8">
        <f t="shared" si="204"/>
        <v>1413</v>
      </c>
      <c r="F658" s="8">
        <f t="shared" si="205"/>
        <v>1522</v>
      </c>
      <c r="G658" s="8">
        <f t="shared" si="206"/>
        <v>1336</v>
      </c>
      <c r="H658" s="5">
        <f t="shared" si="207"/>
        <v>1943</v>
      </c>
      <c r="I658" s="5">
        <f t="shared" si="208"/>
        <v>1834</v>
      </c>
      <c r="J658" s="5">
        <f t="shared" si="209"/>
        <v>2020</v>
      </c>
      <c r="K658" s="5">
        <f t="shared" si="199"/>
        <v>3000</v>
      </c>
      <c r="L658" s="5">
        <f t="shared" si="200"/>
        <v>3000</v>
      </c>
      <c r="M658" s="5">
        <f t="shared" si="201"/>
        <v>3000</v>
      </c>
      <c r="N658" s="5">
        <f t="shared" si="213"/>
        <v>-1057</v>
      </c>
      <c r="O658" s="5">
        <f t="shared" si="214"/>
        <v>-1166</v>
      </c>
      <c r="P658" s="5">
        <f t="shared" si="215"/>
        <v>-980</v>
      </c>
      <c r="Q658" s="8">
        <v>2</v>
      </c>
      <c r="R658" s="8">
        <v>4</v>
      </c>
      <c r="S658" s="8">
        <v>3</v>
      </c>
      <c r="T658" s="6">
        <f t="shared" si="210"/>
        <v>252</v>
      </c>
      <c r="U658" s="7">
        <f t="shared" si="196"/>
        <v>3213</v>
      </c>
      <c r="V658" s="7">
        <f t="shared" si="197"/>
        <v>3104</v>
      </c>
      <c r="W658" s="7">
        <f t="shared" si="198"/>
        <v>3230</v>
      </c>
      <c r="X658" s="6"/>
      <c r="Y658" s="5"/>
      <c r="Z658" s="5"/>
      <c r="AA658" s="5"/>
      <c r="AB658" s="5"/>
    </row>
    <row r="659" spans="1:28" ht="13.15" customHeight="1">
      <c r="A659" s="10">
        <f t="shared" si="202"/>
        <v>645</v>
      </c>
      <c r="B659" s="4">
        <f t="shared" si="211"/>
        <v>45688</v>
      </c>
      <c r="C659" s="10">
        <f t="shared" si="212"/>
        <v>842</v>
      </c>
      <c r="D659" s="9">
        <f t="shared" si="203"/>
        <v>2516</v>
      </c>
      <c r="E659" s="8">
        <f t="shared" si="204"/>
        <v>1418</v>
      </c>
      <c r="F659" s="8">
        <f t="shared" si="205"/>
        <v>1528</v>
      </c>
      <c r="G659" s="8">
        <f t="shared" si="206"/>
        <v>1341</v>
      </c>
      <c r="H659" s="5">
        <f t="shared" si="207"/>
        <v>1940</v>
      </c>
      <c r="I659" s="5">
        <f t="shared" si="208"/>
        <v>1830</v>
      </c>
      <c r="J659" s="5">
        <f t="shared" si="209"/>
        <v>2017</v>
      </c>
      <c r="K659" s="5">
        <f t="shared" si="199"/>
        <v>3000</v>
      </c>
      <c r="L659" s="5">
        <f t="shared" si="200"/>
        <v>3000</v>
      </c>
      <c r="M659" s="5">
        <f t="shared" si="201"/>
        <v>3000</v>
      </c>
      <c r="N659" s="5">
        <f t="shared" si="213"/>
        <v>-1060</v>
      </c>
      <c r="O659" s="5">
        <f t="shared" si="214"/>
        <v>-1170</v>
      </c>
      <c r="P659" s="5">
        <f t="shared" si="215"/>
        <v>-983</v>
      </c>
      <c r="Q659" s="8">
        <v>3</v>
      </c>
      <c r="R659" s="8">
        <v>4</v>
      </c>
      <c r="S659" s="8">
        <v>3</v>
      </c>
      <c r="T659" s="6">
        <f t="shared" si="210"/>
        <v>258</v>
      </c>
      <c r="U659" s="7">
        <f t="shared" si="196"/>
        <v>3210</v>
      </c>
      <c r="V659" s="7">
        <f t="shared" si="197"/>
        <v>3100</v>
      </c>
      <c r="W659" s="7">
        <f t="shared" si="198"/>
        <v>3227</v>
      </c>
      <c r="X659" s="6"/>
      <c r="Y659" s="5"/>
      <c r="Z659" s="5"/>
      <c r="AA659" s="5"/>
      <c r="AB659" s="5"/>
    </row>
    <row r="660" spans="1:28" ht="13.15" customHeight="1">
      <c r="A660" s="10">
        <f t="shared" si="202"/>
        <v>646</v>
      </c>
      <c r="B660" s="4">
        <f t="shared" si="211"/>
        <v>45689</v>
      </c>
      <c r="C660" s="10">
        <f t="shared" si="212"/>
        <v>842</v>
      </c>
      <c r="D660" s="9">
        <f t="shared" si="203"/>
        <v>2518</v>
      </c>
      <c r="E660" s="8">
        <f t="shared" si="204"/>
        <v>1423</v>
      </c>
      <c r="F660" s="8">
        <f t="shared" si="205"/>
        <v>1531</v>
      </c>
      <c r="G660" s="8">
        <f t="shared" si="206"/>
        <v>1347</v>
      </c>
      <c r="H660" s="5">
        <f t="shared" si="207"/>
        <v>1937</v>
      </c>
      <c r="I660" s="5">
        <f t="shared" si="208"/>
        <v>1829</v>
      </c>
      <c r="J660" s="5">
        <f t="shared" si="209"/>
        <v>2013</v>
      </c>
      <c r="K660" s="5">
        <f t="shared" si="199"/>
        <v>3000</v>
      </c>
      <c r="L660" s="5">
        <f t="shared" si="200"/>
        <v>3000</v>
      </c>
      <c r="M660" s="5">
        <f t="shared" si="201"/>
        <v>3000</v>
      </c>
      <c r="N660" s="5">
        <f t="shared" si="213"/>
        <v>-1063</v>
      </c>
      <c r="O660" s="5">
        <f t="shared" si="214"/>
        <v>-1171</v>
      </c>
      <c r="P660" s="5">
        <f t="shared" si="215"/>
        <v>-987</v>
      </c>
      <c r="Q660" s="8">
        <v>3</v>
      </c>
      <c r="R660" s="8">
        <v>1</v>
      </c>
      <c r="S660" s="8">
        <v>4</v>
      </c>
      <c r="T660" s="6">
        <f t="shared" si="210"/>
        <v>261</v>
      </c>
      <c r="U660" s="7">
        <f t="shared" si="196"/>
        <v>3207</v>
      </c>
      <c r="V660" s="7">
        <f t="shared" si="197"/>
        <v>3099</v>
      </c>
      <c r="W660" s="7">
        <f t="shared" si="198"/>
        <v>3223</v>
      </c>
      <c r="X660" s="6"/>
      <c r="Y660" s="5"/>
      <c r="Z660" s="5"/>
      <c r="AA660" s="5"/>
      <c r="AB660" s="5"/>
    </row>
    <row r="661" spans="1:28" ht="13.15" customHeight="1">
      <c r="A661" s="10">
        <f t="shared" si="202"/>
        <v>647</v>
      </c>
      <c r="B661" s="4">
        <f t="shared" si="211"/>
        <v>45690</v>
      </c>
      <c r="C661" s="10">
        <f t="shared" si="212"/>
        <v>842</v>
      </c>
      <c r="D661" s="9">
        <f t="shared" si="203"/>
        <v>2520</v>
      </c>
      <c r="E661" s="8">
        <f t="shared" si="204"/>
        <v>1429</v>
      </c>
      <c r="F661" s="8">
        <f t="shared" si="205"/>
        <v>1535</v>
      </c>
      <c r="G661" s="8">
        <f t="shared" si="206"/>
        <v>1352</v>
      </c>
      <c r="H661" s="5">
        <f t="shared" si="207"/>
        <v>1933</v>
      </c>
      <c r="I661" s="5">
        <f t="shared" si="208"/>
        <v>1827</v>
      </c>
      <c r="J661" s="5">
        <f t="shared" si="209"/>
        <v>2010</v>
      </c>
      <c r="K661" s="5">
        <f t="shared" si="199"/>
        <v>3000</v>
      </c>
      <c r="L661" s="5">
        <f t="shared" si="200"/>
        <v>3000</v>
      </c>
      <c r="M661" s="5">
        <f t="shared" si="201"/>
        <v>3000</v>
      </c>
      <c r="N661" s="5">
        <f t="shared" si="213"/>
        <v>-1067</v>
      </c>
      <c r="O661" s="5">
        <f t="shared" si="214"/>
        <v>-1173</v>
      </c>
      <c r="P661" s="5">
        <f t="shared" si="215"/>
        <v>-990</v>
      </c>
      <c r="Q661" s="8">
        <v>4</v>
      </c>
      <c r="R661" s="8">
        <v>2</v>
      </c>
      <c r="S661" s="8">
        <v>3</v>
      </c>
      <c r="T661" s="6">
        <f t="shared" si="210"/>
        <v>265</v>
      </c>
      <c r="U661" s="7">
        <f t="shared" si="196"/>
        <v>3203</v>
      </c>
      <c r="V661" s="7">
        <f t="shared" si="197"/>
        <v>3097</v>
      </c>
      <c r="W661" s="7">
        <f t="shared" si="198"/>
        <v>3220</v>
      </c>
      <c r="X661" s="6"/>
      <c r="Y661" s="5"/>
      <c r="Z661" s="5"/>
      <c r="AA661" s="5"/>
      <c r="AB661" s="5"/>
    </row>
    <row r="662" spans="1:28" ht="13.15" customHeight="1">
      <c r="A662" s="10">
        <f t="shared" si="202"/>
        <v>648</v>
      </c>
      <c r="B662" s="4">
        <f t="shared" si="211"/>
        <v>45691</v>
      </c>
      <c r="C662" s="10">
        <f t="shared" si="212"/>
        <v>842</v>
      </c>
      <c r="D662" s="9">
        <f t="shared" si="203"/>
        <v>2522</v>
      </c>
      <c r="E662" s="8">
        <f t="shared" si="204"/>
        <v>1434</v>
      </c>
      <c r="F662" s="8">
        <f t="shared" si="205"/>
        <v>1538</v>
      </c>
      <c r="G662" s="8">
        <f t="shared" si="206"/>
        <v>1358</v>
      </c>
      <c r="H662" s="5">
        <f t="shared" si="207"/>
        <v>1930</v>
      </c>
      <c r="I662" s="5">
        <f t="shared" si="208"/>
        <v>1826</v>
      </c>
      <c r="J662" s="5">
        <f t="shared" si="209"/>
        <v>2006</v>
      </c>
      <c r="K662" s="5">
        <f t="shared" si="199"/>
        <v>3000</v>
      </c>
      <c r="L662" s="5">
        <f t="shared" si="200"/>
        <v>3000</v>
      </c>
      <c r="M662" s="5">
        <f t="shared" si="201"/>
        <v>3000</v>
      </c>
      <c r="N662" s="5">
        <f t="shared" si="213"/>
        <v>-1070</v>
      </c>
      <c r="O662" s="5">
        <f t="shared" si="214"/>
        <v>-1174</v>
      </c>
      <c r="P662" s="5">
        <f t="shared" si="215"/>
        <v>-994</v>
      </c>
      <c r="Q662" s="8">
        <v>3</v>
      </c>
      <c r="R662" s="8">
        <v>1</v>
      </c>
      <c r="S662" s="8">
        <v>4</v>
      </c>
      <c r="T662" s="6">
        <f t="shared" si="210"/>
        <v>268</v>
      </c>
      <c r="U662" s="7">
        <f t="shared" si="196"/>
        <v>3200</v>
      </c>
      <c r="V662" s="7">
        <f t="shared" si="197"/>
        <v>3096</v>
      </c>
      <c r="W662" s="7">
        <f t="shared" si="198"/>
        <v>3216</v>
      </c>
      <c r="X662" s="6"/>
      <c r="Y662" s="5"/>
      <c r="Z662" s="5"/>
      <c r="AA662" s="5"/>
      <c r="AB662" s="5"/>
    </row>
    <row r="663" spans="1:28" ht="13.15" customHeight="1">
      <c r="A663" s="10">
        <f t="shared" si="202"/>
        <v>649</v>
      </c>
      <c r="B663" s="4">
        <f t="shared" si="211"/>
        <v>45692</v>
      </c>
      <c r="C663" s="10">
        <f t="shared" si="212"/>
        <v>842</v>
      </c>
      <c r="D663" s="9">
        <f t="shared" si="203"/>
        <v>2524</v>
      </c>
      <c r="E663" s="8">
        <f t="shared" si="204"/>
        <v>1440</v>
      </c>
      <c r="F663" s="8">
        <f t="shared" si="205"/>
        <v>1543</v>
      </c>
      <c r="G663" s="8">
        <f t="shared" si="206"/>
        <v>1364</v>
      </c>
      <c r="H663" s="5">
        <f t="shared" si="207"/>
        <v>1926</v>
      </c>
      <c r="I663" s="5">
        <f t="shared" si="208"/>
        <v>1823</v>
      </c>
      <c r="J663" s="5">
        <f t="shared" si="209"/>
        <v>2002</v>
      </c>
      <c r="K663" s="5">
        <f t="shared" si="199"/>
        <v>3000</v>
      </c>
      <c r="L663" s="5">
        <f t="shared" si="200"/>
        <v>3000</v>
      </c>
      <c r="M663" s="5">
        <f t="shared" si="201"/>
        <v>3000</v>
      </c>
      <c r="N663" s="5">
        <f t="shared" si="213"/>
        <v>-1074</v>
      </c>
      <c r="O663" s="5">
        <f t="shared" si="214"/>
        <v>-1177</v>
      </c>
      <c r="P663" s="5">
        <f t="shared" si="215"/>
        <v>-998</v>
      </c>
      <c r="Q663" s="8">
        <v>4</v>
      </c>
      <c r="R663" s="8">
        <v>3</v>
      </c>
      <c r="S663" s="8">
        <v>4</v>
      </c>
      <c r="T663" s="6">
        <f t="shared" si="210"/>
        <v>273</v>
      </c>
      <c r="U663" s="7">
        <f t="shared" si="196"/>
        <v>3196</v>
      </c>
      <c r="V663" s="7">
        <f t="shared" si="197"/>
        <v>3093</v>
      </c>
      <c r="W663" s="7">
        <f t="shared" si="198"/>
        <v>3212</v>
      </c>
      <c r="X663" s="6"/>
      <c r="Y663" s="5"/>
      <c r="Z663" s="5"/>
      <c r="AA663" s="5"/>
      <c r="AB663" s="5"/>
    </row>
    <row r="664" spans="1:28" ht="13.15" customHeight="1">
      <c r="A664" s="10">
        <f t="shared" si="202"/>
        <v>650</v>
      </c>
      <c r="B664" s="4">
        <f t="shared" si="211"/>
        <v>45693</v>
      </c>
      <c r="C664" s="10">
        <f t="shared" si="212"/>
        <v>842</v>
      </c>
      <c r="D664" s="9">
        <f t="shared" si="203"/>
        <v>2526</v>
      </c>
      <c r="E664" s="8">
        <f t="shared" si="204"/>
        <v>1446</v>
      </c>
      <c r="F664" s="8">
        <f t="shared" si="205"/>
        <v>1547</v>
      </c>
      <c r="G664" s="8">
        <f t="shared" si="206"/>
        <v>1367</v>
      </c>
      <c r="H664" s="5">
        <f t="shared" si="207"/>
        <v>1922</v>
      </c>
      <c r="I664" s="5">
        <f t="shared" si="208"/>
        <v>1821</v>
      </c>
      <c r="J664" s="5">
        <f t="shared" si="209"/>
        <v>2001</v>
      </c>
      <c r="K664" s="5">
        <f t="shared" si="199"/>
        <v>3000</v>
      </c>
      <c r="L664" s="5">
        <f t="shared" si="200"/>
        <v>3000</v>
      </c>
      <c r="M664" s="5">
        <f t="shared" si="201"/>
        <v>3000</v>
      </c>
      <c r="N664" s="5">
        <f t="shared" si="213"/>
        <v>-1078</v>
      </c>
      <c r="O664" s="5">
        <f t="shared" si="214"/>
        <v>-1179</v>
      </c>
      <c r="P664" s="5">
        <f t="shared" si="215"/>
        <v>-999</v>
      </c>
      <c r="Q664" s="8">
        <v>4</v>
      </c>
      <c r="R664" s="8">
        <v>2</v>
      </c>
      <c r="S664" s="8">
        <v>1</v>
      </c>
      <c r="T664" s="6">
        <f t="shared" si="210"/>
        <v>277</v>
      </c>
      <c r="U664" s="7">
        <f t="shared" si="196"/>
        <v>3192</v>
      </c>
      <c r="V664" s="7">
        <f t="shared" si="197"/>
        <v>3091</v>
      </c>
      <c r="W664" s="7">
        <f t="shared" si="198"/>
        <v>3211</v>
      </c>
      <c r="X664" s="6"/>
      <c r="Y664" s="5"/>
      <c r="Z664" s="5"/>
      <c r="AA664" s="5"/>
      <c r="AB664" s="5"/>
    </row>
    <row r="665" spans="1:28" ht="13.15" customHeight="1">
      <c r="A665" s="10">
        <f t="shared" si="202"/>
        <v>651</v>
      </c>
      <c r="B665" s="4">
        <f t="shared" si="211"/>
        <v>45694</v>
      </c>
      <c r="C665" s="10">
        <f t="shared" si="212"/>
        <v>842</v>
      </c>
      <c r="D665" s="9">
        <f t="shared" si="203"/>
        <v>2528</v>
      </c>
      <c r="E665" s="8">
        <f t="shared" si="204"/>
        <v>1449</v>
      </c>
      <c r="F665" s="8">
        <f t="shared" si="205"/>
        <v>1550</v>
      </c>
      <c r="G665" s="8">
        <f t="shared" si="206"/>
        <v>1371</v>
      </c>
      <c r="H665" s="5">
        <f t="shared" si="207"/>
        <v>1921</v>
      </c>
      <c r="I665" s="5">
        <f t="shared" si="208"/>
        <v>1820</v>
      </c>
      <c r="J665" s="5">
        <f t="shared" si="209"/>
        <v>1999</v>
      </c>
      <c r="K665" s="5">
        <f t="shared" si="199"/>
        <v>3000</v>
      </c>
      <c r="L665" s="5">
        <f t="shared" si="200"/>
        <v>3000</v>
      </c>
      <c r="M665" s="5">
        <f t="shared" si="201"/>
        <v>3000</v>
      </c>
      <c r="N665" s="5">
        <f t="shared" si="213"/>
        <v>-1079</v>
      </c>
      <c r="O665" s="5">
        <f t="shared" si="214"/>
        <v>-1180</v>
      </c>
      <c r="P665" s="5">
        <f t="shared" si="215"/>
        <v>-1001</v>
      </c>
      <c r="Q665" s="8">
        <v>1</v>
      </c>
      <c r="R665" s="8">
        <v>1</v>
      </c>
      <c r="S665" s="8">
        <v>2</v>
      </c>
      <c r="T665" s="6">
        <f t="shared" si="210"/>
        <v>280</v>
      </c>
      <c r="U665" s="7">
        <f t="shared" si="196"/>
        <v>3191</v>
      </c>
      <c r="V665" s="7">
        <f t="shared" si="197"/>
        <v>3090</v>
      </c>
      <c r="W665" s="7">
        <f t="shared" si="198"/>
        <v>3209</v>
      </c>
      <c r="X665" s="6"/>
      <c r="Y665" s="5"/>
      <c r="Z665" s="5"/>
      <c r="AA665" s="5"/>
      <c r="AB665" s="5"/>
    </row>
    <row r="666" spans="1:28" ht="13.15" customHeight="1">
      <c r="A666" s="10">
        <f t="shared" si="202"/>
        <v>652</v>
      </c>
      <c r="B666" s="4">
        <f t="shared" si="211"/>
        <v>45695</v>
      </c>
      <c r="C666" s="10">
        <f t="shared" si="212"/>
        <v>842</v>
      </c>
      <c r="D666" s="9">
        <f t="shared" si="203"/>
        <v>2530</v>
      </c>
      <c r="E666" s="8">
        <f t="shared" si="204"/>
        <v>1453</v>
      </c>
      <c r="F666" s="8">
        <f t="shared" si="205"/>
        <v>1555</v>
      </c>
      <c r="G666" s="8">
        <f t="shared" si="206"/>
        <v>1374</v>
      </c>
      <c r="H666" s="5">
        <f t="shared" si="207"/>
        <v>1919</v>
      </c>
      <c r="I666" s="5">
        <f t="shared" si="208"/>
        <v>1817</v>
      </c>
      <c r="J666" s="5">
        <f t="shared" si="209"/>
        <v>1998</v>
      </c>
      <c r="K666" s="5">
        <f t="shared" si="199"/>
        <v>3000</v>
      </c>
      <c r="L666" s="5">
        <f t="shared" si="200"/>
        <v>3000</v>
      </c>
      <c r="M666" s="5">
        <f t="shared" si="201"/>
        <v>3000</v>
      </c>
      <c r="N666" s="5">
        <f t="shared" si="213"/>
        <v>-1081</v>
      </c>
      <c r="O666" s="5">
        <f t="shared" si="214"/>
        <v>-1183</v>
      </c>
      <c r="P666" s="5">
        <f t="shared" si="215"/>
        <v>-1002</v>
      </c>
      <c r="Q666" s="8">
        <v>2</v>
      </c>
      <c r="R666" s="8">
        <v>3</v>
      </c>
      <c r="S666" s="8">
        <v>1</v>
      </c>
      <c r="T666" s="6">
        <f t="shared" si="210"/>
        <v>285</v>
      </c>
      <c r="U666" s="7">
        <f t="shared" si="196"/>
        <v>3189</v>
      </c>
      <c r="V666" s="7">
        <f t="shared" si="197"/>
        <v>3087</v>
      </c>
      <c r="W666" s="7">
        <f t="shared" si="198"/>
        <v>3208</v>
      </c>
      <c r="X666" s="6"/>
      <c r="Y666" s="5"/>
      <c r="Z666" s="5"/>
      <c r="AA666" s="5"/>
      <c r="AB666" s="5"/>
    </row>
    <row r="667" spans="1:28" ht="13.15" customHeight="1">
      <c r="A667" s="10">
        <f t="shared" si="202"/>
        <v>653</v>
      </c>
      <c r="B667" s="4">
        <f t="shared" si="211"/>
        <v>45696</v>
      </c>
      <c r="C667" s="10">
        <f t="shared" si="212"/>
        <v>842</v>
      </c>
      <c r="D667" s="9">
        <f t="shared" si="203"/>
        <v>2532</v>
      </c>
      <c r="E667" s="8">
        <f t="shared" si="204"/>
        <v>1456</v>
      </c>
      <c r="F667" s="8">
        <f t="shared" si="205"/>
        <v>1560</v>
      </c>
      <c r="G667" s="8">
        <f t="shared" si="206"/>
        <v>1379</v>
      </c>
      <c r="H667" s="5">
        <f t="shared" si="207"/>
        <v>1918</v>
      </c>
      <c r="I667" s="5">
        <f t="shared" si="208"/>
        <v>1814</v>
      </c>
      <c r="J667" s="5">
        <f t="shared" si="209"/>
        <v>1995</v>
      </c>
      <c r="K667" s="5">
        <f t="shared" si="199"/>
        <v>3000</v>
      </c>
      <c r="L667" s="5">
        <f t="shared" si="200"/>
        <v>3000</v>
      </c>
      <c r="M667" s="5">
        <f t="shared" si="201"/>
        <v>3000</v>
      </c>
      <c r="N667" s="5">
        <f t="shared" si="213"/>
        <v>-1082</v>
      </c>
      <c r="O667" s="5">
        <f t="shared" si="214"/>
        <v>-1186</v>
      </c>
      <c r="P667" s="5">
        <f t="shared" si="215"/>
        <v>-1005</v>
      </c>
      <c r="Q667" s="8">
        <v>1</v>
      </c>
      <c r="R667" s="8">
        <v>3</v>
      </c>
      <c r="S667" s="8">
        <v>3</v>
      </c>
      <c r="T667" s="6">
        <f t="shared" si="210"/>
        <v>290</v>
      </c>
      <c r="U667" s="7">
        <f t="shared" si="196"/>
        <v>3188</v>
      </c>
      <c r="V667" s="7">
        <f t="shared" si="197"/>
        <v>3084</v>
      </c>
      <c r="W667" s="7">
        <f t="shared" si="198"/>
        <v>3205</v>
      </c>
      <c r="X667" s="6"/>
      <c r="Y667" s="5"/>
      <c r="Z667" s="5"/>
      <c r="AA667" s="5"/>
      <c r="AB667" s="5"/>
    </row>
    <row r="668" spans="1:28" ht="13.15" customHeight="1">
      <c r="A668" s="10">
        <f t="shared" si="202"/>
        <v>654</v>
      </c>
      <c r="B668" s="4">
        <f t="shared" si="211"/>
        <v>45697</v>
      </c>
      <c r="C668" s="10">
        <f t="shared" si="212"/>
        <v>842</v>
      </c>
      <c r="D668" s="9">
        <f t="shared" si="203"/>
        <v>2534</v>
      </c>
      <c r="E668" s="8">
        <f t="shared" si="204"/>
        <v>1461</v>
      </c>
      <c r="F668" s="8">
        <f t="shared" si="205"/>
        <v>1565</v>
      </c>
      <c r="G668" s="8">
        <f t="shared" si="206"/>
        <v>1383</v>
      </c>
      <c r="H668" s="5">
        <f t="shared" si="207"/>
        <v>1915</v>
      </c>
      <c r="I668" s="5">
        <f t="shared" si="208"/>
        <v>1811</v>
      </c>
      <c r="J668" s="5">
        <f t="shared" si="209"/>
        <v>1993</v>
      </c>
      <c r="K668" s="5">
        <f t="shared" si="199"/>
        <v>3000</v>
      </c>
      <c r="L668" s="5">
        <f t="shared" si="200"/>
        <v>3000</v>
      </c>
      <c r="M668" s="5">
        <f t="shared" si="201"/>
        <v>3000</v>
      </c>
      <c r="N668" s="5">
        <f t="shared" si="213"/>
        <v>-1085</v>
      </c>
      <c r="O668" s="5">
        <f t="shared" si="214"/>
        <v>-1189</v>
      </c>
      <c r="P668" s="5">
        <f t="shared" si="215"/>
        <v>-1007</v>
      </c>
      <c r="Q668" s="8">
        <v>3</v>
      </c>
      <c r="R668" s="8">
        <v>3</v>
      </c>
      <c r="S668" s="8">
        <v>2</v>
      </c>
      <c r="T668" s="6">
        <f t="shared" si="210"/>
        <v>295</v>
      </c>
      <c r="U668" s="7">
        <f t="shared" si="196"/>
        <v>3185</v>
      </c>
      <c r="V668" s="7">
        <f t="shared" si="197"/>
        <v>3081</v>
      </c>
      <c r="W668" s="7">
        <f t="shared" si="198"/>
        <v>3203</v>
      </c>
      <c r="X668" s="6"/>
      <c r="Y668" s="5"/>
      <c r="Z668" s="5"/>
      <c r="AA668" s="5"/>
      <c r="AB668" s="5"/>
    </row>
    <row r="669" spans="1:28" ht="13.15" customHeight="1">
      <c r="A669" s="10">
        <f t="shared" si="202"/>
        <v>655</v>
      </c>
      <c r="B669" s="4">
        <f t="shared" si="211"/>
        <v>45698</v>
      </c>
      <c r="C669" s="10">
        <f t="shared" si="212"/>
        <v>842</v>
      </c>
      <c r="D669" s="9">
        <f t="shared" si="203"/>
        <v>2536</v>
      </c>
      <c r="E669" s="8">
        <f t="shared" si="204"/>
        <v>1465</v>
      </c>
      <c r="F669" s="8">
        <f t="shared" si="205"/>
        <v>1570</v>
      </c>
      <c r="G669" s="8">
        <f t="shared" si="206"/>
        <v>1386</v>
      </c>
      <c r="H669" s="5">
        <f t="shared" si="207"/>
        <v>1913</v>
      </c>
      <c r="I669" s="5">
        <f t="shared" si="208"/>
        <v>1808</v>
      </c>
      <c r="J669" s="5">
        <f t="shared" si="209"/>
        <v>1992</v>
      </c>
      <c r="K669" s="5">
        <f t="shared" si="199"/>
        <v>3000</v>
      </c>
      <c r="L669" s="5">
        <f t="shared" si="200"/>
        <v>3000</v>
      </c>
      <c r="M669" s="5">
        <f t="shared" si="201"/>
        <v>3000</v>
      </c>
      <c r="N669" s="5">
        <f t="shared" si="213"/>
        <v>-1087</v>
      </c>
      <c r="O669" s="5">
        <f t="shared" si="214"/>
        <v>-1192</v>
      </c>
      <c r="P669" s="5">
        <f t="shared" si="215"/>
        <v>-1008</v>
      </c>
      <c r="Q669" s="8">
        <v>2</v>
      </c>
      <c r="R669" s="8">
        <v>3</v>
      </c>
      <c r="S669" s="8">
        <v>1</v>
      </c>
      <c r="T669" s="6">
        <f t="shared" si="210"/>
        <v>300</v>
      </c>
      <c r="U669" s="7">
        <f t="shared" si="196"/>
        <v>3183</v>
      </c>
      <c r="V669" s="7">
        <f t="shared" si="197"/>
        <v>3078</v>
      </c>
      <c r="W669" s="7">
        <f t="shared" si="198"/>
        <v>3202</v>
      </c>
      <c r="X669" s="6"/>
      <c r="Y669" s="5"/>
      <c r="Z669" s="5"/>
      <c r="AA669" s="5"/>
      <c r="AB669" s="5"/>
    </row>
    <row r="670" spans="1:28" ht="13.15" customHeight="1">
      <c r="A670" s="10">
        <f t="shared" si="202"/>
        <v>656</v>
      </c>
      <c r="B670" s="4">
        <f t="shared" si="211"/>
        <v>45699</v>
      </c>
      <c r="C670" s="10">
        <f t="shared" si="212"/>
        <v>842</v>
      </c>
      <c r="D670" s="9">
        <f t="shared" si="203"/>
        <v>2538</v>
      </c>
      <c r="E670" s="8">
        <f t="shared" si="204"/>
        <v>1468</v>
      </c>
      <c r="F670" s="8">
        <f t="shared" si="205"/>
        <v>1574</v>
      </c>
      <c r="G670" s="8">
        <f t="shared" si="206"/>
        <v>1391</v>
      </c>
      <c r="H670" s="5">
        <f t="shared" si="207"/>
        <v>1912</v>
      </c>
      <c r="I670" s="5">
        <f t="shared" si="208"/>
        <v>1806</v>
      </c>
      <c r="J670" s="5">
        <f t="shared" si="209"/>
        <v>1989</v>
      </c>
      <c r="K670" s="5">
        <f t="shared" si="199"/>
        <v>3000</v>
      </c>
      <c r="L670" s="5">
        <f t="shared" si="200"/>
        <v>3000</v>
      </c>
      <c r="M670" s="5">
        <f t="shared" si="201"/>
        <v>3000</v>
      </c>
      <c r="N670" s="5">
        <f t="shared" si="213"/>
        <v>-1088</v>
      </c>
      <c r="O670" s="5">
        <f t="shared" si="214"/>
        <v>-1194</v>
      </c>
      <c r="P670" s="5">
        <f t="shared" si="215"/>
        <v>-1011</v>
      </c>
      <c r="Q670" s="8">
        <v>1</v>
      </c>
      <c r="R670" s="8">
        <v>2</v>
      </c>
      <c r="S670" s="8">
        <v>3</v>
      </c>
      <c r="T670" s="6">
        <f t="shared" si="210"/>
        <v>304</v>
      </c>
      <c r="U670" s="7">
        <f t="shared" si="196"/>
        <v>3182</v>
      </c>
      <c r="V670" s="7">
        <f t="shared" si="197"/>
        <v>3076</v>
      </c>
      <c r="W670" s="7">
        <f t="shared" si="198"/>
        <v>3199</v>
      </c>
      <c r="X670" s="6"/>
      <c r="Y670" s="5"/>
      <c r="Z670" s="5"/>
      <c r="AA670" s="5"/>
      <c r="AB670" s="5"/>
    </row>
    <row r="671" spans="1:28" ht="13.15" customHeight="1">
      <c r="A671" s="10">
        <f t="shared" si="202"/>
        <v>657</v>
      </c>
      <c r="B671" s="4">
        <f t="shared" si="211"/>
        <v>45700</v>
      </c>
      <c r="C671" s="10">
        <f t="shared" si="212"/>
        <v>842</v>
      </c>
      <c r="D671" s="9">
        <f t="shared" si="203"/>
        <v>2540</v>
      </c>
      <c r="E671" s="8">
        <f t="shared" si="204"/>
        <v>1473</v>
      </c>
      <c r="F671" s="8">
        <f t="shared" si="205"/>
        <v>1578</v>
      </c>
      <c r="G671" s="8">
        <f t="shared" si="206"/>
        <v>1396</v>
      </c>
      <c r="H671" s="5">
        <f t="shared" si="207"/>
        <v>1909</v>
      </c>
      <c r="I671" s="5">
        <f t="shared" si="208"/>
        <v>1804</v>
      </c>
      <c r="J671" s="5">
        <f t="shared" si="209"/>
        <v>1986</v>
      </c>
      <c r="K671" s="5">
        <f t="shared" si="199"/>
        <v>3000</v>
      </c>
      <c r="L671" s="5">
        <f t="shared" si="200"/>
        <v>3000</v>
      </c>
      <c r="M671" s="5">
        <f t="shared" si="201"/>
        <v>3000</v>
      </c>
      <c r="N671" s="5">
        <f t="shared" si="213"/>
        <v>-1091</v>
      </c>
      <c r="O671" s="5">
        <f t="shared" si="214"/>
        <v>-1196</v>
      </c>
      <c r="P671" s="5">
        <f t="shared" si="215"/>
        <v>-1014</v>
      </c>
      <c r="Q671" s="8">
        <v>3</v>
      </c>
      <c r="R671" s="8">
        <v>2</v>
      </c>
      <c r="S671" s="8">
        <v>3</v>
      </c>
      <c r="T671" s="6">
        <f t="shared" si="210"/>
        <v>308</v>
      </c>
      <c r="U671" s="7">
        <f t="shared" si="196"/>
        <v>3179</v>
      </c>
      <c r="V671" s="7">
        <f t="shared" si="197"/>
        <v>3074</v>
      </c>
      <c r="W671" s="7">
        <f t="shared" si="198"/>
        <v>3196</v>
      </c>
      <c r="X671" s="6"/>
      <c r="Y671" s="5"/>
      <c r="Z671" s="5"/>
      <c r="AA671" s="5"/>
      <c r="AB671" s="5"/>
    </row>
    <row r="672" spans="1:28" ht="13.15" customHeight="1">
      <c r="A672" s="10">
        <f t="shared" si="202"/>
        <v>658</v>
      </c>
      <c r="B672" s="4">
        <f t="shared" si="211"/>
        <v>45701</v>
      </c>
      <c r="C672" s="10">
        <f t="shared" si="212"/>
        <v>842</v>
      </c>
      <c r="D672" s="9">
        <f t="shared" si="203"/>
        <v>2542</v>
      </c>
      <c r="E672" s="8">
        <f t="shared" si="204"/>
        <v>1478</v>
      </c>
      <c r="F672" s="8">
        <f t="shared" si="205"/>
        <v>1582</v>
      </c>
      <c r="G672" s="8">
        <f t="shared" si="206"/>
        <v>1401</v>
      </c>
      <c r="H672" s="5">
        <f t="shared" si="207"/>
        <v>1906</v>
      </c>
      <c r="I672" s="5">
        <f t="shared" si="208"/>
        <v>1802</v>
      </c>
      <c r="J672" s="5">
        <f t="shared" si="209"/>
        <v>1983</v>
      </c>
      <c r="K672" s="5">
        <f t="shared" si="199"/>
        <v>3000</v>
      </c>
      <c r="L672" s="5">
        <f t="shared" si="200"/>
        <v>3000</v>
      </c>
      <c r="M672" s="5">
        <f t="shared" si="201"/>
        <v>3000</v>
      </c>
      <c r="N672" s="5">
        <f t="shared" si="213"/>
        <v>-1094</v>
      </c>
      <c r="O672" s="5">
        <f t="shared" si="214"/>
        <v>-1198</v>
      </c>
      <c r="P672" s="5">
        <f t="shared" si="215"/>
        <v>-1017</v>
      </c>
      <c r="Q672" s="8">
        <v>3</v>
      </c>
      <c r="R672" s="8">
        <v>2</v>
      </c>
      <c r="S672" s="8">
        <v>3</v>
      </c>
      <c r="T672" s="6">
        <f t="shared" si="210"/>
        <v>312</v>
      </c>
      <c r="U672" s="7">
        <f t="shared" si="196"/>
        <v>3176</v>
      </c>
      <c r="V672" s="7">
        <f t="shared" si="197"/>
        <v>3072</v>
      </c>
      <c r="W672" s="7">
        <f t="shared" si="198"/>
        <v>3193</v>
      </c>
      <c r="X672" s="6"/>
      <c r="Y672" s="5"/>
      <c r="Z672" s="5"/>
      <c r="AA672" s="5"/>
      <c r="AB672" s="5"/>
    </row>
    <row r="673" spans="1:28" ht="13.15" customHeight="1">
      <c r="A673" s="10">
        <f t="shared" si="202"/>
        <v>659</v>
      </c>
      <c r="B673" s="4">
        <f t="shared" si="211"/>
        <v>45702</v>
      </c>
      <c r="C673" s="10">
        <f t="shared" si="212"/>
        <v>842</v>
      </c>
      <c r="D673" s="9">
        <f t="shared" si="203"/>
        <v>2544</v>
      </c>
      <c r="E673" s="8">
        <f t="shared" si="204"/>
        <v>1483</v>
      </c>
      <c r="F673" s="8">
        <f t="shared" si="205"/>
        <v>1585</v>
      </c>
      <c r="G673" s="8">
        <f t="shared" si="206"/>
        <v>1406</v>
      </c>
      <c r="H673" s="5">
        <f t="shared" si="207"/>
        <v>1903</v>
      </c>
      <c r="I673" s="5">
        <f t="shared" si="208"/>
        <v>1801</v>
      </c>
      <c r="J673" s="5">
        <f t="shared" si="209"/>
        <v>1980</v>
      </c>
      <c r="K673" s="5">
        <f t="shared" si="199"/>
        <v>3000</v>
      </c>
      <c r="L673" s="5">
        <f t="shared" si="200"/>
        <v>3000</v>
      </c>
      <c r="M673" s="5">
        <f t="shared" si="201"/>
        <v>3000</v>
      </c>
      <c r="N673" s="5">
        <f t="shared" si="213"/>
        <v>-1097</v>
      </c>
      <c r="O673" s="5">
        <f t="shared" si="214"/>
        <v>-1199</v>
      </c>
      <c r="P673" s="5">
        <f t="shared" si="215"/>
        <v>-1020</v>
      </c>
      <c r="Q673" s="8">
        <v>3</v>
      </c>
      <c r="R673" s="8">
        <v>1</v>
      </c>
      <c r="S673" s="8">
        <v>3</v>
      </c>
      <c r="T673" s="6">
        <f t="shared" si="210"/>
        <v>315</v>
      </c>
      <c r="U673" s="7">
        <f t="shared" si="196"/>
        <v>3173</v>
      </c>
      <c r="V673" s="7">
        <f t="shared" si="197"/>
        <v>3071</v>
      </c>
      <c r="W673" s="7">
        <f t="shared" si="198"/>
        <v>3190</v>
      </c>
      <c r="X673" s="6"/>
      <c r="Y673" s="5"/>
      <c r="Z673" s="5"/>
      <c r="AA673" s="5"/>
      <c r="AB673" s="5"/>
    </row>
    <row r="674" spans="1:28" ht="13.15" customHeight="1">
      <c r="A674" s="10">
        <f t="shared" si="202"/>
        <v>660</v>
      </c>
      <c r="B674" s="4">
        <f t="shared" si="211"/>
        <v>45703</v>
      </c>
      <c r="C674" s="10">
        <f t="shared" si="212"/>
        <v>842</v>
      </c>
      <c r="D674" s="9">
        <f t="shared" si="203"/>
        <v>2546</v>
      </c>
      <c r="E674" s="8">
        <f t="shared" si="204"/>
        <v>1488</v>
      </c>
      <c r="F674" s="8">
        <f t="shared" si="205"/>
        <v>1590</v>
      </c>
      <c r="G674" s="8">
        <f t="shared" si="206"/>
        <v>1410</v>
      </c>
      <c r="H674" s="5">
        <f t="shared" si="207"/>
        <v>1900</v>
      </c>
      <c r="I674" s="5">
        <f t="shared" si="208"/>
        <v>1798</v>
      </c>
      <c r="J674" s="5">
        <f t="shared" si="209"/>
        <v>1978</v>
      </c>
      <c r="K674" s="5">
        <f t="shared" si="199"/>
        <v>3000</v>
      </c>
      <c r="L674" s="5">
        <f t="shared" si="200"/>
        <v>3000</v>
      </c>
      <c r="M674" s="5">
        <f t="shared" si="201"/>
        <v>3000</v>
      </c>
      <c r="N674" s="5">
        <f t="shared" si="213"/>
        <v>-1100</v>
      </c>
      <c r="O674" s="5">
        <f t="shared" si="214"/>
        <v>-1202</v>
      </c>
      <c r="P674" s="5">
        <f t="shared" si="215"/>
        <v>-1022</v>
      </c>
      <c r="Q674" s="8">
        <v>3</v>
      </c>
      <c r="R674" s="8">
        <v>3</v>
      </c>
      <c r="S674" s="8">
        <v>2</v>
      </c>
      <c r="T674" s="6">
        <f t="shared" si="210"/>
        <v>320</v>
      </c>
      <c r="U674" s="7">
        <f t="shared" si="196"/>
        <v>3170</v>
      </c>
      <c r="V674" s="7">
        <f t="shared" si="197"/>
        <v>3068</v>
      </c>
      <c r="W674" s="7">
        <f t="shared" si="198"/>
        <v>3188</v>
      </c>
      <c r="X674" s="6"/>
      <c r="Y674" s="5"/>
      <c r="Z674" s="5"/>
      <c r="AA674" s="5"/>
      <c r="AB674" s="5"/>
    </row>
    <row r="675" spans="1:28" ht="13.15" customHeight="1">
      <c r="A675" s="10">
        <f t="shared" si="202"/>
        <v>661</v>
      </c>
      <c r="B675" s="4">
        <f t="shared" si="211"/>
        <v>45704</v>
      </c>
      <c r="C675" s="10">
        <f t="shared" si="212"/>
        <v>842</v>
      </c>
      <c r="D675" s="9">
        <f t="shared" si="203"/>
        <v>2548</v>
      </c>
      <c r="E675" s="8">
        <f t="shared" si="204"/>
        <v>1492</v>
      </c>
      <c r="F675" s="8">
        <f t="shared" si="205"/>
        <v>1594</v>
      </c>
      <c r="G675" s="8">
        <f t="shared" si="206"/>
        <v>1414</v>
      </c>
      <c r="H675" s="5">
        <f t="shared" si="207"/>
        <v>1898</v>
      </c>
      <c r="I675" s="5">
        <f t="shared" si="208"/>
        <v>1796</v>
      </c>
      <c r="J675" s="5">
        <f t="shared" si="209"/>
        <v>1976</v>
      </c>
      <c r="K675" s="5">
        <f t="shared" si="199"/>
        <v>3000</v>
      </c>
      <c r="L675" s="5">
        <f t="shared" si="200"/>
        <v>3000</v>
      </c>
      <c r="M675" s="5">
        <f t="shared" si="201"/>
        <v>3000</v>
      </c>
      <c r="N675" s="5">
        <f t="shared" si="213"/>
        <v>-1102</v>
      </c>
      <c r="O675" s="5">
        <f t="shared" si="214"/>
        <v>-1204</v>
      </c>
      <c r="P675" s="5">
        <f t="shared" si="215"/>
        <v>-1024</v>
      </c>
      <c r="Q675" s="8">
        <v>2</v>
      </c>
      <c r="R675" s="8">
        <v>2</v>
      </c>
      <c r="S675" s="8">
        <v>2</v>
      </c>
      <c r="T675" s="6">
        <f t="shared" si="210"/>
        <v>324</v>
      </c>
      <c r="U675" s="7">
        <f t="shared" si="196"/>
        <v>3168</v>
      </c>
      <c r="V675" s="7">
        <f t="shared" si="197"/>
        <v>3066</v>
      </c>
      <c r="W675" s="7">
        <f t="shared" si="198"/>
        <v>3186</v>
      </c>
      <c r="X675" s="6"/>
      <c r="Y675" s="5"/>
      <c r="Z675" s="5"/>
      <c r="AA675" s="5"/>
      <c r="AB675" s="5"/>
    </row>
    <row r="676" spans="1:28" ht="13.15" customHeight="1">
      <c r="A676" s="10">
        <f t="shared" si="202"/>
        <v>662</v>
      </c>
      <c r="B676" s="4">
        <f t="shared" si="211"/>
        <v>45705</v>
      </c>
      <c r="C676" s="10">
        <f t="shared" si="212"/>
        <v>842</v>
      </c>
      <c r="D676" s="9">
        <f t="shared" si="203"/>
        <v>2550</v>
      </c>
      <c r="E676" s="8">
        <f t="shared" si="204"/>
        <v>1496</v>
      </c>
      <c r="F676" s="8">
        <f t="shared" si="205"/>
        <v>1598</v>
      </c>
      <c r="G676" s="8">
        <f t="shared" si="206"/>
        <v>1418</v>
      </c>
      <c r="H676" s="5">
        <f t="shared" si="207"/>
        <v>1896</v>
      </c>
      <c r="I676" s="5">
        <f t="shared" si="208"/>
        <v>1794</v>
      </c>
      <c r="J676" s="5">
        <f t="shared" si="209"/>
        <v>1974</v>
      </c>
      <c r="K676" s="5">
        <f t="shared" si="199"/>
        <v>3000</v>
      </c>
      <c r="L676" s="5">
        <f t="shared" si="200"/>
        <v>3000</v>
      </c>
      <c r="M676" s="5">
        <f t="shared" si="201"/>
        <v>3000</v>
      </c>
      <c r="N676" s="5">
        <f t="shared" si="213"/>
        <v>-1104</v>
      </c>
      <c r="O676" s="5">
        <f t="shared" si="214"/>
        <v>-1206</v>
      </c>
      <c r="P676" s="5">
        <f t="shared" si="215"/>
        <v>-1026</v>
      </c>
      <c r="Q676" s="8">
        <v>2</v>
      </c>
      <c r="R676" s="8">
        <v>2</v>
      </c>
      <c r="S676" s="8">
        <v>2</v>
      </c>
      <c r="T676" s="6">
        <f t="shared" si="210"/>
        <v>328</v>
      </c>
      <c r="U676" s="7">
        <f t="shared" si="196"/>
        <v>3166</v>
      </c>
      <c r="V676" s="7">
        <f t="shared" si="197"/>
        <v>3064</v>
      </c>
      <c r="W676" s="7">
        <f t="shared" si="198"/>
        <v>3184</v>
      </c>
      <c r="X676" s="6"/>
      <c r="Y676" s="5"/>
      <c r="Z676" s="5"/>
      <c r="AA676" s="5"/>
      <c r="AB676" s="5"/>
    </row>
    <row r="677" spans="1:28" ht="13.15" customHeight="1">
      <c r="A677" s="10">
        <f t="shared" si="202"/>
        <v>663</v>
      </c>
      <c r="B677" s="4">
        <f t="shared" si="211"/>
        <v>45706</v>
      </c>
      <c r="C677" s="10">
        <f t="shared" si="212"/>
        <v>842</v>
      </c>
      <c r="D677" s="9">
        <f t="shared" si="203"/>
        <v>2552</v>
      </c>
      <c r="E677" s="8">
        <f t="shared" si="204"/>
        <v>1500</v>
      </c>
      <c r="F677" s="8">
        <f t="shared" si="205"/>
        <v>1601</v>
      </c>
      <c r="G677" s="8">
        <f t="shared" si="206"/>
        <v>1421</v>
      </c>
      <c r="H677" s="5">
        <f t="shared" si="207"/>
        <v>1894</v>
      </c>
      <c r="I677" s="5">
        <f t="shared" si="208"/>
        <v>1793</v>
      </c>
      <c r="J677" s="5">
        <f t="shared" si="209"/>
        <v>1973</v>
      </c>
      <c r="K677" s="5">
        <f t="shared" si="199"/>
        <v>3000</v>
      </c>
      <c r="L677" s="5">
        <f t="shared" si="200"/>
        <v>3000</v>
      </c>
      <c r="M677" s="5">
        <f t="shared" si="201"/>
        <v>3000</v>
      </c>
      <c r="N677" s="5">
        <f t="shared" si="213"/>
        <v>-1106</v>
      </c>
      <c r="O677" s="5">
        <f t="shared" si="214"/>
        <v>-1207</v>
      </c>
      <c r="P677" s="5">
        <f t="shared" si="215"/>
        <v>-1027</v>
      </c>
      <c r="Q677" s="8">
        <v>2</v>
      </c>
      <c r="R677" s="8">
        <v>1</v>
      </c>
      <c r="S677" s="8">
        <v>1</v>
      </c>
      <c r="T677" s="6">
        <f t="shared" si="210"/>
        <v>331</v>
      </c>
      <c r="U677" s="7">
        <f t="shared" si="196"/>
        <v>3164</v>
      </c>
      <c r="V677" s="7">
        <f t="shared" si="197"/>
        <v>3063</v>
      </c>
      <c r="W677" s="7">
        <f t="shared" si="198"/>
        <v>3183</v>
      </c>
      <c r="X677" s="6"/>
      <c r="Y677" s="5"/>
      <c r="Z677" s="5"/>
      <c r="AA677" s="5"/>
      <c r="AB677" s="5"/>
    </row>
    <row r="678" spans="1:28" ht="13.15" customHeight="1">
      <c r="A678" s="10">
        <f t="shared" si="202"/>
        <v>664</v>
      </c>
      <c r="B678" s="4">
        <f t="shared" si="211"/>
        <v>45707</v>
      </c>
      <c r="C678" s="10">
        <f t="shared" si="212"/>
        <v>842</v>
      </c>
      <c r="D678" s="9">
        <f t="shared" si="203"/>
        <v>2554</v>
      </c>
      <c r="E678" s="8">
        <f t="shared" si="204"/>
        <v>1503</v>
      </c>
      <c r="F678" s="8">
        <f t="shared" si="205"/>
        <v>1606</v>
      </c>
      <c r="G678" s="8">
        <f t="shared" si="206"/>
        <v>1426</v>
      </c>
      <c r="H678" s="5">
        <f t="shared" si="207"/>
        <v>1893</v>
      </c>
      <c r="I678" s="5">
        <f t="shared" si="208"/>
        <v>1790</v>
      </c>
      <c r="J678" s="5">
        <f t="shared" si="209"/>
        <v>1970</v>
      </c>
      <c r="K678" s="5">
        <f t="shared" si="199"/>
        <v>3000</v>
      </c>
      <c r="L678" s="5">
        <f t="shared" si="200"/>
        <v>3000</v>
      </c>
      <c r="M678" s="5">
        <f t="shared" si="201"/>
        <v>3000</v>
      </c>
      <c r="N678" s="5">
        <f t="shared" si="213"/>
        <v>-1107</v>
      </c>
      <c r="O678" s="5">
        <f t="shared" si="214"/>
        <v>-1210</v>
      </c>
      <c r="P678" s="5">
        <f t="shared" si="215"/>
        <v>-1030</v>
      </c>
      <c r="Q678" s="8">
        <v>1</v>
      </c>
      <c r="R678" s="8">
        <v>3</v>
      </c>
      <c r="S678" s="8">
        <v>3</v>
      </c>
      <c r="T678" s="6">
        <f t="shared" si="210"/>
        <v>336</v>
      </c>
      <c r="U678" s="7">
        <f t="shared" si="196"/>
        <v>3163</v>
      </c>
      <c r="V678" s="7">
        <f t="shared" si="197"/>
        <v>3060</v>
      </c>
      <c r="W678" s="7">
        <f t="shared" si="198"/>
        <v>3180</v>
      </c>
      <c r="X678" s="6"/>
      <c r="Y678" s="5"/>
      <c r="Z678" s="5"/>
      <c r="AA678" s="5"/>
      <c r="AB678" s="5"/>
    </row>
    <row r="679" spans="1:28" ht="13.15" customHeight="1">
      <c r="A679" s="10">
        <f t="shared" si="202"/>
        <v>665</v>
      </c>
      <c r="B679" s="4">
        <f t="shared" si="211"/>
        <v>45708</v>
      </c>
      <c r="C679" s="10">
        <f t="shared" si="212"/>
        <v>842</v>
      </c>
      <c r="D679" s="9">
        <f t="shared" si="203"/>
        <v>2556</v>
      </c>
      <c r="E679" s="8">
        <f t="shared" si="204"/>
        <v>1508</v>
      </c>
      <c r="F679" s="8">
        <f t="shared" si="205"/>
        <v>1611</v>
      </c>
      <c r="G679" s="8">
        <f t="shared" si="206"/>
        <v>1430</v>
      </c>
      <c r="H679" s="5">
        <f t="shared" si="207"/>
        <v>1890</v>
      </c>
      <c r="I679" s="5">
        <f t="shared" si="208"/>
        <v>1787</v>
      </c>
      <c r="J679" s="5">
        <f t="shared" si="209"/>
        <v>1968</v>
      </c>
      <c r="K679" s="5">
        <f t="shared" si="199"/>
        <v>3000</v>
      </c>
      <c r="L679" s="5">
        <f t="shared" si="200"/>
        <v>3000</v>
      </c>
      <c r="M679" s="5">
        <f t="shared" si="201"/>
        <v>3000</v>
      </c>
      <c r="N679" s="5">
        <f t="shared" si="213"/>
        <v>-1110</v>
      </c>
      <c r="O679" s="5">
        <f t="shared" si="214"/>
        <v>-1213</v>
      </c>
      <c r="P679" s="5">
        <f t="shared" si="215"/>
        <v>-1032</v>
      </c>
      <c r="Q679" s="8">
        <v>3</v>
      </c>
      <c r="R679" s="8">
        <v>3</v>
      </c>
      <c r="S679" s="8">
        <v>2</v>
      </c>
      <c r="T679" s="6">
        <f t="shared" si="210"/>
        <v>341</v>
      </c>
      <c r="U679" s="7">
        <f t="shared" si="196"/>
        <v>3160</v>
      </c>
      <c r="V679" s="7">
        <f t="shared" si="197"/>
        <v>3057</v>
      </c>
      <c r="W679" s="7">
        <f t="shared" si="198"/>
        <v>3178</v>
      </c>
      <c r="X679" s="6"/>
      <c r="Y679" s="5"/>
      <c r="Z679" s="5"/>
      <c r="AA679" s="5"/>
      <c r="AB679" s="5"/>
    </row>
    <row r="680" spans="1:28" ht="13.15" customHeight="1">
      <c r="A680" s="10">
        <f t="shared" si="202"/>
        <v>666</v>
      </c>
      <c r="B680" s="4">
        <f t="shared" si="211"/>
        <v>45709</v>
      </c>
      <c r="C680" s="10">
        <f t="shared" si="212"/>
        <v>842</v>
      </c>
      <c r="D680" s="9">
        <f t="shared" si="203"/>
        <v>2558</v>
      </c>
      <c r="E680" s="8">
        <f t="shared" si="204"/>
        <v>1512</v>
      </c>
      <c r="F680" s="8">
        <f t="shared" si="205"/>
        <v>1615</v>
      </c>
      <c r="G680" s="8">
        <f t="shared" si="206"/>
        <v>1434</v>
      </c>
      <c r="H680" s="5">
        <f t="shared" si="207"/>
        <v>1888</v>
      </c>
      <c r="I680" s="5">
        <f t="shared" si="208"/>
        <v>1785</v>
      </c>
      <c r="J680" s="5">
        <f t="shared" si="209"/>
        <v>1966</v>
      </c>
      <c r="K680" s="5">
        <f t="shared" si="199"/>
        <v>3000</v>
      </c>
      <c r="L680" s="5">
        <f t="shared" si="200"/>
        <v>3000</v>
      </c>
      <c r="M680" s="5">
        <f t="shared" si="201"/>
        <v>3000</v>
      </c>
      <c r="N680" s="5">
        <f t="shared" si="213"/>
        <v>-1112</v>
      </c>
      <c r="O680" s="5">
        <f t="shared" si="214"/>
        <v>-1215</v>
      </c>
      <c r="P680" s="5">
        <f t="shared" si="215"/>
        <v>-1034</v>
      </c>
      <c r="Q680" s="8">
        <v>2</v>
      </c>
      <c r="R680" s="8">
        <v>2</v>
      </c>
      <c r="S680" s="8">
        <v>2</v>
      </c>
      <c r="T680" s="6">
        <f t="shared" si="210"/>
        <v>345</v>
      </c>
      <c r="U680" s="7">
        <f t="shared" ref="U680:U718" si="216">U679+$X680*1000-Q680</f>
        <v>3158</v>
      </c>
      <c r="V680" s="7">
        <f t="shared" ref="V680:V718" si="217">V679+$X680*1000-R680</f>
        <v>3055</v>
      </c>
      <c r="W680" s="7">
        <f t="shared" ref="W680:W718" si="218">W679+$X680*1000-S680</f>
        <v>3176</v>
      </c>
      <c r="X680" s="6"/>
      <c r="Y680" s="5"/>
      <c r="Z680" s="5"/>
      <c r="AA680" s="5"/>
      <c r="AB680" s="5"/>
    </row>
    <row r="681" spans="1:28" ht="13.15" customHeight="1">
      <c r="A681" s="10">
        <f t="shared" si="202"/>
        <v>667</v>
      </c>
      <c r="B681" s="4">
        <f t="shared" si="211"/>
        <v>45710</v>
      </c>
      <c r="C681" s="10">
        <f t="shared" si="212"/>
        <v>842</v>
      </c>
      <c r="D681" s="9">
        <f t="shared" si="203"/>
        <v>2560</v>
      </c>
      <c r="E681" s="8">
        <f t="shared" si="204"/>
        <v>1516</v>
      </c>
      <c r="F681" s="8">
        <f t="shared" si="205"/>
        <v>1619</v>
      </c>
      <c r="G681" s="8">
        <f t="shared" si="206"/>
        <v>1437</v>
      </c>
      <c r="H681" s="5">
        <f t="shared" si="207"/>
        <v>1886</v>
      </c>
      <c r="I681" s="5">
        <f t="shared" si="208"/>
        <v>1783</v>
      </c>
      <c r="J681" s="5">
        <f t="shared" si="209"/>
        <v>1965</v>
      </c>
      <c r="K681" s="5">
        <f t="shared" si="199"/>
        <v>3000</v>
      </c>
      <c r="L681" s="5">
        <f t="shared" si="200"/>
        <v>3000</v>
      </c>
      <c r="M681" s="5">
        <f t="shared" si="201"/>
        <v>3000</v>
      </c>
      <c r="N681" s="5">
        <f t="shared" si="213"/>
        <v>-1114</v>
      </c>
      <c r="O681" s="5">
        <f t="shared" si="214"/>
        <v>-1217</v>
      </c>
      <c r="P681" s="5">
        <f t="shared" si="215"/>
        <v>-1035</v>
      </c>
      <c r="Q681" s="8">
        <v>2</v>
      </c>
      <c r="R681" s="8">
        <v>2</v>
      </c>
      <c r="S681" s="8">
        <v>1</v>
      </c>
      <c r="T681" s="6">
        <f t="shared" si="210"/>
        <v>349</v>
      </c>
      <c r="U681" s="7">
        <f t="shared" si="216"/>
        <v>3156</v>
      </c>
      <c r="V681" s="7">
        <f t="shared" si="217"/>
        <v>3053</v>
      </c>
      <c r="W681" s="7">
        <f t="shared" si="218"/>
        <v>3175</v>
      </c>
      <c r="X681" s="6"/>
      <c r="Y681" s="5"/>
      <c r="Z681" s="5"/>
      <c r="AA681" s="5"/>
      <c r="AB681" s="5"/>
    </row>
    <row r="682" spans="1:28" ht="13.15" customHeight="1">
      <c r="A682" s="10">
        <f t="shared" si="202"/>
        <v>668</v>
      </c>
      <c r="B682" s="4">
        <f t="shared" si="211"/>
        <v>45711</v>
      </c>
      <c r="C682" s="10">
        <f t="shared" si="212"/>
        <v>842</v>
      </c>
      <c r="D682" s="9">
        <f t="shared" si="203"/>
        <v>2562</v>
      </c>
      <c r="E682" s="8">
        <f t="shared" si="204"/>
        <v>1519</v>
      </c>
      <c r="F682" s="8">
        <f t="shared" si="205"/>
        <v>1624</v>
      </c>
      <c r="G682" s="8">
        <f t="shared" si="206"/>
        <v>1442</v>
      </c>
      <c r="H682" s="5">
        <f t="shared" si="207"/>
        <v>1885</v>
      </c>
      <c r="I682" s="5">
        <f t="shared" si="208"/>
        <v>1780</v>
      </c>
      <c r="J682" s="5">
        <f t="shared" si="209"/>
        <v>1962</v>
      </c>
      <c r="K682" s="5">
        <f t="shared" si="199"/>
        <v>3000</v>
      </c>
      <c r="L682" s="5">
        <f t="shared" si="200"/>
        <v>3000</v>
      </c>
      <c r="M682" s="5">
        <f t="shared" si="201"/>
        <v>3000</v>
      </c>
      <c r="N682" s="5">
        <f t="shared" si="213"/>
        <v>-1115</v>
      </c>
      <c r="O682" s="5">
        <f t="shared" si="214"/>
        <v>-1220</v>
      </c>
      <c r="P682" s="5">
        <f t="shared" si="215"/>
        <v>-1038</v>
      </c>
      <c r="Q682" s="8">
        <v>1</v>
      </c>
      <c r="R682" s="8">
        <v>3</v>
      </c>
      <c r="S682" s="8">
        <v>3</v>
      </c>
      <c r="T682" s="6">
        <f t="shared" si="210"/>
        <v>354</v>
      </c>
      <c r="U682" s="7">
        <f t="shared" si="216"/>
        <v>3155</v>
      </c>
      <c r="V682" s="7">
        <f t="shared" si="217"/>
        <v>3050</v>
      </c>
      <c r="W682" s="7">
        <f t="shared" si="218"/>
        <v>3172</v>
      </c>
      <c r="X682" s="6"/>
      <c r="Y682" s="5"/>
      <c r="Z682" s="5"/>
      <c r="AA682" s="5"/>
      <c r="AB682" s="5"/>
    </row>
    <row r="683" spans="1:28" ht="13.15" customHeight="1">
      <c r="A683" s="10">
        <f t="shared" si="202"/>
        <v>669</v>
      </c>
      <c r="B683" s="4">
        <f t="shared" si="211"/>
        <v>45712</v>
      </c>
      <c r="C683" s="10">
        <f t="shared" si="212"/>
        <v>842</v>
      </c>
      <c r="D683" s="9">
        <f t="shared" si="203"/>
        <v>2564</v>
      </c>
      <c r="E683" s="8">
        <f t="shared" si="204"/>
        <v>1524</v>
      </c>
      <c r="F683" s="8">
        <f t="shared" si="205"/>
        <v>1629</v>
      </c>
      <c r="G683" s="8">
        <f t="shared" si="206"/>
        <v>1447</v>
      </c>
      <c r="H683" s="5">
        <f t="shared" si="207"/>
        <v>1882</v>
      </c>
      <c r="I683" s="5">
        <f t="shared" si="208"/>
        <v>1777</v>
      </c>
      <c r="J683" s="5">
        <f t="shared" si="209"/>
        <v>1959</v>
      </c>
      <c r="K683" s="5">
        <f t="shared" si="199"/>
        <v>3000</v>
      </c>
      <c r="L683" s="5">
        <f t="shared" si="200"/>
        <v>3000</v>
      </c>
      <c r="M683" s="5">
        <f t="shared" si="201"/>
        <v>3000</v>
      </c>
      <c r="N683" s="5">
        <f t="shared" si="213"/>
        <v>-1118</v>
      </c>
      <c r="O683" s="5">
        <f t="shared" si="214"/>
        <v>-1223</v>
      </c>
      <c r="P683" s="5">
        <f t="shared" si="215"/>
        <v>-1041</v>
      </c>
      <c r="Q683" s="8">
        <v>3</v>
      </c>
      <c r="R683" s="8">
        <v>3</v>
      </c>
      <c r="S683" s="8">
        <v>3</v>
      </c>
      <c r="T683" s="6">
        <f t="shared" si="210"/>
        <v>359</v>
      </c>
      <c r="U683" s="7">
        <f t="shared" si="216"/>
        <v>3152</v>
      </c>
      <c r="V683" s="7">
        <f t="shared" si="217"/>
        <v>3047</v>
      </c>
      <c r="W683" s="7">
        <f t="shared" si="218"/>
        <v>3169</v>
      </c>
      <c r="X683" s="6"/>
      <c r="Y683" s="5"/>
      <c r="Z683" s="5"/>
      <c r="AA683" s="5"/>
      <c r="AB683" s="5"/>
    </row>
    <row r="684" spans="1:28" ht="13.15" customHeight="1">
      <c r="A684" s="10">
        <f t="shared" si="202"/>
        <v>670</v>
      </c>
      <c r="B684" s="4">
        <f t="shared" si="211"/>
        <v>45713</v>
      </c>
      <c r="C684" s="10">
        <f t="shared" si="212"/>
        <v>842</v>
      </c>
      <c r="D684" s="9">
        <f t="shared" si="203"/>
        <v>2566</v>
      </c>
      <c r="E684" s="8">
        <f t="shared" si="204"/>
        <v>1529</v>
      </c>
      <c r="F684" s="8">
        <f t="shared" si="205"/>
        <v>1633</v>
      </c>
      <c r="G684" s="8">
        <f t="shared" si="206"/>
        <v>1451</v>
      </c>
      <c r="H684" s="5">
        <f t="shared" si="207"/>
        <v>1879</v>
      </c>
      <c r="I684" s="5">
        <f t="shared" si="208"/>
        <v>1775</v>
      </c>
      <c r="J684" s="5">
        <f t="shared" si="209"/>
        <v>1957</v>
      </c>
      <c r="K684" s="5">
        <f t="shared" ref="K684:K718" si="219">K683</f>
        <v>3000</v>
      </c>
      <c r="L684" s="5">
        <f t="shared" ref="L684:L718" si="220">L683</f>
        <v>3000</v>
      </c>
      <c r="M684" s="5">
        <f t="shared" ref="M684:M718" si="221">M683</f>
        <v>3000</v>
      </c>
      <c r="N684" s="5">
        <f t="shared" si="213"/>
        <v>-1121</v>
      </c>
      <c r="O684" s="5">
        <f t="shared" si="214"/>
        <v>-1225</v>
      </c>
      <c r="P684" s="5">
        <f t="shared" si="215"/>
        <v>-1043</v>
      </c>
      <c r="Q684" s="8">
        <v>3</v>
      </c>
      <c r="R684" s="8">
        <v>2</v>
      </c>
      <c r="S684" s="8">
        <v>2</v>
      </c>
      <c r="T684" s="6">
        <f t="shared" si="210"/>
        <v>363</v>
      </c>
      <c r="U684" s="7">
        <f t="shared" si="216"/>
        <v>3149</v>
      </c>
      <c r="V684" s="7">
        <f t="shared" si="217"/>
        <v>3045</v>
      </c>
      <c r="W684" s="7">
        <f t="shared" si="218"/>
        <v>3167</v>
      </c>
      <c r="X684" s="6"/>
      <c r="Y684" s="5"/>
      <c r="Z684" s="5"/>
      <c r="AA684" s="5"/>
      <c r="AB684" s="5"/>
    </row>
    <row r="685" spans="1:28" ht="13.15" customHeight="1">
      <c r="A685" s="10">
        <f t="shared" si="202"/>
        <v>671</v>
      </c>
      <c r="B685" s="4">
        <f t="shared" si="211"/>
        <v>45714</v>
      </c>
      <c r="C685" s="10">
        <f t="shared" si="212"/>
        <v>842</v>
      </c>
      <c r="D685" s="9">
        <f t="shared" si="203"/>
        <v>2568</v>
      </c>
      <c r="E685" s="8">
        <f t="shared" si="204"/>
        <v>1533</v>
      </c>
      <c r="F685" s="8">
        <f t="shared" si="205"/>
        <v>1637</v>
      </c>
      <c r="G685" s="8">
        <f t="shared" si="206"/>
        <v>1455</v>
      </c>
      <c r="H685" s="5">
        <f t="shared" si="207"/>
        <v>1877</v>
      </c>
      <c r="I685" s="5">
        <f t="shared" si="208"/>
        <v>1773</v>
      </c>
      <c r="J685" s="5">
        <f t="shared" si="209"/>
        <v>1955</v>
      </c>
      <c r="K685" s="5">
        <f t="shared" si="219"/>
        <v>3000</v>
      </c>
      <c r="L685" s="5">
        <f t="shared" si="220"/>
        <v>3000</v>
      </c>
      <c r="M685" s="5">
        <f t="shared" si="221"/>
        <v>3000</v>
      </c>
      <c r="N685" s="5">
        <f t="shared" si="213"/>
        <v>-1123</v>
      </c>
      <c r="O685" s="5">
        <f t="shared" si="214"/>
        <v>-1227</v>
      </c>
      <c r="P685" s="5">
        <f t="shared" si="215"/>
        <v>-1045</v>
      </c>
      <c r="Q685" s="8">
        <v>2</v>
      </c>
      <c r="R685" s="8">
        <v>2</v>
      </c>
      <c r="S685" s="8">
        <v>2</v>
      </c>
      <c r="T685" s="6">
        <f t="shared" si="210"/>
        <v>367</v>
      </c>
      <c r="U685" s="7">
        <f t="shared" si="216"/>
        <v>3147</v>
      </c>
      <c r="V685" s="7">
        <f t="shared" si="217"/>
        <v>3043</v>
      </c>
      <c r="W685" s="7">
        <f t="shared" si="218"/>
        <v>3165</v>
      </c>
      <c r="X685" s="6"/>
      <c r="Y685" s="5"/>
      <c r="Z685" s="5"/>
      <c r="AA685" s="5"/>
      <c r="AB685" s="5"/>
    </row>
    <row r="686" spans="1:28" ht="13.15" customHeight="1">
      <c r="A686" s="10">
        <f t="shared" si="202"/>
        <v>672</v>
      </c>
      <c r="B686" s="4">
        <f t="shared" si="211"/>
        <v>45715</v>
      </c>
      <c r="C686" s="10">
        <f t="shared" si="212"/>
        <v>842</v>
      </c>
      <c r="D686" s="9">
        <f t="shared" si="203"/>
        <v>2570</v>
      </c>
      <c r="E686" s="8">
        <f t="shared" si="204"/>
        <v>1537</v>
      </c>
      <c r="F686" s="8">
        <f t="shared" si="205"/>
        <v>1640</v>
      </c>
      <c r="G686" s="8">
        <f t="shared" si="206"/>
        <v>1460</v>
      </c>
      <c r="H686" s="5">
        <f t="shared" si="207"/>
        <v>1875</v>
      </c>
      <c r="I686" s="5">
        <f t="shared" si="208"/>
        <v>1772</v>
      </c>
      <c r="J686" s="5">
        <f t="shared" si="209"/>
        <v>1952</v>
      </c>
      <c r="K686" s="5">
        <f t="shared" si="219"/>
        <v>3000</v>
      </c>
      <c r="L686" s="5">
        <f t="shared" si="220"/>
        <v>3000</v>
      </c>
      <c r="M686" s="5">
        <f t="shared" si="221"/>
        <v>3000</v>
      </c>
      <c r="N686" s="5">
        <f t="shared" si="213"/>
        <v>-1125</v>
      </c>
      <c r="O686" s="5">
        <f t="shared" si="214"/>
        <v>-1228</v>
      </c>
      <c r="P686" s="5">
        <f t="shared" si="215"/>
        <v>-1048</v>
      </c>
      <c r="Q686" s="8">
        <v>2</v>
      </c>
      <c r="R686" s="8">
        <v>1</v>
      </c>
      <c r="S686" s="8">
        <v>3</v>
      </c>
      <c r="T686" s="6">
        <f t="shared" si="210"/>
        <v>370</v>
      </c>
      <c r="U686" s="7">
        <f t="shared" si="216"/>
        <v>3145</v>
      </c>
      <c r="V686" s="7">
        <f t="shared" si="217"/>
        <v>3042</v>
      </c>
      <c r="W686" s="7">
        <f t="shared" si="218"/>
        <v>3162</v>
      </c>
      <c r="X686" s="6"/>
      <c r="Y686" s="5"/>
      <c r="Z686" s="5"/>
      <c r="AA686" s="5"/>
      <c r="AB686" s="5"/>
    </row>
    <row r="687" spans="1:28" ht="13.15" customHeight="1">
      <c r="A687" s="10">
        <f t="shared" si="202"/>
        <v>673</v>
      </c>
      <c r="B687" s="4">
        <f t="shared" si="211"/>
        <v>45716</v>
      </c>
      <c r="C687" s="10">
        <f t="shared" si="212"/>
        <v>842</v>
      </c>
      <c r="D687" s="9">
        <f t="shared" si="203"/>
        <v>2572</v>
      </c>
      <c r="E687" s="8">
        <f t="shared" si="204"/>
        <v>1542</v>
      </c>
      <c r="F687" s="8">
        <f t="shared" si="205"/>
        <v>1644</v>
      </c>
      <c r="G687" s="8">
        <f t="shared" si="206"/>
        <v>1463</v>
      </c>
      <c r="H687" s="5">
        <f t="shared" si="207"/>
        <v>1872</v>
      </c>
      <c r="I687" s="5">
        <f t="shared" si="208"/>
        <v>1770</v>
      </c>
      <c r="J687" s="5">
        <f t="shared" si="209"/>
        <v>1951</v>
      </c>
      <c r="K687" s="5">
        <f t="shared" si="219"/>
        <v>3000</v>
      </c>
      <c r="L687" s="5">
        <f t="shared" si="220"/>
        <v>3000</v>
      </c>
      <c r="M687" s="5">
        <f t="shared" si="221"/>
        <v>3000</v>
      </c>
      <c r="N687" s="5">
        <f t="shared" si="213"/>
        <v>-1128</v>
      </c>
      <c r="O687" s="5">
        <f t="shared" si="214"/>
        <v>-1230</v>
      </c>
      <c r="P687" s="5">
        <f t="shared" si="215"/>
        <v>-1049</v>
      </c>
      <c r="Q687" s="8">
        <v>3</v>
      </c>
      <c r="R687" s="8">
        <v>2</v>
      </c>
      <c r="S687" s="8">
        <v>1</v>
      </c>
      <c r="T687" s="6">
        <f t="shared" si="210"/>
        <v>374</v>
      </c>
      <c r="U687" s="7">
        <f t="shared" si="216"/>
        <v>3142</v>
      </c>
      <c r="V687" s="7">
        <f t="shared" si="217"/>
        <v>3040</v>
      </c>
      <c r="W687" s="7">
        <f t="shared" si="218"/>
        <v>3161</v>
      </c>
      <c r="X687" s="6"/>
      <c r="Y687" s="5"/>
      <c r="Z687" s="5"/>
      <c r="AA687" s="5"/>
      <c r="AB687" s="5"/>
    </row>
    <row r="688" spans="1:28" ht="13.15" customHeight="1">
      <c r="A688" s="10">
        <f t="shared" si="202"/>
        <v>674</v>
      </c>
      <c r="B688" s="4">
        <f t="shared" si="211"/>
        <v>45717</v>
      </c>
      <c r="C688" s="10">
        <f t="shared" si="212"/>
        <v>842</v>
      </c>
      <c r="D688" s="9">
        <f t="shared" si="203"/>
        <v>2574</v>
      </c>
      <c r="E688" s="8">
        <f t="shared" si="204"/>
        <v>1548</v>
      </c>
      <c r="F688" s="8">
        <f t="shared" si="205"/>
        <v>1647</v>
      </c>
      <c r="G688" s="8">
        <f t="shared" si="206"/>
        <v>1467</v>
      </c>
      <c r="H688" s="5">
        <f t="shared" si="207"/>
        <v>1868</v>
      </c>
      <c r="I688" s="5">
        <f t="shared" si="208"/>
        <v>1769</v>
      </c>
      <c r="J688" s="5">
        <f t="shared" si="209"/>
        <v>1949</v>
      </c>
      <c r="K688" s="5">
        <f t="shared" si="219"/>
        <v>3000</v>
      </c>
      <c r="L688" s="5">
        <f t="shared" si="220"/>
        <v>3000</v>
      </c>
      <c r="M688" s="5">
        <f t="shared" si="221"/>
        <v>3000</v>
      </c>
      <c r="N688" s="5">
        <f t="shared" si="213"/>
        <v>-1132</v>
      </c>
      <c r="O688" s="5">
        <f t="shared" si="214"/>
        <v>-1231</v>
      </c>
      <c r="P688" s="5">
        <f t="shared" si="215"/>
        <v>-1051</v>
      </c>
      <c r="Q688" s="8">
        <v>4</v>
      </c>
      <c r="R688" s="8">
        <v>1</v>
      </c>
      <c r="S688" s="8">
        <v>2</v>
      </c>
      <c r="T688" s="6">
        <f t="shared" si="210"/>
        <v>377</v>
      </c>
      <c r="U688" s="7">
        <f t="shared" si="216"/>
        <v>3138</v>
      </c>
      <c r="V688" s="7">
        <f t="shared" si="217"/>
        <v>3039</v>
      </c>
      <c r="W688" s="7">
        <f t="shared" si="218"/>
        <v>3159</v>
      </c>
      <c r="X688" s="6"/>
      <c r="Y688" s="5"/>
      <c r="Z688" s="5"/>
      <c r="AA688" s="5"/>
      <c r="AB688" s="5"/>
    </row>
    <row r="689" spans="1:28" ht="13.15" customHeight="1">
      <c r="A689" s="10">
        <f t="shared" si="202"/>
        <v>675</v>
      </c>
      <c r="B689" s="4">
        <f t="shared" si="211"/>
        <v>45718</v>
      </c>
      <c r="C689" s="10">
        <f t="shared" si="212"/>
        <v>842</v>
      </c>
      <c r="D689" s="9">
        <f t="shared" si="203"/>
        <v>2576</v>
      </c>
      <c r="E689" s="8">
        <f t="shared" si="204"/>
        <v>1552</v>
      </c>
      <c r="F689" s="8">
        <f t="shared" si="205"/>
        <v>1650</v>
      </c>
      <c r="G689" s="8">
        <f t="shared" si="206"/>
        <v>1471</v>
      </c>
      <c r="H689" s="5">
        <f t="shared" si="207"/>
        <v>1866</v>
      </c>
      <c r="I689" s="5">
        <f t="shared" si="208"/>
        <v>1768</v>
      </c>
      <c r="J689" s="5">
        <f t="shared" si="209"/>
        <v>1947</v>
      </c>
      <c r="K689" s="5">
        <f t="shared" si="219"/>
        <v>3000</v>
      </c>
      <c r="L689" s="5">
        <f t="shared" si="220"/>
        <v>3000</v>
      </c>
      <c r="M689" s="5">
        <f t="shared" si="221"/>
        <v>3000</v>
      </c>
      <c r="N689" s="5">
        <f t="shared" si="213"/>
        <v>-1134</v>
      </c>
      <c r="O689" s="5">
        <f t="shared" si="214"/>
        <v>-1232</v>
      </c>
      <c r="P689" s="5">
        <f t="shared" si="215"/>
        <v>-1053</v>
      </c>
      <c r="Q689" s="8">
        <v>2</v>
      </c>
      <c r="R689" s="8">
        <v>1</v>
      </c>
      <c r="S689" s="8">
        <v>2</v>
      </c>
      <c r="T689" s="6">
        <f t="shared" si="210"/>
        <v>380</v>
      </c>
      <c r="U689" s="7">
        <f t="shared" si="216"/>
        <v>3136</v>
      </c>
      <c r="V689" s="7">
        <f t="shared" si="217"/>
        <v>3038</v>
      </c>
      <c r="W689" s="7">
        <f t="shared" si="218"/>
        <v>3157</v>
      </c>
      <c r="X689" s="6"/>
      <c r="Y689" s="5"/>
      <c r="Z689" s="5"/>
      <c r="AA689" s="5"/>
      <c r="AB689" s="5"/>
    </row>
    <row r="690" spans="1:28" ht="13.15" customHeight="1">
      <c r="A690" s="10">
        <f t="shared" si="202"/>
        <v>676</v>
      </c>
      <c r="B690" s="4">
        <f t="shared" si="211"/>
        <v>45719</v>
      </c>
      <c r="C690" s="10">
        <f t="shared" si="212"/>
        <v>842</v>
      </c>
      <c r="D690" s="9">
        <f t="shared" si="203"/>
        <v>2578</v>
      </c>
      <c r="E690" s="8">
        <f t="shared" si="204"/>
        <v>1556</v>
      </c>
      <c r="F690" s="8">
        <f t="shared" si="205"/>
        <v>1654</v>
      </c>
      <c r="G690" s="8">
        <f t="shared" si="206"/>
        <v>1474</v>
      </c>
      <c r="H690" s="5">
        <f t="shared" si="207"/>
        <v>1864</v>
      </c>
      <c r="I690" s="5">
        <f t="shared" si="208"/>
        <v>1766</v>
      </c>
      <c r="J690" s="5">
        <f t="shared" si="209"/>
        <v>1946</v>
      </c>
      <c r="K690" s="5">
        <f t="shared" si="219"/>
        <v>3000</v>
      </c>
      <c r="L690" s="5">
        <f t="shared" si="220"/>
        <v>3000</v>
      </c>
      <c r="M690" s="5">
        <f t="shared" si="221"/>
        <v>3000</v>
      </c>
      <c r="N690" s="5">
        <f t="shared" si="213"/>
        <v>-1136</v>
      </c>
      <c r="O690" s="5">
        <f t="shared" si="214"/>
        <v>-1234</v>
      </c>
      <c r="P690" s="5">
        <f t="shared" si="215"/>
        <v>-1054</v>
      </c>
      <c r="Q690" s="8">
        <v>2</v>
      </c>
      <c r="R690" s="8">
        <v>2</v>
      </c>
      <c r="S690" s="8">
        <v>1</v>
      </c>
      <c r="T690" s="6">
        <f t="shared" si="210"/>
        <v>384</v>
      </c>
      <c r="U690" s="7">
        <f t="shared" si="216"/>
        <v>3134</v>
      </c>
      <c r="V690" s="7">
        <f t="shared" si="217"/>
        <v>3036</v>
      </c>
      <c r="W690" s="7">
        <f t="shared" si="218"/>
        <v>3156</v>
      </c>
      <c r="X690" s="6"/>
      <c r="Y690" s="5"/>
      <c r="Z690" s="5"/>
      <c r="AA690" s="5"/>
      <c r="AB690" s="5"/>
    </row>
    <row r="691" spans="1:28" ht="13.15" customHeight="1">
      <c r="A691" s="10">
        <f t="shared" si="202"/>
        <v>677</v>
      </c>
      <c r="B691" s="4">
        <f t="shared" si="211"/>
        <v>45720</v>
      </c>
      <c r="C691" s="10">
        <f t="shared" si="212"/>
        <v>842</v>
      </c>
      <c r="D691" s="9">
        <f t="shared" si="203"/>
        <v>2580</v>
      </c>
      <c r="E691" s="8">
        <f t="shared" si="204"/>
        <v>1559</v>
      </c>
      <c r="F691" s="8">
        <f t="shared" si="205"/>
        <v>1657</v>
      </c>
      <c r="G691" s="8">
        <f t="shared" si="206"/>
        <v>1478</v>
      </c>
      <c r="H691" s="5">
        <f t="shared" si="207"/>
        <v>1863</v>
      </c>
      <c r="I691" s="5">
        <f t="shared" si="208"/>
        <v>1765</v>
      </c>
      <c r="J691" s="5">
        <f t="shared" si="209"/>
        <v>1944</v>
      </c>
      <c r="K691" s="5">
        <f t="shared" si="219"/>
        <v>3000</v>
      </c>
      <c r="L691" s="5">
        <f t="shared" si="220"/>
        <v>3000</v>
      </c>
      <c r="M691" s="5">
        <f t="shared" si="221"/>
        <v>3000</v>
      </c>
      <c r="N691" s="5">
        <f t="shared" si="213"/>
        <v>-1137</v>
      </c>
      <c r="O691" s="5">
        <f t="shared" si="214"/>
        <v>-1235</v>
      </c>
      <c r="P691" s="5">
        <f t="shared" si="215"/>
        <v>-1056</v>
      </c>
      <c r="Q691" s="8">
        <v>1</v>
      </c>
      <c r="R691" s="8">
        <v>1</v>
      </c>
      <c r="S691" s="8">
        <v>2</v>
      </c>
      <c r="T691" s="6">
        <f t="shared" si="210"/>
        <v>387</v>
      </c>
      <c r="U691" s="7">
        <f t="shared" si="216"/>
        <v>3133</v>
      </c>
      <c r="V691" s="7">
        <f t="shared" si="217"/>
        <v>3035</v>
      </c>
      <c r="W691" s="7">
        <f t="shared" si="218"/>
        <v>3154</v>
      </c>
      <c r="X691" s="6"/>
      <c r="Y691" s="5"/>
      <c r="Z691" s="5"/>
      <c r="AA691" s="5"/>
      <c r="AB691" s="5"/>
    </row>
    <row r="692" spans="1:28" ht="13.15" customHeight="1">
      <c r="A692" s="10">
        <f t="shared" si="202"/>
        <v>678</v>
      </c>
      <c r="B692" s="4">
        <f t="shared" si="211"/>
        <v>45721</v>
      </c>
      <c r="C692" s="10">
        <f t="shared" si="212"/>
        <v>842</v>
      </c>
      <c r="D692" s="9">
        <f t="shared" si="203"/>
        <v>2582</v>
      </c>
      <c r="E692" s="8">
        <f t="shared" si="204"/>
        <v>1563</v>
      </c>
      <c r="F692" s="8">
        <f t="shared" si="205"/>
        <v>1660</v>
      </c>
      <c r="G692" s="8">
        <f t="shared" si="206"/>
        <v>1481</v>
      </c>
      <c r="H692" s="5">
        <f t="shared" si="207"/>
        <v>1861</v>
      </c>
      <c r="I692" s="5">
        <f t="shared" si="208"/>
        <v>1764</v>
      </c>
      <c r="J692" s="5">
        <f t="shared" si="209"/>
        <v>1943</v>
      </c>
      <c r="K692" s="5">
        <f t="shared" si="219"/>
        <v>3000</v>
      </c>
      <c r="L692" s="5">
        <f t="shared" si="220"/>
        <v>3000</v>
      </c>
      <c r="M692" s="5">
        <f t="shared" si="221"/>
        <v>3000</v>
      </c>
      <c r="N692" s="5">
        <f t="shared" si="213"/>
        <v>-1139</v>
      </c>
      <c r="O692" s="5">
        <f t="shared" si="214"/>
        <v>-1236</v>
      </c>
      <c r="P692" s="5">
        <f t="shared" si="215"/>
        <v>-1057</v>
      </c>
      <c r="Q692" s="8">
        <v>2</v>
      </c>
      <c r="R692" s="8">
        <v>1</v>
      </c>
      <c r="S692" s="8">
        <v>1</v>
      </c>
      <c r="T692" s="6">
        <f t="shared" si="210"/>
        <v>390</v>
      </c>
      <c r="U692" s="7">
        <f t="shared" si="216"/>
        <v>3131</v>
      </c>
      <c r="V692" s="7">
        <f t="shared" si="217"/>
        <v>3034</v>
      </c>
      <c r="W692" s="7">
        <f t="shared" si="218"/>
        <v>3153</v>
      </c>
      <c r="X692" s="6"/>
      <c r="Y692" s="5"/>
      <c r="Z692" s="5"/>
      <c r="AA692" s="5"/>
      <c r="AB692" s="5"/>
    </row>
    <row r="693" spans="1:28" ht="13.15" customHeight="1">
      <c r="A693" s="10">
        <f t="shared" si="202"/>
        <v>679</v>
      </c>
      <c r="B693" s="4">
        <f t="shared" si="211"/>
        <v>45722</v>
      </c>
      <c r="C693" s="10">
        <f t="shared" si="212"/>
        <v>842</v>
      </c>
      <c r="D693" s="9">
        <f t="shared" si="203"/>
        <v>2584</v>
      </c>
      <c r="E693" s="8">
        <f t="shared" si="204"/>
        <v>1566</v>
      </c>
      <c r="F693" s="8">
        <f t="shared" si="205"/>
        <v>1665</v>
      </c>
      <c r="G693" s="8">
        <f t="shared" si="206"/>
        <v>1484</v>
      </c>
      <c r="H693" s="5">
        <f t="shared" si="207"/>
        <v>1860</v>
      </c>
      <c r="I693" s="5">
        <f t="shared" si="208"/>
        <v>1761</v>
      </c>
      <c r="J693" s="5">
        <f t="shared" si="209"/>
        <v>1942</v>
      </c>
      <c r="K693" s="5">
        <f t="shared" si="219"/>
        <v>3000</v>
      </c>
      <c r="L693" s="5">
        <f t="shared" si="220"/>
        <v>3000</v>
      </c>
      <c r="M693" s="5">
        <f t="shared" si="221"/>
        <v>3000</v>
      </c>
      <c r="N693" s="5">
        <f t="shared" si="213"/>
        <v>-1140</v>
      </c>
      <c r="O693" s="5">
        <f t="shared" si="214"/>
        <v>-1239</v>
      </c>
      <c r="P693" s="5">
        <f t="shared" si="215"/>
        <v>-1058</v>
      </c>
      <c r="Q693" s="8">
        <v>1</v>
      </c>
      <c r="R693" s="8">
        <v>3</v>
      </c>
      <c r="S693" s="8">
        <v>1</v>
      </c>
      <c r="T693" s="6">
        <f t="shared" si="210"/>
        <v>395</v>
      </c>
      <c r="U693" s="7">
        <f t="shared" si="216"/>
        <v>3130</v>
      </c>
      <c r="V693" s="7">
        <f t="shared" si="217"/>
        <v>3031</v>
      </c>
      <c r="W693" s="7">
        <f t="shared" si="218"/>
        <v>3152</v>
      </c>
      <c r="X693" s="6"/>
      <c r="Y693" s="5"/>
      <c r="Z693" s="5"/>
      <c r="AA693" s="5"/>
      <c r="AB693" s="5"/>
    </row>
    <row r="694" spans="1:28" ht="13.15" customHeight="1">
      <c r="A694" s="10">
        <f t="shared" si="202"/>
        <v>680</v>
      </c>
      <c r="B694" s="4">
        <f t="shared" si="211"/>
        <v>45723</v>
      </c>
      <c r="C694" s="10">
        <f t="shared" si="212"/>
        <v>842</v>
      </c>
      <c r="D694" s="9">
        <f t="shared" si="203"/>
        <v>2586</v>
      </c>
      <c r="E694" s="8">
        <f t="shared" si="204"/>
        <v>1569</v>
      </c>
      <c r="F694" s="8">
        <f t="shared" si="205"/>
        <v>1668</v>
      </c>
      <c r="G694" s="8">
        <f t="shared" si="206"/>
        <v>1488</v>
      </c>
      <c r="H694" s="5">
        <f t="shared" si="207"/>
        <v>1859</v>
      </c>
      <c r="I694" s="5">
        <f t="shared" si="208"/>
        <v>1760</v>
      </c>
      <c r="J694" s="5">
        <f t="shared" si="209"/>
        <v>1940</v>
      </c>
      <c r="K694" s="5">
        <f t="shared" si="219"/>
        <v>3000</v>
      </c>
      <c r="L694" s="5">
        <f t="shared" si="220"/>
        <v>3000</v>
      </c>
      <c r="M694" s="5">
        <f t="shared" si="221"/>
        <v>3000</v>
      </c>
      <c r="N694" s="5">
        <f t="shared" si="213"/>
        <v>-1141</v>
      </c>
      <c r="O694" s="5">
        <f t="shared" si="214"/>
        <v>-1240</v>
      </c>
      <c r="P694" s="5">
        <f t="shared" si="215"/>
        <v>-1060</v>
      </c>
      <c r="Q694" s="8">
        <v>1</v>
      </c>
      <c r="R694" s="8">
        <v>1</v>
      </c>
      <c r="S694" s="8">
        <v>2</v>
      </c>
      <c r="T694" s="6">
        <f t="shared" si="210"/>
        <v>398</v>
      </c>
      <c r="U694" s="7">
        <f t="shared" si="216"/>
        <v>3129</v>
      </c>
      <c r="V694" s="7">
        <f t="shared" si="217"/>
        <v>3030</v>
      </c>
      <c r="W694" s="7">
        <f t="shared" si="218"/>
        <v>3150</v>
      </c>
      <c r="X694" s="6"/>
      <c r="Y694" s="5"/>
      <c r="Z694" s="5"/>
      <c r="AA694" s="5"/>
      <c r="AB694" s="5"/>
    </row>
    <row r="695" spans="1:28" ht="13.15" customHeight="1">
      <c r="A695" s="10">
        <f t="shared" si="202"/>
        <v>681</v>
      </c>
      <c r="B695" s="4">
        <f t="shared" si="211"/>
        <v>45724</v>
      </c>
      <c r="C695" s="10">
        <f t="shared" si="212"/>
        <v>842</v>
      </c>
      <c r="D695" s="9">
        <f t="shared" si="203"/>
        <v>2588</v>
      </c>
      <c r="E695" s="8">
        <f t="shared" si="204"/>
        <v>1573</v>
      </c>
      <c r="F695" s="8">
        <f t="shared" si="205"/>
        <v>1671</v>
      </c>
      <c r="G695" s="8">
        <f t="shared" si="206"/>
        <v>1491</v>
      </c>
      <c r="H695" s="5">
        <f t="shared" si="207"/>
        <v>1857</v>
      </c>
      <c r="I695" s="5">
        <f t="shared" si="208"/>
        <v>1759</v>
      </c>
      <c r="J695" s="5">
        <f t="shared" si="209"/>
        <v>1939</v>
      </c>
      <c r="K695" s="5">
        <f t="shared" si="219"/>
        <v>3000</v>
      </c>
      <c r="L695" s="5">
        <f t="shared" si="220"/>
        <v>3000</v>
      </c>
      <c r="M695" s="5">
        <f t="shared" si="221"/>
        <v>3000</v>
      </c>
      <c r="N695" s="5">
        <f t="shared" si="213"/>
        <v>-1143</v>
      </c>
      <c r="O695" s="5">
        <f t="shared" si="214"/>
        <v>-1241</v>
      </c>
      <c r="P695" s="5">
        <f t="shared" si="215"/>
        <v>-1061</v>
      </c>
      <c r="Q695" s="8">
        <v>2</v>
      </c>
      <c r="R695" s="8">
        <v>1</v>
      </c>
      <c r="S695" s="8">
        <v>1</v>
      </c>
      <c r="T695" s="6">
        <f t="shared" si="210"/>
        <v>401</v>
      </c>
      <c r="U695" s="7">
        <f t="shared" si="216"/>
        <v>3127</v>
      </c>
      <c r="V695" s="7">
        <f t="shared" si="217"/>
        <v>3029</v>
      </c>
      <c r="W695" s="7">
        <f t="shared" si="218"/>
        <v>3149</v>
      </c>
      <c r="X695" s="6"/>
      <c r="Y695" s="5"/>
      <c r="Z695" s="5"/>
      <c r="AA695" s="5"/>
      <c r="AB695" s="5"/>
    </row>
    <row r="696" spans="1:28" ht="13.15" customHeight="1">
      <c r="A696" s="10">
        <f t="shared" si="202"/>
        <v>682</v>
      </c>
      <c r="B696" s="4">
        <f t="shared" si="211"/>
        <v>45725</v>
      </c>
      <c r="C696" s="10">
        <f t="shared" si="212"/>
        <v>842</v>
      </c>
      <c r="D696" s="9">
        <f t="shared" si="203"/>
        <v>2590</v>
      </c>
      <c r="E696" s="8">
        <f t="shared" si="204"/>
        <v>1576</v>
      </c>
      <c r="F696" s="8">
        <f t="shared" si="205"/>
        <v>1675</v>
      </c>
      <c r="G696" s="8">
        <f t="shared" si="206"/>
        <v>1494</v>
      </c>
      <c r="H696" s="5">
        <f t="shared" si="207"/>
        <v>1856</v>
      </c>
      <c r="I696" s="5">
        <f t="shared" si="208"/>
        <v>1757</v>
      </c>
      <c r="J696" s="5">
        <f t="shared" si="209"/>
        <v>1938</v>
      </c>
      <c r="K696" s="5">
        <f t="shared" si="219"/>
        <v>3000</v>
      </c>
      <c r="L696" s="5">
        <f t="shared" si="220"/>
        <v>3000</v>
      </c>
      <c r="M696" s="5">
        <f t="shared" si="221"/>
        <v>3000</v>
      </c>
      <c r="N696" s="5">
        <f t="shared" si="213"/>
        <v>-1144</v>
      </c>
      <c r="O696" s="5">
        <f t="shared" si="214"/>
        <v>-1243</v>
      </c>
      <c r="P696" s="5">
        <f t="shared" si="215"/>
        <v>-1062</v>
      </c>
      <c r="Q696" s="8">
        <v>1</v>
      </c>
      <c r="R696" s="8">
        <v>2</v>
      </c>
      <c r="S696" s="8">
        <v>1</v>
      </c>
      <c r="T696" s="6">
        <f t="shared" si="210"/>
        <v>405</v>
      </c>
      <c r="U696" s="7">
        <f t="shared" si="216"/>
        <v>3126</v>
      </c>
      <c r="V696" s="7">
        <f t="shared" si="217"/>
        <v>3027</v>
      </c>
      <c r="W696" s="7">
        <f t="shared" si="218"/>
        <v>3148</v>
      </c>
      <c r="X696" s="6"/>
      <c r="Y696" s="5"/>
      <c r="Z696" s="5"/>
      <c r="AA696" s="5"/>
      <c r="AB696" s="5"/>
    </row>
    <row r="697" spans="1:28" ht="13.15" customHeight="1">
      <c r="A697" s="10">
        <f t="shared" si="202"/>
        <v>683</v>
      </c>
      <c r="B697" s="4">
        <f t="shared" si="211"/>
        <v>45726</v>
      </c>
      <c r="C697" s="10">
        <f t="shared" si="212"/>
        <v>842</v>
      </c>
      <c r="D697" s="9">
        <f t="shared" si="203"/>
        <v>2592</v>
      </c>
      <c r="E697" s="8">
        <f t="shared" si="204"/>
        <v>1579</v>
      </c>
      <c r="F697" s="8">
        <f t="shared" si="205"/>
        <v>1678</v>
      </c>
      <c r="G697" s="8">
        <f t="shared" si="206"/>
        <v>1497</v>
      </c>
      <c r="H697" s="5">
        <f t="shared" si="207"/>
        <v>1855</v>
      </c>
      <c r="I697" s="5">
        <f t="shared" si="208"/>
        <v>1756</v>
      </c>
      <c r="J697" s="5">
        <f t="shared" si="209"/>
        <v>1937</v>
      </c>
      <c r="K697" s="5">
        <f t="shared" si="219"/>
        <v>3000</v>
      </c>
      <c r="L697" s="5">
        <f t="shared" si="220"/>
        <v>3000</v>
      </c>
      <c r="M697" s="5">
        <f t="shared" si="221"/>
        <v>3000</v>
      </c>
      <c r="N697" s="5">
        <f t="shared" si="213"/>
        <v>-1145</v>
      </c>
      <c r="O697" s="5">
        <f t="shared" si="214"/>
        <v>-1244</v>
      </c>
      <c r="P697" s="5">
        <f t="shared" si="215"/>
        <v>-1063</v>
      </c>
      <c r="Q697" s="8">
        <v>1</v>
      </c>
      <c r="R697" s="8">
        <v>1</v>
      </c>
      <c r="S697" s="8">
        <v>1</v>
      </c>
      <c r="T697" s="6">
        <f t="shared" si="210"/>
        <v>408</v>
      </c>
      <c r="U697" s="7">
        <f t="shared" si="216"/>
        <v>3125</v>
      </c>
      <c r="V697" s="7">
        <f t="shared" si="217"/>
        <v>3026</v>
      </c>
      <c r="W697" s="7">
        <f t="shared" si="218"/>
        <v>3147</v>
      </c>
      <c r="X697" s="6"/>
      <c r="Y697" s="5"/>
      <c r="Z697" s="5"/>
      <c r="AA697" s="5"/>
      <c r="AB697" s="5"/>
    </row>
    <row r="698" spans="1:28" ht="13.15" customHeight="1">
      <c r="A698" s="10">
        <f t="shared" ref="A698:A718" si="222">+A697+1</f>
        <v>684</v>
      </c>
      <c r="B698" s="4">
        <f t="shared" si="211"/>
        <v>45727</v>
      </c>
      <c r="C698" s="10">
        <f t="shared" si="212"/>
        <v>842</v>
      </c>
      <c r="D698" s="9">
        <f t="shared" si="203"/>
        <v>2594</v>
      </c>
      <c r="E698" s="8">
        <f t="shared" si="204"/>
        <v>1582</v>
      </c>
      <c r="F698" s="8">
        <f t="shared" si="205"/>
        <v>1682</v>
      </c>
      <c r="G698" s="8">
        <f t="shared" si="206"/>
        <v>1500</v>
      </c>
      <c r="H698" s="5">
        <f t="shared" si="207"/>
        <v>1854</v>
      </c>
      <c r="I698" s="5">
        <f t="shared" si="208"/>
        <v>1754</v>
      </c>
      <c r="J698" s="5">
        <f t="shared" si="209"/>
        <v>1936</v>
      </c>
      <c r="K698" s="5">
        <f t="shared" si="219"/>
        <v>3000</v>
      </c>
      <c r="L698" s="5">
        <f t="shared" si="220"/>
        <v>3000</v>
      </c>
      <c r="M698" s="5">
        <f t="shared" si="221"/>
        <v>3000</v>
      </c>
      <c r="N698" s="5">
        <f t="shared" si="213"/>
        <v>-1146</v>
      </c>
      <c r="O698" s="5">
        <f t="shared" si="214"/>
        <v>-1246</v>
      </c>
      <c r="P698" s="5">
        <f t="shared" si="215"/>
        <v>-1064</v>
      </c>
      <c r="Q698" s="8">
        <v>1</v>
      </c>
      <c r="R698" s="8">
        <v>2</v>
      </c>
      <c r="S698" s="8">
        <v>1</v>
      </c>
      <c r="T698" s="6">
        <f t="shared" si="210"/>
        <v>412</v>
      </c>
      <c r="U698" s="7">
        <f t="shared" si="216"/>
        <v>3124</v>
      </c>
      <c r="V698" s="7">
        <f t="shared" si="217"/>
        <v>3024</v>
      </c>
      <c r="W698" s="7">
        <f t="shared" si="218"/>
        <v>3146</v>
      </c>
      <c r="X698" s="6"/>
      <c r="Y698" s="5"/>
      <c r="Z698" s="5"/>
      <c r="AA698" s="5"/>
      <c r="AB698" s="5"/>
    </row>
    <row r="699" spans="1:28" ht="13.15" customHeight="1">
      <c r="A699" s="10">
        <f t="shared" si="222"/>
        <v>685</v>
      </c>
      <c r="B699" s="4">
        <f t="shared" si="211"/>
        <v>45728</v>
      </c>
      <c r="C699" s="10">
        <f t="shared" si="212"/>
        <v>842</v>
      </c>
      <c r="D699" s="9">
        <f t="shared" si="203"/>
        <v>2596</v>
      </c>
      <c r="E699" s="8">
        <f t="shared" si="204"/>
        <v>1586</v>
      </c>
      <c r="F699" s="8">
        <f t="shared" si="205"/>
        <v>1685</v>
      </c>
      <c r="G699" s="8">
        <f t="shared" si="206"/>
        <v>1503</v>
      </c>
      <c r="H699" s="5">
        <f t="shared" si="207"/>
        <v>1852</v>
      </c>
      <c r="I699" s="5">
        <f t="shared" si="208"/>
        <v>1753</v>
      </c>
      <c r="J699" s="5">
        <f t="shared" si="209"/>
        <v>1935</v>
      </c>
      <c r="K699" s="5">
        <f t="shared" si="219"/>
        <v>3000</v>
      </c>
      <c r="L699" s="5">
        <f t="shared" si="220"/>
        <v>3000</v>
      </c>
      <c r="M699" s="5">
        <f t="shared" si="221"/>
        <v>3000</v>
      </c>
      <c r="N699" s="5">
        <f t="shared" si="213"/>
        <v>-1148</v>
      </c>
      <c r="O699" s="5">
        <f t="shared" si="214"/>
        <v>-1247</v>
      </c>
      <c r="P699" s="5">
        <f t="shared" si="215"/>
        <v>-1065</v>
      </c>
      <c r="Q699" s="8">
        <v>2</v>
      </c>
      <c r="R699" s="8">
        <v>1</v>
      </c>
      <c r="S699" s="8">
        <v>1</v>
      </c>
      <c r="T699" s="6">
        <f t="shared" si="210"/>
        <v>415</v>
      </c>
      <c r="U699" s="7">
        <f t="shared" si="216"/>
        <v>3122</v>
      </c>
      <c r="V699" s="7">
        <f t="shared" si="217"/>
        <v>3023</v>
      </c>
      <c r="W699" s="7">
        <f t="shared" si="218"/>
        <v>3145</v>
      </c>
      <c r="X699" s="6"/>
      <c r="Y699" s="5"/>
      <c r="Z699" s="5"/>
      <c r="AA699" s="5"/>
      <c r="AB699" s="5"/>
    </row>
    <row r="700" spans="1:28" ht="13.15" customHeight="1">
      <c r="A700" s="10">
        <f t="shared" si="222"/>
        <v>686</v>
      </c>
      <c r="B700" s="4">
        <f t="shared" si="211"/>
        <v>45729</v>
      </c>
      <c r="C700" s="10">
        <f t="shared" si="212"/>
        <v>842</v>
      </c>
      <c r="D700" s="9">
        <f t="shared" si="203"/>
        <v>2598</v>
      </c>
      <c r="E700" s="8">
        <f t="shared" si="204"/>
        <v>1589</v>
      </c>
      <c r="F700" s="8">
        <f t="shared" si="205"/>
        <v>1689</v>
      </c>
      <c r="G700" s="8">
        <f t="shared" si="206"/>
        <v>1507</v>
      </c>
      <c r="H700" s="5">
        <f t="shared" si="207"/>
        <v>1851</v>
      </c>
      <c r="I700" s="5">
        <f t="shared" si="208"/>
        <v>1751</v>
      </c>
      <c r="J700" s="5">
        <f t="shared" si="209"/>
        <v>1933</v>
      </c>
      <c r="K700" s="5">
        <f t="shared" si="219"/>
        <v>3000</v>
      </c>
      <c r="L700" s="5">
        <f t="shared" si="220"/>
        <v>3000</v>
      </c>
      <c r="M700" s="5">
        <f t="shared" si="221"/>
        <v>3000</v>
      </c>
      <c r="N700" s="5">
        <f t="shared" si="213"/>
        <v>-1149</v>
      </c>
      <c r="O700" s="5">
        <f t="shared" si="214"/>
        <v>-1249</v>
      </c>
      <c r="P700" s="5">
        <f t="shared" si="215"/>
        <v>-1067</v>
      </c>
      <c r="Q700" s="8">
        <v>1</v>
      </c>
      <c r="R700" s="8">
        <v>2</v>
      </c>
      <c r="S700" s="8">
        <v>2</v>
      </c>
      <c r="T700" s="6">
        <f t="shared" si="210"/>
        <v>419</v>
      </c>
      <c r="U700" s="7">
        <f t="shared" si="216"/>
        <v>3121</v>
      </c>
      <c r="V700" s="7">
        <f t="shared" si="217"/>
        <v>3021</v>
      </c>
      <c r="W700" s="7">
        <f t="shared" si="218"/>
        <v>3143</v>
      </c>
      <c r="X700" s="6"/>
      <c r="Y700" s="5"/>
      <c r="Z700" s="5"/>
      <c r="AA700" s="5"/>
      <c r="AB700" s="5"/>
    </row>
    <row r="701" spans="1:28" ht="13.15" customHeight="1">
      <c r="A701" s="10">
        <f t="shared" si="222"/>
        <v>687</v>
      </c>
      <c r="B701" s="4">
        <f t="shared" si="211"/>
        <v>45730</v>
      </c>
      <c r="C701" s="10">
        <f t="shared" si="212"/>
        <v>842</v>
      </c>
      <c r="D701" s="9">
        <f t="shared" si="203"/>
        <v>2600</v>
      </c>
      <c r="E701" s="8">
        <f t="shared" si="204"/>
        <v>1593</v>
      </c>
      <c r="F701" s="8">
        <f t="shared" si="205"/>
        <v>1693</v>
      </c>
      <c r="G701" s="8">
        <f t="shared" si="206"/>
        <v>1510</v>
      </c>
      <c r="H701" s="5">
        <f t="shared" si="207"/>
        <v>1849</v>
      </c>
      <c r="I701" s="5">
        <f t="shared" si="208"/>
        <v>1749</v>
      </c>
      <c r="J701" s="5">
        <f t="shared" si="209"/>
        <v>1932</v>
      </c>
      <c r="K701" s="5">
        <f t="shared" si="219"/>
        <v>3000</v>
      </c>
      <c r="L701" s="5">
        <f t="shared" si="220"/>
        <v>3000</v>
      </c>
      <c r="M701" s="5">
        <f t="shared" si="221"/>
        <v>3000</v>
      </c>
      <c r="N701" s="5">
        <f t="shared" si="213"/>
        <v>-1151</v>
      </c>
      <c r="O701" s="5">
        <f t="shared" si="214"/>
        <v>-1251</v>
      </c>
      <c r="P701" s="5">
        <f t="shared" si="215"/>
        <v>-1068</v>
      </c>
      <c r="Q701" s="8">
        <v>2</v>
      </c>
      <c r="R701" s="8">
        <v>2</v>
      </c>
      <c r="S701" s="8">
        <v>1</v>
      </c>
      <c r="T701" s="6">
        <f t="shared" si="210"/>
        <v>423</v>
      </c>
      <c r="U701" s="7">
        <f t="shared" si="216"/>
        <v>3119</v>
      </c>
      <c r="V701" s="7">
        <f t="shared" si="217"/>
        <v>3019</v>
      </c>
      <c r="W701" s="7">
        <f t="shared" si="218"/>
        <v>3142</v>
      </c>
      <c r="X701" s="6"/>
      <c r="Y701" s="5"/>
      <c r="Z701" s="5"/>
      <c r="AA701" s="5"/>
      <c r="AB701" s="5"/>
    </row>
    <row r="702" spans="1:28" ht="13.15" customHeight="1">
      <c r="A702" s="10">
        <f t="shared" si="222"/>
        <v>688</v>
      </c>
      <c r="B702" s="4">
        <f t="shared" si="211"/>
        <v>45731</v>
      </c>
      <c r="C702" s="10">
        <f t="shared" si="212"/>
        <v>842</v>
      </c>
      <c r="D702" s="9">
        <f t="shared" si="203"/>
        <v>2602</v>
      </c>
      <c r="E702" s="8">
        <f t="shared" si="204"/>
        <v>1596</v>
      </c>
      <c r="F702" s="8">
        <f t="shared" si="205"/>
        <v>1697</v>
      </c>
      <c r="G702" s="8">
        <f t="shared" si="206"/>
        <v>1514</v>
      </c>
      <c r="H702" s="5">
        <f t="shared" si="207"/>
        <v>1848</v>
      </c>
      <c r="I702" s="5">
        <f t="shared" si="208"/>
        <v>1747</v>
      </c>
      <c r="J702" s="5">
        <f t="shared" si="209"/>
        <v>1930</v>
      </c>
      <c r="K702" s="5">
        <f t="shared" si="219"/>
        <v>3000</v>
      </c>
      <c r="L702" s="5">
        <f t="shared" si="220"/>
        <v>3000</v>
      </c>
      <c r="M702" s="5">
        <f t="shared" si="221"/>
        <v>3000</v>
      </c>
      <c r="N702" s="5">
        <f t="shared" si="213"/>
        <v>-1152</v>
      </c>
      <c r="O702" s="5">
        <f t="shared" si="214"/>
        <v>-1253</v>
      </c>
      <c r="P702" s="5">
        <f t="shared" si="215"/>
        <v>-1070</v>
      </c>
      <c r="Q702" s="8">
        <v>1</v>
      </c>
      <c r="R702" s="8">
        <v>2</v>
      </c>
      <c r="S702" s="8">
        <v>2</v>
      </c>
      <c r="T702" s="6">
        <f t="shared" si="210"/>
        <v>427</v>
      </c>
      <c r="U702" s="7">
        <f t="shared" si="216"/>
        <v>3118</v>
      </c>
      <c r="V702" s="7">
        <f t="shared" si="217"/>
        <v>3017</v>
      </c>
      <c r="W702" s="7">
        <f t="shared" si="218"/>
        <v>3140</v>
      </c>
      <c r="X702" s="6"/>
      <c r="Y702" s="5"/>
      <c r="Z702" s="5"/>
      <c r="AA702" s="5"/>
      <c r="AB702" s="5"/>
    </row>
    <row r="703" spans="1:28" ht="13.15" customHeight="1">
      <c r="A703" s="10">
        <f t="shared" si="222"/>
        <v>689</v>
      </c>
      <c r="B703" s="4">
        <f t="shared" si="211"/>
        <v>45732</v>
      </c>
      <c r="C703" s="10">
        <f t="shared" si="212"/>
        <v>842</v>
      </c>
      <c r="D703" s="9">
        <f t="shared" ref="D703:D718" si="223">D702+2</f>
        <v>2604</v>
      </c>
      <c r="E703" s="8">
        <f t="shared" si="204"/>
        <v>1600</v>
      </c>
      <c r="F703" s="8">
        <f t="shared" si="205"/>
        <v>1701</v>
      </c>
      <c r="G703" s="8">
        <f t="shared" si="206"/>
        <v>1517</v>
      </c>
      <c r="H703" s="5">
        <f t="shared" si="207"/>
        <v>1846</v>
      </c>
      <c r="I703" s="5">
        <f t="shared" si="208"/>
        <v>1745</v>
      </c>
      <c r="J703" s="5">
        <f t="shared" si="209"/>
        <v>1929</v>
      </c>
      <c r="K703" s="5">
        <f t="shared" si="219"/>
        <v>3000</v>
      </c>
      <c r="L703" s="5">
        <f t="shared" si="220"/>
        <v>3000</v>
      </c>
      <c r="M703" s="5">
        <f t="shared" si="221"/>
        <v>3000</v>
      </c>
      <c r="N703" s="5">
        <f t="shared" si="213"/>
        <v>-1154</v>
      </c>
      <c r="O703" s="5">
        <f t="shared" si="214"/>
        <v>-1255</v>
      </c>
      <c r="P703" s="5">
        <f t="shared" si="215"/>
        <v>-1071</v>
      </c>
      <c r="Q703" s="8">
        <v>2</v>
      </c>
      <c r="R703" s="8">
        <v>2</v>
      </c>
      <c r="S703" s="8">
        <v>1</v>
      </c>
      <c r="T703" s="6">
        <f t="shared" si="210"/>
        <v>431</v>
      </c>
      <c r="U703" s="7">
        <f t="shared" si="216"/>
        <v>3116</v>
      </c>
      <c r="V703" s="7">
        <f t="shared" si="217"/>
        <v>3015</v>
      </c>
      <c r="W703" s="7">
        <f t="shared" si="218"/>
        <v>3139</v>
      </c>
      <c r="X703" s="6"/>
      <c r="Y703" s="5"/>
      <c r="Z703" s="5"/>
      <c r="AA703" s="5"/>
      <c r="AB703" s="5"/>
    </row>
    <row r="704" spans="1:28" ht="13.15" customHeight="1">
      <c r="A704" s="10">
        <f t="shared" si="222"/>
        <v>690</v>
      </c>
      <c r="B704" s="4">
        <f t="shared" si="211"/>
        <v>45733</v>
      </c>
      <c r="C704" s="10">
        <f t="shared" si="212"/>
        <v>842</v>
      </c>
      <c r="D704" s="9">
        <f t="shared" si="223"/>
        <v>2606</v>
      </c>
      <c r="E704" s="8">
        <f t="shared" si="204"/>
        <v>1603</v>
      </c>
      <c r="F704" s="8">
        <f t="shared" si="205"/>
        <v>1705</v>
      </c>
      <c r="G704" s="8">
        <f t="shared" si="206"/>
        <v>1521</v>
      </c>
      <c r="H704" s="5">
        <f t="shared" si="207"/>
        <v>1845</v>
      </c>
      <c r="I704" s="5">
        <f t="shared" si="208"/>
        <v>1743</v>
      </c>
      <c r="J704" s="5">
        <f t="shared" si="209"/>
        <v>1927</v>
      </c>
      <c r="K704" s="5">
        <f t="shared" si="219"/>
        <v>3000</v>
      </c>
      <c r="L704" s="5">
        <f t="shared" si="220"/>
        <v>3000</v>
      </c>
      <c r="M704" s="5">
        <f t="shared" si="221"/>
        <v>3000</v>
      </c>
      <c r="N704" s="5">
        <f t="shared" si="213"/>
        <v>-1155</v>
      </c>
      <c r="O704" s="5">
        <f t="shared" si="214"/>
        <v>-1257</v>
      </c>
      <c r="P704" s="5">
        <f t="shared" si="215"/>
        <v>-1073</v>
      </c>
      <c r="Q704" s="8">
        <v>1</v>
      </c>
      <c r="R704" s="8">
        <v>2</v>
      </c>
      <c r="S704" s="8">
        <v>2</v>
      </c>
      <c r="T704" s="6">
        <f t="shared" si="210"/>
        <v>435</v>
      </c>
      <c r="U704" s="7">
        <f t="shared" si="216"/>
        <v>3115</v>
      </c>
      <c r="V704" s="7">
        <f t="shared" si="217"/>
        <v>3013</v>
      </c>
      <c r="W704" s="7">
        <f t="shared" si="218"/>
        <v>3137</v>
      </c>
      <c r="X704" s="6"/>
      <c r="Y704" s="5"/>
      <c r="Z704" s="5"/>
      <c r="AA704" s="5"/>
      <c r="AB704" s="5"/>
    </row>
    <row r="705" spans="1:28" ht="13.15" customHeight="1">
      <c r="A705" s="10">
        <f t="shared" si="222"/>
        <v>691</v>
      </c>
      <c r="B705" s="4">
        <f t="shared" si="211"/>
        <v>45734</v>
      </c>
      <c r="C705" s="10">
        <f t="shared" si="212"/>
        <v>842</v>
      </c>
      <c r="D705" s="9">
        <f t="shared" si="223"/>
        <v>2608</v>
      </c>
      <c r="E705" s="8">
        <f t="shared" si="204"/>
        <v>1607</v>
      </c>
      <c r="F705" s="8">
        <f t="shared" si="205"/>
        <v>1709</v>
      </c>
      <c r="G705" s="8">
        <f t="shared" si="206"/>
        <v>1524</v>
      </c>
      <c r="H705" s="5">
        <f t="shared" si="207"/>
        <v>1843</v>
      </c>
      <c r="I705" s="5">
        <f t="shared" si="208"/>
        <v>1741</v>
      </c>
      <c r="J705" s="5">
        <f t="shared" si="209"/>
        <v>1926</v>
      </c>
      <c r="K705" s="5">
        <f t="shared" si="219"/>
        <v>3000</v>
      </c>
      <c r="L705" s="5">
        <f t="shared" si="220"/>
        <v>3000</v>
      </c>
      <c r="M705" s="5">
        <f t="shared" si="221"/>
        <v>3000</v>
      </c>
      <c r="N705" s="5">
        <f t="shared" si="213"/>
        <v>-1157</v>
      </c>
      <c r="O705" s="5">
        <f t="shared" si="214"/>
        <v>-1259</v>
      </c>
      <c r="P705" s="5">
        <f t="shared" si="215"/>
        <v>-1074</v>
      </c>
      <c r="Q705" s="8">
        <v>2</v>
      </c>
      <c r="R705" s="8">
        <v>2</v>
      </c>
      <c r="S705" s="8">
        <v>1</v>
      </c>
      <c r="T705" s="6">
        <f t="shared" si="210"/>
        <v>439</v>
      </c>
      <c r="U705" s="7">
        <f t="shared" si="216"/>
        <v>3113</v>
      </c>
      <c r="V705" s="7">
        <f t="shared" si="217"/>
        <v>3011</v>
      </c>
      <c r="W705" s="7">
        <f t="shared" si="218"/>
        <v>3136</v>
      </c>
      <c r="X705" s="6"/>
      <c r="Y705" s="5"/>
      <c r="Z705" s="5"/>
      <c r="AA705" s="5"/>
      <c r="AB705" s="5"/>
    </row>
    <row r="706" spans="1:28" ht="13.15" customHeight="1">
      <c r="A706" s="10">
        <f t="shared" si="222"/>
        <v>692</v>
      </c>
      <c r="B706" s="4">
        <f t="shared" si="211"/>
        <v>45735</v>
      </c>
      <c r="C706" s="10">
        <f t="shared" si="212"/>
        <v>842</v>
      </c>
      <c r="D706" s="9">
        <f t="shared" si="223"/>
        <v>2610</v>
      </c>
      <c r="E706" s="8">
        <f t="shared" si="204"/>
        <v>1611</v>
      </c>
      <c r="F706" s="8">
        <f t="shared" si="205"/>
        <v>1714</v>
      </c>
      <c r="G706" s="8">
        <f t="shared" si="206"/>
        <v>1528</v>
      </c>
      <c r="H706" s="5">
        <f t="shared" si="207"/>
        <v>1841</v>
      </c>
      <c r="I706" s="5">
        <f t="shared" si="208"/>
        <v>1738</v>
      </c>
      <c r="J706" s="5">
        <f t="shared" si="209"/>
        <v>1924</v>
      </c>
      <c r="K706" s="5">
        <f t="shared" si="219"/>
        <v>3000</v>
      </c>
      <c r="L706" s="5">
        <f t="shared" si="220"/>
        <v>3000</v>
      </c>
      <c r="M706" s="5">
        <f t="shared" si="221"/>
        <v>3000</v>
      </c>
      <c r="N706" s="5">
        <f t="shared" si="213"/>
        <v>-1159</v>
      </c>
      <c r="O706" s="5">
        <f t="shared" si="214"/>
        <v>-1262</v>
      </c>
      <c r="P706" s="5">
        <f t="shared" si="215"/>
        <v>-1076</v>
      </c>
      <c r="Q706" s="8">
        <v>2</v>
      </c>
      <c r="R706" s="8">
        <v>3</v>
      </c>
      <c r="S706" s="8">
        <v>2</v>
      </c>
      <c r="T706" s="6">
        <f t="shared" si="210"/>
        <v>444</v>
      </c>
      <c r="U706" s="7">
        <f t="shared" si="216"/>
        <v>3111</v>
      </c>
      <c r="V706" s="7">
        <f t="shared" si="217"/>
        <v>3008</v>
      </c>
      <c r="W706" s="7">
        <f t="shared" si="218"/>
        <v>3134</v>
      </c>
      <c r="X706" s="6"/>
      <c r="Y706" s="5"/>
      <c r="Z706" s="5"/>
      <c r="AA706" s="5"/>
      <c r="AB706" s="5"/>
    </row>
    <row r="707" spans="1:28" ht="13.15" customHeight="1">
      <c r="A707" s="10">
        <f t="shared" si="222"/>
        <v>693</v>
      </c>
      <c r="B707" s="4">
        <f t="shared" si="211"/>
        <v>45736</v>
      </c>
      <c r="C707" s="10">
        <f t="shared" si="212"/>
        <v>842</v>
      </c>
      <c r="D707" s="9">
        <f t="shared" si="223"/>
        <v>2612</v>
      </c>
      <c r="E707" s="8">
        <f t="shared" si="204"/>
        <v>1615</v>
      </c>
      <c r="F707" s="8">
        <f t="shared" si="205"/>
        <v>1717</v>
      </c>
      <c r="G707" s="8">
        <f t="shared" si="206"/>
        <v>1530</v>
      </c>
      <c r="H707" s="5">
        <f t="shared" si="207"/>
        <v>1839</v>
      </c>
      <c r="I707" s="5">
        <f t="shared" si="208"/>
        <v>1737</v>
      </c>
      <c r="J707" s="5">
        <f t="shared" si="209"/>
        <v>1924</v>
      </c>
      <c r="K707" s="5">
        <f t="shared" si="219"/>
        <v>3000</v>
      </c>
      <c r="L707" s="5">
        <f t="shared" si="220"/>
        <v>3000</v>
      </c>
      <c r="M707" s="5">
        <f t="shared" si="221"/>
        <v>3000</v>
      </c>
      <c r="N707" s="5">
        <f t="shared" si="213"/>
        <v>-1161</v>
      </c>
      <c r="O707" s="5">
        <f t="shared" si="214"/>
        <v>-1263</v>
      </c>
      <c r="P707" s="5">
        <f t="shared" si="215"/>
        <v>-1076</v>
      </c>
      <c r="Q707" s="8">
        <v>2</v>
      </c>
      <c r="R707" s="8">
        <v>1</v>
      </c>
      <c r="S707" s="8">
        <v>0</v>
      </c>
      <c r="T707" s="6">
        <f t="shared" si="210"/>
        <v>447</v>
      </c>
      <c r="U707" s="7">
        <f t="shared" si="216"/>
        <v>3109</v>
      </c>
      <c r="V707" s="7">
        <f t="shared" si="217"/>
        <v>3007</v>
      </c>
      <c r="W707" s="7">
        <f t="shared" si="218"/>
        <v>3134</v>
      </c>
      <c r="X707" s="6"/>
      <c r="Y707" s="5"/>
      <c r="Z707" s="5"/>
      <c r="AA707" s="5"/>
      <c r="AB707" s="5"/>
    </row>
    <row r="708" spans="1:28" ht="13.15" customHeight="1">
      <c r="A708" s="10">
        <f t="shared" si="222"/>
        <v>694</v>
      </c>
      <c r="B708" s="4">
        <f t="shared" si="211"/>
        <v>45737</v>
      </c>
      <c r="C708" s="10">
        <f t="shared" si="212"/>
        <v>842</v>
      </c>
      <c r="D708" s="9">
        <f t="shared" si="223"/>
        <v>2614</v>
      </c>
      <c r="E708" s="8">
        <f t="shared" si="204"/>
        <v>1618</v>
      </c>
      <c r="F708" s="8">
        <f t="shared" si="205"/>
        <v>1723</v>
      </c>
      <c r="G708" s="8">
        <f t="shared" si="206"/>
        <v>1534</v>
      </c>
      <c r="H708" s="5">
        <f t="shared" si="207"/>
        <v>1838</v>
      </c>
      <c r="I708" s="5">
        <f t="shared" si="208"/>
        <v>1733</v>
      </c>
      <c r="J708" s="5">
        <f t="shared" si="209"/>
        <v>1922</v>
      </c>
      <c r="K708" s="5">
        <f t="shared" si="219"/>
        <v>3000</v>
      </c>
      <c r="L708" s="5">
        <f t="shared" si="220"/>
        <v>3000</v>
      </c>
      <c r="M708" s="5">
        <f t="shared" si="221"/>
        <v>3000</v>
      </c>
      <c r="N708" s="5">
        <f t="shared" si="213"/>
        <v>-1162</v>
      </c>
      <c r="O708" s="5">
        <f t="shared" si="214"/>
        <v>-1267</v>
      </c>
      <c r="P708" s="5">
        <f t="shared" si="215"/>
        <v>-1078</v>
      </c>
      <c r="Q708" s="8">
        <v>1</v>
      </c>
      <c r="R708" s="8">
        <v>4</v>
      </c>
      <c r="S708" s="8">
        <v>2</v>
      </c>
      <c r="T708" s="6">
        <f t="shared" si="210"/>
        <v>453</v>
      </c>
      <c r="U708" s="7">
        <f t="shared" si="216"/>
        <v>3108</v>
      </c>
      <c r="V708" s="7">
        <f t="shared" si="217"/>
        <v>3003</v>
      </c>
      <c r="W708" s="7">
        <f t="shared" si="218"/>
        <v>3132</v>
      </c>
      <c r="X708" s="6"/>
      <c r="Y708" s="5"/>
      <c r="Z708" s="5"/>
      <c r="AA708" s="5"/>
      <c r="AB708" s="5"/>
    </row>
    <row r="709" spans="1:28" ht="13.15" customHeight="1">
      <c r="A709" s="10">
        <f t="shared" si="222"/>
        <v>695</v>
      </c>
      <c r="B709" s="4">
        <f t="shared" si="211"/>
        <v>45738</v>
      </c>
      <c r="C709" s="10">
        <f t="shared" si="212"/>
        <v>842</v>
      </c>
      <c r="D709" s="9">
        <f t="shared" si="223"/>
        <v>2616</v>
      </c>
      <c r="E709" s="8">
        <f t="shared" si="204"/>
        <v>1622</v>
      </c>
      <c r="F709" s="8">
        <f t="shared" si="205"/>
        <v>1729</v>
      </c>
      <c r="G709" s="8">
        <f t="shared" si="206"/>
        <v>1538</v>
      </c>
      <c r="H709" s="5">
        <f t="shared" si="207"/>
        <v>1836</v>
      </c>
      <c r="I709" s="5">
        <f t="shared" si="208"/>
        <v>1729</v>
      </c>
      <c r="J709" s="5">
        <f t="shared" si="209"/>
        <v>1920</v>
      </c>
      <c r="K709" s="5">
        <f t="shared" si="219"/>
        <v>3000</v>
      </c>
      <c r="L709" s="5">
        <f t="shared" si="220"/>
        <v>3000</v>
      </c>
      <c r="M709" s="5">
        <f t="shared" si="221"/>
        <v>3000</v>
      </c>
      <c r="N709" s="5">
        <f t="shared" si="213"/>
        <v>-1164</v>
      </c>
      <c r="O709" s="5">
        <f t="shared" si="214"/>
        <v>-1271</v>
      </c>
      <c r="P709" s="5">
        <f t="shared" si="215"/>
        <v>-1080</v>
      </c>
      <c r="Q709" s="8">
        <v>2</v>
      </c>
      <c r="R709" s="8">
        <v>4</v>
      </c>
      <c r="S709" s="8">
        <v>2</v>
      </c>
      <c r="T709" s="6">
        <f t="shared" si="210"/>
        <v>459</v>
      </c>
      <c r="U709" s="7">
        <f t="shared" si="216"/>
        <v>3106</v>
      </c>
      <c r="V709" s="7">
        <f t="shared" si="217"/>
        <v>2999</v>
      </c>
      <c r="W709" s="7">
        <f t="shared" si="218"/>
        <v>3130</v>
      </c>
      <c r="X709" s="6"/>
      <c r="Y709" s="5"/>
      <c r="Z709" s="5"/>
      <c r="AA709" s="5"/>
      <c r="AB709" s="5"/>
    </row>
    <row r="710" spans="1:28" ht="13.15" customHeight="1">
      <c r="A710" s="10">
        <f t="shared" si="222"/>
        <v>696</v>
      </c>
      <c r="B710" s="4">
        <f t="shared" si="211"/>
        <v>45739</v>
      </c>
      <c r="C710" s="10">
        <f t="shared" si="212"/>
        <v>842</v>
      </c>
      <c r="D710" s="9">
        <f t="shared" si="223"/>
        <v>2618</v>
      </c>
      <c r="E710" s="8">
        <f t="shared" si="204"/>
        <v>1625</v>
      </c>
      <c r="F710" s="8">
        <f t="shared" si="205"/>
        <v>1733</v>
      </c>
      <c r="G710" s="8">
        <f t="shared" si="206"/>
        <v>1542</v>
      </c>
      <c r="H710" s="5">
        <f t="shared" si="207"/>
        <v>1835</v>
      </c>
      <c r="I710" s="5">
        <f t="shared" si="208"/>
        <v>1727</v>
      </c>
      <c r="J710" s="5">
        <f t="shared" si="209"/>
        <v>1918</v>
      </c>
      <c r="K710" s="5">
        <f t="shared" si="219"/>
        <v>3000</v>
      </c>
      <c r="L710" s="5">
        <f t="shared" si="220"/>
        <v>3000</v>
      </c>
      <c r="M710" s="5">
        <f t="shared" si="221"/>
        <v>3000</v>
      </c>
      <c r="N710" s="5">
        <f t="shared" si="213"/>
        <v>-1165</v>
      </c>
      <c r="O710" s="5">
        <f t="shared" si="214"/>
        <v>-1273</v>
      </c>
      <c r="P710" s="5">
        <f t="shared" si="215"/>
        <v>-1082</v>
      </c>
      <c r="Q710" s="8">
        <v>1</v>
      </c>
      <c r="R710" s="8">
        <v>2</v>
      </c>
      <c r="S710" s="8">
        <v>2</v>
      </c>
      <c r="T710" s="6">
        <f t="shared" si="210"/>
        <v>463</v>
      </c>
      <c r="U710" s="7">
        <f t="shared" si="216"/>
        <v>3105</v>
      </c>
      <c r="V710" s="7">
        <f t="shared" si="217"/>
        <v>2997</v>
      </c>
      <c r="W710" s="7">
        <f t="shared" si="218"/>
        <v>3128</v>
      </c>
      <c r="X710" s="6"/>
      <c r="Y710" s="5"/>
      <c r="Z710" s="5"/>
      <c r="AA710" s="5"/>
      <c r="AB710" s="5"/>
    </row>
    <row r="711" spans="1:28" ht="13.15" customHeight="1">
      <c r="A711" s="10">
        <f t="shared" si="222"/>
        <v>697</v>
      </c>
      <c r="B711" s="4">
        <f t="shared" si="211"/>
        <v>45740</v>
      </c>
      <c r="C711" s="10">
        <f t="shared" si="212"/>
        <v>842</v>
      </c>
      <c r="D711" s="9">
        <f t="shared" si="223"/>
        <v>2620</v>
      </c>
      <c r="E711" s="8">
        <f t="shared" si="204"/>
        <v>1629</v>
      </c>
      <c r="F711" s="8">
        <f t="shared" si="205"/>
        <v>1738</v>
      </c>
      <c r="G711" s="8">
        <f t="shared" si="206"/>
        <v>1546</v>
      </c>
      <c r="H711" s="5">
        <f t="shared" si="207"/>
        <v>1833</v>
      </c>
      <c r="I711" s="5">
        <f t="shared" si="208"/>
        <v>1724</v>
      </c>
      <c r="J711" s="5">
        <f t="shared" si="209"/>
        <v>1916</v>
      </c>
      <c r="K711" s="5">
        <f t="shared" si="219"/>
        <v>3000</v>
      </c>
      <c r="L711" s="5">
        <f t="shared" si="220"/>
        <v>3000</v>
      </c>
      <c r="M711" s="5">
        <f t="shared" si="221"/>
        <v>3000</v>
      </c>
      <c r="N711" s="5">
        <f t="shared" si="213"/>
        <v>-1167</v>
      </c>
      <c r="O711" s="5">
        <f t="shared" si="214"/>
        <v>-1276</v>
      </c>
      <c r="P711" s="5">
        <f t="shared" si="215"/>
        <v>-1084</v>
      </c>
      <c r="Q711" s="8">
        <v>2</v>
      </c>
      <c r="R711" s="8">
        <v>3</v>
      </c>
      <c r="S711" s="8">
        <v>2</v>
      </c>
      <c r="T711" s="6">
        <f t="shared" si="210"/>
        <v>468</v>
      </c>
      <c r="U711" s="7">
        <f t="shared" si="216"/>
        <v>3103</v>
      </c>
      <c r="V711" s="7">
        <f t="shared" si="217"/>
        <v>2994</v>
      </c>
      <c r="W711" s="7">
        <f t="shared" si="218"/>
        <v>3126</v>
      </c>
      <c r="X711" s="6"/>
      <c r="Y711" s="5"/>
      <c r="Z711" s="5"/>
      <c r="AA711" s="5"/>
      <c r="AB711" s="5"/>
    </row>
    <row r="712" spans="1:28" ht="13.15" customHeight="1">
      <c r="A712" s="10">
        <f t="shared" si="222"/>
        <v>698</v>
      </c>
      <c r="B712" s="4">
        <f t="shared" si="211"/>
        <v>45741</v>
      </c>
      <c r="C712" s="10">
        <f t="shared" si="212"/>
        <v>842</v>
      </c>
      <c r="D712" s="9">
        <f t="shared" si="223"/>
        <v>2622</v>
      </c>
      <c r="E712" s="8">
        <f t="shared" si="204"/>
        <v>1633</v>
      </c>
      <c r="F712" s="8">
        <f t="shared" si="205"/>
        <v>1741</v>
      </c>
      <c r="G712" s="8">
        <f t="shared" si="206"/>
        <v>1549</v>
      </c>
      <c r="H712" s="5">
        <f t="shared" si="207"/>
        <v>1831</v>
      </c>
      <c r="I712" s="5">
        <f t="shared" si="208"/>
        <v>1723</v>
      </c>
      <c r="J712" s="5">
        <f t="shared" si="209"/>
        <v>1915</v>
      </c>
      <c r="K712" s="5">
        <f t="shared" si="219"/>
        <v>3000</v>
      </c>
      <c r="L712" s="5">
        <f t="shared" si="220"/>
        <v>3000</v>
      </c>
      <c r="M712" s="5">
        <f t="shared" si="221"/>
        <v>3000</v>
      </c>
      <c r="N712" s="5">
        <f t="shared" si="213"/>
        <v>-1169</v>
      </c>
      <c r="O712" s="5">
        <f t="shared" si="214"/>
        <v>-1277</v>
      </c>
      <c r="P712" s="5">
        <f t="shared" si="215"/>
        <v>-1085</v>
      </c>
      <c r="Q712" s="8">
        <v>2</v>
      </c>
      <c r="R712" s="8">
        <v>1</v>
      </c>
      <c r="S712" s="8">
        <v>1</v>
      </c>
      <c r="T712" s="6">
        <f t="shared" si="210"/>
        <v>471</v>
      </c>
      <c r="U712" s="7">
        <f t="shared" si="216"/>
        <v>3101</v>
      </c>
      <c r="V712" s="7">
        <f t="shared" si="217"/>
        <v>2993</v>
      </c>
      <c r="W712" s="7">
        <f t="shared" si="218"/>
        <v>3125</v>
      </c>
      <c r="X712" s="6"/>
      <c r="Y712" s="5"/>
      <c r="Z712" s="5"/>
      <c r="AA712" s="5"/>
      <c r="AB712" s="5"/>
    </row>
    <row r="713" spans="1:28" ht="13.15" customHeight="1">
      <c r="A713" s="10">
        <f t="shared" si="222"/>
        <v>699</v>
      </c>
      <c r="B713" s="4">
        <f t="shared" si="211"/>
        <v>45742</v>
      </c>
      <c r="C713" s="10">
        <f t="shared" si="212"/>
        <v>842</v>
      </c>
      <c r="D713" s="9">
        <f t="shared" si="223"/>
        <v>2624</v>
      </c>
      <c r="E713" s="8">
        <f t="shared" si="204"/>
        <v>1637</v>
      </c>
      <c r="F713" s="8">
        <f t="shared" si="205"/>
        <v>1745</v>
      </c>
      <c r="G713" s="8">
        <f t="shared" si="206"/>
        <v>1553</v>
      </c>
      <c r="H713" s="5">
        <f t="shared" si="207"/>
        <v>1829</v>
      </c>
      <c r="I713" s="5">
        <f t="shared" si="208"/>
        <v>1721</v>
      </c>
      <c r="J713" s="5">
        <f t="shared" si="209"/>
        <v>1913</v>
      </c>
      <c r="K713" s="5">
        <f t="shared" si="219"/>
        <v>3000</v>
      </c>
      <c r="L713" s="5">
        <f t="shared" si="220"/>
        <v>3000</v>
      </c>
      <c r="M713" s="5">
        <f t="shared" si="221"/>
        <v>3000</v>
      </c>
      <c r="N713" s="5">
        <f t="shared" si="213"/>
        <v>-1171</v>
      </c>
      <c r="O713" s="5">
        <f t="shared" si="214"/>
        <v>-1279</v>
      </c>
      <c r="P713" s="5">
        <f t="shared" si="215"/>
        <v>-1087</v>
      </c>
      <c r="Q713" s="8">
        <v>2</v>
      </c>
      <c r="R713" s="8">
        <v>2</v>
      </c>
      <c r="S713" s="8">
        <v>2</v>
      </c>
      <c r="T713" s="6">
        <f t="shared" si="210"/>
        <v>475</v>
      </c>
      <c r="U713" s="7">
        <f t="shared" si="216"/>
        <v>3099</v>
      </c>
      <c r="V713" s="7">
        <f t="shared" si="217"/>
        <v>2991</v>
      </c>
      <c r="W713" s="7">
        <f t="shared" si="218"/>
        <v>3123</v>
      </c>
      <c r="X713" s="6"/>
      <c r="Y713" s="5"/>
      <c r="Z713" s="5"/>
      <c r="AA713" s="5"/>
      <c r="AB713" s="5"/>
    </row>
    <row r="714" spans="1:28" ht="13.15" customHeight="1">
      <c r="A714" s="10">
        <f t="shared" si="222"/>
        <v>700</v>
      </c>
      <c r="B714" s="4">
        <f t="shared" si="211"/>
        <v>45743</v>
      </c>
      <c r="C714" s="10">
        <f t="shared" si="212"/>
        <v>842</v>
      </c>
      <c r="D714" s="9">
        <f t="shared" si="223"/>
        <v>2626</v>
      </c>
      <c r="E714" s="8">
        <f t="shared" si="204"/>
        <v>1641</v>
      </c>
      <c r="F714" s="8">
        <f t="shared" si="205"/>
        <v>1749</v>
      </c>
      <c r="G714" s="8">
        <f t="shared" si="206"/>
        <v>1556</v>
      </c>
      <c r="H714" s="5">
        <f t="shared" si="207"/>
        <v>1827</v>
      </c>
      <c r="I714" s="5">
        <f t="shared" si="208"/>
        <v>1719</v>
      </c>
      <c r="J714" s="5">
        <f t="shared" si="209"/>
        <v>1912</v>
      </c>
      <c r="K714" s="5">
        <f t="shared" si="219"/>
        <v>3000</v>
      </c>
      <c r="L714" s="5">
        <f t="shared" si="220"/>
        <v>3000</v>
      </c>
      <c r="M714" s="5">
        <f t="shared" si="221"/>
        <v>3000</v>
      </c>
      <c r="N714" s="5">
        <f t="shared" si="213"/>
        <v>-1173</v>
      </c>
      <c r="O714" s="5">
        <f t="shared" si="214"/>
        <v>-1281</v>
      </c>
      <c r="P714" s="5">
        <f t="shared" si="215"/>
        <v>-1088</v>
      </c>
      <c r="Q714" s="8">
        <v>2</v>
      </c>
      <c r="R714" s="8">
        <v>2</v>
      </c>
      <c r="S714" s="8">
        <v>1</v>
      </c>
      <c r="T714" s="6">
        <f t="shared" si="210"/>
        <v>479</v>
      </c>
      <c r="U714" s="7">
        <f t="shared" si="216"/>
        <v>3097</v>
      </c>
      <c r="V714" s="7">
        <f t="shared" si="217"/>
        <v>2989</v>
      </c>
      <c r="W714" s="7">
        <f t="shared" si="218"/>
        <v>3122</v>
      </c>
      <c r="X714" s="6"/>
      <c r="Y714" s="5"/>
      <c r="Z714" s="5"/>
      <c r="AA714" s="5"/>
      <c r="AB714" s="5"/>
    </row>
    <row r="715" spans="1:28" ht="13.15" customHeight="1">
      <c r="A715" s="10">
        <f t="shared" si="222"/>
        <v>701</v>
      </c>
      <c r="B715" s="4">
        <f t="shared" si="211"/>
        <v>45744</v>
      </c>
      <c r="C715" s="10">
        <f t="shared" si="212"/>
        <v>842</v>
      </c>
      <c r="D715" s="9">
        <f t="shared" si="223"/>
        <v>2628</v>
      </c>
      <c r="E715" s="8">
        <f t="shared" si="204"/>
        <v>1645</v>
      </c>
      <c r="F715" s="8">
        <f t="shared" si="205"/>
        <v>1752</v>
      </c>
      <c r="G715" s="8">
        <f t="shared" si="206"/>
        <v>1560</v>
      </c>
      <c r="H715" s="5">
        <f t="shared" si="207"/>
        <v>1825</v>
      </c>
      <c r="I715" s="5">
        <f t="shared" si="208"/>
        <v>1718</v>
      </c>
      <c r="J715" s="5">
        <f t="shared" si="209"/>
        <v>1910</v>
      </c>
      <c r="K715" s="5">
        <f t="shared" si="219"/>
        <v>3000</v>
      </c>
      <c r="L715" s="5">
        <f t="shared" si="220"/>
        <v>3000</v>
      </c>
      <c r="M715" s="5">
        <f t="shared" si="221"/>
        <v>3000</v>
      </c>
      <c r="N715" s="5">
        <f t="shared" si="213"/>
        <v>-1175</v>
      </c>
      <c r="O715" s="5">
        <f t="shared" si="214"/>
        <v>-1282</v>
      </c>
      <c r="P715" s="5">
        <f t="shared" si="215"/>
        <v>-1090</v>
      </c>
      <c r="Q715" s="8">
        <v>2</v>
      </c>
      <c r="R715" s="8">
        <v>1</v>
      </c>
      <c r="S715" s="8">
        <v>2</v>
      </c>
      <c r="T715" s="6">
        <f t="shared" si="210"/>
        <v>482</v>
      </c>
      <c r="U715" s="7">
        <f t="shared" si="216"/>
        <v>3095</v>
      </c>
      <c r="V715" s="7">
        <f t="shared" si="217"/>
        <v>2988</v>
      </c>
      <c r="W715" s="7">
        <f t="shared" si="218"/>
        <v>3120</v>
      </c>
      <c r="X715" s="6"/>
      <c r="Y715" s="5"/>
      <c r="Z715" s="5"/>
      <c r="AA715" s="5"/>
      <c r="AB715" s="5"/>
    </row>
    <row r="716" spans="1:28" ht="13.15" customHeight="1">
      <c r="A716" s="10">
        <f t="shared" si="222"/>
        <v>702</v>
      </c>
      <c r="B716" s="4">
        <f t="shared" si="211"/>
        <v>45745</v>
      </c>
      <c r="C716" s="10">
        <f t="shared" si="212"/>
        <v>842</v>
      </c>
      <c r="D716" s="9">
        <f t="shared" si="223"/>
        <v>2630</v>
      </c>
      <c r="E716" s="8">
        <f t="shared" si="204"/>
        <v>1649</v>
      </c>
      <c r="F716" s="8">
        <f t="shared" si="205"/>
        <v>1756</v>
      </c>
      <c r="G716" s="8">
        <f t="shared" si="206"/>
        <v>1564</v>
      </c>
      <c r="H716" s="5">
        <f t="shared" si="207"/>
        <v>1823</v>
      </c>
      <c r="I716" s="5">
        <f t="shared" si="208"/>
        <v>1716</v>
      </c>
      <c r="J716" s="5">
        <f t="shared" si="209"/>
        <v>1908</v>
      </c>
      <c r="K716" s="5">
        <f t="shared" si="219"/>
        <v>3000</v>
      </c>
      <c r="L716" s="5">
        <f t="shared" si="220"/>
        <v>3000</v>
      </c>
      <c r="M716" s="5">
        <f t="shared" si="221"/>
        <v>3000</v>
      </c>
      <c r="N716" s="5">
        <f t="shared" si="213"/>
        <v>-1177</v>
      </c>
      <c r="O716" s="5">
        <f t="shared" si="214"/>
        <v>-1284</v>
      </c>
      <c r="P716" s="5">
        <f t="shared" si="215"/>
        <v>-1092</v>
      </c>
      <c r="Q716" s="8">
        <v>2</v>
      </c>
      <c r="R716" s="8">
        <v>2</v>
      </c>
      <c r="S716" s="8">
        <v>2</v>
      </c>
      <c r="T716" s="6">
        <f t="shared" si="210"/>
        <v>486</v>
      </c>
      <c r="U716" s="7">
        <f t="shared" si="216"/>
        <v>3093</v>
      </c>
      <c r="V716" s="7">
        <f t="shared" si="217"/>
        <v>2986</v>
      </c>
      <c r="W716" s="7">
        <f t="shared" si="218"/>
        <v>3118</v>
      </c>
      <c r="X716" s="6"/>
      <c r="Y716" s="5"/>
      <c r="Z716" s="5"/>
      <c r="AA716" s="5"/>
      <c r="AB716" s="5"/>
    </row>
    <row r="717" spans="1:28" ht="13.15" customHeight="1">
      <c r="A717" s="10">
        <f t="shared" si="222"/>
        <v>703</v>
      </c>
      <c r="B717" s="4">
        <f t="shared" si="211"/>
        <v>45746</v>
      </c>
      <c r="C717" s="10">
        <f t="shared" si="212"/>
        <v>842</v>
      </c>
      <c r="D717" s="9">
        <f t="shared" si="223"/>
        <v>2632</v>
      </c>
      <c r="E717" s="8">
        <f t="shared" si="204"/>
        <v>1654</v>
      </c>
      <c r="F717" s="8">
        <f t="shared" si="205"/>
        <v>1759</v>
      </c>
      <c r="G717" s="8">
        <f t="shared" si="206"/>
        <v>1567</v>
      </c>
      <c r="H717" s="5">
        <f t="shared" si="207"/>
        <v>1820</v>
      </c>
      <c r="I717" s="5">
        <f t="shared" si="208"/>
        <v>1715</v>
      </c>
      <c r="J717" s="5">
        <f t="shared" si="209"/>
        <v>1907</v>
      </c>
      <c r="K717" s="5">
        <f t="shared" si="219"/>
        <v>3000</v>
      </c>
      <c r="L717" s="5">
        <f t="shared" si="220"/>
        <v>3000</v>
      </c>
      <c r="M717" s="5">
        <f t="shared" si="221"/>
        <v>3000</v>
      </c>
      <c r="N717" s="5">
        <f t="shared" si="213"/>
        <v>-1180</v>
      </c>
      <c r="O717" s="5">
        <f t="shared" si="214"/>
        <v>-1285</v>
      </c>
      <c r="P717" s="5">
        <f t="shared" si="215"/>
        <v>-1093</v>
      </c>
      <c r="Q717" s="8">
        <v>3</v>
      </c>
      <c r="R717" s="8">
        <v>1</v>
      </c>
      <c r="S717" s="8">
        <v>1</v>
      </c>
      <c r="T717" s="6">
        <f t="shared" si="210"/>
        <v>489</v>
      </c>
      <c r="U717" s="7">
        <f t="shared" si="216"/>
        <v>3090</v>
      </c>
      <c r="V717" s="7">
        <f t="shared" si="217"/>
        <v>2985</v>
      </c>
      <c r="W717" s="7">
        <f t="shared" si="218"/>
        <v>3117</v>
      </c>
      <c r="X717" s="6"/>
      <c r="Y717" s="5"/>
      <c r="Z717" s="5"/>
      <c r="AA717" s="5"/>
      <c r="AB717" s="5"/>
    </row>
    <row r="718" spans="1:28" ht="13.15" customHeight="1">
      <c r="A718" s="10">
        <f t="shared" si="222"/>
        <v>704</v>
      </c>
      <c r="B718" s="4">
        <f t="shared" si="211"/>
        <v>45747</v>
      </c>
      <c r="C718" s="10">
        <f t="shared" si="212"/>
        <v>842</v>
      </c>
      <c r="D718" s="9">
        <f t="shared" si="223"/>
        <v>2634</v>
      </c>
      <c r="E718" s="8">
        <f t="shared" ref="E718" si="224">C718+D718-H718</f>
        <v>1657</v>
      </c>
      <c r="F718" s="8">
        <f t="shared" si="205"/>
        <v>1762</v>
      </c>
      <c r="G718" s="8">
        <f t="shared" si="206"/>
        <v>1571</v>
      </c>
      <c r="H718" s="5">
        <f t="shared" si="207"/>
        <v>1819</v>
      </c>
      <c r="I718" s="5">
        <f t="shared" si="208"/>
        <v>1714</v>
      </c>
      <c r="J718" s="5">
        <f t="shared" si="209"/>
        <v>1905</v>
      </c>
      <c r="K718" s="5">
        <f t="shared" si="219"/>
        <v>3000</v>
      </c>
      <c r="L718" s="5">
        <f t="shared" si="220"/>
        <v>3000</v>
      </c>
      <c r="M718" s="5">
        <f t="shared" si="221"/>
        <v>3000</v>
      </c>
      <c r="N718" s="5">
        <f t="shared" si="213"/>
        <v>-1181</v>
      </c>
      <c r="O718" s="5">
        <f t="shared" si="214"/>
        <v>-1286</v>
      </c>
      <c r="P718" s="5">
        <f t="shared" si="215"/>
        <v>-1095</v>
      </c>
      <c r="Q718" s="8">
        <v>1</v>
      </c>
      <c r="R718" s="8">
        <v>1</v>
      </c>
      <c r="S718" s="8">
        <v>2</v>
      </c>
      <c r="T718" s="6">
        <f t="shared" si="210"/>
        <v>492</v>
      </c>
      <c r="U718" s="7">
        <f t="shared" si="216"/>
        <v>3089</v>
      </c>
      <c r="V718" s="7">
        <f t="shared" si="217"/>
        <v>2984</v>
      </c>
      <c r="W718" s="7">
        <f t="shared" si="218"/>
        <v>3115</v>
      </c>
      <c r="X718" s="6"/>
      <c r="Y718" s="5"/>
      <c r="Z718" s="5"/>
      <c r="AA718" s="5"/>
      <c r="AB718" s="5"/>
    </row>
    <row r="719" spans="1:28" ht="13.15" customHeight="1">
      <c r="A719" s="10">
        <f t="shared" ref="A719:A774" si="225">+A718+1</f>
        <v>705</v>
      </c>
      <c r="B719" s="4">
        <f t="shared" ref="B719:B759" si="226">B718+1</f>
        <v>45748</v>
      </c>
      <c r="C719" s="10">
        <f t="shared" ref="C719:C774" si="227">C718</f>
        <v>842</v>
      </c>
      <c r="D719" s="9">
        <f t="shared" ref="D719:D774" si="228">D718+2</f>
        <v>2636</v>
      </c>
      <c r="E719" s="8">
        <f t="shared" ref="E719:E773" si="229">C719+D719-H719</f>
        <v>1659</v>
      </c>
      <c r="F719" s="8">
        <f t="shared" ref="F719:F773" si="230">C719+D719-I719</f>
        <v>1770</v>
      </c>
      <c r="G719" s="8">
        <f t="shared" ref="G719:G773" si="231">D719+C719-J719</f>
        <v>1573</v>
      </c>
      <c r="H719" s="5">
        <f t="shared" ref="H719:H773" si="232">K719+N719</f>
        <v>1819</v>
      </c>
      <c r="I719" s="5">
        <f t="shared" ref="I719:I773" si="233">L719+O719</f>
        <v>1708</v>
      </c>
      <c r="J719" s="5">
        <f t="shared" ref="J719:J773" si="234">M719+P719</f>
        <v>1905</v>
      </c>
      <c r="K719" s="5">
        <f t="shared" ref="K719:K774" si="235">K718</f>
        <v>3000</v>
      </c>
      <c r="L719" s="5">
        <f t="shared" ref="L719:L774" si="236">L718</f>
        <v>3000</v>
      </c>
      <c r="M719" s="5">
        <f t="shared" ref="M719:M774" si="237">M718</f>
        <v>3000</v>
      </c>
      <c r="N719" s="5">
        <f t="shared" ref="N719:N773" si="238">N718-Q719</f>
        <v>-1181</v>
      </c>
      <c r="O719" s="5">
        <f t="shared" ref="O719:O773" si="239">O718-R719</f>
        <v>-1292</v>
      </c>
      <c r="P719" s="5">
        <f t="shared" ref="P719:P773" si="240">P718-S719</f>
        <v>-1095</v>
      </c>
      <c r="Q719" s="8">
        <v>0</v>
      </c>
      <c r="R719" s="8">
        <v>6</v>
      </c>
      <c r="S719" s="8">
        <v>0</v>
      </c>
      <c r="T719" s="6">
        <f t="shared" ref="T719:T773" si="241">D719+C719-V719</f>
        <v>500</v>
      </c>
      <c r="U719" s="7">
        <f t="shared" ref="U719:U773" si="242">U718+$X719*1000-Q719</f>
        <v>3089</v>
      </c>
      <c r="V719" s="7">
        <f t="shared" ref="V719:V773" si="243">V718+$X719*1000-R719</f>
        <v>2978</v>
      </c>
      <c r="W719" s="7">
        <f t="shared" ref="W719:W773" si="244">W718+$X719*1000-S719</f>
        <v>3115</v>
      </c>
      <c r="X719" s="6"/>
      <c r="Y719" s="5"/>
      <c r="Z719" s="5"/>
      <c r="AA719" s="5"/>
      <c r="AB719" s="5"/>
    </row>
    <row r="720" spans="1:28" ht="13.15" customHeight="1">
      <c r="A720" s="10">
        <f t="shared" si="225"/>
        <v>706</v>
      </c>
      <c r="B720" s="4">
        <f t="shared" si="226"/>
        <v>45749</v>
      </c>
      <c r="C720" s="10">
        <f t="shared" si="227"/>
        <v>842</v>
      </c>
      <c r="D720" s="9">
        <f t="shared" si="228"/>
        <v>2638</v>
      </c>
      <c r="E720" s="8">
        <f t="shared" si="229"/>
        <v>1661</v>
      </c>
      <c r="F720" s="8">
        <f t="shared" si="230"/>
        <v>1775</v>
      </c>
      <c r="G720" s="8">
        <f t="shared" si="231"/>
        <v>1575</v>
      </c>
      <c r="H720" s="5">
        <f t="shared" si="232"/>
        <v>1819</v>
      </c>
      <c r="I720" s="5">
        <f t="shared" si="233"/>
        <v>1705</v>
      </c>
      <c r="J720" s="5">
        <f t="shared" si="234"/>
        <v>1905</v>
      </c>
      <c r="K720" s="5">
        <f t="shared" si="235"/>
        <v>3000</v>
      </c>
      <c r="L720" s="5">
        <f t="shared" si="236"/>
        <v>3000</v>
      </c>
      <c r="M720" s="5">
        <f t="shared" si="237"/>
        <v>3000</v>
      </c>
      <c r="N720" s="5">
        <f t="shared" si="238"/>
        <v>-1181</v>
      </c>
      <c r="O720" s="5">
        <f t="shared" si="239"/>
        <v>-1295</v>
      </c>
      <c r="P720" s="5">
        <f t="shared" si="240"/>
        <v>-1095</v>
      </c>
      <c r="Q720" s="8">
        <v>0</v>
      </c>
      <c r="R720" s="8">
        <v>3</v>
      </c>
      <c r="S720" s="8">
        <v>0</v>
      </c>
      <c r="T720" s="6">
        <f t="shared" si="241"/>
        <v>505</v>
      </c>
      <c r="U720" s="7">
        <f t="shared" si="242"/>
        <v>3089</v>
      </c>
      <c r="V720" s="7">
        <f t="shared" si="243"/>
        <v>2975</v>
      </c>
      <c r="W720" s="7">
        <f t="shared" si="244"/>
        <v>3115</v>
      </c>
      <c r="X720" s="6"/>
      <c r="Y720" s="5"/>
      <c r="Z720" s="5"/>
      <c r="AA720" s="5"/>
      <c r="AB720" s="5"/>
    </row>
    <row r="721" spans="1:28" ht="13.15" customHeight="1">
      <c r="A721" s="10">
        <f t="shared" si="225"/>
        <v>707</v>
      </c>
      <c r="B721" s="4">
        <f t="shared" si="226"/>
        <v>45750</v>
      </c>
      <c r="C721" s="10">
        <f t="shared" si="227"/>
        <v>842</v>
      </c>
      <c r="D721" s="9">
        <f t="shared" si="228"/>
        <v>2640</v>
      </c>
      <c r="E721" s="8">
        <f t="shared" si="229"/>
        <v>1663</v>
      </c>
      <c r="F721" s="8">
        <f t="shared" si="230"/>
        <v>1782</v>
      </c>
      <c r="G721" s="8">
        <f t="shared" si="231"/>
        <v>1577</v>
      </c>
      <c r="H721" s="5">
        <f t="shared" si="232"/>
        <v>1819</v>
      </c>
      <c r="I721" s="5">
        <f t="shared" si="233"/>
        <v>1700</v>
      </c>
      <c r="J721" s="5">
        <f t="shared" si="234"/>
        <v>1905</v>
      </c>
      <c r="K721" s="5">
        <f t="shared" si="235"/>
        <v>3000</v>
      </c>
      <c r="L721" s="5">
        <f t="shared" si="236"/>
        <v>3000</v>
      </c>
      <c r="M721" s="5">
        <f t="shared" si="237"/>
        <v>3000</v>
      </c>
      <c r="N721" s="5">
        <f t="shared" si="238"/>
        <v>-1181</v>
      </c>
      <c r="O721" s="5">
        <f t="shared" si="239"/>
        <v>-1300</v>
      </c>
      <c r="P721" s="5">
        <f t="shared" si="240"/>
        <v>-1095</v>
      </c>
      <c r="Q721" s="8">
        <v>0</v>
      </c>
      <c r="R721" s="8">
        <v>5</v>
      </c>
      <c r="S721" s="8">
        <v>0</v>
      </c>
      <c r="T721" s="6">
        <f t="shared" si="241"/>
        <v>512</v>
      </c>
      <c r="U721" s="7">
        <f t="shared" si="242"/>
        <v>3089</v>
      </c>
      <c r="V721" s="7">
        <f t="shared" si="243"/>
        <v>2970</v>
      </c>
      <c r="W721" s="7">
        <f t="shared" si="244"/>
        <v>3115</v>
      </c>
      <c r="X721" s="6"/>
      <c r="Y721" s="5"/>
      <c r="Z721" s="5"/>
      <c r="AA721" s="5"/>
      <c r="AB721" s="5"/>
    </row>
    <row r="722" spans="1:28" ht="13.15" customHeight="1">
      <c r="A722" s="10">
        <f t="shared" si="225"/>
        <v>708</v>
      </c>
      <c r="B722" s="4">
        <f t="shared" si="226"/>
        <v>45751</v>
      </c>
      <c r="C722" s="10">
        <f t="shared" si="227"/>
        <v>842</v>
      </c>
      <c r="D722" s="9">
        <f t="shared" si="228"/>
        <v>2642</v>
      </c>
      <c r="E722" s="8">
        <f t="shared" si="229"/>
        <v>1665</v>
      </c>
      <c r="F722" s="8">
        <f t="shared" si="230"/>
        <v>1786</v>
      </c>
      <c r="G722" s="8">
        <f t="shared" si="231"/>
        <v>1579</v>
      </c>
      <c r="H722" s="5">
        <f t="shared" si="232"/>
        <v>1819</v>
      </c>
      <c r="I722" s="5">
        <f t="shared" si="233"/>
        <v>1698</v>
      </c>
      <c r="J722" s="5">
        <f t="shared" si="234"/>
        <v>1905</v>
      </c>
      <c r="K722" s="5">
        <f t="shared" si="235"/>
        <v>3000</v>
      </c>
      <c r="L722" s="5">
        <f t="shared" si="236"/>
        <v>3000</v>
      </c>
      <c r="M722" s="5">
        <f t="shared" si="237"/>
        <v>3000</v>
      </c>
      <c r="N722" s="5">
        <f t="shared" si="238"/>
        <v>-1181</v>
      </c>
      <c r="O722" s="5">
        <f t="shared" si="239"/>
        <v>-1302</v>
      </c>
      <c r="P722" s="5">
        <f t="shared" si="240"/>
        <v>-1095</v>
      </c>
      <c r="Q722" s="8">
        <v>0</v>
      </c>
      <c r="R722" s="8">
        <v>2</v>
      </c>
      <c r="S722" s="8">
        <v>0</v>
      </c>
      <c r="T722" s="6">
        <f t="shared" si="241"/>
        <v>516</v>
      </c>
      <c r="U722" s="7">
        <f t="shared" si="242"/>
        <v>3089</v>
      </c>
      <c r="V722" s="7">
        <f t="shared" si="243"/>
        <v>2968</v>
      </c>
      <c r="W722" s="7">
        <f t="shared" si="244"/>
        <v>3115</v>
      </c>
      <c r="X722" s="6"/>
      <c r="Y722" s="5"/>
      <c r="Z722" s="5"/>
      <c r="AA722" s="5"/>
      <c r="AB722" s="5"/>
    </row>
    <row r="723" spans="1:28" ht="13.15" customHeight="1">
      <c r="A723" s="10">
        <f t="shared" si="225"/>
        <v>709</v>
      </c>
      <c r="B723" s="4">
        <f t="shared" si="226"/>
        <v>45752</v>
      </c>
      <c r="C723" s="10">
        <f t="shared" si="227"/>
        <v>842</v>
      </c>
      <c r="D723" s="9">
        <f t="shared" si="228"/>
        <v>2644</v>
      </c>
      <c r="E723" s="8">
        <f t="shared" si="229"/>
        <v>1667</v>
      </c>
      <c r="F723" s="8">
        <f t="shared" si="230"/>
        <v>1792</v>
      </c>
      <c r="G723" s="8">
        <f t="shared" si="231"/>
        <v>1581</v>
      </c>
      <c r="H723" s="5">
        <f t="shared" si="232"/>
        <v>1819</v>
      </c>
      <c r="I723" s="5">
        <f t="shared" si="233"/>
        <v>1694</v>
      </c>
      <c r="J723" s="5">
        <f t="shared" si="234"/>
        <v>1905</v>
      </c>
      <c r="K723" s="5">
        <f t="shared" si="235"/>
        <v>3000</v>
      </c>
      <c r="L723" s="5">
        <f t="shared" si="236"/>
        <v>3000</v>
      </c>
      <c r="M723" s="5">
        <f t="shared" si="237"/>
        <v>3000</v>
      </c>
      <c r="N723" s="5">
        <f t="shared" si="238"/>
        <v>-1181</v>
      </c>
      <c r="O723" s="5">
        <f t="shared" si="239"/>
        <v>-1306</v>
      </c>
      <c r="P723" s="5">
        <f t="shared" si="240"/>
        <v>-1095</v>
      </c>
      <c r="Q723" s="8">
        <v>0</v>
      </c>
      <c r="R723" s="8">
        <v>4</v>
      </c>
      <c r="S723" s="8">
        <v>0</v>
      </c>
      <c r="T723" s="6">
        <f t="shared" si="241"/>
        <v>522</v>
      </c>
      <c r="U723" s="7">
        <f t="shared" si="242"/>
        <v>3089</v>
      </c>
      <c r="V723" s="7">
        <f t="shared" si="243"/>
        <v>2964</v>
      </c>
      <c r="W723" s="7">
        <f t="shared" si="244"/>
        <v>3115</v>
      </c>
      <c r="X723" s="6"/>
      <c r="Y723" s="5"/>
      <c r="Z723" s="5"/>
      <c r="AA723" s="5"/>
      <c r="AB723" s="5"/>
    </row>
    <row r="724" spans="1:28" ht="13.15" customHeight="1">
      <c r="A724" s="10">
        <f t="shared" si="225"/>
        <v>710</v>
      </c>
      <c r="B724" s="4">
        <f t="shared" si="226"/>
        <v>45753</v>
      </c>
      <c r="C724" s="10">
        <f t="shared" si="227"/>
        <v>842</v>
      </c>
      <c r="D724" s="9">
        <f t="shared" si="228"/>
        <v>2646</v>
      </c>
      <c r="E724" s="8">
        <f t="shared" si="229"/>
        <v>1669</v>
      </c>
      <c r="F724" s="8">
        <f t="shared" si="230"/>
        <v>1798</v>
      </c>
      <c r="G724" s="8">
        <f t="shared" si="231"/>
        <v>1583</v>
      </c>
      <c r="H724" s="5">
        <f t="shared" si="232"/>
        <v>1819</v>
      </c>
      <c r="I724" s="5">
        <f t="shared" si="233"/>
        <v>1690</v>
      </c>
      <c r="J724" s="5">
        <f t="shared" si="234"/>
        <v>1905</v>
      </c>
      <c r="K724" s="5">
        <f t="shared" si="235"/>
        <v>3000</v>
      </c>
      <c r="L724" s="5">
        <f t="shared" si="236"/>
        <v>3000</v>
      </c>
      <c r="M724" s="5">
        <f t="shared" si="237"/>
        <v>3000</v>
      </c>
      <c r="N724" s="5">
        <f t="shared" si="238"/>
        <v>-1181</v>
      </c>
      <c r="O724" s="5">
        <f t="shared" si="239"/>
        <v>-1310</v>
      </c>
      <c r="P724" s="5">
        <f t="shared" si="240"/>
        <v>-1095</v>
      </c>
      <c r="Q724" s="8">
        <v>0</v>
      </c>
      <c r="R724" s="8">
        <v>4</v>
      </c>
      <c r="S724" s="8">
        <v>0</v>
      </c>
      <c r="T724" s="6">
        <f t="shared" si="241"/>
        <v>528</v>
      </c>
      <c r="U724" s="7">
        <f t="shared" si="242"/>
        <v>3089</v>
      </c>
      <c r="V724" s="7">
        <f t="shared" si="243"/>
        <v>2960</v>
      </c>
      <c r="W724" s="7">
        <f t="shared" si="244"/>
        <v>3115</v>
      </c>
      <c r="X724" s="6"/>
      <c r="Y724" s="5"/>
      <c r="Z724" s="5"/>
      <c r="AA724" s="5"/>
      <c r="AB724" s="5"/>
    </row>
    <row r="725" spans="1:28" ht="13.15" customHeight="1">
      <c r="A725" s="10">
        <f t="shared" si="225"/>
        <v>711</v>
      </c>
      <c r="B725" s="4">
        <f t="shared" si="226"/>
        <v>45754</v>
      </c>
      <c r="C725" s="10">
        <f t="shared" si="227"/>
        <v>842</v>
      </c>
      <c r="D725" s="9">
        <f t="shared" si="228"/>
        <v>2648</v>
      </c>
      <c r="E725" s="8">
        <f t="shared" si="229"/>
        <v>1671</v>
      </c>
      <c r="F725" s="8">
        <f t="shared" si="230"/>
        <v>1806</v>
      </c>
      <c r="G725" s="8">
        <f t="shared" si="231"/>
        <v>1585</v>
      </c>
      <c r="H725" s="5">
        <f t="shared" si="232"/>
        <v>1819</v>
      </c>
      <c r="I725" s="5">
        <f t="shared" si="233"/>
        <v>1684</v>
      </c>
      <c r="J725" s="5">
        <f t="shared" si="234"/>
        <v>1905</v>
      </c>
      <c r="K725" s="5">
        <f t="shared" si="235"/>
        <v>3000</v>
      </c>
      <c r="L725" s="5">
        <f t="shared" si="236"/>
        <v>3000</v>
      </c>
      <c r="M725" s="5">
        <f t="shared" si="237"/>
        <v>3000</v>
      </c>
      <c r="N725" s="5">
        <f t="shared" si="238"/>
        <v>-1181</v>
      </c>
      <c r="O725" s="5">
        <f t="shared" si="239"/>
        <v>-1316</v>
      </c>
      <c r="P725" s="5">
        <f t="shared" si="240"/>
        <v>-1095</v>
      </c>
      <c r="Q725" s="8">
        <v>0</v>
      </c>
      <c r="R725" s="8">
        <v>6</v>
      </c>
      <c r="S725" s="8">
        <v>0</v>
      </c>
      <c r="T725" s="6">
        <f t="shared" si="241"/>
        <v>536</v>
      </c>
      <c r="U725" s="7">
        <f t="shared" si="242"/>
        <v>3089</v>
      </c>
      <c r="V725" s="7">
        <f t="shared" si="243"/>
        <v>2954</v>
      </c>
      <c r="W725" s="7">
        <f t="shared" si="244"/>
        <v>3115</v>
      </c>
      <c r="X725" s="6"/>
      <c r="Y725" s="5"/>
      <c r="Z725" s="5"/>
      <c r="AA725" s="5"/>
      <c r="AB725" s="5"/>
    </row>
    <row r="726" spans="1:28" ht="13.15" customHeight="1">
      <c r="A726" s="10">
        <f t="shared" si="225"/>
        <v>712</v>
      </c>
      <c r="B726" s="4">
        <f t="shared" si="226"/>
        <v>45755</v>
      </c>
      <c r="C726" s="10">
        <f t="shared" si="227"/>
        <v>842</v>
      </c>
      <c r="D726" s="9">
        <f t="shared" si="228"/>
        <v>2650</v>
      </c>
      <c r="E726" s="8">
        <f t="shared" si="229"/>
        <v>1673</v>
      </c>
      <c r="F726" s="8">
        <f t="shared" si="230"/>
        <v>1812</v>
      </c>
      <c r="G726" s="8">
        <f t="shared" si="231"/>
        <v>1587</v>
      </c>
      <c r="H726" s="5">
        <f t="shared" si="232"/>
        <v>1819</v>
      </c>
      <c r="I726" s="5">
        <f t="shared" si="233"/>
        <v>1680</v>
      </c>
      <c r="J726" s="5">
        <f t="shared" si="234"/>
        <v>1905</v>
      </c>
      <c r="K726" s="5">
        <f t="shared" si="235"/>
        <v>3000</v>
      </c>
      <c r="L726" s="5">
        <f t="shared" si="236"/>
        <v>3000</v>
      </c>
      <c r="M726" s="5">
        <f t="shared" si="237"/>
        <v>3000</v>
      </c>
      <c r="N726" s="5">
        <f t="shared" si="238"/>
        <v>-1181</v>
      </c>
      <c r="O726" s="5">
        <f t="shared" si="239"/>
        <v>-1320</v>
      </c>
      <c r="P726" s="5">
        <f t="shared" si="240"/>
        <v>-1095</v>
      </c>
      <c r="Q726" s="8">
        <v>0</v>
      </c>
      <c r="R726" s="8">
        <v>4</v>
      </c>
      <c r="S726" s="8">
        <v>0</v>
      </c>
      <c r="T726" s="6">
        <f t="shared" si="241"/>
        <v>542</v>
      </c>
      <c r="U726" s="7">
        <f t="shared" si="242"/>
        <v>3089</v>
      </c>
      <c r="V726" s="7">
        <f t="shared" si="243"/>
        <v>2950</v>
      </c>
      <c r="W726" s="7">
        <f t="shared" si="244"/>
        <v>3115</v>
      </c>
      <c r="X726" s="6"/>
      <c r="Y726" s="5"/>
      <c r="Z726" s="5"/>
      <c r="AA726" s="5"/>
      <c r="AB726" s="5"/>
    </row>
    <row r="727" spans="1:28" ht="13.15" customHeight="1">
      <c r="A727" s="10">
        <f t="shared" si="225"/>
        <v>713</v>
      </c>
      <c r="B727" s="4">
        <f t="shared" si="226"/>
        <v>45756</v>
      </c>
      <c r="C727" s="10">
        <f t="shared" si="227"/>
        <v>842</v>
      </c>
      <c r="D727" s="9">
        <f t="shared" si="228"/>
        <v>2652</v>
      </c>
      <c r="E727" s="8">
        <f t="shared" si="229"/>
        <v>1675</v>
      </c>
      <c r="F727" s="8">
        <f t="shared" si="230"/>
        <v>1817</v>
      </c>
      <c r="G727" s="8">
        <f t="shared" si="231"/>
        <v>1589</v>
      </c>
      <c r="H727" s="5">
        <f t="shared" si="232"/>
        <v>1819</v>
      </c>
      <c r="I727" s="5">
        <f t="shared" si="233"/>
        <v>1677</v>
      </c>
      <c r="J727" s="5">
        <f t="shared" si="234"/>
        <v>1905</v>
      </c>
      <c r="K727" s="5">
        <f t="shared" si="235"/>
        <v>3000</v>
      </c>
      <c r="L727" s="5">
        <f t="shared" si="236"/>
        <v>3000</v>
      </c>
      <c r="M727" s="5">
        <f t="shared" si="237"/>
        <v>3000</v>
      </c>
      <c r="N727" s="5">
        <f t="shared" si="238"/>
        <v>-1181</v>
      </c>
      <c r="O727" s="5">
        <f t="shared" si="239"/>
        <v>-1323</v>
      </c>
      <c r="P727" s="5">
        <f t="shared" si="240"/>
        <v>-1095</v>
      </c>
      <c r="Q727" s="8">
        <v>0</v>
      </c>
      <c r="R727" s="8">
        <v>3</v>
      </c>
      <c r="S727" s="8">
        <v>0</v>
      </c>
      <c r="T727" s="6">
        <f t="shared" si="241"/>
        <v>547</v>
      </c>
      <c r="U727" s="7">
        <f t="shared" si="242"/>
        <v>3089</v>
      </c>
      <c r="V727" s="7">
        <f t="shared" si="243"/>
        <v>2947</v>
      </c>
      <c r="W727" s="7">
        <f t="shared" si="244"/>
        <v>3115</v>
      </c>
      <c r="X727" s="6"/>
      <c r="Y727" s="5"/>
      <c r="Z727" s="5"/>
      <c r="AA727" s="5"/>
      <c r="AB727" s="5"/>
    </row>
    <row r="728" spans="1:28" ht="13.15" customHeight="1">
      <c r="A728" s="10">
        <f t="shared" si="225"/>
        <v>714</v>
      </c>
      <c r="B728" s="4">
        <f t="shared" si="226"/>
        <v>45757</v>
      </c>
      <c r="C728" s="10">
        <f t="shared" si="227"/>
        <v>842</v>
      </c>
      <c r="D728" s="9">
        <f t="shared" si="228"/>
        <v>2654</v>
      </c>
      <c r="E728" s="8">
        <f t="shared" si="229"/>
        <v>1677</v>
      </c>
      <c r="F728" s="8">
        <f t="shared" si="230"/>
        <v>1821</v>
      </c>
      <c r="G728" s="8">
        <f t="shared" si="231"/>
        <v>1591</v>
      </c>
      <c r="H728" s="5">
        <f t="shared" si="232"/>
        <v>1819</v>
      </c>
      <c r="I728" s="5">
        <f t="shared" si="233"/>
        <v>1675</v>
      </c>
      <c r="J728" s="5">
        <f t="shared" si="234"/>
        <v>1905</v>
      </c>
      <c r="K728" s="5">
        <f t="shared" si="235"/>
        <v>3000</v>
      </c>
      <c r="L728" s="5">
        <f t="shared" si="236"/>
        <v>3000</v>
      </c>
      <c r="M728" s="5">
        <f t="shared" si="237"/>
        <v>3000</v>
      </c>
      <c r="N728" s="5">
        <f t="shared" si="238"/>
        <v>-1181</v>
      </c>
      <c r="O728" s="5">
        <f t="shared" si="239"/>
        <v>-1325</v>
      </c>
      <c r="P728" s="5">
        <f t="shared" si="240"/>
        <v>-1095</v>
      </c>
      <c r="Q728" s="8">
        <v>0</v>
      </c>
      <c r="R728" s="8">
        <v>2</v>
      </c>
      <c r="S728" s="8">
        <v>0</v>
      </c>
      <c r="T728" s="6">
        <f t="shared" si="241"/>
        <v>551</v>
      </c>
      <c r="U728" s="7">
        <f t="shared" si="242"/>
        <v>3089</v>
      </c>
      <c r="V728" s="7">
        <f t="shared" si="243"/>
        <v>2945</v>
      </c>
      <c r="W728" s="7">
        <f t="shared" si="244"/>
        <v>3115</v>
      </c>
      <c r="X728" s="6"/>
      <c r="Y728" s="5"/>
      <c r="Z728" s="5"/>
      <c r="AA728" s="5"/>
      <c r="AB728" s="5"/>
    </row>
    <row r="729" spans="1:28" ht="13.15" customHeight="1">
      <c r="A729" s="10">
        <f t="shared" si="225"/>
        <v>715</v>
      </c>
      <c r="B729" s="4">
        <f t="shared" si="226"/>
        <v>45758</v>
      </c>
      <c r="C729" s="10">
        <f t="shared" si="227"/>
        <v>842</v>
      </c>
      <c r="D729" s="9">
        <f t="shared" si="228"/>
        <v>2656</v>
      </c>
      <c r="E729" s="8">
        <f t="shared" si="229"/>
        <v>1679</v>
      </c>
      <c r="F729" s="8">
        <f t="shared" si="230"/>
        <v>1828</v>
      </c>
      <c r="G729" s="8">
        <f t="shared" si="231"/>
        <v>1593</v>
      </c>
      <c r="H729" s="5">
        <f t="shared" si="232"/>
        <v>1819</v>
      </c>
      <c r="I729" s="5">
        <f t="shared" si="233"/>
        <v>1670</v>
      </c>
      <c r="J729" s="5">
        <f t="shared" si="234"/>
        <v>1905</v>
      </c>
      <c r="K729" s="5">
        <f t="shared" si="235"/>
        <v>3000</v>
      </c>
      <c r="L729" s="5">
        <f t="shared" si="236"/>
        <v>3000</v>
      </c>
      <c r="M729" s="5">
        <f t="shared" si="237"/>
        <v>3000</v>
      </c>
      <c r="N729" s="5">
        <f t="shared" si="238"/>
        <v>-1181</v>
      </c>
      <c r="O729" s="5">
        <f t="shared" si="239"/>
        <v>-1330</v>
      </c>
      <c r="P729" s="5">
        <f t="shared" si="240"/>
        <v>-1095</v>
      </c>
      <c r="Q729" s="8">
        <v>0</v>
      </c>
      <c r="R729" s="8">
        <v>5</v>
      </c>
      <c r="S729" s="8">
        <v>0</v>
      </c>
      <c r="T729" s="6">
        <f t="shared" si="241"/>
        <v>558</v>
      </c>
      <c r="U729" s="7">
        <f t="shared" si="242"/>
        <v>3089</v>
      </c>
      <c r="V729" s="7">
        <f t="shared" si="243"/>
        <v>2940</v>
      </c>
      <c r="W729" s="7">
        <f t="shared" si="244"/>
        <v>3115</v>
      </c>
      <c r="X729" s="6"/>
      <c r="Y729" s="5"/>
      <c r="Z729" s="5"/>
      <c r="AA729" s="5"/>
      <c r="AB729" s="5"/>
    </row>
    <row r="730" spans="1:28" ht="13.15" customHeight="1">
      <c r="A730" s="10">
        <f t="shared" si="225"/>
        <v>716</v>
      </c>
      <c r="B730" s="4">
        <f t="shared" si="226"/>
        <v>45759</v>
      </c>
      <c r="C730" s="10">
        <f t="shared" si="227"/>
        <v>842</v>
      </c>
      <c r="D730" s="9">
        <f t="shared" si="228"/>
        <v>2658</v>
      </c>
      <c r="E730" s="8">
        <f t="shared" si="229"/>
        <v>1681</v>
      </c>
      <c r="F730" s="8">
        <f t="shared" si="230"/>
        <v>1836</v>
      </c>
      <c r="G730" s="8">
        <f t="shared" si="231"/>
        <v>1595</v>
      </c>
      <c r="H730" s="5">
        <f t="shared" si="232"/>
        <v>1819</v>
      </c>
      <c r="I730" s="5">
        <f t="shared" si="233"/>
        <v>1664</v>
      </c>
      <c r="J730" s="5">
        <f t="shared" si="234"/>
        <v>1905</v>
      </c>
      <c r="K730" s="5">
        <f t="shared" si="235"/>
        <v>3000</v>
      </c>
      <c r="L730" s="5">
        <f t="shared" si="236"/>
        <v>3000</v>
      </c>
      <c r="M730" s="5">
        <f t="shared" si="237"/>
        <v>3000</v>
      </c>
      <c r="N730" s="5">
        <f t="shared" si="238"/>
        <v>-1181</v>
      </c>
      <c r="O730" s="5">
        <f t="shared" si="239"/>
        <v>-1336</v>
      </c>
      <c r="P730" s="5">
        <f t="shared" si="240"/>
        <v>-1095</v>
      </c>
      <c r="Q730" s="8">
        <v>0</v>
      </c>
      <c r="R730" s="8">
        <v>6</v>
      </c>
      <c r="S730" s="8">
        <v>0</v>
      </c>
      <c r="T730" s="6">
        <f t="shared" si="241"/>
        <v>366</v>
      </c>
      <c r="U730" s="7">
        <f t="shared" si="242"/>
        <v>3289</v>
      </c>
      <c r="V730" s="7">
        <f t="shared" si="243"/>
        <v>3134</v>
      </c>
      <c r="W730" s="7">
        <f t="shared" si="244"/>
        <v>3315</v>
      </c>
      <c r="X730" s="258">
        <v>0.2</v>
      </c>
      <c r="Y730" s="5"/>
      <c r="Z730" s="5"/>
      <c r="AA730" s="5"/>
      <c r="AB730" s="5" t="s">
        <v>76</v>
      </c>
    </row>
    <row r="731" spans="1:28" ht="13.15" customHeight="1">
      <c r="A731" s="10">
        <f t="shared" si="225"/>
        <v>717</v>
      </c>
      <c r="B731" s="4">
        <f t="shared" si="226"/>
        <v>45760</v>
      </c>
      <c r="C731" s="10">
        <f t="shared" si="227"/>
        <v>842</v>
      </c>
      <c r="D731" s="9">
        <f t="shared" si="228"/>
        <v>2660</v>
      </c>
      <c r="E731" s="8">
        <f t="shared" si="229"/>
        <v>1683</v>
      </c>
      <c r="F731" s="8">
        <f t="shared" si="230"/>
        <v>1841</v>
      </c>
      <c r="G731" s="8">
        <f t="shared" si="231"/>
        <v>1597</v>
      </c>
      <c r="H731" s="5">
        <f t="shared" si="232"/>
        <v>1819</v>
      </c>
      <c r="I731" s="5">
        <f t="shared" si="233"/>
        <v>1661</v>
      </c>
      <c r="J731" s="5">
        <f t="shared" si="234"/>
        <v>1905</v>
      </c>
      <c r="K731" s="5">
        <f t="shared" si="235"/>
        <v>3000</v>
      </c>
      <c r="L731" s="5">
        <f t="shared" si="236"/>
        <v>3000</v>
      </c>
      <c r="M731" s="5">
        <f t="shared" si="237"/>
        <v>3000</v>
      </c>
      <c r="N731" s="5">
        <f t="shared" si="238"/>
        <v>-1181</v>
      </c>
      <c r="O731" s="5">
        <f t="shared" si="239"/>
        <v>-1339</v>
      </c>
      <c r="P731" s="5">
        <f t="shared" si="240"/>
        <v>-1095</v>
      </c>
      <c r="Q731" s="8">
        <v>0</v>
      </c>
      <c r="R731" s="8">
        <v>3</v>
      </c>
      <c r="S731" s="8">
        <v>0</v>
      </c>
      <c r="T731" s="6">
        <f t="shared" si="241"/>
        <v>371</v>
      </c>
      <c r="U731" s="7">
        <f t="shared" si="242"/>
        <v>3289</v>
      </c>
      <c r="V731" s="7">
        <f t="shared" si="243"/>
        <v>3131</v>
      </c>
      <c r="W731" s="7">
        <f t="shared" si="244"/>
        <v>3315</v>
      </c>
      <c r="X731" s="6"/>
      <c r="Y731" s="5"/>
      <c r="Z731" s="5"/>
      <c r="AA731" s="5"/>
      <c r="AB731" s="5"/>
    </row>
    <row r="732" spans="1:28" ht="13.15" customHeight="1">
      <c r="A732" s="10">
        <f t="shared" si="225"/>
        <v>718</v>
      </c>
      <c r="B732" s="4">
        <f t="shared" si="226"/>
        <v>45761</v>
      </c>
      <c r="C732" s="10">
        <f t="shared" si="227"/>
        <v>842</v>
      </c>
      <c r="D732" s="9">
        <f t="shared" si="228"/>
        <v>2662</v>
      </c>
      <c r="E732" s="8">
        <f t="shared" si="229"/>
        <v>1685</v>
      </c>
      <c r="F732" s="8">
        <f t="shared" si="230"/>
        <v>1849</v>
      </c>
      <c r="G732" s="8">
        <f t="shared" si="231"/>
        <v>1599</v>
      </c>
      <c r="H732" s="5">
        <f t="shared" si="232"/>
        <v>1819</v>
      </c>
      <c r="I732" s="5">
        <f t="shared" si="233"/>
        <v>1655</v>
      </c>
      <c r="J732" s="5">
        <f t="shared" si="234"/>
        <v>1905</v>
      </c>
      <c r="K732" s="5">
        <f t="shared" si="235"/>
        <v>3000</v>
      </c>
      <c r="L732" s="5">
        <f t="shared" si="236"/>
        <v>3000</v>
      </c>
      <c r="M732" s="5">
        <f t="shared" si="237"/>
        <v>3000</v>
      </c>
      <c r="N732" s="5">
        <f t="shared" si="238"/>
        <v>-1181</v>
      </c>
      <c r="O732" s="5">
        <f t="shared" si="239"/>
        <v>-1345</v>
      </c>
      <c r="P732" s="5">
        <f t="shared" si="240"/>
        <v>-1095</v>
      </c>
      <c r="Q732" s="8">
        <v>0</v>
      </c>
      <c r="R732" s="8">
        <v>6</v>
      </c>
      <c r="S732" s="8">
        <v>0</v>
      </c>
      <c r="T732" s="6">
        <f t="shared" si="241"/>
        <v>379</v>
      </c>
      <c r="U732" s="7">
        <f t="shared" si="242"/>
        <v>3289</v>
      </c>
      <c r="V732" s="7">
        <f t="shared" si="243"/>
        <v>3125</v>
      </c>
      <c r="W732" s="7">
        <f t="shared" si="244"/>
        <v>3315</v>
      </c>
      <c r="X732" s="6"/>
      <c r="Y732" s="5"/>
      <c r="Z732" s="5"/>
      <c r="AA732" s="5"/>
      <c r="AB732" s="5"/>
    </row>
    <row r="733" spans="1:28" ht="13.15" customHeight="1">
      <c r="A733" s="10">
        <f t="shared" si="225"/>
        <v>719</v>
      </c>
      <c r="B733" s="4">
        <f t="shared" si="226"/>
        <v>45762</v>
      </c>
      <c r="C733" s="10">
        <f t="shared" si="227"/>
        <v>842</v>
      </c>
      <c r="D733" s="9">
        <f t="shared" si="228"/>
        <v>2664</v>
      </c>
      <c r="E733" s="8">
        <f t="shared" si="229"/>
        <v>1687</v>
      </c>
      <c r="F733" s="8">
        <f t="shared" si="230"/>
        <v>1854</v>
      </c>
      <c r="G733" s="8">
        <f t="shared" si="231"/>
        <v>1601</v>
      </c>
      <c r="H733" s="5">
        <f t="shared" si="232"/>
        <v>1819</v>
      </c>
      <c r="I733" s="5">
        <f t="shared" si="233"/>
        <v>1652</v>
      </c>
      <c r="J733" s="5">
        <f t="shared" si="234"/>
        <v>1905</v>
      </c>
      <c r="K733" s="5">
        <f t="shared" si="235"/>
        <v>3000</v>
      </c>
      <c r="L733" s="5">
        <f t="shared" si="236"/>
        <v>3000</v>
      </c>
      <c r="M733" s="5">
        <f t="shared" si="237"/>
        <v>3000</v>
      </c>
      <c r="N733" s="5">
        <f t="shared" si="238"/>
        <v>-1181</v>
      </c>
      <c r="O733" s="5">
        <f t="shared" si="239"/>
        <v>-1348</v>
      </c>
      <c r="P733" s="5">
        <f t="shared" si="240"/>
        <v>-1095</v>
      </c>
      <c r="Q733" s="8">
        <v>0</v>
      </c>
      <c r="R733" s="8">
        <v>3</v>
      </c>
      <c r="S733" s="8">
        <v>0</v>
      </c>
      <c r="T733" s="6">
        <f t="shared" si="241"/>
        <v>384</v>
      </c>
      <c r="U733" s="7">
        <f t="shared" si="242"/>
        <v>3289</v>
      </c>
      <c r="V733" s="7">
        <f t="shared" si="243"/>
        <v>3122</v>
      </c>
      <c r="W733" s="7">
        <f t="shared" si="244"/>
        <v>3315</v>
      </c>
      <c r="X733" s="6"/>
      <c r="Y733" s="5"/>
      <c r="Z733" s="5"/>
      <c r="AA733" s="5"/>
      <c r="AB733" s="5"/>
    </row>
    <row r="734" spans="1:28" ht="13.15" customHeight="1">
      <c r="A734" s="10">
        <f t="shared" si="225"/>
        <v>720</v>
      </c>
      <c r="B734" s="4">
        <f t="shared" si="226"/>
        <v>45763</v>
      </c>
      <c r="C734" s="10">
        <f t="shared" si="227"/>
        <v>842</v>
      </c>
      <c r="D734" s="9">
        <f t="shared" si="228"/>
        <v>2666</v>
      </c>
      <c r="E734" s="8">
        <f t="shared" si="229"/>
        <v>1689</v>
      </c>
      <c r="F734" s="8">
        <f t="shared" si="230"/>
        <v>1861</v>
      </c>
      <c r="G734" s="8">
        <f t="shared" si="231"/>
        <v>1603</v>
      </c>
      <c r="H734" s="5">
        <f t="shared" si="232"/>
        <v>1819</v>
      </c>
      <c r="I734" s="5">
        <f t="shared" si="233"/>
        <v>1647</v>
      </c>
      <c r="J734" s="5">
        <f t="shared" si="234"/>
        <v>1905</v>
      </c>
      <c r="K734" s="5">
        <f t="shared" si="235"/>
        <v>3000</v>
      </c>
      <c r="L734" s="5">
        <f t="shared" si="236"/>
        <v>3000</v>
      </c>
      <c r="M734" s="5">
        <f t="shared" si="237"/>
        <v>3000</v>
      </c>
      <c r="N734" s="5">
        <f t="shared" si="238"/>
        <v>-1181</v>
      </c>
      <c r="O734" s="5">
        <f t="shared" si="239"/>
        <v>-1353</v>
      </c>
      <c r="P734" s="5">
        <f t="shared" si="240"/>
        <v>-1095</v>
      </c>
      <c r="Q734" s="8">
        <v>0</v>
      </c>
      <c r="R734" s="8">
        <v>5</v>
      </c>
      <c r="S734" s="8">
        <v>0</v>
      </c>
      <c r="T734" s="6">
        <f t="shared" si="241"/>
        <v>391</v>
      </c>
      <c r="U734" s="7">
        <f t="shared" si="242"/>
        <v>3289</v>
      </c>
      <c r="V734" s="7">
        <f t="shared" si="243"/>
        <v>3117</v>
      </c>
      <c r="W734" s="7">
        <f t="shared" si="244"/>
        <v>3315</v>
      </c>
      <c r="X734" s="6"/>
      <c r="Y734" s="5"/>
      <c r="Z734" s="5"/>
      <c r="AA734" s="5"/>
      <c r="AB734" s="5"/>
    </row>
    <row r="735" spans="1:28" ht="13.15" customHeight="1">
      <c r="A735" s="10">
        <f t="shared" si="225"/>
        <v>721</v>
      </c>
      <c r="B735" s="4">
        <f t="shared" si="226"/>
        <v>45764</v>
      </c>
      <c r="C735" s="10">
        <f t="shared" si="227"/>
        <v>842</v>
      </c>
      <c r="D735" s="9">
        <f t="shared" si="228"/>
        <v>2668</v>
      </c>
      <c r="E735" s="8">
        <f t="shared" si="229"/>
        <v>1691</v>
      </c>
      <c r="F735" s="8">
        <f t="shared" si="230"/>
        <v>1865</v>
      </c>
      <c r="G735" s="8">
        <f t="shared" si="231"/>
        <v>1605</v>
      </c>
      <c r="H735" s="5">
        <f t="shared" si="232"/>
        <v>1819</v>
      </c>
      <c r="I735" s="5">
        <f t="shared" si="233"/>
        <v>1645</v>
      </c>
      <c r="J735" s="5">
        <f t="shared" si="234"/>
        <v>1905</v>
      </c>
      <c r="K735" s="5">
        <f t="shared" si="235"/>
        <v>3000</v>
      </c>
      <c r="L735" s="5">
        <f t="shared" si="236"/>
        <v>3000</v>
      </c>
      <c r="M735" s="5">
        <f t="shared" si="237"/>
        <v>3000</v>
      </c>
      <c r="N735" s="5">
        <f t="shared" si="238"/>
        <v>-1181</v>
      </c>
      <c r="O735" s="5">
        <f t="shared" si="239"/>
        <v>-1355</v>
      </c>
      <c r="P735" s="5">
        <f t="shared" si="240"/>
        <v>-1095</v>
      </c>
      <c r="Q735" s="8">
        <v>0</v>
      </c>
      <c r="R735" s="8">
        <v>2</v>
      </c>
      <c r="S735" s="8">
        <v>0</v>
      </c>
      <c r="T735" s="6">
        <f t="shared" si="241"/>
        <v>125</v>
      </c>
      <c r="U735" s="7">
        <f t="shared" si="242"/>
        <v>3559</v>
      </c>
      <c r="V735" s="7">
        <f t="shared" si="243"/>
        <v>3385</v>
      </c>
      <c r="W735" s="7">
        <f t="shared" si="244"/>
        <v>3585</v>
      </c>
      <c r="X735" s="258">
        <v>0.27</v>
      </c>
      <c r="Y735" s="5"/>
      <c r="Z735" s="5"/>
      <c r="AA735" s="5"/>
      <c r="AB735" s="5" t="s">
        <v>77</v>
      </c>
    </row>
    <row r="736" spans="1:28" ht="13.15" customHeight="1">
      <c r="A736" s="10">
        <f t="shared" si="225"/>
        <v>722</v>
      </c>
      <c r="B736" s="4">
        <f t="shared" si="226"/>
        <v>45765</v>
      </c>
      <c r="C736" s="10">
        <f t="shared" si="227"/>
        <v>842</v>
      </c>
      <c r="D736" s="9">
        <f t="shared" si="228"/>
        <v>2670</v>
      </c>
      <c r="E736" s="8">
        <f t="shared" si="229"/>
        <v>1693</v>
      </c>
      <c r="F736" s="8">
        <f t="shared" si="230"/>
        <v>1871</v>
      </c>
      <c r="G736" s="8">
        <f t="shared" si="231"/>
        <v>1607</v>
      </c>
      <c r="H736" s="5">
        <f t="shared" si="232"/>
        <v>1819</v>
      </c>
      <c r="I736" s="5">
        <f t="shared" si="233"/>
        <v>1641</v>
      </c>
      <c r="J736" s="5">
        <f t="shared" si="234"/>
        <v>1905</v>
      </c>
      <c r="K736" s="5">
        <f t="shared" si="235"/>
        <v>3000</v>
      </c>
      <c r="L736" s="5">
        <f t="shared" si="236"/>
        <v>3000</v>
      </c>
      <c r="M736" s="5">
        <f t="shared" si="237"/>
        <v>3000</v>
      </c>
      <c r="N736" s="5">
        <f t="shared" si="238"/>
        <v>-1181</v>
      </c>
      <c r="O736" s="5">
        <f t="shared" si="239"/>
        <v>-1359</v>
      </c>
      <c r="P736" s="5">
        <f t="shared" si="240"/>
        <v>-1095</v>
      </c>
      <c r="Q736" s="8">
        <v>0</v>
      </c>
      <c r="R736" s="8">
        <v>4</v>
      </c>
      <c r="S736" s="8">
        <v>0</v>
      </c>
      <c r="T736" s="6">
        <f t="shared" si="241"/>
        <v>131</v>
      </c>
      <c r="U736" s="7">
        <f t="shared" si="242"/>
        <v>3559</v>
      </c>
      <c r="V736" s="7">
        <f t="shared" si="243"/>
        <v>3381</v>
      </c>
      <c r="W736" s="7">
        <f t="shared" si="244"/>
        <v>3585</v>
      </c>
      <c r="X736" s="6"/>
      <c r="Y736" s="5"/>
      <c r="Z736" s="5"/>
      <c r="AA736" s="5"/>
      <c r="AB736" s="5"/>
    </row>
    <row r="737" spans="1:28" ht="13.15" customHeight="1">
      <c r="A737" s="10">
        <f t="shared" si="225"/>
        <v>723</v>
      </c>
      <c r="B737" s="4">
        <f t="shared" si="226"/>
        <v>45766</v>
      </c>
      <c r="C737" s="10">
        <f t="shared" si="227"/>
        <v>842</v>
      </c>
      <c r="D737" s="9">
        <f t="shared" si="228"/>
        <v>2672</v>
      </c>
      <c r="E737" s="8">
        <f t="shared" si="229"/>
        <v>1695</v>
      </c>
      <c r="F737" s="8">
        <f t="shared" si="230"/>
        <v>1877</v>
      </c>
      <c r="G737" s="8">
        <f t="shared" si="231"/>
        <v>1609</v>
      </c>
      <c r="H737" s="5">
        <f t="shared" si="232"/>
        <v>1819</v>
      </c>
      <c r="I737" s="5">
        <f t="shared" si="233"/>
        <v>1637</v>
      </c>
      <c r="J737" s="5">
        <f t="shared" si="234"/>
        <v>1905</v>
      </c>
      <c r="K737" s="5">
        <f t="shared" si="235"/>
        <v>3000</v>
      </c>
      <c r="L737" s="5">
        <f t="shared" si="236"/>
        <v>3000</v>
      </c>
      <c r="M737" s="5">
        <f t="shared" si="237"/>
        <v>3000</v>
      </c>
      <c r="N737" s="5">
        <f t="shared" si="238"/>
        <v>-1181</v>
      </c>
      <c r="O737" s="5">
        <f t="shared" si="239"/>
        <v>-1363</v>
      </c>
      <c r="P737" s="5">
        <f t="shared" si="240"/>
        <v>-1095</v>
      </c>
      <c r="Q737" s="8">
        <v>0</v>
      </c>
      <c r="R737" s="8">
        <v>4</v>
      </c>
      <c r="S737" s="8">
        <v>0</v>
      </c>
      <c r="T737" s="6">
        <f t="shared" si="241"/>
        <v>137</v>
      </c>
      <c r="U737" s="7">
        <f t="shared" si="242"/>
        <v>3559</v>
      </c>
      <c r="V737" s="7">
        <f t="shared" si="243"/>
        <v>3377</v>
      </c>
      <c r="W737" s="7">
        <f t="shared" si="244"/>
        <v>3585</v>
      </c>
      <c r="X737" s="6"/>
      <c r="Y737" s="5"/>
      <c r="Z737" s="5"/>
      <c r="AA737" s="5"/>
      <c r="AB737" s="5"/>
    </row>
    <row r="738" spans="1:28" ht="13.15" customHeight="1">
      <c r="A738" s="10">
        <f t="shared" si="225"/>
        <v>724</v>
      </c>
      <c r="B738" s="4">
        <f t="shared" si="226"/>
        <v>45767</v>
      </c>
      <c r="C738" s="10">
        <f t="shared" si="227"/>
        <v>842</v>
      </c>
      <c r="D738" s="9">
        <f t="shared" si="228"/>
        <v>2674</v>
      </c>
      <c r="E738" s="8">
        <f t="shared" si="229"/>
        <v>1697</v>
      </c>
      <c r="F738" s="8">
        <f t="shared" si="230"/>
        <v>1885</v>
      </c>
      <c r="G738" s="8">
        <f t="shared" si="231"/>
        <v>1611</v>
      </c>
      <c r="H738" s="5">
        <f t="shared" si="232"/>
        <v>1819</v>
      </c>
      <c r="I738" s="5">
        <f t="shared" si="233"/>
        <v>1631</v>
      </c>
      <c r="J738" s="5">
        <f t="shared" si="234"/>
        <v>1905</v>
      </c>
      <c r="K738" s="5">
        <f t="shared" si="235"/>
        <v>3000</v>
      </c>
      <c r="L738" s="5">
        <f t="shared" si="236"/>
        <v>3000</v>
      </c>
      <c r="M738" s="5">
        <f t="shared" si="237"/>
        <v>3000</v>
      </c>
      <c r="N738" s="5">
        <f t="shared" si="238"/>
        <v>-1181</v>
      </c>
      <c r="O738" s="5">
        <f t="shared" si="239"/>
        <v>-1369</v>
      </c>
      <c r="P738" s="5">
        <f t="shared" si="240"/>
        <v>-1095</v>
      </c>
      <c r="Q738" s="8">
        <v>0</v>
      </c>
      <c r="R738" s="8">
        <v>6</v>
      </c>
      <c r="S738" s="8">
        <v>0</v>
      </c>
      <c r="T738" s="6">
        <f t="shared" si="241"/>
        <v>145</v>
      </c>
      <c r="U738" s="7">
        <f t="shared" si="242"/>
        <v>3559</v>
      </c>
      <c r="V738" s="7">
        <f t="shared" si="243"/>
        <v>3371</v>
      </c>
      <c r="W738" s="7">
        <f t="shared" si="244"/>
        <v>3585</v>
      </c>
      <c r="X738" s="6"/>
      <c r="Y738" s="5"/>
      <c r="Z738" s="5"/>
      <c r="AA738" s="5"/>
      <c r="AB738" s="5"/>
    </row>
    <row r="739" spans="1:28" ht="13.15" customHeight="1">
      <c r="A739" s="10">
        <f t="shared" si="225"/>
        <v>725</v>
      </c>
      <c r="B739" s="4">
        <f t="shared" si="226"/>
        <v>45768</v>
      </c>
      <c r="C739" s="10">
        <f t="shared" si="227"/>
        <v>842</v>
      </c>
      <c r="D739" s="9">
        <f t="shared" si="228"/>
        <v>2676</v>
      </c>
      <c r="E739" s="8">
        <f t="shared" si="229"/>
        <v>1699</v>
      </c>
      <c r="F739" s="8">
        <f t="shared" si="230"/>
        <v>1891</v>
      </c>
      <c r="G739" s="8">
        <f t="shared" si="231"/>
        <v>1613</v>
      </c>
      <c r="H739" s="5">
        <f t="shared" si="232"/>
        <v>1819</v>
      </c>
      <c r="I739" s="5">
        <f t="shared" si="233"/>
        <v>1627</v>
      </c>
      <c r="J739" s="5">
        <f t="shared" si="234"/>
        <v>1905</v>
      </c>
      <c r="K739" s="5">
        <f t="shared" si="235"/>
        <v>3000</v>
      </c>
      <c r="L739" s="5">
        <f t="shared" si="236"/>
        <v>3000</v>
      </c>
      <c r="M739" s="5">
        <f t="shared" si="237"/>
        <v>3000</v>
      </c>
      <c r="N739" s="5">
        <f t="shared" si="238"/>
        <v>-1181</v>
      </c>
      <c r="O739" s="5">
        <f t="shared" si="239"/>
        <v>-1373</v>
      </c>
      <c r="P739" s="5">
        <f t="shared" si="240"/>
        <v>-1095</v>
      </c>
      <c r="Q739" s="8">
        <v>0</v>
      </c>
      <c r="R739" s="8">
        <v>4</v>
      </c>
      <c r="S739" s="8">
        <v>0</v>
      </c>
      <c r="T739" s="6">
        <f t="shared" si="241"/>
        <v>151</v>
      </c>
      <c r="U739" s="7">
        <f t="shared" si="242"/>
        <v>3559</v>
      </c>
      <c r="V739" s="7">
        <f t="shared" si="243"/>
        <v>3367</v>
      </c>
      <c r="W739" s="7">
        <f t="shared" si="244"/>
        <v>3585</v>
      </c>
      <c r="X739" s="6"/>
      <c r="Y739" s="5"/>
      <c r="Z739" s="5"/>
      <c r="AA739" s="5"/>
      <c r="AB739" s="5"/>
    </row>
    <row r="740" spans="1:28" ht="13.15" customHeight="1">
      <c r="A740" s="10">
        <f t="shared" si="225"/>
        <v>726</v>
      </c>
      <c r="B740" s="4">
        <f t="shared" si="226"/>
        <v>45769</v>
      </c>
      <c r="C740" s="10">
        <f t="shared" si="227"/>
        <v>842</v>
      </c>
      <c r="D740" s="9">
        <f t="shared" si="228"/>
        <v>2678</v>
      </c>
      <c r="E740" s="8">
        <f t="shared" si="229"/>
        <v>1701</v>
      </c>
      <c r="F740" s="8">
        <f t="shared" si="230"/>
        <v>1896</v>
      </c>
      <c r="G740" s="8">
        <f t="shared" si="231"/>
        <v>1615</v>
      </c>
      <c r="H740" s="5">
        <f t="shared" si="232"/>
        <v>1819</v>
      </c>
      <c r="I740" s="5">
        <f t="shared" si="233"/>
        <v>1624</v>
      </c>
      <c r="J740" s="5">
        <f t="shared" si="234"/>
        <v>1905</v>
      </c>
      <c r="K740" s="5">
        <f t="shared" si="235"/>
        <v>3000</v>
      </c>
      <c r="L740" s="5">
        <f t="shared" si="236"/>
        <v>3000</v>
      </c>
      <c r="M740" s="5">
        <f t="shared" si="237"/>
        <v>3000</v>
      </c>
      <c r="N740" s="5">
        <f t="shared" si="238"/>
        <v>-1181</v>
      </c>
      <c r="O740" s="5">
        <f t="shared" si="239"/>
        <v>-1376</v>
      </c>
      <c r="P740" s="5">
        <f t="shared" si="240"/>
        <v>-1095</v>
      </c>
      <c r="Q740" s="8">
        <v>0</v>
      </c>
      <c r="R740" s="8">
        <v>3</v>
      </c>
      <c r="S740" s="8">
        <v>0</v>
      </c>
      <c r="T740" s="6">
        <f t="shared" si="241"/>
        <v>-144</v>
      </c>
      <c r="U740" s="7">
        <f t="shared" si="242"/>
        <v>3859</v>
      </c>
      <c r="V740" s="7">
        <f t="shared" si="243"/>
        <v>3664</v>
      </c>
      <c r="W740" s="7">
        <f t="shared" si="244"/>
        <v>3885</v>
      </c>
      <c r="X740" s="258">
        <v>0.3</v>
      </c>
      <c r="Y740" s="5"/>
      <c r="Z740" s="5"/>
      <c r="AA740" s="5"/>
      <c r="AB740" s="5" t="s">
        <v>78</v>
      </c>
    </row>
    <row r="741" spans="1:28" ht="13.15" customHeight="1">
      <c r="A741" s="10">
        <f t="shared" si="225"/>
        <v>727</v>
      </c>
      <c r="B741" s="4">
        <f t="shared" si="226"/>
        <v>45770</v>
      </c>
      <c r="C741" s="10">
        <f t="shared" si="227"/>
        <v>842</v>
      </c>
      <c r="D741" s="9">
        <f t="shared" si="228"/>
        <v>2680</v>
      </c>
      <c r="E741" s="8">
        <f t="shared" si="229"/>
        <v>1703</v>
      </c>
      <c r="F741" s="8">
        <f t="shared" si="230"/>
        <v>1900</v>
      </c>
      <c r="G741" s="8">
        <f t="shared" si="231"/>
        <v>1617</v>
      </c>
      <c r="H741" s="5">
        <f t="shared" si="232"/>
        <v>1819</v>
      </c>
      <c r="I741" s="5">
        <f t="shared" si="233"/>
        <v>1622</v>
      </c>
      <c r="J741" s="5">
        <f t="shared" si="234"/>
        <v>1905</v>
      </c>
      <c r="K741" s="5">
        <f t="shared" si="235"/>
        <v>3000</v>
      </c>
      <c r="L741" s="5">
        <f t="shared" si="236"/>
        <v>3000</v>
      </c>
      <c r="M741" s="5">
        <f t="shared" si="237"/>
        <v>3000</v>
      </c>
      <c r="N741" s="5">
        <f t="shared" si="238"/>
        <v>-1181</v>
      </c>
      <c r="O741" s="5">
        <f t="shared" si="239"/>
        <v>-1378</v>
      </c>
      <c r="P741" s="5">
        <f t="shared" si="240"/>
        <v>-1095</v>
      </c>
      <c r="Q741" s="8">
        <v>0</v>
      </c>
      <c r="R741" s="8">
        <v>2</v>
      </c>
      <c r="S741" s="8">
        <v>0</v>
      </c>
      <c r="T741" s="6">
        <f t="shared" si="241"/>
        <v>-140</v>
      </c>
      <c r="U741" s="7">
        <f t="shared" si="242"/>
        <v>3859</v>
      </c>
      <c r="V741" s="7">
        <f t="shared" si="243"/>
        <v>3662</v>
      </c>
      <c r="W741" s="7">
        <f t="shared" si="244"/>
        <v>3885</v>
      </c>
      <c r="X741" s="6"/>
      <c r="Y741" s="5"/>
      <c r="Z741" s="5"/>
      <c r="AA741" s="5"/>
      <c r="AB741" s="5"/>
    </row>
    <row r="742" spans="1:28" ht="13.15" customHeight="1">
      <c r="A742" s="10">
        <f t="shared" si="225"/>
        <v>728</v>
      </c>
      <c r="B742" s="4">
        <f t="shared" si="226"/>
        <v>45771</v>
      </c>
      <c r="C742" s="10">
        <f t="shared" si="227"/>
        <v>842</v>
      </c>
      <c r="D742" s="9">
        <f t="shared" si="228"/>
        <v>2682</v>
      </c>
      <c r="E742" s="8">
        <f t="shared" si="229"/>
        <v>1705</v>
      </c>
      <c r="F742" s="8">
        <f t="shared" si="230"/>
        <v>1907</v>
      </c>
      <c r="G742" s="8">
        <f t="shared" si="231"/>
        <v>1619</v>
      </c>
      <c r="H742" s="5">
        <f t="shared" si="232"/>
        <v>1819</v>
      </c>
      <c r="I742" s="5">
        <f t="shared" si="233"/>
        <v>1617</v>
      </c>
      <c r="J742" s="5">
        <f t="shared" si="234"/>
        <v>1905</v>
      </c>
      <c r="K742" s="5">
        <f t="shared" si="235"/>
        <v>3000</v>
      </c>
      <c r="L742" s="5">
        <f t="shared" si="236"/>
        <v>3000</v>
      </c>
      <c r="M742" s="5">
        <f t="shared" si="237"/>
        <v>3000</v>
      </c>
      <c r="N742" s="5">
        <f t="shared" si="238"/>
        <v>-1181</v>
      </c>
      <c r="O742" s="5">
        <f t="shared" si="239"/>
        <v>-1383</v>
      </c>
      <c r="P742" s="5">
        <f t="shared" si="240"/>
        <v>-1095</v>
      </c>
      <c r="Q742" s="8">
        <v>0</v>
      </c>
      <c r="R742" s="8">
        <v>5</v>
      </c>
      <c r="S742" s="8">
        <v>0</v>
      </c>
      <c r="T742" s="6">
        <f t="shared" si="241"/>
        <v>-133</v>
      </c>
      <c r="U742" s="7">
        <f t="shared" si="242"/>
        <v>3859</v>
      </c>
      <c r="V742" s="7">
        <f t="shared" si="243"/>
        <v>3657</v>
      </c>
      <c r="W742" s="7">
        <f t="shared" si="244"/>
        <v>3885</v>
      </c>
      <c r="X742" s="6"/>
      <c r="Y742" s="5"/>
      <c r="Z742" s="5"/>
      <c r="AA742" s="5"/>
      <c r="AB742" s="5"/>
    </row>
    <row r="743" spans="1:28" ht="13.15" customHeight="1">
      <c r="A743" s="10">
        <f t="shared" si="225"/>
        <v>729</v>
      </c>
      <c r="B743" s="4">
        <f t="shared" si="226"/>
        <v>45772</v>
      </c>
      <c r="C743" s="10">
        <f t="shared" si="227"/>
        <v>842</v>
      </c>
      <c r="D743" s="9">
        <f t="shared" si="228"/>
        <v>2684</v>
      </c>
      <c r="E743" s="8">
        <f t="shared" si="229"/>
        <v>1707</v>
      </c>
      <c r="F743" s="8">
        <f t="shared" si="230"/>
        <v>1911</v>
      </c>
      <c r="G743" s="8">
        <f t="shared" si="231"/>
        <v>1621</v>
      </c>
      <c r="H743" s="5">
        <f t="shared" si="232"/>
        <v>1819</v>
      </c>
      <c r="I743" s="5">
        <f t="shared" si="233"/>
        <v>1615</v>
      </c>
      <c r="J743" s="5">
        <f t="shared" si="234"/>
        <v>1905</v>
      </c>
      <c r="K743" s="5">
        <f t="shared" si="235"/>
        <v>3000</v>
      </c>
      <c r="L743" s="5">
        <f t="shared" si="236"/>
        <v>3000</v>
      </c>
      <c r="M743" s="5">
        <f t="shared" si="237"/>
        <v>3000</v>
      </c>
      <c r="N743" s="5">
        <f t="shared" si="238"/>
        <v>-1181</v>
      </c>
      <c r="O743" s="5">
        <f t="shared" si="239"/>
        <v>-1385</v>
      </c>
      <c r="P743" s="5">
        <f t="shared" si="240"/>
        <v>-1095</v>
      </c>
      <c r="Q743" s="8">
        <v>0</v>
      </c>
      <c r="R743" s="8">
        <v>2</v>
      </c>
      <c r="S743" s="8">
        <v>0</v>
      </c>
      <c r="T743" s="6">
        <f t="shared" si="241"/>
        <v>-129</v>
      </c>
      <c r="U743" s="7">
        <f t="shared" si="242"/>
        <v>3859</v>
      </c>
      <c r="V743" s="7">
        <f t="shared" si="243"/>
        <v>3655</v>
      </c>
      <c r="W743" s="7">
        <f t="shared" si="244"/>
        <v>3885</v>
      </c>
      <c r="X743" s="6"/>
      <c r="Y743" s="5"/>
      <c r="Z743" s="5"/>
      <c r="AA743" s="5"/>
      <c r="AB743" s="5"/>
    </row>
    <row r="744" spans="1:28" ht="13.15" customHeight="1">
      <c r="A744" s="10">
        <f t="shared" si="225"/>
        <v>730</v>
      </c>
      <c r="B744" s="4">
        <f t="shared" si="226"/>
        <v>45773</v>
      </c>
      <c r="C744" s="10">
        <f t="shared" si="227"/>
        <v>842</v>
      </c>
      <c r="D744" s="9">
        <f t="shared" si="228"/>
        <v>2686</v>
      </c>
      <c r="E744" s="8">
        <f t="shared" si="229"/>
        <v>1709</v>
      </c>
      <c r="F744" s="8">
        <f t="shared" si="230"/>
        <v>1916</v>
      </c>
      <c r="G744" s="8">
        <f t="shared" si="231"/>
        <v>1623</v>
      </c>
      <c r="H744" s="5">
        <f t="shared" si="232"/>
        <v>1819</v>
      </c>
      <c r="I744" s="5">
        <f t="shared" si="233"/>
        <v>1612</v>
      </c>
      <c r="J744" s="5">
        <f t="shared" si="234"/>
        <v>1905</v>
      </c>
      <c r="K744" s="5">
        <f t="shared" si="235"/>
        <v>3000</v>
      </c>
      <c r="L744" s="5">
        <f t="shared" si="236"/>
        <v>3000</v>
      </c>
      <c r="M744" s="5">
        <f t="shared" si="237"/>
        <v>3000</v>
      </c>
      <c r="N744" s="5">
        <f t="shared" si="238"/>
        <v>-1181</v>
      </c>
      <c r="O744" s="5">
        <f t="shared" si="239"/>
        <v>-1388</v>
      </c>
      <c r="P744" s="5">
        <f t="shared" si="240"/>
        <v>-1095</v>
      </c>
      <c r="Q744" s="8">
        <v>0</v>
      </c>
      <c r="R744" s="8">
        <v>3</v>
      </c>
      <c r="S744" s="8">
        <v>0</v>
      </c>
      <c r="T744" s="6">
        <f t="shared" si="241"/>
        <v>-124</v>
      </c>
      <c r="U744" s="7">
        <f t="shared" si="242"/>
        <v>3859</v>
      </c>
      <c r="V744" s="7">
        <f t="shared" si="243"/>
        <v>3652</v>
      </c>
      <c r="W744" s="7">
        <f t="shared" si="244"/>
        <v>3885</v>
      </c>
      <c r="X744" s="6"/>
      <c r="Y744" s="5"/>
      <c r="Z744" s="5"/>
      <c r="AA744" s="5"/>
      <c r="AB744" s="5"/>
    </row>
    <row r="745" spans="1:28" ht="13.15" customHeight="1">
      <c r="A745" s="10">
        <f t="shared" si="225"/>
        <v>731</v>
      </c>
      <c r="B745" s="4">
        <f t="shared" si="226"/>
        <v>45774</v>
      </c>
      <c r="C745" s="10">
        <f t="shared" si="227"/>
        <v>842</v>
      </c>
      <c r="D745" s="9">
        <f t="shared" si="228"/>
        <v>2688</v>
      </c>
      <c r="E745" s="8">
        <f t="shared" si="229"/>
        <v>1711</v>
      </c>
      <c r="F745" s="8">
        <f t="shared" si="230"/>
        <v>1918</v>
      </c>
      <c r="G745" s="8">
        <f t="shared" si="231"/>
        <v>1625</v>
      </c>
      <c r="H745" s="5">
        <f t="shared" si="232"/>
        <v>1819</v>
      </c>
      <c r="I745" s="5">
        <f t="shared" si="233"/>
        <v>1612</v>
      </c>
      <c r="J745" s="5">
        <f t="shared" si="234"/>
        <v>1905</v>
      </c>
      <c r="K745" s="5">
        <f t="shared" si="235"/>
        <v>3000</v>
      </c>
      <c r="L745" s="5">
        <f t="shared" si="236"/>
        <v>3000</v>
      </c>
      <c r="M745" s="5">
        <f t="shared" si="237"/>
        <v>3000</v>
      </c>
      <c r="N745" s="5">
        <f t="shared" si="238"/>
        <v>-1181</v>
      </c>
      <c r="O745" s="5">
        <f t="shared" si="239"/>
        <v>-1388</v>
      </c>
      <c r="P745" s="5">
        <f t="shared" si="240"/>
        <v>-1095</v>
      </c>
      <c r="Q745" s="8">
        <v>0</v>
      </c>
      <c r="R745" s="8">
        <v>0</v>
      </c>
      <c r="S745" s="8">
        <v>0</v>
      </c>
      <c r="T745" s="6">
        <f t="shared" si="241"/>
        <v>-422</v>
      </c>
      <c r="U745" s="7">
        <f t="shared" si="242"/>
        <v>4159</v>
      </c>
      <c r="V745" s="7">
        <f t="shared" si="243"/>
        <v>3952</v>
      </c>
      <c r="W745" s="7">
        <f t="shared" si="244"/>
        <v>4185</v>
      </c>
      <c r="X745" s="258">
        <v>0.3</v>
      </c>
      <c r="Y745" s="5"/>
      <c r="Z745" s="5"/>
      <c r="AA745" s="5"/>
      <c r="AB745" s="5" t="s">
        <v>79</v>
      </c>
    </row>
    <row r="746" spans="1:28" ht="13.15" customHeight="1">
      <c r="A746" s="10">
        <f t="shared" si="225"/>
        <v>732</v>
      </c>
      <c r="B746" s="4">
        <f t="shared" si="226"/>
        <v>45775</v>
      </c>
      <c r="C746" s="10">
        <f t="shared" si="227"/>
        <v>842</v>
      </c>
      <c r="D746" s="9">
        <f t="shared" si="228"/>
        <v>2690</v>
      </c>
      <c r="E746" s="8">
        <f t="shared" si="229"/>
        <v>1713</v>
      </c>
      <c r="F746" s="8">
        <f t="shared" si="230"/>
        <v>1922</v>
      </c>
      <c r="G746" s="8">
        <f t="shared" si="231"/>
        <v>1627</v>
      </c>
      <c r="H746" s="5">
        <f t="shared" si="232"/>
        <v>1819</v>
      </c>
      <c r="I746" s="5">
        <f t="shared" si="233"/>
        <v>1610</v>
      </c>
      <c r="J746" s="5">
        <f t="shared" si="234"/>
        <v>1905</v>
      </c>
      <c r="K746" s="5">
        <f t="shared" si="235"/>
        <v>3000</v>
      </c>
      <c r="L746" s="5">
        <f t="shared" si="236"/>
        <v>3000</v>
      </c>
      <c r="M746" s="5">
        <f t="shared" si="237"/>
        <v>3000</v>
      </c>
      <c r="N746" s="5">
        <f t="shared" si="238"/>
        <v>-1181</v>
      </c>
      <c r="O746" s="5">
        <f t="shared" si="239"/>
        <v>-1390</v>
      </c>
      <c r="P746" s="5">
        <f t="shared" si="240"/>
        <v>-1095</v>
      </c>
      <c r="Q746" s="8">
        <v>0</v>
      </c>
      <c r="R746" s="8">
        <v>2</v>
      </c>
      <c r="S746" s="8">
        <v>0</v>
      </c>
      <c r="T746" s="6">
        <f t="shared" si="241"/>
        <v>-418</v>
      </c>
      <c r="U746" s="7">
        <f t="shared" si="242"/>
        <v>4159</v>
      </c>
      <c r="V746" s="7">
        <f t="shared" si="243"/>
        <v>3950</v>
      </c>
      <c r="W746" s="7">
        <f t="shared" si="244"/>
        <v>4185</v>
      </c>
      <c r="X746" s="6"/>
      <c r="Y746" s="5"/>
      <c r="Z746" s="5"/>
      <c r="AA746" s="5"/>
      <c r="AB746" s="5"/>
    </row>
    <row r="747" spans="1:28" ht="13.15" customHeight="1">
      <c r="A747" s="10">
        <f t="shared" si="225"/>
        <v>733</v>
      </c>
      <c r="B747" s="4">
        <f t="shared" si="226"/>
        <v>45776</v>
      </c>
      <c r="C747" s="10">
        <f t="shared" si="227"/>
        <v>842</v>
      </c>
      <c r="D747" s="9">
        <f t="shared" si="228"/>
        <v>2692</v>
      </c>
      <c r="E747" s="8">
        <f t="shared" si="229"/>
        <v>1715</v>
      </c>
      <c r="F747" s="8">
        <f t="shared" si="230"/>
        <v>1924</v>
      </c>
      <c r="G747" s="8">
        <f t="shared" si="231"/>
        <v>1629</v>
      </c>
      <c r="H747" s="5">
        <f t="shared" si="232"/>
        <v>1819</v>
      </c>
      <c r="I747" s="5">
        <f t="shared" si="233"/>
        <v>1610</v>
      </c>
      <c r="J747" s="5">
        <f t="shared" si="234"/>
        <v>1905</v>
      </c>
      <c r="K747" s="5">
        <f t="shared" si="235"/>
        <v>3000</v>
      </c>
      <c r="L747" s="5">
        <f t="shared" si="236"/>
        <v>3000</v>
      </c>
      <c r="M747" s="5">
        <f t="shared" si="237"/>
        <v>3000</v>
      </c>
      <c r="N747" s="5">
        <f t="shared" si="238"/>
        <v>-1181</v>
      </c>
      <c r="O747" s="5">
        <f t="shared" si="239"/>
        <v>-1390</v>
      </c>
      <c r="P747" s="5">
        <f t="shared" si="240"/>
        <v>-1095</v>
      </c>
      <c r="Q747" s="8">
        <v>0</v>
      </c>
      <c r="R747" s="8">
        <v>0</v>
      </c>
      <c r="S747" s="8">
        <v>0</v>
      </c>
      <c r="T747" s="6">
        <f t="shared" si="241"/>
        <v>-416</v>
      </c>
      <c r="U747" s="7">
        <f t="shared" si="242"/>
        <v>4159</v>
      </c>
      <c r="V747" s="7">
        <f t="shared" si="243"/>
        <v>3950</v>
      </c>
      <c r="W747" s="7">
        <f t="shared" si="244"/>
        <v>4185</v>
      </c>
      <c r="X747" s="6"/>
      <c r="Y747" s="5"/>
      <c r="Z747" s="5"/>
      <c r="AA747" s="5"/>
      <c r="AB747" s="5"/>
    </row>
    <row r="748" spans="1:28" ht="13.15" customHeight="1">
      <c r="A748" s="10">
        <f t="shared" si="225"/>
        <v>734</v>
      </c>
      <c r="B748" s="4">
        <f t="shared" si="226"/>
        <v>45777</v>
      </c>
      <c r="C748" s="10">
        <f t="shared" si="227"/>
        <v>842</v>
      </c>
      <c r="D748" s="9">
        <f t="shared" si="228"/>
        <v>2694</v>
      </c>
      <c r="E748" s="8">
        <f t="shared" si="229"/>
        <v>1717</v>
      </c>
      <c r="F748" s="8">
        <f t="shared" si="230"/>
        <v>1927</v>
      </c>
      <c r="G748" s="8">
        <f t="shared" si="231"/>
        <v>1631</v>
      </c>
      <c r="H748" s="5">
        <f t="shared" si="232"/>
        <v>1819</v>
      </c>
      <c r="I748" s="5">
        <f t="shared" si="233"/>
        <v>1609</v>
      </c>
      <c r="J748" s="5">
        <f t="shared" si="234"/>
        <v>1905</v>
      </c>
      <c r="K748" s="5">
        <f t="shared" si="235"/>
        <v>3000</v>
      </c>
      <c r="L748" s="5">
        <f t="shared" si="236"/>
        <v>3000</v>
      </c>
      <c r="M748" s="5">
        <f t="shared" si="237"/>
        <v>3000</v>
      </c>
      <c r="N748" s="5">
        <f t="shared" si="238"/>
        <v>-1181</v>
      </c>
      <c r="O748" s="5">
        <f t="shared" si="239"/>
        <v>-1391</v>
      </c>
      <c r="P748" s="5">
        <f t="shared" si="240"/>
        <v>-1095</v>
      </c>
      <c r="Q748" s="8">
        <v>0</v>
      </c>
      <c r="R748" s="8">
        <v>1</v>
      </c>
      <c r="S748" s="8">
        <v>0</v>
      </c>
      <c r="T748" s="6">
        <f t="shared" si="241"/>
        <v>-413</v>
      </c>
      <c r="U748" s="7">
        <f t="shared" si="242"/>
        <v>4159</v>
      </c>
      <c r="V748" s="7">
        <f t="shared" si="243"/>
        <v>3949</v>
      </c>
      <c r="W748" s="7">
        <f t="shared" si="244"/>
        <v>4185</v>
      </c>
      <c r="X748" s="6"/>
      <c r="Y748" s="5"/>
      <c r="Z748" s="5"/>
      <c r="AA748" s="5"/>
      <c r="AB748" s="5"/>
    </row>
    <row r="749" spans="1:28" ht="13.15" customHeight="1">
      <c r="A749" s="10">
        <f t="shared" si="225"/>
        <v>735</v>
      </c>
      <c r="B749" s="4">
        <f t="shared" si="226"/>
        <v>45778</v>
      </c>
      <c r="C749" s="10">
        <f t="shared" si="227"/>
        <v>842</v>
      </c>
      <c r="D749" s="9">
        <f t="shared" si="228"/>
        <v>2696</v>
      </c>
      <c r="E749" s="8">
        <f t="shared" si="229"/>
        <v>1719</v>
      </c>
      <c r="F749" s="8">
        <f t="shared" si="230"/>
        <v>1931</v>
      </c>
      <c r="G749" s="8">
        <f t="shared" si="231"/>
        <v>1633</v>
      </c>
      <c r="H749" s="5">
        <f t="shared" si="232"/>
        <v>1819</v>
      </c>
      <c r="I749" s="5">
        <f t="shared" si="233"/>
        <v>1607</v>
      </c>
      <c r="J749" s="5">
        <f t="shared" si="234"/>
        <v>1905</v>
      </c>
      <c r="K749" s="5">
        <f t="shared" si="235"/>
        <v>3000</v>
      </c>
      <c r="L749" s="5">
        <f t="shared" si="236"/>
        <v>3000</v>
      </c>
      <c r="M749" s="5">
        <f t="shared" si="237"/>
        <v>3000</v>
      </c>
      <c r="N749" s="5">
        <f t="shared" si="238"/>
        <v>-1181</v>
      </c>
      <c r="O749" s="5">
        <f t="shared" si="239"/>
        <v>-1393</v>
      </c>
      <c r="P749" s="5">
        <f t="shared" si="240"/>
        <v>-1095</v>
      </c>
      <c r="Q749" s="8">
        <v>0</v>
      </c>
      <c r="R749" s="8">
        <v>2</v>
      </c>
      <c r="S749" s="8">
        <v>0</v>
      </c>
      <c r="T749" s="6">
        <f t="shared" si="241"/>
        <v>-409</v>
      </c>
      <c r="U749" s="7">
        <f t="shared" si="242"/>
        <v>4159</v>
      </c>
      <c r="V749" s="7">
        <f t="shared" si="243"/>
        <v>3947</v>
      </c>
      <c r="W749" s="7">
        <f t="shared" si="244"/>
        <v>4185</v>
      </c>
      <c r="X749" s="6"/>
      <c r="Y749" s="5"/>
      <c r="Z749" s="5"/>
      <c r="AA749" s="5"/>
      <c r="AB749" s="5"/>
    </row>
    <row r="750" spans="1:28" ht="13.15" customHeight="1">
      <c r="A750" s="10">
        <f t="shared" si="225"/>
        <v>736</v>
      </c>
      <c r="B750" s="4">
        <f t="shared" si="226"/>
        <v>45779</v>
      </c>
      <c r="C750" s="10">
        <f t="shared" si="227"/>
        <v>842</v>
      </c>
      <c r="D750" s="9">
        <f t="shared" si="228"/>
        <v>2698</v>
      </c>
      <c r="E750" s="8">
        <f t="shared" si="229"/>
        <v>1721</v>
      </c>
      <c r="F750" s="8">
        <f t="shared" si="230"/>
        <v>1941</v>
      </c>
      <c r="G750" s="8">
        <f t="shared" si="231"/>
        <v>1635</v>
      </c>
      <c r="H750" s="5">
        <f t="shared" si="232"/>
        <v>1819</v>
      </c>
      <c r="I750" s="5">
        <f t="shared" si="233"/>
        <v>1599</v>
      </c>
      <c r="J750" s="5">
        <f t="shared" si="234"/>
        <v>1905</v>
      </c>
      <c r="K750" s="5">
        <f t="shared" si="235"/>
        <v>3000</v>
      </c>
      <c r="L750" s="5">
        <f t="shared" si="236"/>
        <v>3000</v>
      </c>
      <c r="M750" s="5">
        <f t="shared" si="237"/>
        <v>3000</v>
      </c>
      <c r="N750" s="5">
        <f t="shared" si="238"/>
        <v>-1181</v>
      </c>
      <c r="O750" s="5">
        <f t="shared" si="239"/>
        <v>-1401</v>
      </c>
      <c r="P750" s="5">
        <f t="shared" si="240"/>
        <v>-1095</v>
      </c>
      <c r="Q750" s="8">
        <v>0</v>
      </c>
      <c r="R750" s="8">
        <v>8</v>
      </c>
      <c r="S750" s="8">
        <v>0</v>
      </c>
      <c r="T750" s="6">
        <f t="shared" si="241"/>
        <v>-699</v>
      </c>
      <c r="U750" s="7">
        <f t="shared" si="242"/>
        <v>4459</v>
      </c>
      <c r="V750" s="7">
        <f t="shared" si="243"/>
        <v>4239</v>
      </c>
      <c r="W750" s="7">
        <f t="shared" si="244"/>
        <v>4485</v>
      </c>
      <c r="X750" s="258">
        <v>0.3</v>
      </c>
      <c r="Y750" s="5"/>
      <c r="Z750" s="5"/>
      <c r="AA750" s="5"/>
      <c r="AB750" s="5" t="s">
        <v>80</v>
      </c>
    </row>
    <row r="751" spans="1:28" ht="13.15" customHeight="1">
      <c r="A751" s="10">
        <f t="shared" si="225"/>
        <v>737</v>
      </c>
      <c r="B751" s="4">
        <f t="shared" si="226"/>
        <v>45780</v>
      </c>
      <c r="C751" s="10">
        <f t="shared" si="227"/>
        <v>842</v>
      </c>
      <c r="D751" s="9">
        <f t="shared" si="228"/>
        <v>2700</v>
      </c>
      <c r="E751" s="8">
        <f t="shared" si="229"/>
        <v>1723</v>
      </c>
      <c r="F751" s="8">
        <f t="shared" si="230"/>
        <v>1949</v>
      </c>
      <c r="G751" s="8">
        <f t="shared" si="231"/>
        <v>1637</v>
      </c>
      <c r="H751" s="5">
        <f t="shared" si="232"/>
        <v>1819</v>
      </c>
      <c r="I751" s="5">
        <f t="shared" si="233"/>
        <v>1593</v>
      </c>
      <c r="J751" s="5">
        <f t="shared" si="234"/>
        <v>1905</v>
      </c>
      <c r="K751" s="5">
        <f t="shared" si="235"/>
        <v>3000</v>
      </c>
      <c r="L751" s="5">
        <f t="shared" si="236"/>
        <v>3000</v>
      </c>
      <c r="M751" s="5">
        <f t="shared" si="237"/>
        <v>3000</v>
      </c>
      <c r="N751" s="5">
        <f t="shared" si="238"/>
        <v>-1181</v>
      </c>
      <c r="O751" s="5">
        <f t="shared" si="239"/>
        <v>-1407</v>
      </c>
      <c r="P751" s="5">
        <f t="shared" si="240"/>
        <v>-1095</v>
      </c>
      <c r="Q751" s="8">
        <v>0</v>
      </c>
      <c r="R751" s="8">
        <v>6</v>
      </c>
      <c r="S751" s="8">
        <v>0</v>
      </c>
      <c r="T751" s="6">
        <f t="shared" si="241"/>
        <v>-691</v>
      </c>
      <c r="U751" s="7">
        <f t="shared" si="242"/>
        <v>4459</v>
      </c>
      <c r="V751" s="7">
        <f t="shared" si="243"/>
        <v>4233</v>
      </c>
      <c r="W751" s="7">
        <f t="shared" si="244"/>
        <v>4485</v>
      </c>
      <c r="X751" s="6"/>
      <c r="Y751" s="5"/>
      <c r="Z751" s="5"/>
      <c r="AA751" s="5"/>
      <c r="AB751" s="5"/>
    </row>
    <row r="752" spans="1:28" ht="13.15" customHeight="1">
      <c r="A752" s="10">
        <f t="shared" si="225"/>
        <v>738</v>
      </c>
      <c r="B752" s="4">
        <f t="shared" si="226"/>
        <v>45781</v>
      </c>
      <c r="C752" s="10">
        <f t="shared" si="227"/>
        <v>842</v>
      </c>
      <c r="D752" s="9">
        <f t="shared" si="228"/>
        <v>2702</v>
      </c>
      <c r="E752" s="8">
        <f t="shared" si="229"/>
        <v>1725</v>
      </c>
      <c r="F752" s="8">
        <f t="shared" si="230"/>
        <v>1956</v>
      </c>
      <c r="G752" s="8">
        <f t="shared" si="231"/>
        <v>1639</v>
      </c>
      <c r="H752" s="5">
        <f t="shared" si="232"/>
        <v>1819</v>
      </c>
      <c r="I752" s="5">
        <f t="shared" si="233"/>
        <v>1588</v>
      </c>
      <c r="J752" s="5">
        <f t="shared" si="234"/>
        <v>1905</v>
      </c>
      <c r="K752" s="5">
        <f t="shared" si="235"/>
        <v>3000</v>
      </c>
      <c r="L752" s="5">
        <f t="shared" si="236"/>
        <v>3000</v>
      </c>
      <c r="M752" s="5">
        <f t="shared" si="237"/>
        <v>3000</v>
      </c>
      <c r="N752" s="5">
        <f t="shared" si="238"/>
        <v>-1181</v>
      </c>
      <c r="O752" s="5">
        <f t="shared" si="239"/>
        <v>-1412</v>
      </c>
      <c r="P752" s="5">
        <f t="shared" si="240"/>
        <v>-1095</v>
      </c>
      <c r="Q752" s="8">
        <v>0</v>
      </c>
      <c r="R752" s="8">
        <v>5</v>
      </c>
      <c r="S752" s="8">
        <v>0</v>
      </c>
      <c r="T752" s="6">
        <f t="shared" si="241"/>
        <v>-684</v>
      </c>
      <c r="U752" s="7">
        <f t="shared" si="242"/>
        <v>4459</v>
      </c>
      <c r="V752" s="7">
        <f t="shared" si="243"/>
        <v>4228</v>
      </c>
      <c r="W752" s="7">
        <f t="shared" si="244"/>
        <v>4485</v>
      </c>
      <c r="X752" s="6"/>
      <c r="Y752" s="5"/>
      <c r="Z752" s="5"/>
      <c r="AA752" s="5"/>
      <c r="AB752" s="5"/>
    </row>
    <row r="753" spans="1:28" ht="13.15" customHeight="1">
      <c r="A753" s="10">
        <f t="shared" si="225"/>
        <v>739</v>
      </c>
      <c r="B753" s="4">
        <f t="shared" si="226"/>
        <v>45782</v>
      </c>
      <c r="C753" s="10">
        <f t="shared" si="227"/>
        <v>842</v>
      </c>
      <c r="D753" s="9">
        <f t="shared" si="228"/>
        <v>2704</v>
      </c>
      <c r="E753" s="8">
        <f t="shared" si="229"/>
        <v>1727</v>
      </c>
      <c r="F753" s="8">
        <f t="shared" si="230"/>
        <v>1965</v>
      </c>
      <c r="G753" s="8">
        <f t="shared" si="231"/>
        <v>1641</v>
      </c>
      <c r="H753" s="5">
        <f t="shared" si="232"/>
        <v>1819</v>
      </c>
      <c r="I753" s="5">
        <f t="shared" si="233"/>
        <v>1581</v>
      </c>
      <c r="J753" s="5">
        <f t="shared" si="234"/>
        <v>1905</v>
      </c>
      <c r="K753" s="5">
        <f t="shared" si="235"/>
        <v>3000</v>
      </c>
      <c r="L753" s="5">
        <f t="shared" si="236"/>
        <v>3000</v>
      </c>
      <c r="M753" s="5">
        <f t="shared" si="237"/>
        <v>3000</v>
      </c>
      <c r="N753" s="5">
        <f t="shared" si="238"/>
        <v>-1181</v>
      </c>
      <c r="O753" s="5">
        <f t="shared" si="239"/>
        <v>-1419</v>
      </c>
      <c r="P753" s="5">
        <f t="shared" si="240"/>
        <v>-1095</v>
      </c>
      <c r="Q753" s="8">
        <v>0</v>
      </c>
      <c r="R753" s="8">
        <v>7</v>
      </c>
      <c r="S753" s="8">
        <v>0</v>
      </c>
      <c r="T753" s="6">
        <f t="shared" si="241"/>
        <v>-675</v>
      </c>
      <c r="U753" s="7">
        <f t="shared" si="242"/>
        <v>4459</v>
      </c>
      <c r="V753" s="7">
        <f t="shared" si="243"/>
        <v>4221</v>
      </c>
      <c r="W753" s="7">
        <f t="shared" si="244"/>
        <v>4485</v>
      </c>
      <c r="X753" s="6"/>
      <c r="Y753" s="5"/>
      <c r="Z753" s="5"/>
      <c r="AA753" s="5"/>
      <c r="AB753" s="5"/>
    </row>
    <row r="754" spans="1:28" ht="13.15" customHeight="1">
      <c r="A754" s="10">
        <f t="shared" si="225"/>
        <v>740</v>
      </c>
      <c r="B754" s="4">
        <f t="shared" si="226"/>
        <v>45783</v>
      </c>
      <c r="C754" s="10">
        <f t="shared" si="227"/>
        <v>842</v>
      </c>
      <c r="D754" s="9">
        <f t="shared" si="228"/>
        <v>2706</v>
      </c>
      <c r="E754" s="8">
        <f t="shared" si="229"/>
        <v>1729</v>
      </c>
      <c r="F754" s="8">
        <f t="shared" si="230"/>
        <v>1975</v>
      </c>
      <c r="G754" s="8">
        <f t="shared" si="231"/>
        <v>1643</v>
      </c>
      <c r="H754" s="5">
        <f t="shared" si="232"/>
        <v>1819</v>
      </c>
      <c r="I754" s="5">
        <f t="shared" si="233"/>
        <v>1573</v>
      </c>
      <c r="J754" s="5">
        <f t="shared" si="234"/>
        <v>1905</v>
      </c>
      <c r="K754" s="5">
        <f t="shared" si="235"/>
        <v>3000</v>
      </c>
      <c r="L754" s="5">
        <f t="shared" si="236"/>
        <v>3000</v>
      </c>
      <c r="M754" s="5">
        <f t="shared" si="237"/>
        <v>3000</v>
      </c>
      <c r="N754" s="5">
        <f t="shared" si="238"/>
        <v>-1181</v>
      </c>
      <c r="O754" s="5">
        <f t="shared" si="239"/>
        <v>-1427</v>
      </c>
      <c r="P754" s="5">
        <f t="shared" si="240"/>
        <v>-1095</v>
      </c>
      <c r="Q754" s="8">
        <v>0</v>
      </c>
      <c r="R754" s="8">
        <v>8</v>
      </c>
      <c r="S754" s="8">
        <v>0</v>
      </c>
      <c r="T754" s="6">
        <f t="shared" si="241"/>
        <v>-665</v>
      </c>
      <c r="U754" s="7">
        <f t="shared" si="242"/>
        <v>4459</v>
      </c>
      <c r="V754" s="7">
        <f t="shared" si="243"/>
        <v>4213</v>
      </c>
      <c r="W754" s="7">
        <f t="shared" si="244"/>
        <v>4485</v>
      </c>
      <c r="X754" s="6"/>
      <c r="Y754" s="5"/>
      <c r="Z754" s="5"/>
      <c r="AA754" s="5"/>
      <c r="AB754" s="5"/>
    </row>
    <row r="755" spans="1:28" ht="13.15" customHeight="1">
      <c r="A755" s="10">
        <f t="shared" si="225"/>
        <v>741</v>
      </c>
      <c r="B755" s="4">
        <f t="shared" si="226"/>
        <v>45784</v>
      </c>
      <c r="C755" s="10">
        <f t="shared" si="227"/>
        <v>842</v>
      </c>
      <c r="D755" s="9">
        <f t="shared" si="228"/>
        <v>2708</v>
      </c>
      <c r="E755" s="8">
        <f t="shared" si="229"/>
        <v>1731</v>
      </c>
      <c r="F755" s="8">
        <f t="shared" si="230"/>
        <v>1987</v>
      </c>
      <c r="G755" s="8">
        <f t="shared" si="231"/>
        <v>1645</v>
      </c>
      <c r="H755" s="5">
        <f t="shared" si="232"/>
        <v>1819</v>
      </c>
      <c r="I755" s="5">
        <f t="shared" si="233"/>
        <v>1563</v>
      </c>
      <c r="J755" s="5">
        <f t="shared" si="234"/>
        <v>1905</v>
      </c>
      <c r="K755" s="5">
        <f t="shared" si="235"/>
        <v>3000</v>
      </c>
      <c r="L755" s="5">
        <f t="shared" si="236"/>
        <v>3000</v>
      </c>
      <c r="M755" s="5">
        <f t="shared" si="237"/>
        <v>3000</v>
      </c>
      <c r="N755" s="5">
        <f t="shared" si="238"/>
        <v>-1181</v>
      </c>
      <c r="O755" s="5">
        <f t="shared" si="239"/>
        <v>-1437</v>
      </c>
      <c r="P755" s="5">
        <f t="shared" si="240"/>
        <v>-1095</v>
      </c>
      <c r="Q755" s="8">
        <v>0</v>
      </c>
      <c r="R755" s="8">
        <v>10</v>
      </c>
      <c r="S755" s="8">
        <v>0</v>
      </c>
      <c r="T755" s="6">
        <f t="shared" si="241"/>
        <v>-953</v>
      </c>
      <c r="U755" s="7">
        <f t="shared" si="242"/>
        <v>4759</v>
      </c>
      <c r="V755" s="7">
        <f t="shared" si="243"/>
        <v>4503</v>
      </c>
      <c r="W755" s="7">
        <f t="shared" si="244"/>
        <v>4785</v>
      </c>
      <c r="X755" s="258">
        <v>0.3</v>
      </c>
      <c r="Y755" s="5"/>
      <c r="Z755" s="5"/>
      <c r="AA755" s="5"/>
      <c r="AB755" s="5" t="s">
        <v>81</v>
      </c>
    </row>
    <row r="756" spans="1:28" ht="13.15" customHeight="1">
      <c r="A756" s="10">
        <f t="shared" si="225"/>
        <v>742</v>
      </c>
      <c r="B756" s="4">
        <f t="shared" si="226"/>
        <v>45785</v>
      </c>
      <c r="C756" s="10">
        <f t="shared" si="227"/>
        <v>842</v>
      </c>
      <c r="D756" s="9">
        <f t="shared" si="228"/>
        <v>2710</v>
      </c>
      <c r="E756" s="8">
        <f t="shared" si="229"/>
        <v>1733</v>
      </c>
      <c r="F756" s="8">
        <f t="shared" si="230"/>
        <v>1995</v>
      </c>
      <c r="G756" s="8">
        <f t="shared" si="231"/>
        <v>1647</v>
      </c>
      <c r="H756" s="5">
        <f t="shared" si="232"/>
        <v>1819</v>
      </c>
      <c r="I756" s="5">
        <f t="shared" si="233"/>
        <v>1557</v>
      </c>
      <c r="J756" s="5">
        <f t="shared" si="234"/>
        <v>1905</v>
      </c>
      <c r="K756" s="5">
        <f t="shared" si="235"/>
        <v>3000</v>
      </c>
      <c r="L756" s="5">
        <f t="shared" si="236"/>
        <v>3000</v>
      </c>
      <c r="M756" s="5">
        <f t="shared" si="237"/>
        <v>3000</v>
      </c>
      <c r="N756" s="5">
        <f t="shared" si="238"/>
        <v>-1181</v>
      </c>
      <c r="O756" s="5">
        <f t="shared" si="239"/>
        <v>-1443</v>
      </c>
      <c r="P756" s="5">
        <f t="shared" si="240"/>
        <v>-1095</v>
      </c>
      <c r="Q756" s="8">
        <v>0</v>
      </c>
      <c r="R756" s="8">
        <v>6</v>
      </c>
      <c r="S756" s="8">
        <v>0</v>
      </c>
      <c r="T756" s="6">
        <f t="shared" si="241"/>
        <v>-945</v>
      </c>
      <c r="U756" s="7">
        <f t="shared" si="242"/>
        <v>4759</v>
      </c>
      <c r="V756" s="7">
        <f t="shared" si="243"/>
        <v>4497</v>
      </c>
      <c r="W756" s="7">
        <f t="shared" si="244"/>
        <v>4785</v>
      </c>
      <c r="X756" s="6"/>
      <c r="Y756" s="5"/>
      <c r="Z756" s="5"/>
      <c r="AA756" s="5"/>
      <c r="AB756" s="5"/>
    </row>
    <row r="757" spans="1:28" ht="13.15" customHeight="1">
      <c r="A757" s="10">
        <f t="shared" si="225"/>
        <v>743</v>
      </c>
      <c r="B757" s="4">
        <f t="shared" si="226"/>
        <v>45786</v>
      </c>
      <c r="C757" s="10">
        <f t="shared" si="227"/>
        <v>842</v>
      </c>
      <c r="D757" s="9">
        <f t="shared" si="228"/>
        <v>2712</v>
      </c>
      <c r="E757" s="8">
        <f t="shared" si="229"/>
        <v>1798</v>
      </c>
      <c r="F757" s="8">
        <f t="shared" si="230"/>
        <v>2006</v>
      </c>
      <c r="G757" s="8">
        <f t="shared" si="231"/>
        <v>1649</v>
      </c>
      <c r="H757" s="5">
        <f t="shared" si="232"/>
        <v>1756</v>
      </c>
      <c r="I757" s="5">
        <f t="shared" si="233"/>
        <v>1548</v>
      </c>
      <c r="J757" s="5">
        <f t="shared" si="234"/>
        <v>1905</v>
      </c>
      <c r="K757" s="5">
        <f t="shared" si="235"/>
        <v>3000</v>
      </c>
      <c r="L757" s="5">
        <f t="shared" si="236"/>
        <v>3000</v>
      </c>
      <c r="M757" s="5">
        <f t="shared" si="237"/>
        <v>3000</v>
      </c>
      <c r="N757" s="5">
        <f t="shared" si="238"/>
        <v>-1244</v>
      </c>
      <c r="O757" s="5">
        <f t="shared" si="239"/>
        <v>-1452</v>
      </c>
      <c r="P757" s="5">
        <f t="shared" si="240"/>
        <v>-1095</v>
      </c>
      <c r="Q757" s="8">
        <v>63</v>
      </c>
      <c r="R757" s="8">
        <v>9</v>
      </c>
      <c r="S757" s="8">
        <v>0</v>
      </c>
      <c r="T757" s="6">
        <f t="shared" si="241"/>
        <v>-934</v>
      </c>
      <c r="U757" s="7">
        <f t="shared" si="242"/>
        <v>4696</v>
      </c>
      <c r="V757" s="7">
        <f t="shared" si="243"/>
        <v>4488</v>
      </c>
      <c r="W757" s="7">
        <f t="shared" si="244"/>
        <v>4785</v>
      </c>
      <c r="X757" s="6"/>
      <c r="Y757" s="5"/>
      <c r="Z757" s="5"/>
      <c r="AA757" s="5"/>
      <c r="AB757" s="5"/>
    </row>
    <row r="758" spans="1:28" ht="13.15" customHeight="1">
      <c r="A758" s="10">
        <f t="shared" si="225"/>
        <v>744</v>
      </c>
      <c r="B758" s="4">
        <f t="shared" si="226"/>
        <v>45787</v>
      </c>
      <c r="C758" s="10">
        <f t="shared" si="227"/>
        <v>842</v>
      </c>
      <c r="D758" s="9">
        <f t="shared" si="228"/>
        <v>2714</v>
      </c>
      <c r="E758" s="8">
        <f t="shared" si="229"/>
        <v>1800</v>
      </c>
      <c r="F758" s="8">
        <f t="shared" si="230"/>
        <v>2014</v>
      </c>
      <c r="G758" s="8">
        <f t="shared" si="231"/>
        <v>1652</v>
      </c>
      <c r="H758" s="5">
        <f t="shared" si="232"/>
        <v>1756</v>
      </c>
      <c r="I758" s="5">
        <f t="shared" si="233"/>
        <v>1542</v>
      </c>
      <c r="J758" s="5">
        <f t="shared" si="234"/>
        <v>1904</v>
      </c>
      <c r="K758" s="5">
        <f t="shared" si="235"/>
        <v>3000</v>
      </c>
      <c r="L758" s="5">
        <f t="shared" si="236"/>
        <v>3000</v>
      </c>
      <c r="M758" s="5">
        <f t="shared" si="237"/>
        <v>3000</v>
      </c>
      <c r="N758" s="5">
        <f t="shared" si="238"/>
        <v>-1244</v>
      </c>
      <c r="O758" s="5">
        <f t="shared" si="239"/>
        <v>-1458</v>
      </c>
      <c r="P758" s="5">
        <f t="shared" si="240"/>
        <v>-1096</v>
      </c>
      <c r="Q758" s="8">
        <v>0</v>
      </c>
      <c r="R758" s="8">
        <v>6</v>
      </c>
      <c r="S758" s="8">
        <v>1</v>
      </c>
      <c r="T758" s="6">
        <f t="shared" si="241"/>
        <v>-926</v>
      </c>
      <c r="U758" s="7">
        <f t="shared" si="242"/>
        <v>4696</v>
      </c>
      <c r="V758" s="7">
        <f t="shared" si="243"/>
        <v>4482</v>
      </c>
      <c r="W758" s="7">
        <f t="shared" si="244"/>
        <v>4784</v>
      </c>
      <c r="X758" s="6"/>
      <c r="Y758" s="5"/>
      <c r="Z758" s="5"/>
      <c r="AA758" s="5"/>
      <c r="AB758" s="5"/>
    </row>
    <row r="759" spans="1:28" s="171" customFormat="1" ht="13.15" customHeight="1">
      <c r="A759" s="166">
        <f t="shared" si="225"/>
        <v>745</v>
      </c>
      <c r="B759" s="167">
        <f t="shared" si="226"/>
        <v>45788</v>
      </c>
      <c r="C759" s="166">
        <f t="shared" si="227"/>
        <v>842</v>
      </c>
      <c r="D759" s="168">
        <f t="shared" si="228"/>
        <v>2716</v>
      </c>
      <c r="E759" s="169">
        <f t="shared" si="229"/>
        <v>1802</v>
      </c>
      <c r="F759" s="169">
        <f t="shared" si="230"/>
        <v>2024</v>
      </c>
      <c r="G759" s="169">
        <f t="shared" si="231"/>
        <v>1654</v>
      </c>
      <c r="H759" s="169">
        <f t="shared" si="232"/>
        <v>1756</v>
      </c>
      <c r="I759" s="169">
        <f t="shared" si="233"/>
        <v>1534</v>
      </c>
      <c r="J759" s="169">
        <f t="shared" si="234"/>
        <v>1904</v>
      </c>
      <c r="K759" s="169">
        <f t="shared" si="235"/>
        <v>3000</v>
      </c>
      <c r="L759" s="169">
        <f t="shared" si="236"/>
        <v>3000</v>
      </c>
      <c r="M759" s="169">
        <f t="shared" si="237"/>
        <v>3000</v>
      </c>
      <c r="N759" s="169">
        <f t="shared" si="238"/>
        <v>-1244</v>
      </c>
      <c r="O759" s="169">
        <f t="shared" si="239"/>
        <v>-1466</v>
      </c>
      <c r="P759" s="169">
        <f t="shared" si="240"/>
        <v>-1096</v>
      </c>
      <c r="Q759" s="169">
        <v>0</v>
      </c>
      <c r="R759" s="19">
        <v>8</v>
      </c>
      <c r="S759" s="169">
        <v>0</v>
      </c>
      <c r="T759" s="169">
        <f t="shared" si="241"/>
        <v>-1216</v>
      </c>
      <c r="U759" s="170">
        <f t="shared" si="242"/>
        <v>4996</v>
      </c>
      <c r="V759" s="170">
        <f t="shared" si="243"/>
        <v>4774</v>
      </c>
      <c r="W759" s="170">
        <f t="shared" si="244"/>
        <v>5084</v>
      </c>
      <c r="X759" s="259">
        <v>0.3</v>
      </c>
      <c r="Y759" s="169"/>
      <c r="Z759" s="169"/>
      <c r="AA759" s="169"/>
      <c r="AB759" s="169" t="s">
        <v>75</v>
      </c>
    </row>
    <row r="760" spans="1:28" ht="13.15" customHeight="1">
      <c r="A760" s="10">
        <f t="shared" si="225"/>
        <v>746</v>
      </c>
      <c r="B760" s="172">
        <f>B759+3</f>
        <v>45791</v>
      </c>
      <c r="C760" s="10">
        <f t="shared" si="227"/>
        <v>842</v>
      </c>
      <c r="D760" s="9">
        <f t="shared" si="228"/>
        <v>2718</v>
      </c>
      <c r="E760" s="8">
        <f t="shared" si="229"/>
        <v>1832</v>
      </c>
      <c r="F760" s="8">
        <f t="shared" si="230"/>
        <v>2046</v>
      </c>
      <c r="G760" s="8">
        <f t="shared" si="231"/>
        <v>1678</v>
      </c>
      <c r="H760" s="5">
        <f t="shared" si="232"/>
        <v>1728</v>
      </c>
      <c r="I760" s="5">
        <f t="shared" si="233"/>
        <v>1514</v>
      </c>
      <c r="J760" s="5">
        <f t="shared" si="234"/>
        <v>1882</v>
      </c>
      <c r="K760" s="5">
        <f t="shared" si="235"/>
        <v>3000</v>
      </c>
      <c r="L760" s="5">
        <f t="shared" si="236"/>
        <v>3000</v>
      </c>
      <c r="M760" s="5">
        <f t="shared" si="237"/>
        <v>3000</v>
      </c>
      <c r="N760" s="5">
        <f t="shared" si="238"/>
        <v>-1272</v>
      </c>
      <c r="O760" s="5">
        <f t="shared" si="239"/>
        <v>-1486</v>
      </c>
      <c r="P760" s="5">
        <f t="shared" si="240"/>
        <v>-1118</v>
      </c>
      <c r="Q760" s="257">
        <v>28</v>
      </c>
      <c r="R760" s="8">
        <v>20</v>
      </c>
      <c r="S760" s="257">
        <v>22</v>
      </c>
      <c r="T760" s="6">
        <f t="shared" si="241"/>
        <v>-1194</v>
      </c>
      <c r="U760" s="7">
        <f t="shared" si="242"/>
        <v>4968</v>
      </c>
      <c r="V760" s="7">
        <f t="shared" si="243"/>
        <v>4754</v>
      </c>
      <c r="W760" s="7">
        <f t="shared" si="244"/>
        <v>5062</v>
      </c>
      <c r="X760" s="6"/>
      <c r="Y760" s="5"/>
      <c r="Z760" s="5"/>
      <c r="AA760" s="5"/>
      <c r="AB760" s="5"/>
    </row>
    <row r="761" spans="1:28" ht="13.15" customHeight="1">
      <c r="A761" s="10">
        <f t="shared" si="225"/>
        <v>747</v>
      </c>
      <c r="B761" s="172">
        <f>B760+4</f>
        <v>45795</v>
      </c>
      <c r="C761" s="10">
        <f t="shared" si="227"/>
        <v>842</v>
      </c>
      <c r="D761" s="9">
        <f t="shared" si="228"/>
        <v>2720</v>
      </c>
      <c r="E761" s="8">
        <f t="shared" si="229"/>
        <v>1867</v>
      </c>
      <c r="F761" s="8">
        <f t="shared" si="230"/>
        <v>2073</v>
      </c>
      <c r="G761" s="8">
        <f t="shared" si="231"/>
        <v>1704</v>
      </c>
      <c r="H761" s="5">
        <f t="shared" si="232"/>
        <v>1695</v>
      </c>
      <c r="I761" s="5">
        <f t="shared" si="233"/>
        <v>1489</v>
      </c>
      <c r="J761" s="5">
        <f t="shared" si="234"/>
        <v>1858</v>
      </c>
      <c r="K761" s="5">
        <f t="shared" si="235"/>
        <v>3000</v>
      </c>
      <c r="L761" s="5">
        <f t="shared" si="236"/>
        <v>3000</v>
      </c>
      <c r="M761" s="5">
        <f t="shared" si="237"/>
        <v>3000</v>
      </c>
      <c r="N761" s="5">
        <f t="shared" si="238"/>
        <v>-1305</v>
      </c>
      <c r="O761" s="5">
        <f t="shared" si="239"/>
        <v>-1511</v>
      </c>
      <c r="P761" s="5">
        <f t="shared" si="240"/>
        <v>-1142</v>
      </c>
      <c r="Q761" s="257">
        <v>33</v>
      </c>
      <c r="R761" s="8">
        <v>25</v>
      </c>
      <c r="S761" s="257">
        <v>24</v>
      </c>
      <c r="T761" s="6">
        <f t="shared" si="241"/>
        <v>-1167</v>
      </c>
      <c r="U761" s="7">
        <f t="shared" si="242"/>
        <v>4935</v>
      </c>
      <c r="V761" s="7">
        <f t="shared" si="243"/>
        <v>4729</v>
      </c>
      <c r="W761" s="7">
        <f t="shared" si="244"/>
        <v>5038</v>
      </c>
      <c r="X761" s="6"/>
      <c r="Y761" s="5"/>
      <c r="Z761" s="5"/>
      <c r="AA761" s="5"/>
      <c r="AB761" s="5"/>
    </row>
    <row r="762" spans="1:28" ht="13.15" customHeight="1">
      <c r="A762" s="10">
        <f t="shared" si="225"/>
        <v>748</v>
      </c>
      <c r="B762" s="172">
        <f>B761+3</f>
        <v>45798</v>
      </c>
      <c r="C762" s="10">
        <f t="shared" si="227"/>
        <v>842</v>
      </c>
      <c r="D762" s="9">
        <f t="shared" si="228"/>
        <v>2722</v>
      </c>
      <c r="E762" s="8">
        <f t="shared" si="229"/>
        <v>1889</v>
      </c>
      <c r="F762" s="8">
        <f t="shared" si="230"/>
        <v>2094</v>
      </c>
      <c r="G762" s="8">
        <f t="shared" si="231"/>
        <v>1726</v>
      </c>
      <c r="H762" s="5">
        <f t="shared" si="232"/>
        <v>1675</v>
      </c>
      <c r="I762" s="5">
        <f t="shared" si="233"/>
        <v>1470</v>
      </c>
      <c r="J762" s="5">
        <f t="shared" si="234"/>
        <v>1838</v>
      </c>
      <c r="K762" s="5">
        <f t="shared" si="235"/>
        <v>3000</v>
      </c>
      <c r="L762" s="5">
        <f t="shared" si="236"/>
        <v>3000</v>
      </c>
      <c r="M762" s="5">
        <f t="shared" si="237"/>
        <v>3000</v>
      </c>
      <c r="N762" s="5">
        <f t="shared" si="238"/>
        <v>-1325</v>
      </c>
      <c r="O762" s="5">
        <f t="shared" si="239"/>
        <v>-1530</v>
      </c>
      <c r="P762" s="5">
        <f t="shared" si="240"/>
        <v>-1162</v>
      </c>
      <c r="Q762" s="257">
        <v>20</v>
      </c>
      <c r="R762" s="8">
        <v>19</v>
      </c>
      <c r="S762" s="257">
        <v>20</v>
      </c>
      <c r="T762" s="6">
        <f t="shared" si="241"/>
        <v>-1146</v>
      </c>
      <c r="U762" s="7">
        <f t="shared" si="242"/>
        <v>4915</v>
      </c>
      <c r="V762" s="7">
        <f t="shared" si="243"/>
        <v>4710</v>
      </c>
      <c r="W762" s="7">
        <f t="shared" si="244"/>
        <v>5018</v>
      </c>
      <c r="X762" s="6"/>
      <c r="Y762" s="5"/>
      <c r="Z762" s="5"/>
      <c r="AA762" s="5"/>
      <c r="AB762" s="5"/>
    </row>
    <row r="763" spans="1:28" s="177" customFormat="1" ht="13.15" customHeight="1">
      <c r="A763" s="174">
        <f t="shared" si="225"/>
        <v>749</v>
      </c>
      <c r="B763" s="173">
        <f>B762+4</f>
        <v>45802</v>
      </c>
      <c r="C763" s="174">
        <f t="shared" si="227"/>
        <v>842</v>
      </c>
      <c r="D763" s="175">
        <f t="shared" si="228"/>
        <v>2724</v>
      </c>
      <c r="E763" s="11">
        <f t="shared" si="229"/>
        <v>1918</v>
      </c>
      <c r="F763" s="11">
        <f t="shared" si="230"/>
        <v>2118</v>
      </c>
      <c r="G763" s="11">
        <f t="shared" si="231"/>
        <v>1752</v>
      </c>
      <c r="H763" s="11">
        <f t="shared" si="232"/>
        <v>1648</v>
      </c>
      <c r="I763" s="11">
        <f t="shared" si="233"/>
        <v>1448</v>
      </c>
      <c r="J763" s="11">
        <f t="shared" si="234"/>
        <v>1814</v>
      </c>
      <c r="K763" s="11">
        <f t="shared" si="235"/>
        <v>3000</v>
      </c>
      <c r="L763" s="11">
        <f t="shared" si="236"/>
        <v>3000</v>
      </c>
      <c r="M763" s="11">
        <f t="shared" si="237"/>
        <v>3000</v>
      </c>
      <c r="N763" s="11">
        <f t="shared" si="238"/>
        <v>-1352</v>
      </c>
      <c r="O763" s="11">
        <f t="shared" si="239"/>
        <v>-1552</v>
      </c>
      <c r="P763" s="11">
        <f t="shared" si="240"/>
        <v>-1186</v>
      </c>
      <c r="Q763" s="29">
        <v>27</v>
      </c>
      <c r="R763" s="11">
        <v>22</v>
      </c>
      <c r="S763" s="29">
        <v>24</v>
      </c>
      <c r="T763" s="11">
        <f t="shared" si="241"/>
        <v>-1122</v>
      </c>
      <c r="U763" s="176">
        <f t="shared" si="242"/>
        <v>4888</v>
      </c>
      <c r="V763" s="176">
        <f t="shared" si="243"/>
        <v>4688</v>
      </c>
      <c r="W763" s="176">
        <f t="shared" si="244"/>
        <v>4994</v>
      </c>
      <c r="X763" s="11"/>
      <c r="Y763" s="11"/>
      <c r="Z763" s="11"/>
      <c r="AA763" s="11"/>
      <c r="AB763" s="11"/>
    </row>
    <row r="764" spans="1:28" ht="13.15" customHeight="1">
      <c r="A764" s="10">
        <f t="shared" si="225"/>
        <v>750</v>
      </c>
      <c r="B764" s="172">
        <f>B763+3</f>
        <v>45805</v>
      </c>
      <c r="C764" s="10">
        <f t="shared" si="227"/>
        <v>842</v>
      </c>
      <c r="D764" s="9">
        <f t="shared" si="228"/>
        <v>2726</v>
      </c>
      <c r="E764" s="8">
        <f t="shared" si="229"/>
        <v>1938</v>
      </c>
      <c r="F764" s="8">
        <f t="shared" si="230"/>
        <v>2136</v>
      </c>
      <c r="G764" s="8">
        <f t="shared" si="231"/>
        <v>1770</v>
      </c>
      <c r="H764" s="5">
        <f t="shared" si="232"/>
        <v>1630</v>
      </c>
      <c r="I764" s="5">
        <f t="shared" si="233"/>
        <v>1432</v>
      </c>
      <c r="J764" s="5">
        <f t="shared" si="234"/>
        <v>1798</v>
      </c>
      <c r="K764" s="5">
        <f t="shared" si="235"/>
        <v>3000</v>
      </c>
      <c r="L764" s="5">
        <f t="shared" si="236"/>
        <v>3000</v>
      </c>
      <c r="M764" s="5">
        <f t="shared" si="237"/>
        <v>3000</v>
      </c>
      <c r="N764" s="5">
        <f t="shared" si="238"/>
        <v>-1370</v>
      </c>
      <c r="O764" s="5">
        <f t="shared" si="239"/>
        <v>-1568</v>
      </c>
      <c r="P764" s="5">
        <f t="shared" si="240"/>
        <v>-1202</v>
      </c>
      <c r="Q764" s="257">
        <v>18</v>
      </c>
      <c r="R764" s="8">
        <v>16</v>
      </c>
      <c r="S764" s="257">
        <v>16</v>
      </c>
      <c r="T764" s="6">
        <f t="shared" si="241"/>
        <v>-1104</v>
      </c>
      <c r="U764" s="7">
        <f t="shared" si="242"/>
        <v>4870</v>
      </c>
      <c r="V764" s="7">
        <f t="shared" si="243"/>
        <v>4672</v>
      </c>
      <c r="W764" s="7">
        <f t="shared" si="244"/>
        <v>4978</v>
      </c>
      <c r="X764" s="6"/>
      <c r="Y764" s="5"/>
      <c r="Z764" s="5"/>
      <c r="AA764" s="5"/>
      <c r="AB764" s="5"/>
    </row>
    <row r="765" spans="1:28" ht="13.15" customHeight="1">
      <c r="A765" s="10">
        <f t="shared" si="225"/>
        <v>751</v>
      </c>
      <c r="B765" s="172">
        <f>B764+4</f>
        <v>45809</v>
      </c>
      <c r="C765" s="10">
        <f t="shared" si="227"/>
        <v>842</v>
      </c>
      <c r="D765" s="9">
        <f t="shared" si="228"/>
        <v>2728</v>
      </c>
      <c r="E765" s="8">
        <f t="shared" si="229"/>
        <v>1966</v>
      </c>
      <c r="F765" s="8">
        <f t="shared" si="230"/>
        <v>2158</v>
      </c>
      <c r="G765" s="8">
        <f t="shared" si="231"/>
        <v>1796</v>
      </c>
      <c r="H765" s="5">
        <f t="shared" si="232"/>
        <v>1604</v>
      </c>
      <c r="I765" s="5">
        <f t="shared" si="233"/>
        <v>1412</v>
      </c>
      <c r="J765" s="5">
        <f t="shared" si="234"/>
        <v>1774</v>
      </c>
      <c r="K765" s="5">
        <f t="shared" si="235"/>
        <v>3000</v>
      </c>
      <c r="L765" s="5">
        <f t="shared" si="236"/>
        <v>3000</v>
      </c>
      <c r="M765" s="5">
        <f t="shared" si="237"/>
        <v>3000</v>
      </c>
      <c r="N765" s="5">
        <f t="shared" si="238"/>
        <v>-1396</v>
      </c>
      <c r="O765" s="5">
        <f t="shared" si="239"/>
        <v>-1588</v>
      </c>
      <c r="P765" s="5">
        <f t="shared" si="240"/>
        <v>-1226</v>
      </c>
      <c r="Q765" s="257">
        <v>26</v>
      </c>
      <c r="R765" s="8">
        <v>20</v>
      </c>
      <c r="S765" s="257">
        <v>24</v>
      </c>
      <c r="T765" s="6">
        <f t="shared" si="241"/>
        <v>-1082</v>
      </c>
      <c r="U765" s="7">
        <f t="shared" si="242"/>
        <v>4844</v>
      </c>
      <c r="V765" s="7">
        <f t="shared" si="243"/>
        <v>4652</v>
      </c>
      <c r="W765" s="7">
        <f t="shared" si="244"/>
        <v>4954</v>
      </c>
      <c r="X765" s="6"/>
      <c r="Y765" s="5"/>
      <c r="Z765" s="5"/>
      <c r="AA765" s="5"/>
      <c r="AB765" s="5"/>
    </row>
    <row r="766" spans="1:28" ht="13.15" customHeight="1">
      <c r="A766" s="10">
        <f t="shared" si="225"/>
        <v>752</v>
      </c>
      <c r="B766" s="172">
        <f>B765+3</f>
        <v>45812</v>
      </c>
      <c r="C766" s="10">
        <f t="shared" si="227"/>
        <v>842</v>
      </c>
      <c r="D766" s="9">
        <f t="shared" si="228"/>
        <v>2730</v>
      </c>
      <c r="E766" s="8">
        <f t="shared" si="229"/>
        <v>1977</v>
      </c>
      <c r="F766" s="8">
        <f t="shared" si="230"/>
        <v>2172</v>
      </c>
      <c r="G766" s="8">
        <f t="shared" si="231"/>
        <v>1814</v>
      </c>
      <c r="H766" s="5">
        <f t="shared" si="232"/>
        <v>1595</v>
      </c>
      <c r="I766" s="5">
        <f t="shared" si="233"/>
        <v>1400</v>
      </c>
      <c r="J766" s="5">
        <f t="shared" si="234"/>
        <v>1758</v>
      </c>
      <c r="K766" s="5">
        <f t="shared" si="235"/>
        <v>3000</v>
      </c>
      <c r="L766" s="5">
        <f t="shared" si="236"/>
        <v>3000</v>
      </c>
      <c r="M766" s="5">
        <f t="shared" si="237"/>
        <v>3000</v>
      </c>
      <c r="N766" s="5">
        <f t="shared" si="238"/>
        <v>-1405</v>
      </c>
      <c r="O766" s="5">
        <f t="shared" si="239"/>
        <v>-1600</v>
      </c>
      <c r="P766" s="5">
        <f t="shared" si="240"/>
        <v>-1242</v>
      </c>
      <c r="Q766" s="257">
        <v>9</v>
      </c>
      <c r="R766" s="8">
        <v>12</v>
      </c>
      <c r="S766" s="257">
        <v>16</v>
      </c>
      <c r="T766" s="6">
        <f t="shared" si="241"/>
        <v>-1068</v>
      </c>
      <c r="U766" s="7">
        <f t="shared" si="242"/>
        <v>4835</v>
      </c>
      <c r="V766" s="7">
        <f t="shared" si="243"/>
        <v>4640</v>
      </c>
      <c r="W766" s="7">
        <f t="shared" si="244"/>
        <v>4938</v>
      </c>
      <c r="X766" s="6"/>
      <c r="Y766" s="5"/>
      <c r="Z766" s="5"/>
      <c r="AA766" s="5"/>
      <c r="AB766" s="5"/>
    </row>
    <row r="767" spans="1:28" s="177" customFormat="1" ht="13.15" customHeight="1">
      <c r="A767" s="174">
        <f t="shared" si="225"/>
        <v>753</v>
      </c>
      <c r="B767" s="173">
        <f>B766+4</f>
        <v>45816</v>
      </c>
      <c r="C767" s="174">
        <f t="shared" si="227"/>
        <v>842</v>
      </c>
      <c r="D767" s="175">
        <f t="shared" si="228"/>
        <v>2732</v>
      </c>
      <c r="E767" s="11">
        <f t="shared" si="229"/>
        <v>1995</v>
      </c>
      <c r="F767" s="11">
        <f t="shared" si="230"/>
        <v>2193</v>
      </c>
      <c r="G767" s="11">
        <f t="shared" si="231"/>
        <v>1838</v>
      </c>
      <c r="H767" s="11">
        <f t="shared" si="232"/>
        <v>1579</v>
      </c>
      <c r="I767" s="11">
        <f t="shared" si="233"/>
        <v>1381</v>
      </c>
      <c r="J767" s="11">
        <f t="shared" si="234"/>
        <v>1736</v>
      </c>
      <c r="K767" s="11">
        <f t="shared" si="235"/>
        <v>3000</v>
      </c>
      <c r="L767" s="11">
        <f t="shared" si="236"/>
        <v>3000</v>
      </c>
      <c r="M767" s="11">
        <f t="shared" si="237"/>
        <v>3000</v>
      </c>
      <c r="N767" s="11">
        <f t="shared" si="238"/>
        <v>-1421</v>
      </c>
      <c r="O767" s="11">
        <f t="shared" si="239"/>
        <v>-1619</v>
      </c>
      <c r="P767" s="11">
        <f t="shared" si="240"/>
        <v>-1264</v>
      </c>
      <c r="Q767" s="29">
        <v>16</v>
      </c>
      <c r="R767" s="11">
        <v>19</v>
      </c>
      <c r="S767" s="29">
        <v>22</v>
      </c>
      <c r="T767" s="11">
        <f t="shared" si="241"/>
        <v>-1047</v>
      </c>
      <c r="U767" s="176">
        <f t="shared" si="242"/>
        <v>4819</v>
      </c>
      <c r="V767" s="176">
        <f t="shared" si="243"/>
        <v>4621</v>
      </c>
      <c r="W767" s="176">
        <f t="shared" si="244"/>
        <v>4916</v>
      </c>
      <c r="X767" s="11"/>
      <c r="Y767" s="11"/>
      <c r="Z767" s="11"/>
      <c r="AA767" s="11"/>
      <c r="AB767" s="11"/>
    </row>
    <row r="768" spans="1:28" ht="13.15" customHeight="1">
      <c r="A768" s="10">
        <f t="shared" si="225"/>
        <v>754</v>
      </c>
      <c r="B768" s="4">
        <f>B767+7</f>
        <v>45823</v>
      </c>
      <c r="C768" s="10">
        <f t="shared" si="227"/>
        <v>842</v>
      </c>
      <c r="D768" s="9">
        <f t="shared" si="228"/>
        <v>2734</v>
      </c>
      <c r="E768" s="8">
        <f t="shared" si="229"/>
        <v>2027</v>
      </c>
      <c r="F768" s="8">
        <f t="shared" si="230"/>
        <v>2218</v>
      </c>
      <c r="G768" s="8">
        <f t="shared" si="231"/>
        <v>1866</v>
      </c>
      <c r="H768" s="5">
        <f t="shared" si="232"/>
        <v>1549</v>
      </c>
      <c r="I768" s="5">
        <f t="shared" si="233"/>
        <v>1358</v>
      </c>
      <c r="J768" s="5">
        <f t="shared" si="234"/>
        <v>1710</v>
      </c>
      <c r="K768" s="5">
        <f t="shared" si="235"/>
        <v>3000</v>
      </c>
      <c r="L768" s="5">
        <f t="shared" si="236"/>
        <v>3000</v>
      </c>
      <c r="M768" s="5">
        <f t="shared" si="237"/>
        <v>3000</v>
      </c>
      <c r="N768" s="5">
        <f t="shared" si="238"/>
        <v>-1451</v>
      </c>
      <c r="O768" s="5">
        <f t="shared" si="239"/>
        <v>-1642</v>
      </c>
      <c r="P768" s="5">
        <f t="shared" si="240"/>
        <v>-1290</v>
      </c>
      <c r="Q768" s="257">
        <v>30</v>
      </c>
      <c r="R768" s="8">
        <v>23</v>
      </c>
      <c r="S768" s="257">
        <v>26</v>
      </c>
      <c r="T768" s="6">
        <f t="shared" si="241"/>
        <v>-1022</v>
      </c>
      <c r="U768" s="7">
        <f t="shared" si="242"/>
        <v>4789</v>
      </c>
      <c r="V768" s="7">
        <f t="shared" si="243"/>
        <v>4598</v>
      </c>
      <c r="W768" s="7">
        <f t="shared" si="244"/>
        <v>4890</v>
      </c>
      <c r="X768" s="6"/>
      <c r="Y768" s="5"/>
      <c r="Z768" s="5"/>
      <c r="AA768" s="5"/>
      <c r="AB768" s="5"/>
    </row>
    <row r="769" spans="1:28" ht="13.15" customHeight="1">
      <c r="A769" s="10">
        <f t="shared" si="225"/>
        <v>755</v>
      </c>
      <c r="B769" s="4">
        <f t="shared" ref="B769:B774" si="245">B768+7</f>
        <v>45830</v>
      </c>
      <c r="C769" s="10">
        <f t="shared" si="227"/>
        <v>842</v>
      </c>
      <c r="D769" s="9">
        <f t="shared" si="228"/>
        <v>2736</v>
      </c>
      <c r="E769" s="8">
        <f t="shared" si="229"/>
        <v>2049</v>
      </c>
      <c r="F769" s="8">
        <f t="shared" si="230"/>
        <v>2240</v>
      </c>
      <c r="G769" s="8">
        <f t="shared" si="231"/>
        <v>1890</v>
      </c>
      <c r="H769" s="5">
        <f t="shared" si="232"/>
        <v>1529</v>
      </c>
      <c r="I769" s="5">
        <f t="shared" si="233"/>
        <v>1338</v>
      </c>
      <c r="J769" s="5">
        <f t="shared" si="234"/>
        <v>1688</v>
      </c>
      <c r="K769" s="5">
        <f t="shared" si="235"/>
        <v>3000</v>
      </c>
      <c r="L769" s="5">
        <f t="shared" si="236"/>
        <v>3000</v>
      </c>
      <c r="M769" s="5">
        <f t="shared" si="237"/>
        <v>3000</v>
      </c>
      <c r="N769" s="5">
        <f t="shared" si="238"/>
        <v>-1471</v>
      </c>
      <c r="O769" s="5">
        <f t="shared" si="239"/>
        <v>-1662</v>
      </c>
      <c r="P769" s="5">
        <f t="shared" si="240"/>
        <v>-1312</v>
      </c>
      <c r="Q769" s="257">
        <v>20</v>
      </c>
      <c r="R769" s="8">
        <v>20</v>
      </c>
      <c r="S769" s="257">
        <v>22</v>
      </c>
      <c r="T769" s="6">
        <f t="shared" si="241"/>
        <v>-1000</v>
      </c>
      <c r="U769" s="7">
        <f t="shared" si="242"/>
        <v>4769</v>
      </c>
      <c r="V769" s="7">
        <f t="shared" si="243"/>
        <v>4578</v>
      </c>
      <c r="W769" s="7">
        <f t="shared" si="244"/>
        <v>4868</v>
      </c>
      <c r="X769" s="6"/>
      <c r="Y769" s="5"/>
      <c r="Z769" s="5"/>
      <c r="AA769" s="5"/>
      <c r="AB769" s="5"/>
    </row>
    <row r="770" spans="1:28" ht="13.15" customHeight="1">
      <c r="A770" s="10">
        <f t="shared" si="225"/>
        <v>756</v>
      </c>
      <c r="B770" s="4">
        <f t="shared" si="245"/>
        <v>45837</v>
      </c>
      <c r="C770" s="10">
        <f t="shared" si="227"/>
        <v>842</v>
      </c>
      <c r="D770" s="9">
        <f t="shared" si="228"/>
        <v>2738</v>
      </c>
      <c r="E770" s="8">
        <f t="shared" si="229"/>
        <v>2067</v>
      </c>
      <c r="F770" s="8">
        <f t="shared" si="230"/>
        <v>2261</v>
      </c>
      <c r="G770" s="8">
        <f t="shared" si="231"/>
        <v>1912</v>
      </c>
      <c r="H770" s="5">
        <f t="shared" si="232"/>
        <v>1513</v>
      </c>
      <c r="I770" s="5">
        <f t="shared" si="233"/>
        <v>1319</v>
      </c>
      <c r="J770" s="5">
        <f t="shared" si="234"/>
        <v>1668</v>
      </c>
      <c r="K770" s="5">
        <f t="shared" si="235"/>
        <v>3000</v>
      </c>
      <c r="L770" s="5">
        <f t="shared" si="236"/>
        <v>3000</v>
      </c>
      <c r="M770" s="5">
        <f t="shared" si="237"/>
        <v>3000</v>
      </c>
      <c r="N770" s="5">
        <f t="shared" si="238"/>
        <v>-1487</v>
      </c>
      <c r="O770" s="5">
        <f t="shared" si="239"/>
        <v>-1681</v>
      </c>
      <c r="P770" s="5">
        <f t="shared" si="240"/>
        <v>-1332</v>
      </c>
      <c r="Q770" s="8">
        <v>16</v>
      </c>
      <c r="R770" s="8">
        <v>19</v>
      </c>
      <c r="S770" s="257">
        <v>20</v>
      </c>
      <c r="T770" s="6">
        <f t="shared" si="241"/>
        <v>-979</v>
      </c>
      <c r="U770" s="7">
        <f t="shared" si="242"/>
        <v>4753</v>
      </c>
      <c r="V770" s="7">
        <f t="shared" si="243"/>
        <v>4559</v>
      </c>
      <c r="W770" s="7">
        <f t="shared" si="244"/>
        <v>4848</v>
      </c>
      <c r="X770" s="6"/>
      <c r="Y770" s="5"/>
      <c r="Z770" s="5"/>
      <c r="AA770" s="5"/>
      <c r="AB770" s="5"/>
    </row>
    <row r="771" spans="1:28" ht="13.15" customHeight="1">
      <c r="A771" s="10">
        <f t="shared" si="225"/>
        <v>757</v>
      </c>
      <c r="B771" s="4">
        <f t="shared" si="245"/>
        <v>45844</v>
      </c>
      <c r="C771" s="10">
        <f t="shared" si="227"/>
        <v>842</v>
      </c>
      <c r="D771" s="9">
        <f t="shared" si="228"/>
        <v>2740</v>
      </c>
      <c r="E771" s="8">
        <f t="shared" si="229"/>
        <v>2083</v>
      </c>
      <c r="F771" s="8">
        <f t="shared" si="230"/>
        <v>2282</v>
      </c>
      <c r="G771" s="8">
        <f t="shared" si="231"/>
        <v>1929</v>
      </c>
      <c r="H771" s="5">
        <f t="shared" si="232"/>
        <v>1499</v>
      </c>
      <c r="I771" s="5">
        <f t="shared" si="233"/>
        <v>1300</v>
      </c>
      <c r="J771" s="5">
        <f t="shared" si="234"/>
        <v>1653</v>
      </c>
      <c r="K771" s="5">
        <f t="shared" si="235"/>
        <v>3000</v>
      </c>
      <c r="L771" s="5">
        <f t="shared" si="236"/>
        <v>3000</v>
      </c>
      <c r="M771" s="5">
        <f t="shared" si="237"/>
        <v>3000</v>
      </c>
      <c r="N771" s="5">
        <f t="shared" si="238"/>
        <v>-1501</v>
      </c>
      <c r="O771" s="5">
        <f t="shared" si="239"/>
        <v>-1700</v>
      </c>
      <c r="P771" s="5">
        <f t="shared" si="240"/>
        <v>-1347</v>
      </c>
      <c r="Q771" s="8">
        <v>14</v>
      </c>
      <c r="R771" s="8">
        <v>19</v>
      </c>
      <c r="S771" s="257">
        <v>15</v>
      </c>
      <c r="T771" s="6">
        <f t="shared" si="241"/>
        <v>-958</v>
      </c>
      <c r="U771" s="7">
        <f t="shared" si="242"/>
        <v>4739</v>
      </c>
      <c r="V771" s="7">
        <f t="shared" si="243"/>
        <v>4540</v>
      </c>
      <c r="W771" s="7">
        <f t="shared" si="244"/>
        <v>4833</v>
      </c>
      <c r="X771" s="6"/>
      <c r="Y771" s="5"/>
      <c r="Z771" s="5"/>
      <c r="AA771" s="5"/>
      <c r="AB771" s="5"/>
    </row>
    <row r="772" spans="1:28" ht="13.15" customHeight="1">
      <c r="A772" s="10">
        <f t="shared" si="225"/>
        <v>758</v>
      </c>
      <c r="B772" s="4">
        <f t="shared" si="245"/>
        <v>45851</v>
      </c>
      <c r="C772" s="10">
        <f t="shared" si="227"/>
        <v>842</v>
      </c>
      <c r="D772" s="9">
        <f t="shared" si="228"/>
        <v>2742</v>
      </c>
      <c r="E772" s="8">
        <f t="shared" si="229"/>
        <v>2099</v>
      </c>
      <c r="F772" s="8">
        <f t="shared" si="230"/>
        <v>2301</v>
      </c>
      <c r="G772" s="8">
        <f t="shared" si="231"/>
        <v>1944</v>
      </c>
      <c r="H772" s="5">
        <f t="shared" si="232"/>
        <v>1485</v>
      </c>
      <c r="I772" s="5">
        <f t="shared" si="233"/>
        <v>1283</v>
      </c>
      <c r="J772" s="5">
        <f t="shared" si="234"/>
        <v>1640</v>
      </c>
      <c r="K772" s="5">
        <f t="shared" si="235"/>
        <v>3000</v>
      </c>
      <c r="L772" s="5">
        <f t="shared" si="236"/>
        <v>3000</v>
      </c>
      <c r="M772" s="5">
        <f t="shared" si="237"/>
        <v>3000</v>
      </c>
      <c r="N772" s="5">
        <f t="shared" si="238"/>
        <v>-1515</v>
      </c>
      <c r="O772" s="5">
        <f t="shared" si="239"/>
        <v>-1717</v>
      </c>
      <c r="P772" s="5">
        <f t="shared" si="240"/>
        <v>-1360</v>
      </c>
      <c r="Q772" s="8">
        <v>14</v>
      </c>
      <c r="R772" s="8">
        <v>17</v>
      </c>
      <c r="S772" s="257">
        <v>13</v>
      </c>
      <c r="T772" s="6">
        <f t="shared" si="241"/>
        <v>-939</v>
      </c>
      <c r="U772" s="7">
        <f t="shared" si="242"/>
        <v>4725</v>
      </c>
      <c r="V772" s="7">
        <f t="shared" si="243"/>
        <v>4523</v>
      </c>
      <c r="W772" s="7">
        <f t="shared" si="244"/>
        <v>4820</v>
      </c>
      <c r="X772" s="6"/>
      <c r="Y772" s="5"/>
      <c r="Z772" s="5"/>
      <c r="AA772" s="5"/>
      <c r="AB772" s="5"/>
    </row>
    <row r="773" spans="1:28" ht="13.15" customHeight="1">
      <c r="A773" s="10">
        <f t="shared" si="225"/>
        <v>759</v>
      </c>
      <c r="B773" s="172">
        <f t="shared" si="245"/>
        <v>45858</v>
      </c>
      <c r="C773" s="10">
        <f t="shared" si="227"/>
        <v>842</v>
      </c>
      <c r="D773" s="9">
        <f t="shared" si="228"/>
        <v>2744</v>
      </c>
      <c r="E773" s="8">
        <f t="shared" si="229"/>
        <v>2115</v>
      </c>
      <c r="F773" s="8">
        <f t="shared" si="230"/>
        <v>2317</v>
      </c>
      <c r="G773" s="8">
        <f t="shared" si="231"/>
        <v>1958</v>
      </c>
      <c r="H773" s="5">
        <f t="shared" si="232"/>
        <v>1471</v>
      </c>
      <c r="I773" s="5">
        <f t="shared" si="233"/>
        <v>1269</v>
      </c>
      <c r="J773" s="5">
        <f t="shared" si="234"/>
        <v>1628</v>
      </c>
      <c r="K773" s="5">
        <f t="shared" si="235"/>
        <v>3000</v>
      </c>
      <c r="L773" s="5">
        <f t="shared" si="236"/>
        <v>3000</v>
      </c>
      <c r="M773" s="5">
        <f t="shared" si="237"/>
        <v>3000</v>
      </c>
      <c r="N773" s="5">
        <f t="shared" si="238"/>
        <v>-1529</v>
      </c>
      <c r="O773" s="5">
        <f t="shared" si="239"/>
        <v>-1731</v>
      </c>
      <c r="P773" s="5">
        <f t="shared" si="240"/>
        <v>-1372</v>
      </c>
      <c r="Q773" s="8">
        <v>14</v>
      </c>
      <c r="R773" s="8">
        <v>14</v>
      </c>
      <c r="S773" s="257">
        <v>12</v>
      </c>
      <c r="T773" s="6">
        <f t="shared" si="241"/>
        <v>-923</v>
      </c>
      <c r="U773" s="7">
        <f t="shared" si="242"/>
        <v>4711</v>
      </c>
      <c r="V773" s="7">
        <f t="shared" si="243"/>
        <v>4509</v>
      </c>
      <c r="W773" s="7">
        <f t="shared" si="244"/>
        <v>4808</v>
      </c>
      <c r="X773" s="6"/>
      <c r="Y773" s="5"/>
      <c r="Z773" s="5"/>
      <c r="AA773" s="5"/>
      <c r="AB773" s="5"/>
    </row>
    <row r="774" spans="1:28" customFormat="1" ht="13.15" customHeight="1">
      <c r="A774" s="10">
        <f t="shared" si="225"/>
        <v>760</v>
      </c>
      <c r="B774" s="172">
        <f t="shared" si="245"/>
        <v>45865</v>
      </c>
      <c r="C774" s="10">
        <f t="shared" si="227"/>
        <v>842</v>
      </c>
      <c r="D774" s="9">
        <f t="shared" si="228"/>
        <v>2746</v>
      </c>
      <c r="E774" s="8">
        <f t="shared" ref="E774" si="246">C774+D774-H774</f>
        <v>2129</v>
      </c>
      <c r="F774" s="8">
        <f t="shared" ref="F774" si="247">C774+D774-I774</f>
        <v>2354</v>
      </c>
      <c r="G774" s="8">
        <f t="shared" ref="G774" si="248">D774+C774-J774</f>
        <v>1970</v>
      </c>
      <c r="H774" s="5">
        <f t="shared" ref="H774" si="249">K774+N774</f>
        <v>1459</v>
      </c>
      <c r="I774" s="5">
        <f t="shared" ref="I774" si="250">L774+O774</f>
        <v>1234</v>
      </c>
      <c r="J774" s="5">
        <f t="shared" ref="J774" si="251">M774+P774</f>
        <v>1618</v>
      </c>
      <c r="K774" s="5">
        <f t="shared" si="235"/>
        <v>3000</v>
      </c>
      <c r="L774" s="5">
        <f t="shared" si="236"/>
        <v>3000</v>
      </c>
      <c r="M774" s="5">
        <f t="shared" si="237"/>
        <v>3000</v>
      </c>
      <c r="N774" s="5">
        <f t="shared" ref="N774" si="252">N773-Q774</f>
        <v>-1541</v>
      </c>
      <c r="O774" s="5">
        <f t="shared" ref="O774" si="253">O773-R774</f>
        <v>-1766</v>
      </c>
      <c r="P774" s="5">
        <f t="shared" ref="P774" si="254">P773-S774</f>
        <v>-1382</v>
      </c>
      <c r="Q774" s="8">
        <v>12</v>
      </c>
      <c r="R774" s="183">
        <v>35</v>
      </c>
      <c r="S774" s="257">
        <v>10</v>
      </c>
      <c r="T774" s="6">
        <f t="shared" ref="T774" si="255">D774+C774-V774</f>
        <v>-886</v>
      </c>
      <c r="U774" s="7">
        <f t="shared" ref="U774" si="256">U773+$X774*1000-Q774</f>
        <v>4699</v>
      </c>
      <c r="V774" s="7">
        <f t="shared" ref="V774" si="257">V773+$X774*1000-R774</f>
        <v>4474</v>
      </c>
      <c r="W774" s="7">
        <f t="shared" ref="W774" si="258">W773+$X774*1000-S774</f>
        <v>4798</v>
      </c>
      <c r="X774" s="6"/>
      <c r="Y774" s="5"/>
      <c r="Z774" s="5"/>
      <c r="AA774" s="5"/>
      <c r="AB774" s="5"/>
    </row>
    <row r="775" spans="1:28" customFormat="1" ht="13.15" customHeight="1">
      <c r="R775" s="178"/>
    </row>
    <row r="776" spans="1:28" customFormat="1" ht="13.15" customHeight="1">
      <c r="N776">
        <v>-1541</v>
      </c>
      <c r="O776">
        <v>-1766</v>
      </c>
      <c r="P776">
        <v>-1382</v>
      </c>
      <c r="Q776" s="178">
        <f t="shared" ref="Q776:S776" si="259">N776-N774</f>
        <v>0</v>
      </c>
      <c r="R776" s="178">
        <f t="shared" si="259"/>
        <v>0</v>
      </c>
      <c r="S776" s="178">
        <f t="shared" si="259"/>
        <v>0</v>
      </c>
    </row>
    <row r="777" spans="1:28" customFormat="1" ht="13.15" customHeight="1"/>
    <row r="778" spans="1:28" customFormat="1" ht="13.15" customHeight="1"/>
    <row r="779" spans="1:28" customFormat="1" ht="13.15" customHeight="1"/>
    <row r="780" spans="1:28" customFormat="1" ht="13.15" customHeight="1"/>
    <row r="781" spans="1:28" customFormat="1" ht="13.15" customHeight="1"/>
    <row r="782" spans="1:28" customFormat="1" ht="13.15" customHeight="1"/>
    <row r="783" spans="1:28" customFormat="1" ht="13.15" customHeight="1"/>
    <row r="784" spans="1:28" customFormat="1" ht="13.15" customHeight="1"/>
    <row r="785" customFormat="1" ht="13.15" customHeight="1"/>
    <row r="786" customFormat="1" ht="13.15" customHeight="1"/>
    <row r="787" customFormat="1" ht="13.15" customHeight="1"/>
    <row r="788" customFormat="1" ht="13.15" customHeight="1"/>
    <row r="789" customFormat="1" ht="13.15" customHeight="1"/>
    <row r="790" customFormat="1" ht="13.15" customHeight="1"/>
    <row r="791" customFormat="1" ht="13.15" customHeight="1"/>
    <row r="792" customFormat="1" ht="13.15" customHeight="1"/>
    <row r="793" customFormat="1" ht="13.15" customHeight="1"/>
    <row r="794" customFormat="1" ht="13.15" customHeight="1"/>
    <row r="795" customFormat="1" ht="13.15" customHeight="1"/>
    <row r="796" customFormat="1" ht="13.15" customHeight="1"/>
    <row r="797" customFormat="1" ht="13.15" customHeight="1"/>
    <row r="798" customFormat="1" ht="13.15" customHeight="1"/>
  </sheetData>
  <mergeCells count="27"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  <mergeCell ref="A2:AB2"/>
    <mergeCell ref="A3:AB3"/>
    <mergeCell ref="A4:AB4"/>
    <mergeCell ref="A5:H5"/>
    <mergeCell ref="I5:R5"/>
    <mergeCell ref="S5:AB5"/>
    <mergeCell ref="B12:B13"/>
    <mergeCell ref="C12:C13"/>
    <mergeCell ref="D12:D13"/>
    <mergeCell ref="E12:G12"/>
    <mergeCell ref="N12:P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41F9-C69B-4A88-B476-B536757FB35B}">
  <sheetPr>
    <tabColor rgb="FFFFFF00"/>
    <pageSetUpPr fitToPage="1"/>
  </sheetPr>
  <dimension ref="A1:AF781"/>
  <sheetViews>
    <sheetView view="pageBreakPreview" topLeftCell="B1" zoomScale="80" zoomScaleNormal="80" zoomScaleSheetLayoutView="80" workbookViewId="0">
      <pane ySplit="12" topLeftCell="A763" activePane="bottomLeft" state="frozen"/>
      <selection activeCell="Q528" sqref="Q528:S764"/>
      <selection pane="bottomLeft" activeCell="B767" sqref="B767:AB781"/>
    </sheetView>
  </sheetViews>
  <sheetFormatPr defaultColWidth="9.140625" defaultRowHeight="15.75"/>
  <cols>
    <col min="1" max="1" width="6.42578125" style="49" hidden="1" customWidth="1"/>
    <col min="2" max="2" width="11.85546875" style="61" customWidth="1"/>
    <col min="3" max="3" width="9.28515625" style="60" customWidth="1"/>
    <col min="4" max="4" width="7.42578125" style="60" customWidth="1"/>
    <col min="5" max="5" width="9.42578125" style="59" customWidth="1"/>
    <col min="6" max="6" width="8.28515625" style="59" customWidth="1"/>
    <col min="7" max="8" width="8.140625" style="58" customWidth="1"/>
    <col min="9" max="9" width="9.140625" style="58" customWidth="1"/>
    <col min="10" max="10" width="11.140625" style="57" bestFit="1" customWidth="1"/>
    <col min="11" max="12" width="8.140625" style="56" customWidth="1"/>
    <col min="13" max="13" width="8.140625" style="55" customWidth="1"/>
    <col min="14" max="14" width="8.140625" style="56" customWidth="1"/>
    <col min="15" max="15" width="8.85546875" style="56" customWidth="1"/>
    <col min="16" max="17" width="8.140625" style="55" customWidth="1"/>
    <col min="18" max="18" width="8.140625" style="56" customWidth="1"/>
    <col min="19" max="20" width="8.140625" style="55" customWidth="1"/>
    <col min="21" max="21" width="9.42578125" style="55" customWidth="1"/>
    <col min="22" max="22" width="8.140625" style="53" customWidth="1"/>
    <col min="23" max="23" width="8.140625" style="54" customWidth="1"/>
    <col min="24" max="24" width="6.5703125" style="53" customWidth="1"/>
    <col min="25" max="25" width="5.7109375" style="52" hidden="1" customWidth="1"/>
    <col min="26" max="26" width="10.140625" style="50" bestFit="1" customWidth="1"/>
    <col min="27" max="27" width="9.140625" style="51"/>
    <col min="28" max="28" width="9.140625" style="51" customWidth="1"/>
    <col min="29" max="30" width="9.140625" style="51"/>
    <col min="31" max="31" width="9.140625" style="50"/>
    <col min="32" max="16384" width="9.140625" style="49"/>
  </cols>
  <sheetData>
    <row r="1" spans="1:31" ht="24" customHeight="1" thickTop="1">
      <c r="A1" s="132">
        <v>13</v>
      </c>
      <c r="B1" s="233" t="s">
        <v>43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5"/>
    </row>
    <row r="2" spans="1:31" s="114" customFormat="1" ht="24" customHeight="1">
      <c r="A2" s="121"/>
      <c r="B2" s="236" t="s">
        <v>42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8"/>
      <c r="AC2" s="51"/>
      <c r="AD2" s="51"/>
      <c r="AE2" s="51"/>
    </row>
    <row r="3" spans="1:31" s="114" customFormat="1" ht="24" customHeight="1">
      <c r="A3" s="121"/>
      <c r="B3" s="23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8"/>
      <c r="AC3" s="51"/>
      <c r="AD3" s="51"/>
      <c r="AE3" s="51"/>
    </row>
    <row r="4" spans="1:31" s="114" customFormat="1" ht="24" customHeight="1">
      <c r="A4" s="121"/>
      <c r="B4" s="190" t="s">
        <v>41</v>
      </c>
      <c r="C4" s="191"/>
      <c r="D4" s="191"/>
      <c r="E4" s="191"/>
      <c r="F4" s="191"/>
      <c r="G4" s="191"/>
      <c r="H4" s="191"/>
      <c r="I4" s="192"/>
      <c r="J4" s="239" t="s">
        <v>40</v>
      </c>
      <c r="K4" s="240"/>
      <c r="L4" s="240"/>
      <c r="M4" s="240"/>
      <c r="N4" s="240"/>
      <c r="O4" s="240"/>
      <c r="P4" s="240"/>
      <c r="Q4" s="240"/>
      <c r="R4" s="240"/>
      <c r="S4" s="241"/>
      <c r="T4" s="239" t="s">
        <v>39</v>
      </c>
      <c r="U4" s="240"/>
      <c r="V4" s="240"/>
      <c r="W4" s="240"/>
      <c r="X4" s="240"/>
      <c r="Y4" s="240"/>
      <c r="Z4" s="240"/>
      <c r="AA4" s="240"/>
      <c r="AB4" s="241"/>
      <c r="AC4" s="51"/>
      <c r="AD4" s="51"/>
      <c r="AE4" s="51"/>
    </row>
    <row r="5" spans="1:31" s="114" customFormat="1" ht="37.5" customHeight="1">
      <c r="A5" s="121"/>
      <c r="B5" s="196" t="s">
        <v>38</v>
      </c>
      <c r="C5" s="197"/>
      <c r="D5" s="197"/>
      <c r="E5" s="197"/>
      <c r="F5" s="197"/>
      <c r="G5" s="197"/>
      <c r="H5" s="197"/>
      <c r="I5" s="198"/>
      <c r="J5" s="21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18"/>
      <c r="L5" s="218"/>
      <c r="M5" s="218"/>
      <c r="N5" s="218"/>
      <c r="O5" s="218"/>
      <c r="P5" s="218"/>
      <c r="Q5" s="218"/>
      <c r="R5" s="218"/>
      <c r="S5" s="219"/>
      <c r="T5" s="220" t="s">
        <v>37</v>
      </c>
      <c r="U5" s="221"/>
      <c r="V5" s="221"/>
      <c r="W5" s="221"/>
      <c r="X5" s="221"/>
      <c r="Y5" s="221"/>
      <c r="Z5" s="221"/>
      <c r="AA5" s="221"/>
      <c r="AB5" s="222"/>
      <c r="AC5" s="51"/>
      <c r="AD5" s="51"/>
      <c r="AE5" s="51"/>
    </row>
    <row r="6" spans="1:31" s="114" customFormat="1" ht="24" customHeight="1">
      <c r="A6" s="121"/>
      <c r="B6" s="223" t="s">
        <v>36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5"/>
      <c r="AC6" s="51"/>
      <c r="AD6" s="51"/>
      <c r="AE6" s="51"/>
    </row>
    <row r="7" spans="1:31" s="114" customFormat="1" ht="15">
      <c r="A7" s="121"/>
      <c r="B7" s="48" t="s">
        <v>35</v>
      </c>
      <c r="C7" s="46">
        <f>'114+320'!C8</f>
        <v>0</v>
      </c>
      <c r="D7" s="46"/>
      <c r="E7" s="46"/>
      <c r="F7" s="46"/>
      <c r="G7" s="46"/>
      <c r="H7" s="46"/>
      <c r="I7" s="46"/>
      <c r="J7" s="46"/>
      <c r="K7" s="47"/>
      <c r="L7" s="47" t="s">
        <v>34</v>
      </c>
      <c r="M7" s="47"/>
      <c r="N7" s="47">
        <f>'114+320'!M8</f>
        <v>0</v>
      </c>
      <c r="O7" s="47"/>
      <c r="P7" s="46"/>
      <c r="Q7" s="46"/>
      <c r="R7" s="46"/>
      <c r="S7" s="46"/>
      <c r="T7" s="46"/>
      <c r="U7" s="46"/>
      <c r="V7" s="45"/>
      <c r="W7" s="45"/>
      <c r="X7" s="45"/>
      <c r="Y7" s="45"/>
      <c r="Z7" s="45"/>
      <c r="AA7" s="131"/>
      <c r="AB7" s="130"/>
      <c r="AC7" s="51"/>
      <c r="AD7" s="51"/>
      <c r="AE7" s="51"/>
    </row>
    <row r="8" spans="1:31" s="114" customFormat="1" ht="15">
      <c r="A8" s="121"/>
      <c r="B8" s="42" t="s">
        <v>33</v>
      </c>
      <c r="C8" s="40" t="str">
        <f>'114+320'!C9</f>
        <v>Nắng</v>
      </c>
      <c r="D8" s="40"/>
      <c r="E8" s="40"/>
      <c r="F8" s="40"/>
      <c r="G8" s="40"/>
      <c r="H8" s="40"/>
      <c r="I8" s="40"/>
      <c r="J8" s="40"/>
      <c r="K8" s="41"/>
      <c r="L8" s="41" t="s">
        <v>31</v>
      </c>
      <c r="M8" s="41"/>
      <c r="N8" s="41">
        <f>'114+320'!M9</f>
        <v>842</v>
      </c>
      <c r="O8" s="41"/>
      <c r="P8" s="40"/>
      <c r="Q8" s="40"/>
      <c r="R8" s="40"/>
      <c r="S8" s="40"/>
      <c r="T8" s="40"/>
      <c r="U8" s="40"/>
      <c r="V8" s="39"/>
      <c r="W8" s="39"/>
      <c r="X8" s="39"/>
      <c r="Y8" s="39"/>
      <c r="Z8" s="39"/>
      <c r="AA8" s="129"/>
      <c r="AB8" s="128"/>
      <c r="AC8" s="51"/>
      <c r="AD8" s="51"/>
      <c r="AE8" s="51"/>
    </row>
    <row r="9" spans="1:31" s="114" customFormat="1" ht="15">
      <c r="A9" s="121"/>
      <c r="B9" s="127" t="s">
        <v>30</v>
      </c>
      <c r="C9" s="125" t="str">
        <f>'114+320'!C10</f>
        <v>Km114+320</v>
      </c>
      <c r="D9" s="125"/>
      <c r="E9" s="125"/>
      <c r="F9" s="125"/>
      <c r="G9" s="125"/>
      <c r="H9" s="125"/>
      <c r="I9" s="125"/>
      <c r="J9" s="125"/>
      <c r="K9" s="126"/>
      <c r="L9" s="126" t="s">
        <v>28</v>
      </c>
      <c r="M9" s="126"/>
      <c r="N9" s="226">
        <f>'114+320'!M10</f>
        <v>45043</v>
      </c>
      <c r="O9" s="226"/>
      <c r="P9" s="125"/>
      <c r="Q9" s="125"/>
      <c r="R9" s="125"/>
      <c r="S9" s="125"/>
      <c r="T9" s="125"/>
      <c r="U9" s="125"/>
      <c r="V9" s="124"/>
      <c r="W9" s="124"/>
      <c r="X9" s="124"/>
      <c r="Y9" s="124"/>
      <c r="Z9" s="124"/>
      <c r="AA9" s="123"/>
      <c r="AB9" s="122"/>
      <c r="AC9" s="51"/>
      <c r="AD9" s="51"/>
      <c r="AE9" s="51"/>
    </row>
    <row r="10" spans="1:31" s="114" customFormat="1" ht="12.75">
      <c r="A10" s="121"/>
      <c r="B10" s="120"/>
      <c r="C10" s="119"/>
      <c r="D10" s="119"/>
      <c r="E10" s="118"/>
      <c r="F10" s="118"/>
      <c r="G10" s="118"/>
      <c r="H10" s="118"/>
      <c r="I10" s="118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6"/>
      <c r="W10" s="116"/>
      <c r="X10" s="116"/>
      <c r="Y10" s="95"/>
      <c r="Z10" s="51"/>
      <c r="AA10" s="115"/>
      <c r="AB10" s="115"/>
      <c r="AC10" s="51"/>
      <c r="AD10" s="51"/>
      <c r="AE10" s="51"/>
    </row>
    <row r="11" spans="1:31" s="111" customFormat="1" ht="16.5" customHeight="1">
      <c r="A11" s="113"/>
      <c r="B11" s="231" t="s">
        <v>62</v>
      </c>
      <c r="C11" s="232" t="s">
        <v>61</v>
      </c>
      <c r="D11" s="232" t="s">
        <v>60</v>
      </c>
      <c r="E11" s="215" t="s">
        <v>59</v>
      </c>
      <c r="F11" s="215" t="s">
        <v>58</v>
      </c>
      <c r="G11" s="227" t="s">
        <v>57</v>
      </c>
      <c r="H11" s="227"/>
      <c r="I11" s="227"/>
      <c r="J11" s="227"/>
      <c r="K11" s="227"/>
      <c r="L11" s="227"/>
      <c r="M11" s="228" t="s">
        <v>56</v>
      </c>
      <c r="N11" s="228"/>
      <c r="O11" s="228"/>
      <c r="P11" s="228"/>
      <c r="Q11" s="228"/>
      <c r="R11" s="228"/>
      <c r="S11" s="229" t="s">
        <v>9</v>
      </c>
      <c r="T11" s="229"/>
      <c r="U11" s="229"/>
      <c r="V11" s="229"/>
      <c r="W11" s="229"/>
      <c r="X11" s="229"/>
      <c r="Y11" s="230"/>
      <c r="Z11" s="216" t="s">
        <v>16</v>
      </c>
      <c r="AA11" s="216" t="s">
        <v>55</v>
      </c>
      <c r="AB11" s="216" t="s">
        <v>54</v>
      </c>
      <c r="AC11" s="51"/>
      <c r="AD11" s="51"/>
      <c r="AE11" s="112"/>
    </row>
    <row r="12" spans="1:31" s="84" customFormat="1" ht="73.150000000000006" customHeight="1">
      <c r="A12" s="86"/>
      <c r="B12" s="231"/>
      <c r="C12" s="232"/>
      <c r="D12" s="232"/>
      <c r="E12" s="215"/>
      <c r="F12" s="215"/>
      <c r="G12" s="109" t="s">
        <v>53</v>
      </c>
      <c r="H12" s="109" t="s">
        <v>52</v>
      </c>
      <c r="I12" s="109" t="s">
        <v>51</v>
      </c>
      <c r="J12" s="109" t="s">
        <v>50</v>
      </c>
      <c r="K12" s="110" t="s">
        <v>49</v>
      </c>
      <c r="L12" s="110" t="s">
        <v>48</v>
      </c>
      <c r="M12" s="109" t="s">
        <v>53</v>
      </c>
      <c r="N12" s="109" t="s">
        <v>52</v>
      </c>
      <c r="O12" s="109" t="s">
        <v>51</v>
      </c>
      <c r="P12" s="109" t="s">
        <v>50</v>
      </c>
      <c r="Q12" s="110" t="s">
        <v>49</v>
      </c>
      <c r="R12" s="110" t="s">
        <v>48</v>
      </c>
      <c r="S12" s="109" t="s">
        <v>53</v>
      </c>
      <c r="T12" s="109" t="s">
        <v>52</v>
      </c>
      <c r="U12" s="109" t="s">
        <v>51</v>
      </c>
      <c r="V12" s="108" t="s">
        <v>50</v>
      </c>
      <c r="W12" s="107" t="s">
        <v>49</v>
      </c>
      <c r="X12" s="107" t="s">
        <v>48</v>
      </c>
      <c r="Y12" s="230"/>
      <c r="Z12" s="216"/>
      <c r="AA12" s="216"/>
      <c r="AB12" s="216"/>
      <c r="AC12" s="51"/>
      <c r="AD12" s="51"/>
      <c r="AE12" s="51"/>
    </row>
    <row r="13" spans="1:31" s="84" customFormat="1" ht="15" customHeight="1">
      <c r="A13" s="86"/>
      <c r="B13" s="106">
        <f>'114+320'!B14</f>
        <v>45043</v>
      </c>
      <c r="C13" s="105">
        <v>0</v>
      </c>
      <c r="D13" s="104">
        <f>VLOOKUP(B13,'114+320'!B14:AB115,2,FALSE)</f>
        <v>842</v>
      </c>
      <c r="E13" s="73">
        <f>VLOOKUP(B13,'114+320'!B14:AB115,3,FALSE)</f>
        <v>1674</v>
      </c>
      <c r="F13" s="73">
        <f t="shared" ref="F13:F76" si="0">D13+E13</f>
        <v>2516</v>
      </c>
      <c r="G13" s="103">
        <f>VLOOKUP(B13,'114+320'!$B$14:$AB$115,20,FALSE)</f>
        <v>-180</v>
      </c>
      <c r="H13" s="103">
        <f>VLOOKUP(B13,'114+320'!$B$14:$AB$115,4,FALSE)</f>
        <v>696</v>
      </c>
      <c r="I13" s="101">
        <f t="shared" ref="I13:I76" si="1">F13-H13</f>
        <v>1820</v>
      </c>
      <c r="J13" s="101">
        <f>VLOOKUP(B13,'114+320'!$B$14:$AB$115,13,FALSE)</f>
        <v>-180</v>
      </c>
      <c r="K13" s="66">
        <f>'114+320'!Q14</f>
        <v>0</v>
      </c>
      <c r="L13" s="102">
        <v>0</v>
      </c>
      <c r="M13" s="70">
        <f>VLOOKUP(B13,'114+320'!$B$14:$AB$115,21,FALSE)</f>
        <v>-180</v>
      </c>
      <c r="N13" s="73">
        <f>VLOOKUP(B13,'114+320'!$B$14:$AB$115,5,FALSE)</f>
        <v>696</v>
      </c>
      <c r="O13" s="101">
        <f t="shared" ref="O13:O76" si="2">F13-N13</f>
        <v>1820</v>
      </c>
      <c r="P13" s="101">
        <f>VLOOKUP(B13,'114+320'!$B$14:$AB$115,14,FALSE)</f>
        <v>-180</v>
      </c>
      <c r="Q13" s="66">
        <f>'114+320'!R14</f>
        <v>0</v>
      </c>
      <c r="R13" s="102">
        <v>0</v>
      </c>
      <c r="S13" s="70">
        <f>VLOOKUP(B13,'114+320'!$B$14:$AB$115,22,FALSE)</f>
        <v>-120</v>
      </c>
      <c r="T13" s="73">
        <f>VLOOKUP(B13,'114+320'!$B$13:$AB$115,6,FALSE)</f>
        <v>636</v>
      </c>
      <c r="U13" s="101">
        <f t="shared" ref="U13:U76" si="3">F13-T13</f>
        <v>1880</v>
      </c>
      <c r="V13" s="100">
        <f>VLOOKUP(B13,'114+320'!$B$14:$AB$115,15,FALSE)</f>
        <v>-120</v>
      </c>
      <c r="W13" s="66">
        <f>'114+320'!S14</f>
        <v>0</v>
      </c>
      <c r="X13" s="99">
        <v>0</v>
      </c>
      <c r="Y13" s="98">
        <v>0</v>
      </c>
      <c r="Z13" s="63">
        <f>IF(Y13&gt;0,Y13,0)</f>
        <v>0</v>
      </c>
      <c r="AA13" s="62">
        <f>Z13</f>
        <v>0</v>
      </c>
      <c r="AB13" s="62">
        <v>0</v>
      </c>
      <c r="AC13" s="51"/>
      <c r="AD13" s="51"/>
      <c r="AE13" s="51"/>
    </row>
    <row r="14" spans="1:31" s="84" customFormat="1" ht="15" customHeight="1">
      <c r="A14" s="86"/>
      <c r="B14" s="106">
        <f>'114+320'!B15</f>
        <v>45044</v>
      </c>
      <c r="C14" s="75">
        <f t="shared" ref="C14:C77" si="4">B14-B13</f>
        <v>1</v>
      </c>
      <c r="D14" s="74">
        <f t="shared" ref="D14:D77" si="5">D13</f>
        <v>842</v>
      </c>
      <c r="E14" s="73">
        <f>VLOOKUP(B14,'114+320'!B15:AB116,3,FALSE)</f>
        <v>1672</v>
      </c>
      <c r="F14" s="69">
        <f t="shared" si="0"/>
        <v>2514</v>
      </c>
      <c r="G14" s="72">
        <f>VLOOKUP(B14,'114+320'!$B$15:$AB$115,20,FALSE)</f>
        <v>-180</v>
      </c>
      <c r="H14" s="72">
        <f>VLOOKUP(B14,'114+320'!$B$15:$AB$115,4,FALSE)</f>
        <v>694</v>
      </c>
      <c r="I14" s="68">
        <f t="shared" si="1"/>
        <v>1820</v>
      </c>
      <c r="J14" s="68">
        <f>VLOOKUP(B14,'114+320'!$B$15:$AB$115,13,FALSE)</f>
        <v>-180</v>
      </c>
      <c r="K14" s="66">
        <f>'114+320'!Q15</f>
        <v>0</v>
      </c>
      <c r="L14" s="65">
        <f t="shared" ref="L14:L77" si="6">+K14+L13</f>
        <v>0</v>
      </c>
      <c r="M14" s="70">
        <f>VLOOKUP(B14,'114+320'!$B$14:$AB$115,21,FALSE)</f>
        <v>-180</v>
      </c>
      <c r="N14" s="69">
        <f>VLOOKUP(B14,'114+320'!$B$15:$AB$115,5,FALSE)</f>
        <v>694</v>
      </c>
      <c r="O14" s="68">
        <f t="shared" si="2"/>
        <v>1820</v>
      </c>
      <c r="P14" s="68">
        <f>VLOOKUP(B14,'114+320'!$B$15:$AB$115,14,FALSE)</f>
        <v>-180</v>
      </c>
      <c r="Q14" s="66">
        <f>'114+320'!R15</f>
        <v>0</v>
      </c>
      <c r="R14" s="65">
        <f t="shared" ref="R14:R77" si="7">+Q14+R13</f>
        <v>0</v>
      </c>
      <c r="S14" s="70">
        <f>VLOOKUP(B14,'114+320'!$B$14:$AB$115,22,FALSE)</f>
        <v>-120</v>
      </c>
      <c r="T14" s="69">
        <f>VLOOKUP(B14,'114+320'!$B$15:$AB$115,6,FALSE)</f>
        <v>634</v>
      </c>
      <c r="U14" s="68">
        <f t="shared" si="3"/>
        <v>1880</v>
      </c>
      <c r="V14" s="77">
        <f>VLOOKUP(B14,'114+320'!$B$15:$AB$115,15,FALSE)</f>
        <v>-120</v>
      </c>
      <c r="W14" s="66">
        <f>'114+320'!S15</f>
        <v>0</v>
      </c>
      <c r="X14" s="65">
        <f t="shared" ref="X14:X77" si="8">+W14+X13</f>
        <v>0</v>
      </c>
      <c r="Y14" s="64">
        <f t="shared" ref="Y14:Y77" si="9">S14-S13</f>
        <v>0</v>
      </c>
      <c r="Z14" s="63">
        <f t="shared" ref="Z14:Z77" si="10">IF(Y14&gt;0,Y14,0)/1000</f>
        <v>0</v>
      </c>
      <c r="AA14" s="62">
        <f t="shared" ref="AA14:AA77" si="11">AA13+Z14</f>
        <v>0</v>
      </c>
      <c r="AB14" s="62">
        <f t="shared" ref="AB14:AB77" si="12">(M14-$M$13-R14)/1000</f>
        <v>0</v>
      </c>
      <c r="AC14" s="51"/>
      <c r="AD14" s="51"/>
      <c r="AE14" s="51"/>
    </row>
    <row r="15" spans="1:31" s="84" customFormat="1" ht="15" customHeight="1">
      <c r="A15" s="86">
        <v>1</v>
      </c>
      <c r="B15" s="106">
        <f>'114+320'!B16</f>
        <v>45045</v>
      </c>
      <c r="C15" s="75">
        <f t="shared" si="4"/>
        <v>1</v>
      </c>
      <c r="D15" s="74">
        <f t="shared" si="5"/>
        <v>842</v>
      </c>
      <c r="E15" s="73">
        <f>VLOOKUP(B15,'114+320'!B16:AB117,3,FALSE)</f>
        <v>1670</v>
      </c>
      <c r="F15" s="69">
        <f t="shared" si="0"/>
        <v>2512</v>
      </c>
      <c r="G15" s="72">
        <f>VLOOKUP(B15,'114+320'!$B$15:$AB$115,20,FALSE)</f>
        <v>-180</v>
      </c>
      <c r="H15" s="72">
        <f>VLOOKUP(B15,'114+320'!$B$15:$AB$115,4,FALSE)</f>
        <v>692</v>
      </c>
      <c r="I15" s="68">
        <f t="shared" si="1"/>
        <v>1820</v>
      </c>
      <c r="J15" s="68">
        <f>VLOOKUP(B15,'114+320'!$B$15:$AB$115,13,FALSE)</f>
        <v>-180</v>
      </c>
      <c r="K15" s="66">
        <f>'114+320'!Q16</f>
        <v>0</v>
      </c>
      <c r="L15" s="65">
        <f t="shared" si="6"/>
        <v>0</v>
      </c>
      <c r="M15" s="70">
        <f>VLOOKUP(B15,'114+320'!$B$14:$AB$115,21,FALSE)</f>
        <v>-180</v>
      </c>
      <c r="N15" s="69">
        <f>VLOOKUP(B15,'114+320'!$B$15:$AB$115,5,FALSE)</f>
        <v>692</v>
      </c>
      <c r="O15" s="68">
        <f t="shared" si="2"/>
        <v>1820</v>
      </c>
      <c r="P15" s="68">
        <f>VLOOKUP(B15,'114+320'!$B$15:$AB$115,14,FALSE)</f>
        <v>-180</v>
      </c>
      <c r="Q15" s="66">
        <f>'114+320'!R16</f>
        <v>0</v>
      </c>
      <c r="R15" s="65">
        <f t="shared" si="7"/>
        <v>0</v>
      </c>
      <c r="S15" s="70">
        <f>VLOOKUP(B15,'114+320'!$B$14:$AB$115,22,FALSE)</f>
        <v>-120</v>
      </c>
      <c r="T15" s="69">
        <f>VLOOKUP(B15,'114+320'!$B$15:$AB$115,6,FALSE)</f>
        <v>632</v>
      </c>
      <c r="U15" s="68">
        <f t="shared" si="3"/>
        <v>1880</v>
      </c>
      <c r="V15" s="77">
        <f>VLOOKUP(B15,'114+320'!$B$15:$AB$115,15,FALSE)</f>
        <v>-120</v>
      </c>
      <c r="W15" s="66">
        <f>'114+320'!S16</f>
        <v>0</v>
      </c>
      <c r="X15" s="65">
        <f t="shared" si="8"/>
        <v>0</v>
      </c>
      <c r="Y15" s="64">
        <f t="shared" si="9"/>
        <v>0</v>
      </c>
      <c r="Z15" s="63">
        <f t="shared" si="10"/>
        <v>0</v>
      </c>
      <c r="AA15" s="62">
        <f t="shared" si="11"/>
        <v>0</v>
      </c>
      <c r="AB15" s="62">
        <f t="shared" si="12"/>
        <v>0</v>
      </c>
      <c r="AC15" s="51"/>
      <c r="AD15" s="51"/>
      <c r="AE15" s="51"/>
    </row>
    <row r="16" spans="1:31" s="84" customFormat="1" ht="15" customHeight="1">
      <c r="A16" s="86">
        <f t="shared" ref="A16:A21" si="13">A15+1</f>
        <v>2</v>
      </c>
      <c r="B16" s="106">
        <f>'114+320'!B17</f>
        <v>45046</v>
      </c>
      <c r="C16" s="75">
        <f t="shared" si="4"/>
        <v>1</v>
      </c>
      <c r="D16" s="74">
        <f t="shared" si="5"/>
        <v>842</v>
      </c>
      <c r="E16" s="73">
        <f>VLOOKUP(B16,'114+320'!B17:AB118,3,FALSE)</f>
        <v>1668</v>
      </c>
      <c r="F16" s="69">
        <f t="shared" si="0"/>
        <v>2510</v>
      </c>
      <c r="G16" s="72">
        <f>VLOOKUP(B16,'114+320'!$B$15:$AB$115,20,FALSE)</f>
        <v>-180</v>
      </c>
      <c r="H16" s="72">
        <f>VLOOKUP(B16,'114+320'!$B$15:$AB$115,4,FALSE)</f>
        <v>690</v>
      </c>
      <c r="I16" s="68">
        <f t="shared" si="1"/>
        <v>1820</v>
      </c>
      <c r="J16" s="68">
        <f>VLOOKUP(B16,'114+320'!$B$15:$AB$115,13,FALSE)</f>
        <v>-180</v>
      </c>
      <c r="K16" s="66">
        <f>'114+320'!Q17</f>
        <v>0</v>
      </c>
      <c r="L16" s="65">
        <f t="shared" si="6"/>
        <v>0</v>
      </c>
      <c r="M16" s="70">
        <f>VLOOKUP(B16,'114+320'!$B$14:$AB$115,21,FALSE)</f>
        <v>-180</v>
      </c>
      <c r="N16" s="69">
        <f>VLOOKUP(B16,'114+320'!$B$15:$AB$115,5,FALSE)</f>
        <v>690</v>
      </c>
      <c r="O16" s="68">
        <f t="shared" si="2"/>
        <v>1820</v>
      </c>
      <c r="P16" s="68">
        <f>VLOOKUP(B16,'114+320'!$B$15:$AB$115,14,FALSE)</f>
        <v>-180</v>
      </c>
      <c r="Q16" s="66">
        <f>'114+320'!R17</f>
        <v>0</v>
      </c>
      <c r="R16" s="65">
        <f t="shared" si="7"/>
        <v>0</v>
      </c>
      <c r="S16" s="70">
        <f>VLOOKUP(B16,'114+320'!$B$14:$AB$115,22,FALSE)</f>
        <v>-120</v>
      </c>
      <c r="T16" s="69">
        <f>VLOOKUP(B16,'114+320'!$B$15:$AB$115,6,FALSE)</f>
        <v>630</v>
      </c>
      <c r="U16" s="68">
        <f t="shared" si="3"/>
        <v>1880</v>
      </c>
      <c r="V16" s="77">
        <f>VLOOKUP(B16,'114+320'!$B$15:$AB$115,15,FALSE)</f>
        <v>-120</v>
      </c>
      <c r="W16" s="66">
        <f>'114+320'!S17</f>
        <v>0</v>
      </c>
      <c r="X16" s="65">
        <f t="shared" si="8"/>
        <v>0</v>
      </c>
      <c r="Y16" s="64">
        <f t="shared" si="9"/>
        <v>0</v>
      </c>
      <c r="Z16" s="63">
        <f t="shared" si="10"/>
        <v>0</v>
      </c>
      <c r="AA16" s="62">
        <f t="shared" si="11"/>
        <v>0</v>
      </c>
      <c r="AB16" s="62">
        <f t="shared" si="12"/>
        <v>0</v>
      </c>
      <c r="AC16" s="51"/>
      <c r="AD16" s="51"/>
      <c r="AE16" s="85"/>
    </row>
    <row r="17" spans="1:31" s="84" customFormat="1" ht="15" customHeight="1">
      <c r="A17" s="86">
        <f t="shared" si="13"/>
        <v>3</v>
      </c>
      <c r="B17" s="106">
        <f>'114+320'!B18</f>
        <v>45047</v>
      </c>
      <c r="C17" s="75">
        <f t="shared" si="4"/>
        <v>1</v>
      </c>
      <c r="D17" s="74">
        <f t="shared" si="5"/>
        <v>842</v>
      </c>
      <c r="E17" s="73">
        <f>VLOOKUP(B17,'114+320'!B18:AB119,3,FALSE)</f>
        <v>1666</v>
      </c>
      <c r="F17" s="69">
        <f t="shared" si="0"/>
        <v>2508</v>
      </c>
      <c r="G17" s="72">
        <f>VLOOKUP(B17,'114+320'!$B$15:$AB$115,20,FALSE)</f>
        <v>-180</v>
      </c>
      <c r="H17" s="72">
        <f>VLOOKUP(B17,'114+320'!$B$15:$AB$115,4,FALSE)</f>
        <v>688</v>
      </c>
      <c r="I17" s="68">
        <f t="shared" si="1"/>
        <v>1820</v>
      </c>
      <c r="J17" s="68">
        <f>VLOOKUP(B17,'114+320'!$B$15:$AB$115,13,FALSE)</f>
        <v>-180</v>
      </c>
      <c r="K17" s="66">
        <f>'114+320'!Q18</f>
        <v>0</v>
      </c>
      <c r="L17" s="65">
        <f t="shared" si="6"/>
        <v>0</v>
      </c>
      <c r="M17" s="70">
        <f>VLOOKUP(B17,'114+320'!$B$14:$AB$115,21,FALSE)</f>
        <v>-180</v>
      </c>
      <c r="N17" s="69">
        <f>VLOOKUP(B17,'114+320'!$B$15:$AB$115,5,FALSE)</f>
        <v>688</v>
      </c>
      <c r="O17" s="68">
        <f t="shared" si="2"/>
        <v>1820</v>
      </c>
      <c r="P17" s="68">
        <f>VLOOKUP(B17,'114+320'!$B$15:$AB$115,14,FALSE)</f>
        <v>-180</v>
      </c>
      <c r="Q17" s="66">
        <f>'114+320'!R18</f>
        <v>0</v>
      </c>
      <c r="R17" s="65">
        <f t="shared" si="7"/>
        <v>0</v>
      </c>
      <c r="S17" s="70">
        <f>VLOOKUP(B17,'114+320'!$B$14:$AB$115,22,FALSE)</f>
        <v>-120</v>
      </c>
      <c r="T17" s="69">
        <f>VLOOKUP(B17,'114+320'!$B$15:$AB$115,6,FALSE)</f>
        <v>628</v>
      </c>
      <c r="U17" s="68">
        <f t="shared" si="3"/>
        <v>1880</v>
      </c>
      <c r="V17" s="77">
        <f>VLOOKUP(B17,'114+320'!$B$15:$AB$115,15,FALSE)</f>
        <v>-120</v>
      </c>
      <c r="W17" s="66">
        <f>'114+320'!S18</f>
        <v>0</v>
      </c>
      <c r="X17" s="65">
        <f t="shared" si="8"/>
        <v>0</v>
      </c>
      <c r="Y17" s="64">
        <f t="shared" si="9"/>
        <v>0</v>
      </c>
      <c r="Z17" s="63">
        <f t="shared" si="10"/>
        <v>0</v>
      </c>
      <c r="AA17" s="62">
        <f t="shared" si="11"/>
        <v>0</v>
      </c>
      <c r="AB17" s="62">
        <f t="shared" si="12"/>
        <v>0</v>
      </c>
      <c r="AC17" s="51"/>
      <c r="AD17" s="51"/>
      <c r="AE17" s="85"/>
    </row>
    <row r="18" spans="1:31" s="84" customFormat="1" ht="15" customHeight="1">
      <c r="A18" s="86">
        <f t="shared" si="13"/>
        <v>4</v>
      </c>
      <c r="B18" s="106">
        <f>'114+320'!B19</f>
        <v>45048</v>
      </c>
      <c r="C18" s="75">
        <f t="shared" si="4"/>
        <v>1</v>
      </c>
      <c r="D18" s="74">
        <f t="shared" si="5"/>
        <v>842</v>
      </c>
      <c r="E18" s="73">
        <f>VLOOKUP(B18,'114+320'!B19:AB120,3,FALSE)</f>
        <v>1664</v>
      </c>
      <c r="F18" s="69">
        <f t="shared" si="0"/>
        <v>2506</v>
      </c>
      <c r="G18" s="72">
        <f>VLOOKUP(B18,'114+320'!$B$15:$AB$115,20,FALSE)</f>
        <v>-180</v>
      </c>
      <c r="H18" s="72">
        <f>VLOOKUP(B18,'114+320'!$B$15:$AB$115,4,FALSE)</f>
        <v>686</v>
      </c>
      <c r="I18" s="68">
        <f t="shared" si="1"/>
        <v>1820</v>
      </c>
      <c r="J18" s="68">
        <f>VLOOKUP(B18,'114+320'!$B$15:$AB$115,13,FALSE)</f>
        <v>-180</v>
      </c>
      <c r="K18" s="66">
        <f>'114+320'!Q19</f>
        <v>0</v>
      </c>
      <c r="L18" s="65">
        <f t="shared" si="6"/>
        <v>0</v>
      </c>
      <c r="M18" s="70">
        <f>VLOOKUP(B18,'114+320'!$B$14:$AB$115,21,FALSE)</f>
        <v>-180</v>
      </c>
      <c r="N18" s="69">
        <f>VLOOKUP(B18,'114+320'!$B$15:$AB$115,5,FALSE)</f>
        <v>686</v>
      </c>
      <c r="O18" s="68">
        <f t="shared" si="2"/>
        <v>1820</v>
      </c>
      <c r="P18" s="68">
        <f>VLOOKUP(B18,'114+320'!$B$15:$AB$115,14,FALSE)</f>
        <v>-180</v>
      </c>
      <c r="Q18" s="66">
        <f>'114+320'!R19</f>
        <v>0</v>
      </c>
      <c r="R18" s="65">
        <f t="shared" si="7"/>
        <v>0</v>
      </c>
      <c r="S18" s="70">
        <f>VLOOKUP(B18,'114+320'!$B$14:$AB$115,22,FALSE)</f>
        <v>-120</v>
      </c>
      <c r="T18" s="69">
        <f>VLOOKUP(B18,'114+320'!$B$15:$AB$115,6,FALSE)</f>
        <v>626</v>
      </c>
      <c r="U18" s="68">
        <f t="shared" si="3"/>
        <v>1880</v>
      </c>
      <c r="V18" s="77">
        <f>VLOOKUP(B18,'114+320'!$B$15:$AB$115,15,FALSE)</f>
        <v>-120</v>
      </c>
      <c r="W18" s="66">
        <f>'114+320'!S19</f>
        <v>0</v>
      </c>
      <c r="X18" s="65">
        <f t="shared" si="8"/>
        <v>0</v>
      </c>
      <c r="Y18" s="64">
        <f t="shared" si="9"/>
        <v>0</v>
      </c>
      <c r="Z18" s="63">
        <f t="shared" si="10"/>
        <v>0</v>
      </c>
      <c r="AA18" s="62">
        <f t="shared" si="11"/>
        <v>0</v>
      </c>
      <c r="AB18" s="62">
        <f t="shared" si="12"/>
        <v>0</v>
      </c>
      <c r="AC18" s="51"/>
      <c r="AD18" s="51"/>
      <c r="AE18" s="85"/>
    </row>
    <row r="19" spans="1:31" s="84" customFormat="1" ht="15" customHeight="1">
      <c r="A19" s="86">
        <f t="shared" si="13"/>
        <v>5</v>
      </c>
      <c r="B19" s="106">
        <f>'114+320'!B20</f>
        <v>45049</v>
      </c>
      <c r="C19" s="75">
        <f t="shared" si="4"/>
        <v>1</v>
      </c>
      <c r="D19" s="74">
        <f t="shared" si="5"/>
        <v>842</v>
      </c>
      <c r="E19" s="73">
        <f>VLOOKUP(B19,'114+320'!B20:AB121,3,FALSE)</f>
        <v>1662</v>
      </c>
      <c r="F19" s="69">
        <f t="shared" si="0"/>
        <v>2504</v>
      </c>
      <c r="G19" s="72">
        <f>VLOOKUP(B19,'114+320'!$B$15:$AB$115,20,FALSE)</f>
        <v>-180</v>
      </c>
      <c r="H19" s="72">
        <f>VLOOKUP(B19,'114+320'!$B$15:$AB$115,4,FALSE)</f>
        <v>684</v>
      </c>
      <c r="I19" s="68">
        <f t="shared" si="1"/>
        <v>1820</v>
      </c>
      <c r="J19" s="68">
        <f>VLOOKUP(B19,'114+320'!$B$15:$AB$115,13,FALSE)</f>
        <v>-180</v>
      </c>
      <c r="K19" s="66">
        <f>'114+320'!Q20</f>
        <v>0</v>
      </c>
      <c r="L19" s="65">
        <f t="shared" si="6"/>
        <v>0</v>
      </c>
      <c r="M19" s="70">
        <f>VLOOKUP(B19,'114+320'!$B$14:$AB$115,21,FALSE)</f>
        <v>-180</v>
      </c>
      <c r="N19" s="69">
        <f>VLOOKUP(B19,'114+320'!$B$15:$AB$115,5,FALSE)</f>
        <v>684</v>
      </c>
      <c r="O19" s="68">
        <f t="shared" si="2"/>
        <v>1820</v>
      </c>
      <c r="P19" s="68">
        <f>VLOOKUP(B19,'114+320'!$B$15:$AB$115,14,FALSE)</f>
        <v>-180</v>
      </c>
      <c r="Q19" s="66">
        <f>'114+320'!R20</f>
        <v>0</v>
      </c>
      <c r="R19" s="65">
        <f t="shared" si="7"/>
        <v>0</v>
      </c>
      <c r="S19" s="70">
        <f>VLOOKUP(B19,'114+320'!$B$14:$AB$115,22,FALSE)</f>
        <v>-120</v>
      </c>
      <c r="T19" s="69">
        <f>VLOOKUP(B19,'114+320'!$B$15:$AB$115,6,FALSE)</f>
        <v>624</v>
      </c>
      <c r="U19" s="68">
        <f t="shared" si="3"/>
        <v>1880</v>
      </c>
      <c r="V19" s="77">
        <f>VLOOKUP(B19,'114+320'!$B$15:$AB$115,15,FALSE)</f>
        <v>-120</v>
      </c>
      <c r="W19" s="66">
        <f>'114+320'!S20</f>
        <v>0</v>
      </c>
      <c r="X19" s="65">
        <f t="shared" si="8"/>
        <v>0</v>
      </c>
      <c r="Y19" s="64">
        <f t="shared" si="9"/>
        <v>0</v>
      </c>
      <c r="Z19" s="63">
        <f t="shared" si="10"/>
        <v>0</v>
      </c>
      <c r="AA19" s="62">
        <f t="shared" si="11"/>
        <v>0</v>
      </c>
      <c r="AB19" s="62">
        <f t="shared" si="12"/>
        <v>0</v>
      </c>
      <c r="AC19" s="51"/>
      <c r="AD19" s="51"/>
      <c r="AE19" s="85"/>
    </row>
    <row r="20" spans="1:31" s="84" customFormat="1" ht="15" customHeight="1">
      <c r="A20" s="86">
        <f t="shared" si="13"/>
        <v>6</v>
      </c>
      <c r="B20" s="106">
        <f>'114+320'!B21</f>
        <v>45050</v>
      </c>
      <c r="C20" s="75">
        <f t="shared" si="4"/>
        <v>1</v>
      </c>
      <c r="D20" s="74">
        <f t="shared" si="5"/>
        <v>842</v>
      </c>
      <c r="E20" s="73">
        <f>VLOOKUP(B20,'114+320'!B21:AB122,3,FALSE)</f>
        <v>1660</v>
      </c>
      <c r="F20" s="69">
        <f t="shared" si="0"/>
        <v>2502</v>
      </c>
      <c r="G20" s="72">
        <f>VLOOKUP(B20,'114+320'!$B$15:$AB$115,20,FALSE)</f>
        <v>-180</v>
      </c>
      <c r="H20" s="72">
        <f>VLOOKUP(B20,'114+320'!$B$15:$AB$115,4,FALSE)</f>
        <v>682</v>
      </c>
      <c r="I20" s="68">
        <f t="shared" si="1"/>
        <v>1820</v>
      </c>
      <c r="J20" s="68">
        <f>VLOOKUP(B20,'114+320'!$B$15:$AB$115,13,FALSE)</f>
        <v>-180</v>
      </c>
      <c r="K20" s="66">
        <f>'114+320'!Q21</f>
        <v>0</v>
      </c>
      <c r="L20" s="65">
        <f t="shared" si="6"/>
        <v>0</v>
      </c>
      <c r="M20" s="70">
        <f>VLOOKUP(B20,'114+320'!$B$14:$AB$115,21,FALSE)</f>
        <v>-180</v>
      </c>
      <c r="N20" s="69">
        <f>VLOOKUP(B20,'114+320'!$B$15:$AB$115,5,FALSE)</f>
        <v>682</v>
      </c>
      <c r="O20" s="68">
        <f t="shared" si="2"/>
        <v>1820</v>
      </c>
      <c r="P20" s="68">
        <f>VLOOKUP(B20,'114+320'!$B$15:$AB$115,14,FALSE)</f>
        <v>-180</v>
      </c>
      <c r="Q20" s="66">
        <f>'114+320'!R21</f>
        <v>0</v>
      </c>
      <c r="R20" s="65">
        <f t="shared" si="7"/>
        <v>0</v>
      </c>
      <c r="S20" s="70">
        <f>VLOOKUP(B20,'114+320'!$B$14:$AB$115,22,FALSE)</f>
        <v>-120</v>
      </c>
      <c r="T20" s="69">
        <f>VLOOKUP(B20,'114+320'!$B$15:$AB$115,6,FALSE)</f>
        <v>622</v>
      </c>
      <c r="U20" s="68">
        <f t="shared" si="3"/>
        <v>1880</v>
      </c>
      <c r="V20" s="77">
        <f>VLOOKUP(B20,'114+320'!$B$15:$AB$115,15,FALSE)</f>
        <v>-120</v>
      </c>
      <c r="W20" s="66">
        <f>'114+320'!S21</f>
        <v>0</v>
      </c>
      <c r="X20" s="65">
        <f t="shared" si="8"/>
        <v>0</v>
      </c>
      <c r="Y20" s="64">
        <f t="shared" si="9"/>
        <v>0</v>
      </c>
      <c r="Z20" s="63">
        <f t="shared" si="10"/>
        <v>0</v>
      </c>
      <c r="AA20" s="62">
        <f t="shared" si="11"/>
        <v>0</v>
      </c>
      <c r="AB20" s="62">
        <f t="shared" si="12"/>
        <v>0</v>
      </c>
      <c r="AC20" s="51"/>
      <c r="AD20" s="51"/>
      <c r="AE20" s="85"/>
    </row>
    <row r="21" spans="1:31" s="93" customFormat="1" ht="15" customHeight="1">
      <c r="A21" s="86">
        <f t="shared" si="13"/>
        <v>7</v>
      </c>
      <c r="B21" s="106">
        <f>'114+320'!B22</f>
        <v>45051</v>
      </c>
      <c r="C21" s="75">
        <f t="shared" si="4"/>
        <v>1</v>
      </c>
      <c r="D21" s="74">
        <f t="shared" si="5"/>
        <v>842</v>
      </c>
      <c r="E21" s="73">
        <f>VLOOKUP(B21,'114+320'!B22:AB123,3,FALSE)</f>
        <v>1658</v>
      </c>
      <c r="F21" s="69">
        <f t="shared" si="0"/>
        <v>2500</v>
      </c>
      <c r="G21" s="72">
        <f>VLOOKUP(B21,'114+320'!$B$15:$AB$115,20,FALSE)</f>
        <v>-180</v>
      </c>
      <c r="H21" s="72">
        <f>VLOOKUP(B21,'114+320'!$B$15:$AB$115,4,FALSE)</f>
        <v>680</v>
      </c>
      <c r="I21" s="68">
        <f t="shared" si="1"/>
        <v>1820</v>
      </c>
      <c r="J21" s="68">
        <f>VLOOKUP(B21,'114+320'!$B$15:$AB$115,13,FALSE)</f>
        <v>-180</v>
      </c>
      <c r="K21" s="66">
        <f>'114+320'!Q22</f>
        <v>0</v>
      </c>
      <c r="L21" s="65">
        <f t="shared" si="6"/>
        <v>0</v>
      </c>
      <c r="M21" s="70">
        <f>VLOOKUP(B21,'114+320'!$B$14:$AB$115,21,FALSE)</f>
        <v>-180</v>
      </c>
      <c r="N21" s="69">
        <f>VLOOKUP(B21,'114+320'!$B$15:$AB$115,5,FALSE)</f>
        <v>680</v>
      </c>
      <c r="O21" s="68">
        <f t="shared" si="2"/>
        <v>1820</v>
      </c>
      <c r="P21" s="68">
        <f>VLOOKUP(B21,'114+320'!$B$15:$AB$115,14,FALSE)</f>
        <v>-180</v>
      </c>
      <c r="Q21" s="66">
        <f>'114+320'!R22</f>
        <v>0</v>
      </c>
      <c r="R21" s="65">
        <f t="shared" si="7"/>
        <v>0</v>
      </c>
      <c r="S21" s="70">
        <f>VLOOKUP(B21,'114+320'!$B$14:$AB$115,22,FALSE)</f>
        <v>-120</v>
      </c>
      <c r="T21" s="69">
        <f>VLOOKUP(B21,'114+320'!$B$15:$AB$115,6,FALSE)</f>
        <v>620</v>
      </c>
      <c r="U21" s="68">
        <f t="shared" si="3"/>
        <v>1880</v>
      </c>
      <c r="V21" s="77">
        <f>VLOOKUP(B21,'114+320'!$B$15:$AB$115,15,FALSE)</f>
        <v>-120</v>
      </c>
      <c r="W21" s="66">
        <f>'114+320'!S22</f>
        <v>0</v>
      </c>
      <c r="X21" s="65">
        <f t="shared" si="8"/>
        <v>0</v>
      </c>
      <c r="Y21" s="64">
        <f t="shared" si="9"/>
        <v>0</v>
      </c>
      <c r="Z21" s="63">
        <f t="shared" si="10"/>
        <v>0</v>
      </c>
      <c r="AA21" s="62">
        <f t="shared" si="11"/>
        <v>0</v>
      </c>
      <c r="AB21" s="62">
        <f t="shared" si="12"/>
        <v>0</v>
      </c>
      <c r="AC21" s="95"/>
      <c r="AD21" s="95"/>
      <c r="AE21" s="94"/>
    </row>
    <row r="22" spans="1:31" s="93" customFormat="1" ht="15" customHeight="1">
      <c r="A22" s="86"/>
      <c r="B22" s="106">
        <f>'114+320'!B23</f>
        <v>45052</v>
      </c>
      <c r="C22" s="75">
        <f t="shared" si="4"/>
        <v>1</v>
      </c>
      <c r="D22" s="74">
        <f t="shared" si="5"/>
        <v>842</v>
      </c>
      <c r="E22" s="73">
        <f>VLOOKUP(B22,'114+320'!B23:AB124,3,FALSE)</f>
        <v>1656</v>
      </c>
      <c r="F22" s="69">
        <f t="shared" si="0"/>
        <v>2498</v>
      </c>
      <c r="G22" s="72">
        <f>VLOOKUP(B22,'114+320'!$B$15:$AB$115,20,FALSE)</f>
        <v>-180</v>
      </c>
      <c r="H22" s="72">
        <f>VLOOKUP(B22,'114+320'!$B$15:$AB$115,4,FALSE)</f>
        <v>678</v>
      </c>
      <c r="I22" s="68">
        <f t="shared" si="1"/>
        <v>1820</v>
      </c>
      <c r="J22" s="68">
        <f>VLOOKUP(B22,'114+320'!$B$15:$AB$115,13,FALSE)</f>
        <v>-180</v>
      </c>
      <c r="K22" s="66">
        <f>'114+320'!Q23</f>
        <v>0</v>
      </c>
      <c r="L22" s="65">
        <f t="shared" si="6"/>
        <v>0</v>
      </c>
      <c r="M22" s="70">
        <f>VLOOKUP(B22,'114+320'!$B$14:$AB$115,21,FALSE)</f>
        <v>-180</v>
      </c>
      <c r="N22" s="69">
        <f>VLOOKUP(B22,'114+320'!$B$15:$AB$115,5,FALSE)</f>
        <v>678</v>
      </c>
      <c r="O22" s="68">
        <f t="shared" si="2"/>
        <v>1820</v>
      </c>
      <c r="P22" s="68">
        <f>VLOOKUP(B22,'114+320'!$B$15:$AB$115,14,FALSE)</f>
        <v>-180</v>
      </c>
      <c r="Q22" s="66">
        <f>'114+320'!R23</f>
        <v>0</v>
      </c>
      <c r="R22" s="65">
        <f t="shared" si="7"/>
        <v>0</v>
      </c>
      <c r="S22" s="70">
        <f>VLOOKUP(B22,'114+320'!$B$14:$AB$115,22,FALSE)</f>
        <v>-120</v>
      </c>
      <c r="T22" s="69">
        <f>VLOOKUP(B22,'114+320'!$B$15:$AB$115,6,FALSE)</f>
        <v>618</v>
      </c>
      <c r="U22" s="68">
        <f t="shared" si="3"/>
        <v>1880</v>
      </c>
      <c r="V22" s="77">
        <f>VLOOKUP(B22,'114+320'!$B$15:$AB$115,15,FALSE)</f>
        <v>-120</v>
      </c>
      <c r="W22" s="66">
        <f>'114+320'!S23</f>
        <v>0</v>
      </c>
      <c r="X22" s="65">
        <f t="shared" si="8"/>
        <v>0</v>
      </c>
      <c r="Y22" s="64">
        <f t="shared" si="9"/>
        <v>0</v>
      </c>
      <c r="Z22" s="63">
        <f t="shared" si="10"/>
        <v>0</v>
      </c>
      <c r="AA22" s="62">
        <f t="shared" si="11"/>
        <v>0</v>
      </c>
      <c r="AB22" s="62">
        <f t="shared" si="12"/>
        <v>0</v>
      </c>
      <c r="AC22" s="95"/>
      <c r="AD22" s="95"/>
      <c r="AE22" s="94"/>
    </row>
    <row r="23" spans="1:31" s="93" customFormat="1" ht="15" customHeight="1">
      <c r="A23" s="86"/>
      <c r="B23" s="106">
        <f>'114+320'!B24</f>
        <v>45053</v>
      </c>
      <c r="C23" s="75">
        <f t="shared" si="4"/>
        <v>1</v>
      </c>
      <c r="D23" s="74">
        <f t="shared" si="5"/>
        <v>842</v>
      </c>
      <c r="E23" s="73">
        <f>VLOOKUP(B23,'114+320'!B24:AB125,3,FALSE)</f>
        <v>1654</v>
      </c>
      <c r="F23" s="69">
        <f t="shared" si="0"/>
        <v>2496</v>
      </c>
      <c r="G23" s="72">
        <f>VLOOKUP(B23,'114+320'!$B$15:$AB$115,20,FALSE)</f>
        <v>-180</v>
      </c>
      <c r="H23" s="72">
        <f>VLOOKUP(B23,'114+320'!$B$15:$AB$115,4,FALSE)</f>
        <v>676</v>
      </c>
      <c r="I23" s="68">
        <f t="shared" si="1"/>
        <v>1820</v>
      </c>
      <c r="J23" s="68">
        <f>VLOOKUP(B23,'114+320'!$B$15:$AB$115,13,FALSE)</f>
        <v>-180</v>
      </c>
      <c r="K23" s="66">
        <f>'114+320'!Q24</f>
        <v>0</v>
      </c>
      <c r="L23" s="65">
        <f t="shared" si="6"/>
        <v>0</v>
      </c>
      <c r="M23" s="70">
        <f>VLOOKUP(B23,'114+320'!$B$14:$AB$115,21,FALSE)</f>
        <v>-180</v>
      </c>
      <c r="N23" s="69">
        <f>VLOOKUP(B23,'114+320'!$B$15:$AB$115,5,FALSE)</f>
        <v>676</v>
      </c>
      <c r="O23" s="68">
        <f t="shared" si="2"/>
        <v>1820</v>
      </c>
      <c r="P23" s="68">
        <f>VLOOKUP(B23,'114+320'!$B$15:$AB$115,14,FALSE)</f>
        <v>-180</v>
      </c>
      <c r="Q23" s="66">
        <f>'114+320'!R24</f>
        <v>0</v>
      </c>
      <c r="R23" s="65">
        <f t="shared" si="7"/>
        <v>0</v>
      </c>
      <c r="S23" s="70">
        <f>VLOOKUP(B23,'114+320'!$B$14:$AB$115,22,FALSE)</f>
        <v>-120</v>
      </c>
      <c r="T23" s="69">
        <f>VLOOKUP(B23,'114+320'!$B$15:$AB$115,6,FALSE)</f>
        <v>616</v>
      </c>
      <c r="U23" s="68">
        <f t="shared" si="3"/>
        <v>1880</v>
      </c>
      <c r="V23" s="77">
        <f>VLOOKUP(B23,'114+320'!$B$15:$AB$115,15,FALSE)</f>
        <v>-120</v>
      </c>
      <c r="W23" s="66">
        <f>'114+320'!S24</f>
        <v>0</v>
      </c>
      <c r="X23" s="65">
        <f t="shared" si="8"/>
        <v>0</v>
      </c>
      <c r="Y23" s="64">
        <f t="shared" si="9"/>
        <v>0</v>
      </c>
      <c r="Z23" s="63">
        <f t="shared" si="10"/>
        <v>0</v>
      </c>
      <c r="AA23" s="62">
        <f t="shared" si="11"/>
        <v>0</v>
      </c>
      <c r="AB23" s="62">
        <f t="shared" si="12"/>
        <v>0</v>
      </c>
      <c r="AC23" s="95"/>
      <c r="AD23" s="95"/>
      <c r="AE23" s="94"/>
    </row>
    <row r="24" spans="1:31" s="93" customFormat="1" ht="15" customHeight="1">
      <c r="A24" s="86"/>
      <c r="B24" s="106">
        <f>'114+320'!B25</f>
        <v>45054</v>
      </c>
      <c r="C24" s="75">
        <f t="shared" si="4"/>
        <v>1</v>
      </c>
      <c r="D24" s="74">
        <f t="shared" si="5"/>
        <v>842</v>
      </c>
      <c r="E24" s="73">
        <f>VLOOKUP(B24,'114+320'!B25:AB126,3,FALSE)</f>
        <v>1652</v>
      </c>
      <c r="F24" s="69">
        <f t="shared" si="0"/>
        <v>2494</v>
      </c>
      <c r="G24" s="72">
        <f>VLOOKUP(B24,'114+320'!$B$15:$AB$115,20,FALSE)</f>
        <v>-180</v>
      </c>
      <c r="H24" s="72">
        <f>VLOOKUP(B24,'114+320'!$B$15:$AB$115,4,FALSE)</f>
        <v>674</v>
      </c>
      <c r="I24" s="68">
        <f t="shared" si="1"/>
        <v>1820</v>
      </c>
      <c r="J24" s="68">
        <f>VLOOKUP(B24,'114+320'!$B$15:$AB$115,13,FALSE)</f>
        <v>-180</v>
      </c>
      <c r="K24" s="66">
        <f>'114+320'!Q25</f>
        <v>0</v>
      </c>
      <c r="L24" s="65">
        <f t="shared" si="6"/>
        <v>0</v>
      </c>
      <c r="M24" s="70">
        <f>VLOOKUP(B24,'114+320'!$B$14:$AB$115,21,FALSE)</f>
        <v>-180</v>
      </c>
      <c r="N24" s="69">
        <f>VLOOKUP(B24,'114+320'!$B$15:$AB$115,5,FALSE)</f>
        <v>674</v>
      </c>
      <c r="O24" s="68">
        <f t="shared" si="2"/>
        <v>1820</v>
      </c>
      <c r="P24" s="68">
        <f>VLOOKUP(B24,'114+320'!$B$15:$AB$115,14,FALSE)</f>
        <v>-180</v>
      </c>
      <c r="Q24" s="66">
        <f>'114+320'!R25</f>
        <v>0</v>
      </c>
      <c r="R24" s="65">
        <f t="shared" si="7"/>
        <v>0</v>
      </c>
      <c r="S24" s="70">
        <f>VLOOKUP(B24,'114+320'!$B$14:$AB$115,22,FALSE)</f>
        <v>-120</v>
      </c>
      <c r="T24" s="69">
        <f>VLOOKUP(B24,'114+320'!$B$15:$AB$115,6,FALSE)</f>
        <v>614</v>
      </c>
      <c r="U24" s="68">
        <f t="shared" si="3"/>
        <v>1880</v>
      </c>
      <c r="V24" s="77">
        <f>VLOOKUP(B24,'114+320'!$B$15:$AB$115,15,FALSE)</f>
        <v>-120</v>
      </c>
      <c r="W24" s="66">
        <f>'114+320'!S25</f>
        <v>0</v>
      </c>
      <c r="X24" s="65">
        <f t="shared" si="8"/>
        <v>0</v>
      </c>
      <c r="Y24" s="64">
        <f t="shared" si="9"/>
        <v>0</v>
      </c>
      <c r="Z24" s="63">
        <f t="shared" si="10"/>
        <v>0</v>
      </c>
      <c r="AA24" s="62">
        <f t="shared" si="11"/>
        <v>0</v>
      </c>
      <c r="AB24" s="62">
        <f t="shared" si="12"/>
        <v>0</v>
      </c>
      <c r="AC24" s="95"/>
      <c r="AD24" s="95"/>
      <c r="AE24" s="94"/>
    </row>
    <row r="25" spans="1:31" s="93" customFormat="1" ht="15" customHeight="1">
      <c r="A25" s="86"/>
      <c r="B25" s="106">
        <f>'114+320'!B26</f>
        <v>45055</v>
      </c>
      <c r="C25" s="75">
        <f t="shared" si="4"/>
        <v>1</v>
      </c>
      <c r="D25" s="74">
        <f t="shared" si="5"/>
        <v>842</v>
      </c>
      <c r="E25" s="73">
        <f>VLOOKUP(B25,'114+320'!B26:AB127,3,FALSE)</f>
        <v>1650</v>
      </c>
      <c r="F25" s="69">
        <f t="shared" si="0"/>
        <v>2492</v>
      </c>
      <c r="G25" s="72">
        <f>VLOOKUP(B25,'114+320'!$B$15:$AB$115,20,FALSE)</f>
        <v>-180</v>
      </c>
      <c r="H25" s="72">
        <f>VLOOKUP(B25,'114+320'!$B$15:$AB$115,4,FALSE)</f>
        <v>672</v>
      </c>
      <c r="I25" s="68">
        <f t="shared" si="1"/>
        <v>1820</v>
      </c>
      <c r="J25" s="68">
        <f>VLOOKUP(B25,'114+320'!$B$15:$AB$115,13,FALSE)</f>
        <v>-180</v>
      </c>
      <c r="K25" s="66">
        <f>'114+320'!Q26</f>
        <v>0</v>
      </c>
      <c r="L25" s="65">
        <f t="shared" si="6"/>
        <v>0</v>
      </c>
      <c r="M25" s="70">
        <f>VLOOKUP(B25,'114+320'!$B$14:$AB$115,21,FALSE)</f>
        <v>-180</v>
      </c>
      <c r="N25" s="69">
        <f>VLOOKUP(B25,'114+320'!$B$15:$AB$115,5,FALSE)</f>
        <v>672</v>
      </c>
      <c r="O25" s="68">
        <f t="shared" si="2"/>
        <v>1820</v>
      </c>
      <c r="P25" s="68">
        <f>VLOOKUP(B25,'114+320'!$B$15:$AB$115,14,FALSE)</f>
        <v>-180</v>
      </c>
      <c r="Q25" s="66">
        <f>'114+320'!R26</f>
        <v>0</v>
      </c>
      <c r="R25" s="65">
        <f t="shared" si="7"/>
        <v>0</v>
      </c>
      <c r="S25" s="70">
        <f>VLOOKUP(B25,'114+320'!$B$14:$AB$115,22,FALSE)</f>
        <v>-120</v>
      </c>
      <c r="T25" s="69">
        <f>VLOOKUP(B25,'114+320'!$B$15:$AB$115,6,FALSE)</f>
        <v>612</v>
      </c>
      <c r="U25" s="68">
        <f t="shared" si="3"/>
        <v>1880</v>
      </c>
      <c r="V25" s="77">
        <f>VLOOKUP(B25,'114+320'!$B$15:$AB$115,15,FALSE)</f>
        <v>-120</v>
      </c>
      <c r="W25" s="66">
        <f>'114+320'!S26</f>
        <v>0</v>
      </c>
      <c r="X25" s="65">
        <f t="shared" si="8"/>
        <v>0</v>
      </c>
      <c r="Y25" s="64">
        <f t="shared" si="9"/>
        <v>0</v>
      </c>
      <c r="Z25" s="63">
        <f t="shared" si="10"/>
        <v>0</v>
      </c>
      <c r="AA25" s="62">
        <f t="shared" si="11"/>
        <v>0</v>
      </c>
      <c r="AB25" s="62">
        <f t="shared" si="12"/>
        <v>0</v>
      </c>
      <c r="AC25" s="95"/>
      <c r="AD25" s="95"/>
      <c r="AE25" s="94"/>
    </row>
    <row r="26" spans="1:31" s="93" customFormat="1" ht="15" customHeight="1">
      <c r="A26" s="86"/>
      <c r="B26" s="106">
        <f>'114+320'!B27</f>
        <v>45056</v>
      </c>
      <c r="C26" s="75">
        <f t="shared" si="4"/>
        <v>1</v>
      </c>
      <c r="D26" s="74">
        <f t="shared" si="5"/>
        <v>842</v>
      </c>
      <c r="E26" s="73">
        <f>VLOOKUP(B26,'114+320'!B27:AB128,3,FALSE)</f>
        <v>1648</v>
      </c>
      <c r="F26" s="69">
        <f t="shared" si="0"/>
        <v>2490</v>
      </c>
      <c r="G26" s="72">
        <f>VLOOKUP(B26,'114+320'!$B$15:$AB$115,20,FALSE)</f>
        <v>-180</v>
      </c>
      <c r="H26" s="72">
        <f>VLOOKUP(B26,'114+320'!$B$15:$AB$115,4,FALSE)</f>
        <v>670</v>
      </c>
      <c r="I26" s="68">
        <f t="shared" si="1"/>
        <v>1820</v>
      </c>
      <c r="J26" s="68">
        <f>VLOOKUP(B26,'114+320'!$B$15:$AB$115,13,FALSE)</f>
        <v>-180</v>
      </c>
      <c r="K26" s="66">
        <f>'114+320'!Q27</f>
        <v>0</v>
      </c>
      <c r="L26" s="65">
        <f t="shared" si="6"/>
        <v>0</v>
      </c>
      <c r="M26" s="70">
        <f>VLOOKUP(B26,'114+320'!$B$14:$AB$115,21,FALSE)</f>
        <v>-180</v>
      </c>
      <c r="N26" s="69">
        <f>VLOOKUP(B26,'114+320'!$B$15:$AB$115,5,FALSE)</f>
        <v>670</v>
      </c>
      <c r="O26" s="68">
        <f t="shared" si="2"/>
        <v>1820</v>
      </c>
      <c r="P26" s="68">
        <f>VLOOKUP(B26,'114+320'!$B$15:$AB$115,14,FALSE)</f>
        <v>-180</v>
      </c>
      <c r="Q26" s="66">
        <f>'114+320'!R27</f>
        <v>0</v>
      </c>
      <c r="R26" s="65">
        <f t="shared" si="7"/>
        <v>0</v>
      </c>
      <c r="S26" s="70">
        <f>VLOOKUP(B26,'114+320'!$B$14:$AB$115,22,FALSE)</f>
        <v>-120</v>
      </c>
      <c r="T26" s="69">
        <f>VLOOKUP(B26,'114+320'!$B$15:$AB$115,6,FALSE)</f>
        <v>610</v>
      </c>
      <c r="U26" s="68">
        <f t="shared" si="3"/>
        <v>1880</v>
      </c>
      <c r="V26" s="77">
        <f>VLOOKUP(B26,'114+320'!$B$15:$AB$115,15,FALSE)</f>
        <v>-120</v>
      </c>
      <c r="W26" s="66">
        <f>'114+320'!S27</f>
        <v>0</v>
      </c>
      <c r="X26" s="65">
        <f t="shared" si="8"/>
        <v>0</v>
      </c>
      <c r="Y26" s="64">
        <f t="shared" si="9"/>
        <v>0</v>
      </c>
      <c r="Z26" s="63">
        <f t="shared" si="10"/>
        <v>0</v>
      </c>
      <c r="AA26" s="62">
        <f t="shared" si="11"/>
        <v>0</v>
      </c>
      <c r="AB26" s="62">
        <f t="shared" si="12"/>
        <v>0</v>
      </c>
      <c r="AC26" s="95"/>
      <c r="AD26" s="95"/>
      <c r="AE26" s="94"/>
    </row>
    <row r="27" spans="1:31" s="93" customFormat="1" ht="15" customHeight="1">
      <c r="A27" s="86"/>
      <c r="B27" s="106">
        <f>'114+320'!B28</f>
        <v>45057</v>
      </c>
      <c r="C27" s="75">
        <f t="shared" si="4"/>
        <v>1</v>
      </c>
      <c r="D27" s="74">
        <f t="shared" si="5"/>
        <v>842</v>
      </c>
      <c r="E27" s="73">
        <f>VLOOKUP(B27,'114+320'!B28:AB129,3,FALSE)</f>
        <v>1646</v>
      </c>
      <c r="F27" s="69">
        <f t="shared" si="0"/>
        <v>2488</v>
      </c>
      <c r="G27" s="72">
        <f>VLOOKUP(B27,'114+320'!$B$15:$AB$115,20,FALSE)</f>
        <v>-180</v>
      </c>
      <c r="H27" s="72">
        <f>VLOOKUP(B27,'114+320'!$B$15:$AB$115,4,FALSE)</f>
        <v>668</v>
      </c>
      <c r="I27" s="68">
        <f t="shared" si="1"/>
        <v>1820</v>
      </c>
      <c r="J27" s="68">
        <f>VLOOKUP(B27,'114+320'!$B$15:$AB$115,13,FALSE)</f>
        <v>-180</v>
      </c>
      <c r="K27" s="66">
        <f>'114+320'!Q28</f>
        <v>0</v>
      </c>
      <c r="L27" s="65">
        <f t="shared" si="6"/>
        <v>0</v>
      </c>
      <c r="M27" s="70">
        <f>VLOOKUP(B27,'114+320'!$B$14:$AB$115,21,FALSE)</f>
        <v>-180</v>
      </c>
      <c r="N27" s="69">
        <f>VLOOKUP(B27,'114+320'!$B$15:$AB$115,5,FALSE)</f>
        <v>668</v>
      </c>
      <c r="O27" s="68">
        <f t="shared" si="2"/>
        <v>1820</v>
      </c>
      <c r="P27" s="68">
        <f>VLOOKUP(B27,'114+320'!$B$15:$AB$115,14,FALSE)</f>
        <v>-180</v>
      </c>
      <c r="Q27" s="66">
        <f>'114+320'!R28</f>
        <v>0</v>
      </c>
      <c r="R27" s="65">
        <f t="shared" si="7"/>
        <v>0</v>
      </c>
      <c r="S27" s="70">
        <f>VLOOKUP(B27,'114+320'!$B$14:$AB$115,22,FALSE)</f>
        <v>-120</v>
      </c>
      <c r="T27" s="69">
        <f>VLOOKUP(B27,'114+320'!$B$15:$AB$115,6,FALSE)</f>
        <v>608</v>
      </c>
      <c r="U27" s="68">
        <f t="shared" si="3"/>
        <v>1880</v>
      </c>
      <c r="V27" s="77">
        <f>VLOOKUP(B27,'114+320'!$B$15:$AB$115,15,FALSE)</f>
        <v>-120</v>
      </c>
      <c r="W27" s="66">
        <f>'114+320'!S28</f>
        <v>0</v>
      </c>
      <c r="X27" s="65">
        <f t="shared" si="8"/>
        <v>0</v>
      </c>
      <c r="Y27" s="64">
        <f t="shared" si="9"/>
        <v>0</v>
      </c>
      <c r="Z27" s="63">
        <f t="shared" si="10"/>
        <v>0</v>
      </c>
      <c r="AA27" s="62">
        <f t="shared" si="11"/>
        <v>0</v>
      </c>
      <c r="AB27" s="62">
        <f t="shared" si="12"/>
        <v>0</v>
      </c>
      <c r="AC27" s="95"/>
      <c r="AD27" s="95"/>
      <c r="AE27" s="94"/>
    </row>
    <row r="28" spans="1:31" s="93" customFormat="1" ht="15" customHeight="1">
      <c r="A28" s="86"/>
      <c r="B28" s="106">
        <f>'114+320'!B29</f>
        <v>45058</v>
      </c>
      <c r="C28" s="75">
        <f t="shared" si="4"/>
        <v>1</v>
      </c>
      <c r="D28" s="74">
        <f t="shared" si="5"/>
        <v>842</v>
      </c>
      <c r="E28" s="73">
        <f>VLOOKUP(B28,'114+320'!B29:AB130,3,FALSE)</f>
        <v>1644</v>
      </c>
      <c r="F28" s="69">
        <f t="shared" si="0"/>
        <v>2486</v>
      </c>
      <c r="G28" s="72">
        <f>VLOOKUP(B28,'114+320'!$B$15:$AB$115,20,FALSE)</f>
        <v>-180</v>
      </c>
      <c r="H28" s="72">
        <f>VLOOKUP(B28,'114+320'!$B$15:$AB$115,4,FALSE)</f>
        <v>666</v>
      </c>
      <c r="I28" s="68">
        <f t="shared" si="1"/>
        <v>1820</v>
      </c>
      <c r="J28" s="68">
        <f>VLOOKUP(B28,'114+320'!$B$15:$AB$115,13,FALSE)</f>
        <v>-180</v>
      </c>
      <c r="K28" s="66">
        <f>'114+320'!Q29</f>
        <v>0</v>
      </c>
      <c r="L28" s="65">
        <f t="shared" si="6"/>
        <v>0</v>
      </c>
      <c r="M28" s="70">
        <f>VLOOKUP(B28,'114+320'!$B$14:$AB$115,21,FALSE)</f>
        <v>-180</v>
      </c>
      <c r="N28" s="69">
        <f>VLOOKUP(B28,'114+320'!$B$15:$AB$115,5,FALSE)</f>
        <v>666</v>
      </c>
      <c r="O28" s="68">
        <f t="shared" si="2"/>
        <v>1820</v>
      </c>
      <c r="P28" s="68">
        <f>VLOOKUP(B28,'114+320'!$B$15:$AB$115,14,FALSE)</f>
        <v>-180</v>
      </c>
      <c r="Q28" s="66">
        <f>'114+320'!R29</f>
        <v>0</v>
      </c>
      <c r="R28" s="65">
        <f t="shared" si="7"/>
        <v>0</v>
      </c>
      <c r="S28" s="70">
        <f>VLOOKUP(B28,'114+320'!$B$14:$AB$115,22,FALSE)</f>
        <v>-120</v>
      </c>
      <c r="T28" s="69">
        <f>VLOOKUP(B28,'114+320'!$B$15:$AB$115,6,FALSE)</f>
        <v>606</v>
      </c>
      <c r="U28" s="68">
        <f t="shared" si="3"/>
        <v>1880</v>
      </c>
      <c r="V28" s="77">
        <f>VLOOKUP(B28,'114+320'!$B$15:$AB$115,15,FALSE)</f>
        <v>-120</v>
      </c>
      <c r="W28" s="66">
        <f>'114+320'!S29</f>
        <v>0</v>
      </c>
      <c r="X28" s="65">
        <f t="shared" si="8"/>
        <v>0</v>
      </c>
      <c r="Y28" s="64">
        <f t="shared" si="9"/>
        <v>0</v>
      </c>
      <c r="Z28" s="63">
        <f t="shared" si="10"/>
        <v>0</v>
      </c>
      <c r="AA28" s="62">
        <f t="shared" si="11"/>
        <v>0</v>
      </c>
      <c r="AB28" s="62">
        <f t="shared" si="12"/>
        <v>0</v>
      </c>
      <c r="AC28" s="95"/>
      <c r="AD28" s="95"/>
      <c r="AE28" s="94"/>
    </row>
    <row r="29" spans="1:31" s="93" customFormat="1" ht="15" customHeight="1">
      <c r="A29" s="86"/>
      <c r="B29" s="106">
        <f>'114+320'!B30</f>
        <v>45059</v>
      </c>
      <c r="C29" s="75">
        <f t="shared" si="4"/>
        <v>1</v>
      </c>
      <c r="D29" s="74">
        <f t="shared" si="5"/>
        <v>842</v>
      </c>
      <c r="E29" s="73">
        <f>VLOOKUP(B29,'114+320'!B30:AB131,3,FALSE)</f>
        <v>1642</v>
      </c>
      <c r="F29" s="69">
        <f t="shared" si="0"/>
        <v>2484</v>
      </c>
      <c r="G29" s="72">
        <f>VLOOKUP(B29,'114+320'!$B$15:$AB$115,20,FALSE)</f>
        <v>-180</v>
      </c>
      <c r="H29" s="72">
        <f>VLOOKUP(B29,'114+320'!$B$15:$AB$115,4,FALSE)</f>
        <v>664</v>
      </c>
      <c r="I29" s="68">
        <f t="shared" si="1"/>
        <v>1820</v>
      </c>
      <c r="J29" s="68">
        <f>VLOOKUP(B29,'114+320'!$B$15:$AB$115,13,FALSE)</f>
        <v>-180</v>
      </c>
      <c r="K29" s="66">
        <f>'114+320'!Q30</f>
        <v>0</v>
      </c>
      <c r="L29" s="65">
        <f t="shared" si="6"/>
        <v>0</v>
      </c>
      <c r="M29" s="70">
        <f>VLOOKUP(B29,'114+320'!$B$14:$AB$115,21,FALSE)</f>
        <v>-180</v>
      </c>
      <c r="N29" s="69">
        <f>VLOOKUP(B29,'114+320'!$B$15:$AB$115,5,FALSE)</f>
        <v>664</v>
      </c>
      <c r="O29" s="68">
        <f t="shared" si="2"/>
        <v>1820</v>
      </c>
      <c r="P29" s="68">
        <f>VLOOKUP(B29,'114+320'!$B$15:$AB$115,14,FALSE)</f>
        <v>-180</v>
      </c>
      <c r="Q29" s="66">
        <f>'114+320'!R30</f>
        <v>0</v>
      </c>
      <c r="R29" s="65">
        <f t="shared" si="7"/>
        <v>0</v>
      </c>
      <c r="S29" s="70">
        <f>VLOOKUP(B29,'114+320'!$B$14:$AB$115,22,FALSE)</f>
        <v>-120</v>
      </c>
      <c r="T29" s="69">
        <f>VLOOKUP(B29,'114+320'!$B$15:$AB$115,6,FALSE)</f>
        <v>604</v>
      </c>
      <c r="U29" s="68">
        <f t="shared" si="3"/>
        <v>1880</v>
      </c>
      <c r="V29" s="77">
        <f>VLOOKUP(B29,'114+320'!$B$15:$AB$115,15,FALSE)</f>
        <v>-120</v>
      </c>
      <c r="W29" s="66">
        <f>'114+320'!S30</f>
        <v>0</v>
      </c>
      <c r="X29" s="65">
        <f t="shared" si="8"/>
        <v>0</v>
      </c>
      <c r="Y29" s="64">
        <f t="shared" si="9"/>
        <v>0</v>
      </c>
      <c r="Z29" s="63">
        <f t="shared" si="10"/>
        <v>0</v>
      </c>
      <c r="AA29" s="62">
        <f t="shared" si="11"/>
        <v>0</v>
      </c>
      <c r="AB29" s="62">
        <f t="shared" si="12"/>
        <v>0</v>
      </c>
      <c r="AC29" s="95"/>
      <c r="AD29" s="95"/>
      <c r="AE29" s="94"/>
    </row>
    <row r="30" spans="1:31" s="93" customFormat="1" ht="15" customHeight="1">
      <c r="A30" s="86"/>
      <c r="B30" s="106">
        <f>'114+320'!B31</f>
        <v>45060</v>
      </c>
      <c r="C30" s="75">
        <f t="shared" si="4"/>
        <v>1</v>
      </c>
      <c r="D30" s="74">
        <f t="shared" si="5"/>
        <v>842</v>
      </c>
      <c r="E30" s="73">
        <f>VLOOKUP(B30,'114+320'!B31:AB132,3,FALSE)</f>
        <v>1640</v>
      </c>
      <c r="F30" s="69">
        <f t="shared" si="0"/>
        <v>2482</v>
      </c>
      <c r="G30" s="72">
        <f>VLOOKUP(B30,'114+320'!$B$15:$AB$115,20,FALSE)</f>
        <v>-180</v>
      </c>
      <c r="H30" s="72">
        <f>VLOOKUP(B30,'114+320'!$B$15:$AB$115,4,FALSE)</f>
        <v>662</v>
      </c>
      <c r="I30" s="68">
        <f t="shared" si="1"/>
        <v>1820</v>
      </c>
      <c r="J30" s="68">
        <f>VLOOKUP(B30,'114+320'!$B$15:$AB$115,13,FALSE)</f>
        <v>-180</v>
      </c>
      <c r="K30" s="66">
        <f>'114+320'!Q31</f>
        <v>0</v>
      </c>
      <c r="L30" s="65">
        <f t="shared" si="6"/>
        <v>0</v>
      </c>
      <c r="M30" s="70">
        <f>VLOOKUP(B30,'114+320'!$B$14:$AB$115,21,FALSE)</f>
        <v>-180</v>
      </c>
      <c r="N30" s="69">
        <f>VLOOKUP(B30,'114+320'!$B$15:$AB$115,5,FALSE)</f>
        <v>662</v>
      </c>
      <c r="O30" s="68">
        <f t="shared" si="2"/>
        <v>1820</v>
      </c>
      <c r="P30" s="68">
        <f>VLOOKUP(B30,'114+320'!$B$15:$AB$115,14,FALSE)</f>
        <v>-180</v>
      </c>
      <c r="Q30" s="66">
        <f>'114+320'!R31</f>
        <v>0</v>
      </c>
      <c r="R30" s="65">
        <f t="shared" si="7"/>
        <v>0</v>
      </c>
      <c r="S30" s="70">
        <f>VLOOKUP(B30,'114+320'!$B$14:$AB$115,22,FALSE)</f>
        <v>-120</v>
      </c>
      <c r="T30" s="69">
        <f>VLOOKUP(B30,'114+320'!$B$15:$AB$115,6,FALSE)</f>
        <v>602</v>
      </c>
      <c r="U30" s="68">
        <f t="shared" si="3"/>
        <v>1880</v>
      </c>
      <c r="V30" s="77">
        <f>VLOOKUP(B30,'114+320'!$B$15:$AB$115,15,FALSE)</f>
        <v>-120</v>
      </c>
      <c r="W30" s="66">
        <f>'114+320'!S31</f>
        <v>0</v>
      </c>
      <c r="X30" s="65">
        <f t="shared" si="8"/>
        <v>0</v>
      </c>
      <c r="Y30" s="64">
        <f t="shared" si="9"/>
        <v>0</v>
      </c>
      <c r="Z30" s="63">
        <f t="shared" si="10"/>
        <v>0</v>
      </c>
      <c r="AA30" s="62">
        <f t="shared" si="11"/>
        <v>0</v>
      </c>
      <c r="AB30" s="62">
        <f t="shared" si="12"/>
        <v>0</v>
      </c>
      <c r="AC30" s="95"/>
      <c r="AD30" s="95"/>
      <c r="AE30" s="94"/>
    </row>
    <row r="31" spans="1:31" s="87" customFormat="1" ht="15" customHeight="1">
      <c r="A31" s="86"/>
      <c r="B31" s="106">
        <f>'114+320'!B32</f>
        <v>45061</v>
      </c>
      <c r="C31" s="75">
        <f t="shared" si="4"/>
        <v>1</v>
      </c>
      <c r="D31" s="74">
        <f t="shared" si="5"/>
        <v>842</v>
      </c>
      <c r="E31" s="73">
        <f>VLOOKUP(B31,'114+320'!B32:AB133,3,FALSE)</f>
        <v>1638</v>
      </c>
      <c r="F31" s="69">
        <f t="shared" si="0"/>
        <v>2480</v>
      </c>
      <c r="G31" s="72">
        <f>VLOOKUP(B31,'114+320'!$B$15:$AB$115,20,FALSE)</f>
        <v>-180</v>
      </c>
      <c r="H31" s="72">
        <f>VLOOKUP(B31,'114+320'!$B$15:$AB$115,4,FALSE)</f>
        <v>660</v>
      </c>
      <c r="I31" s="68">
        <f t="shared" si="1"/>
        <v>1820</v>
      </c>
      <c r="J31" s="68">
        <f>VLOOKUP(B31,'114+320'!$B$15:$AB$115,13,FALSE)</f>
        <v>-180</v>
      </c>
      <c r="K31" s="66">
        <f>'114+320'!Q32</f>
        <v>0</v>
      </c>
      <c r="L31" s="65">
        <f t="shared" si="6"/>
        <v>0</v>
      </c>
      <c r="M31" s="70">
        <f>VLOOKUP(B31,'114+320'!$B$14:$AB$115,21,FALSE)</f>
        <v>-180</v>
      </c>
      <c r="N31" s="69">
        <f>VLOOKUP(B31,'114+320'!$B$15:$AB$115,5,FALSE)</f>
        <v>660</v>
      </c>
      <c r="O31" s="68">
        <f t="shared" si="2"/>
        <v>1820</v>
      </c>
      <c r="P31" s="68">
        <f>VLOOKUP(B31,'114+320'!$B$15:$AB$115,14,FALSE)</f>
        <v>-180</v>
      </c>
      <c r="Q31" s="66">
        <f>'114+320'!R32</f>
        <v>0</v>
      </c>
      <c r="R31" s="65">
        <f t="shared" si="7"/>
        <v>0</v>
      </c>
      <c r="S31" s="70">
        <f>VLOOKUP(B31,'114+320'!$B$14:$AB$115,22,FALSE)</f>
        <v>-120</v>
      </c>
      <c r="T31" s="69">
        <f>VLOOKUP(B31,'114+320'!$B$15:$AB$115,6,FALSE)</f>
        <v>600</v>
      </c>
      <c r="U31" s="68">
        <f t="shared" si="3"/>
        <v>1880</v>
      </c>
      <c r="V31" s="77">
        <f>VLOOKUP(B31,'114+320'!$B$15:$AB$115,15,FALSE)</f>
        <v>-120</v>
      </c>
      <c r="W31" s="66">
        <f>'114+320'!S32</f>
        <v>0</v>
      </c>
      <c r="X31" s="65">
        <f t="shared" si="8"/>
        <v>0</v>
      </c>
      <c r="Y31" s="64">
        <f t="shared" si="9"/>
        <v>0</v>
      </c>
      <c r="Z31" s="63">
        <f t="shared" si="10"/>
        <v>0</v>
      </c>
      <c r="AA31" s="62">
        <f t="shared" si="11"/>
        <v>0</v>
      </c>
      <c r="AB31" s="62">
        <f t="shared" si="12"/>
        <v>0</v>
      </c>
      <c r="AC31" s="89"/>
      <c r="AD31" s="89"/>
      <c r="AE31" s="88"/>
    </row>
    <row r="32" spans="1:31" s="93" customFormat="1" ht="15" customHeight="1">
      <c r="A32" s="86"/>
      <c r="B32" s="106">
        <f>'114+320'!B33</f>
        <v>45062</v>
      </c>
      <c r="C32" s="75">
        <f t="shared" si="4"/>
        <v>1</v>
      </c>
      <c r="D32" s="74">
        <f t="shared" si="5"/>
        <v>842</v>
      </c>
      <c r="E32" s="73">
        <f>VLOOKUP(B32,'114+320'!B33:AB134,3,FALSE)</f>
        <v>1636</v>
      </c>
      <c r="F32" s="69">
        <f t="shared" si="0"/>
        <v>2478</v>
      </c>
      <c r="G32" s="72">
        <f>VLOOKUP(B32,'114+320'!$B$15:$AB$115,20,FALSE)</f>
        <v>-180</v>
      </c>
      <c r="H32" s="72">
        <f>VLOOKUP(B32,'114+320'!$B$15:$AB$115,4,FALSE)</f>
        <v>658</v>
      </c>
      <c r="I32" s="68">
        <f t="shared" si="1"/>
        <v>1820</v>
      </c>
      <c r="J32" s="68">
        <f>VLOOKUP(B32,'114+320'!$B$15:$AB$115,13,FALSE)</f>
        <v>-180</v>
      </c>
      <c r="K32" s="66">
        <f>'114+320'!Q33</f>
        <v>0</v>
      </c>
      <c r="L32" s="65">
        <f t="shared" si="6"/>
        <v>0</v>
      </c>
      <c r="M32" s="70">
        <f>VLOOKUP(B32,'114+320'!$B$14:$AB$115,21,FALSE)</f>
        <v>-180</v>
      </c>
      <c r="N32" s="69">
        <f>VLOOKUP(B32,'114+320'!$B$15:$AB$115,5,FALSE)</f>
        <v>658</v>
      </c>
      <c r="O32" s="68">
        <f t="shared" si="2"/>
        <v>1820</v>
      </c>
      <c r="P32" s="68">
        <f>VLOOKUP(B32,'114+320'!$B$15:$AB$115,14,FALSE)</f>
        <v>-180</v>
      </c>
      <c r="Q32" s="66">
        <f>'114+320'!R33</f>
        <v>0</v>
      </c>
      <c r="R32" s="65">
        <f t="shared" si="7"/>
        <v>0</v>
      </c>
      <c r="S32" s="70">
        <f>VLOOKUP(B32,'114+320'!$B$14:$AB$115,22,FALSE)</f>
        <v>-120</v>
      </c>
      <c r="T32" s="69">
        <f>VLOOKUP(B32,'114+320'!$B$15:$AB$115,6,FALSE)</f>
        <v>598</v>
      </c>
      <c r="U32" s="68">
        <f t="shared" si="3"/>
        <v>1880</v>
      </c>
      <c r="V32" s="77">
        <f>VLOOKUP(B32,'114+320'!$B$15:$AB$115,15,FALSE)</f>
        <v>-120</v>
      </c>
      <c r="W32" s="66">
        <f>'114+320'!S33</f>
        <v>0</v>
      </c>
      <c r="X32" s="65">
        <f t="shared" si="8"/>
        <v>0</v>
      </c>
      <c r="Y32" s="64">
        <f t="shared" si="9"/>
        <v>0</v>
      </c>
      <c r="Z32" s="63">
        <f t="shared" si="10"/>
        <v>0</v>
      </c>
      <c r="AA32" s="62">
        <f t="shared" si="11"/>
        <v>0</v>
      </c>
      <c r="AB32" s="62">
        <f t="shared" si="12"/>
        <v>0</v>
      </c>
      <c r="AC32" s="95"/>
      <c r="AD32" s="95"/>
      <c r="AE32" s="94"/>
    </row>
    <row r="33" spans="1:31" s="93" customFormat="1" ht="15" customHeight="1">
      <c r="A33" s="86"/>
      <c r="B33" s="106">
        <f>'114+320'!B34</f>
        <v>45063</v>
      </c>
      <c r="C33" s="75">
        <f t="shared" si="4"/>
        <v>1</v>
      </c>
      <c r="D33" s="74">
        <f t="shared" si="5"/>
        <v>842</v>
      </c>
      <c r="E33" s="73">
        <f>VLOOKUP(B33,'114+320'!B34:AB135,3,FALSE)</f>
        <v>1634</v>
      </c>
      <c r="F33" s="69">
        <f t="shared" si="0"/>
        <v>2476</v>
      </c>
      <c r="G33" s="72">
        <f>VLOOKUP(B33,'114+320'!$B$15:$AB$115,20,FALSE)</f>
        <v>-180</v>
      </c>
      <c r="H33" s="72">
        <f>VLOOKUP(B33,'114+320'!$B$15:$AB$115,4,FALSE)</f>
        <v>656</v>
      </c>
      <c r="I33" s="68">
        <f t="shared" si="1"/>
        <v>1820</v>
      </c>
      <c r="J33" s="68">
        <f>VLOOKUP(B33,'114+320'!$B$15:$AB$115,13,FALSE)</f>
        <v>-180</v>
      </c>
      <c r="K33" s="66">
        <f>'114+320'!Q34</f>
        <v>0</v>
      </c>
      <c r="L33" s="65">
        <f t="shared" si="6"/>
        <v>0</v>
      </c>
      <c r="M33" s="70">
        <f>VLOOKUP(B33,'114+320'!$B$14:$AB$115,21,FALSE)</f>
        <v>-180</v>
      </c>
      <c r="N33" s="69">
        <f>VLOOKUP(B33,'114+320'!$B$15:$AB$115,5,FALSE)</f>
        <v>656</v>
      </c>
      <c r="O33" s="68">
        <f t="shared" si="2"/>
        <v>1820</v>
      </c>
      <c r="P33" s="68">
        <f>VLOOKUP(B33,'114+320'!$B$15:$AB$115,14,FALSE)</f>
        <v>-180</v>
      </c>
      <c r="Q33" s="66">
        <f>'114+320'!R34</f>
        <v>0</v>
      </c>
      <c r="R33" s="65">
        <f t="shared" si="7"/>
        <v>0</v>
      </c>
      <c r="S33" s="70">
        <f>VLOOKUP(B33,'114+320'!$B$14:$AB$115,22,FALSE)</f>
        <v>-120</v>
      </c>
      <c r="T33" s="69">
        <f>VLOOKUP(B33,'114+320'!$B$15:$AB$115,6,FALSE)</f>
        <v>596</v>
      </c>
      <c r="U33" s="68">
        <f t="shared" si="3"/>
        <v>1880</v>
      </c>
      <c r="V33" s="77">
        <f>VLOOKUP(B33,'114+320'!$B$15:$AB$115,15,FALSE)</f>
        <v>-120</v>
      </c>
      <c r="W33" s="66">
        <f>'114+320'!S34</f>
        <v>0</v>
      </c>
      <c r="X33" s="65">
        <f t="shared" si="8"/>
        <v>0</v>
      </c>
      <c r="Y33" s="64">
        <f t="shared" si="9"/>
        <v>0</v>
      </c>
      <c r="Z33" s="63">
        <f t="shared" si="10"/>
        <v>0</v>
      </c>
      <c r="AA33" s="62">
        <f t="shared" si="11"/>
        <v>0</v>
      </c>
      <c r="AB33" s="62">
        <f t="shared" si="12"/>
        <v>0</v>
      </c>
      <c r="AC33" s="95"/>
      <c r="AD33" s="95"/>
      <c r="AE33" s="94"/>
    </row>
    <row r="34" spans="1:31" s="93" customFormat="1" ht="15" customHeight="1">
      <c r="A34" s="86"/>
      <c r="B34" s="106">
        <f>'114+320'!B35</f>
        <v>45064</v>
      </c>
      <c r="C34" s="75">
        <f t="shared" si="4"/>
        <v>1</v>
      </c>
      <c r="D34" s="74">
        <f t="shared" si="5"/>
        <v>842</v>
      </c>
      <c r="E34" s="73">
        <f>VLOOKUP(B34,'114+320'!B35:AB136,3,FALSE)</f>
        <v>1632</v>
      </c>
      <c r="F34" s="69">
        <f t="shared" si="0"/>
        <v>2474</v>
      </c>
      <c r="G34" s="72">
        <f>VLOOKUP(B34,'114+320'!$B$15:$AB$115,20,FALSE)</f>
        <v>-180</v>
      </c>
      <c r="H34" s="72">
        <f>VLOOKUP(B34,'114+320'!$B$15:$AB$115,4,FALSE)</f>
        <v>654</v>
      </c>
      <c r="I34" s="68">
        <f t="shared" si="1"/>
        <v>1820</v>
      </c>
      <c r="J34" s="68">
        <f>VLOOKUP(B34,'114+320'!$B$15:$AB$115,13,FALSE)</f>
        <v>-180</v>
      </c>
      <c r="K34" s="66">
        <f>'114+320'!Q35</f>
        <v>0</v>
      </c>
      <c r="L34" s="65">
        <f t="shared" si="6"/>
        <v>0</v>
      </c>
      <c r="M34" s="70">
        <f>VLOOKUP(B34,'114+320'!$B$14:$AB$115,21,FALSE)</f>
        <v>-180</v>
      </c>
      <c r="N34" s="69">
        <f>VLOOKUP(B34,'114+320'!$B$15:$AB$115,5,FALSE)</f>
        <v>654</v>
      </c>
      <c r="O34" s="68">
        <f t="shared" si="2"/>
        <v>1820</v>
      </c>
      <c r="P34" s="68">
        <f>VLOOKUP(B34,'114+320'!$B$15:$AB$115,14,FALSE)</f>
        <v>-180</v>
      </c>
      <c r="Q34" s="66">
        <f>'114+320'!R35</f>
        <v>0</v>
      </c>
      <c r="R34" s="65">
        <f t="shared" si="7"/>
        <v>0</v>
      </c>
      <c r="S34" s="70">
        <f>VLOOKUP(B34,'114+320'!$B$14:$AB$115,22,FALSE)</f>
        <v>-120</v>
      </c>
      <c r="T34" s="69">
        <f>VLOOKUP(B34,'114+320'!$B$15:$AB$115,6,FALSE)</f>
        <v>594</v>
      </c>
      <c r="U34" s="68">
        <f t="shared" si="3"/>
        <v>1880</v>
      </c>
      <c r="V34" s="77">
        <f>VLOOKUP(B34,'114+320'!$B$15:$AB$115,15,FALSE)</f>
        <v>-120</v>
      </c>
      <c r="W34" s="66">
        <f>'114+320'!S35</f>
        <v>0</v>
      </c>
      <c r="X34" s="65">
        <f t="shared" si="8"/>
        <v>0</v>
      </c>
      <c r="Y34" s="64">
        <f t="shared" si="9"/>
        <v>0</v>
      </c>
      <c r="Z34" s="63">
        <f t="shared" si="10"/>
        <v>0</v>
      </c>
      <c r="AA34" s="62">
        <f t="shared" si="11"/>
        <v>0</v>
      </c>
      <c r="AB34" s="62">
        <f t="shared" si="12"/>
        <v>0</v>
      </c>
      <c r="AC34" s="95"/>
      <c r="AD34" s="95"/>
      <c r="AE34" s="94"/>
    </row>
    <row r="35" spans="1:31" s="93" customFormat="1" ht="15" customHeight="1">
      <c r="A35" s="86"/>
      <c r="B35" s="106">
        <f>'114+320'!B36</f>
        <v>45065</v>
      </c>
      <c r="C35" s="75">
        <f t="shared" si="4"/>
        <v>1</v>
      </c>
      <c r="D35" s="74">
        <f t="shared" si="5"/>
        <v>842</v>
      </c>
      <c r="E35" s="73">
        <f>VLOOKUP(B35,'114+320'!B36:AB137,3,FALSE)</f>
        <v>1630</v>
      </c>
      <c r="F35" s="69">
        <f t="shared" si="0"/>
        <v>2472</v>
      </c>
      <c r="G35" s="72">
        <f>VLOOKUP(B35,'114+320'!$B$15:$AB$115,20,FALSE)</f>
        <v>-180</v>
      </c>
      <c r="H35" s="72">
        <f>VLOOKUP(B35,'114+320'!$B$15:$AB$115,4,FALSE)</f>
        <v>652</v>
      </c>
      <c r="I35" s="68">
        <f t="shared" si="1"/>
        <v>1820</v>
      </c>
      <c r="J35" s="68">
        <f>VLOOKUP(B35,'114+320'!$B$15:$AB$115,13,FALSE)</f>
        <v>-180</v>
      </c>
      <c r="K35" s="66">
        <f>'114+320'!Q36</f>
        <v>0</v>
      </c>
      <c r="L35" s="65">
        <f t="shared" si="6"/>
        <v>0</v>
      </c>
      <c r="M35" s="70">
        <f>VLOOKUP(B35,'114+320'!$B$14:$AB$115,21,FALSE)</f>
        <v>-180</v>
      </c>
      <c r="N35" s="69">
        <f>VLOOKUP(B35,'114+320'!$B$15:$AB$115,5,FALSE)</f>
        <v>652</v>
      </c>
      <c r="O35" s="68">
        <f t="shared" si="2"/>
        <v>1820</v>
      </c>
      <c r="P35" s="68">
        <f>VLOOKUP(B35,'114+320'!$B$15:$AB$115,14,FALSE)</f>
        <v>-180</v>
      </c>
      <c r="Q35" s="66">
        <f>'114+320'!R36</f>
        <v>0</v>
      </c>
      <c r="R35" s="65">
        <f t="shared" si="7"/>
        <v>0</v>
      </c>
      <c r="S35" s="70">
        <f>VLOOKUP(B35,'114+320'!$B$14:$AB$115,22,FALSE)</f>
        <v>-120</v>
      </c>
      <c r="T35" s="69">
        <f>VLOOKUP(B35,'114+320'!$B$15:$AB$115,6,FALSE)</f>
        <v>592</v>
      </c>
      <c r="U35" s="68">
        <f t="shared" si="3"/>
        <v>1880</v>
      </c>
      <c r="V35" s="77">
        <f>VLOOKUP(B35,'114+320'!$B$15:$AB$115,15,FALSE)</f>
        <v>-120</v>
      </c>
      <c r="W35" s="66">
        <f>'114+320'!S36</f>
        <v>0</v>
      </c>
      <c r="X35" s="65">
        <f t="shared" si="8"/>
        <v>0</v>
      </c>
      <c r="Y35" s="64">
        <f t="shared" si="9"/>
        <v>0</v>
      </c>
      <c r="Z35" s="63">
        <f t="shared" si="10"/>
        <v>0</v>
      </c>
      <c r="AA35" s="62">
        <f t="shared" si="11"/>
        <v>0</v>
      </c>
      <c r="AB35" s="62">
        <f t="shared" si="12"/>
        <v>0</v>
      </c>
      <c r="AC35" s="95"/>
      <c r="AD35" s="95"/>
      <c r="AE35" s="94"/>
    </row>
    <row r="36" spans="1:31" s="93" customFormat="1" ht="15" customHeight="1">
      <c r="A36" s="86"/>
      <c r="B36" s="106">
        <f>'114+320'!B37</f>
        <v>45066</v>
      </c>
      <c r="C36" s="75">
        <f t="shared" si="4"/>
        <v>1</v>
      </c>
      <c r="D36" s="74">
        <f t="shared" si="5"/>
        <v>842</v>
      </c>
      <c r="E36" s="73">
        <f>VLOOKUP(B36,'114+320'!B37:AB138,3,FALSE)</f>
        <v>1628</v>
      </c>
      <c r="F36" s="69">
        <f t="shared" si="0"/>
        <v>2470</v>
      </c>
      <c r="G36" s="72">
        <f>VLOOKUP(B36,'114+320'!$B$15:$AB$115,20,FALSE)</f>
        <v>-180</v>
      </c>
      <c r="H36" s="72">
        <f>VLOOKUP(B36,'114+320'!$B$15:$AB$115,4,FALSE)</f>
        <v>650</v>
      </c>
      <c r="I36" s="68">
        <f t="shared" si="1"/>
        <v>1820</v>
      </c>
      <c r="J36" s="68">
        <f>VLOOKUP(B36,'114+320'!$B$15:$AB$115,13,FALSE)</f>
        <v>-180</v>
      </c>
      <c r="K36" s="66">
        <f>'114+320'!Q37</f>
        <v>0</v>
      </c>
      <c r="L36" s="65">
        <f t="shared" si="6"/>
        <v>0</v>
      </c>
      <c r="M36" s="70">
        <f>VLOOKUP(B36,'114+320'!$B$14:$AB$115,21,FALSE)</f>
        <v>-180</v>
      </c>
      <c r="N36" s="69">
        <f>VLOOKUP(B36,'114+320'!$B$15:$AB$115,5,FALSE)</f>
        <v>650</v>
      </c>
      <c r="O36" s="68">
        <f t="shared" si="2"/>
        <v>1820</v>
      </c>
      <c r="P36" s="68">
        <f>VLOOKUP(B36,'114+320'!$B$15:$AB$115,14,FALSE)</f>
        <v>-180</v>
      </c>
      <c r="Q36" s="66">
        <f>'114+320'!R37</f>
        <v>0</v>
      </c>
      <c r="R36" s="65">
        <f t="shared" si="7"/>
        <v>0</v>
      </c>
      <c r="S36" s="70">
        <f>VLOOKUP(B36,'114+320'!$B$14:$AB$115,22,FALSE)</f>
        <v>-120</v>
      </c>
      <c r="T36" s="69">
        <f>VLOOKUP(B36,'114+320'!$B$15:$AB$115,6,FALSE)</f>
        <v>590</v>
      </c>
      <c r="U36" s="68">
        <f t="shared" si="3"/>
        <v>1880</v>
      </c>
      <c r="V36" s="77">
        <f>VLOOKUP(B36,'114+320'!$B$15:$AB$115,15,FALSE)</f>
        <v>-120</v>
      </c>
      <c r="W36" s="66">
        <f>'114+320'!S37</f>
        <v>0</v>
      </c>
      <c r="X36" s="65">
        <f t="shared" si="8"/>
        <v>0</v>
      </c>
      <c r="Y36" s="64">
        <f t="shared" si="9"/>
        <v>0</v>
      </c>
      <c r="Z36" s="63">
        <f t="shared" si="10"/>
        <v>0</v>
      </c>
      <c r="AA36" s="62">
        <f t="shared" si="11"/>
        <v>0</v>
      </c>
      <c r="AB36" s="62">
        <f t="shared" si="12"/>
        <v>0</v>
      </c>
      <c r="AC36" s="95"/>
      <c r="AD36" s="95"/>
      <c r="AE36" s="94"/>
    </row>
    <row r="37" spans="1:31" s="93" customFormat="1" ht="15" customHeight="1">
      <c r="A37" s="86"/>
      <c r="B37" s="106">
        <f>'114+320'!B38</f>
        <v>45067</v>
      </c>
      <c r="C37" s="75">
        <f t="shared" si="4"/>
        <v>1</v>
      </c>
      <c r="D37" s="74">
        <f t="shared" si="5"/>
        <v>842</v>
      </c>
      <c r="E37" s="73">
        <f>VLOOKUP(B37,'114+320'!B38:AB139,3,FALSE)</f>
        <v>1626</v>
      </c>
      <c r="F37" s="69">
        <f t="shared" si="0"/>
        <v>2468</v>
      </c>
      <c r="G37" s="72">
        <f>VLOOKUP(B37,'114+320'!$B$15:$AB$115,20,FALSE)</f>
        <v>-100</v>
      </c>
      <c r="H37" s="72">
        <f>VLOOKUP(B37,'114+320'!$B$15:$AB$115,4,FALSE)</f>
        <v>648</v>
      </c>
      <c r="I37" s="68">
        <f t="shared" si="1"/>
        <v>1820</v>
      </c>
      <c r="J37" s="68">
        <f>VLOOKUP(B37,'114+320'!$B$15:$AB$115,13,FALSE)</f>
        <v>-180</v>
      </c>
      <c r="K37" s="66">
        <f>'114+320'!Q38</f>
        <v>0</v>
      </c>
      <c r="L37" s="65">
        <f t="shared" si="6"/>
        <v>0</v>
      </c>
      <c r="M37" s="70">
        <f>VLOOKUP(B37,'114+320'!$B$14:$AB$115,21,FALSE)</f>
        <v>-100</v>
      </c>
      <c r="N37" s="69">
        <f>VLOOKUP(B37,'114+320'!$B$15:$AB$115,5,FALSE)</f>
        <v>648</v>
      </c>
      <c r="O37" s="68">
        <f t="shared" si="2"/>
        <v>1820</v>
      </c>
      <c r="P37" s="68">
        <f>VLOOKUP(B37,'114+320'!$B$15:$AB$115,14,FALSE)</f>
        <v>-180</v>
      </c>
      <c r="Q37" s="66">
        <f>'114+320'!R38</f>
        <v>0</v>
      </c>
      <c r="R37" s="65">
        <f t="shared" si="7"/>
        <v>0</v>
      </c>
      <c r="S37" s="70">
        <f>VLOOKUP(B37,'114+320'!$B$14:$AB$115,22,FALSE)</f>
        <v>-100</v>
      </c>
      <c r="T37" s="69">
        <f>VLOOKUP(B37,'114+320'!$B$15:$AB$115,6,FALSE)</f>
        <v>588</v>
      </c>
      <c r="U37" s="68">
        <f t="shared" si="3"/>
        <v>1880</v>
      </c>
      <c r="V37" s="77">
        <f>VLOOKUP(B37,'114+320'!$B$15:$AB$115,15,FALSE)</f>
        <v>-120</v>
      </c>
      <c r="W37" s="66">
        <f>'114+320'!S38</f>
        <v>0</v>
      </c>
      <c r="X37" s="65">
        <f t="shared" si="8"/>
        <v>0</v>
      </c>
      <c r="Y37" s="64">
        <f t="shared" si="9"/>
        <v>20</v>
      </c>
      <c r="Z37" s="63">
        <f t="shared" si="10"/>
        <v>0.02</v>
      </c>
      <c r="AA37" s="62">
        <f t="shared" si="11"/>
        <v>0.02</v>
      </c>
      <c r="AB37" s="62">
        <f t="shared" si="12"/>
        <v>0.08</v>
      </c>
      <c r="AC37" s="95"/>
      <c r="AD37" s="95"/>
      <c r="AE37" s="94"/>
    </row>
    <row r="38" spans="1:31" s="84" customFormat="1" ht="15" customHeight="1">
      <c r="A38" s="86"/>
      <c r="B38" s="106">
        <f>'114+320'!B39</f>
        <v>45068</v>
      </c>
      <c r="C38" s="75">
        <f t="shared" si="4"/>
        <v>1</v>
      </c>
      <c r="D38" s="74">
        <f t="shared" si="5"/>
        <v>842</v>
      </c>
      <c r="E38" s="73">
        <f>VLOOKUP(B38,'114+320'!B39:AB140,3,FALSE)</f>
        <v>1624</v>
      </c>
      <c r="F38" s="69">
        <f t="shared" si="0"/>
        <v>2466</v>
      </c>
      <c r="G38" s="72">
        <f>VLOOKUP(B38,'114+320'!$B$15:$AB$115,20,FALSE)</f>
        <v>194</v>
      </c>
      <c r="H38" s="72">
        <f>VLOOKUP(B38,'114+320'!$B$15:$AB$115,4,FALSE)</f>
        <v>652</v>
      </c>
      <c r="I38" s="68">
        <f t="shared" si="1"/>
        <v>1814</v>
      </c>
      <c r="J38" s="68">
        <f>VLOOKUP(B38,'114+320'!$B$15:$AB$115,13,FALSE)</f>
        <v>-186</v>
      </c>
      <c r="K38" s="66">
        <f>'114+320'!Q39</f>
        <v>6</v>
      </c>
      <c r="L38" s="65">
        <f t="shared" si="6"/>
        <v>6</v>
      </c>
      <c r="M38" s="70">
        <f>VLOOKUP(B38,'114+320'!$B$14:$AB$115,21,FALSE)</f>
        <v>193</v>
      </c>
      <c r="N38" s="69">
        <f>VLOOKUP(B38,'114+320'!$B$15:$AB$115,5,FALSE)</f>
        <v>653</v>
      </c>
      <c r="O38" s="68">
        <f t="shared" si="2"/>
        <v>1813</v>
      </c>
      <c r="P38" s="68">
        <f>VLOOKUP(B38,'114+320'!$B$15:$AB$115,14,FALSE)</f>
        <v>-187</v>
      </c>
      <c r="Q38" s="66">
        <f>'114+320'!R39</f>
        <v>7</v>
      </c>
      <c r="R38" s="65">
        <f t="shared" si="7"/>
        <v>7</v>
      </c>
      <c r="S38" s="70">
        <f>VLOOKUP(B38,'114+320'!$B$14:$AB$115,22,FALSE)</f>
        <v>193</v>
      </c>
      <c r="T38" s="69">
        <f>VLOOKUP(B38,'114+320'!$B$15:$AB$115,6,FALSE)</f>
        <v>593</v>
      </c>
      <c r="U38" s="68">
        <f t="shared" si="3"/>
        <v>1873</v>
      </c>
      <c r="V38" s="77">
        <f>VLOOKUP(B38,'114+320'!$B$15:$AB$115,15,FALSE)</f>
        <v>-127</v>
      </c>
      <c r="W38" s="66">
        <f>'114+320'!S39</f>
        <v>7</v>
      </c>
      <c r="X38" s="65">
        <f t="shared" si="8"/>
        <v>7</v>
      </c>
      <c r="Y38" s="64">
        <f t="shared" si="9"/>
        <v>293</v>
      </c>
      <c r="Z38" s="63">
        <f t="shared" si="10"/>
        <v>0.29299999999999998</v>
      </c>
      <c r="AA38" s="62">
        <f t="shared" si="11"/>
        <v>0.313</v>
      </c>
      <c r="AB38" s="62">
        <f t="shared" si="12"/>
        <v>0.36599999999999999</v>
      </c>
      <c r="AC38" s="51"/>
      <c r="AD38" s="51"/>
      <c r="AE38" s="85"/>
    </row>
    <row r="39" spans="1:31" s="84" customFormat="1" ht="15" customHeight="1">
      <c r="A39" s="86"/>
      <c r="B39" s="106">
        <f>'114+320'!B40</f>
        <v>45069</v>
      </c>
      <c r="C39" s="75">
        <f t="shared" si="4"/>
        <v>1</v>
      </c>
      <c r="D39" s="74">
        <f t="shared" si="5"/>
        <v>842</v>
      </c>
      <c r="E39" s="73">
        <f>VLOOKUP(B39,'114+320'!B40:AB141,3,FALSE)</f>
        <v>1622</v>
      </c>
      <c r="F39" s="69">
        <f t="shared" si="0"/>
        <v>2464</v>
      </c>
      <c r="G39" s="72">
        <f>VLOOKUP(B39,'114+320'!$B$15:$AB$115,20,FALSE)</f>
        <v>190</v>
      </c>
      <c r="H39" s="72">
        <f>VLOOKUP(B39,'114+320'!$B$15:$AB$115,4,FALSE)</f>
        <v>654</v>
      </c>
      <c r="I39" s="68">
        <f t="shared" si="1"/>
        <v>1810</v>
      </c>
      <c r="J39" s="68">
        <f>VLOOKUP(B39,'114+320'!$B$15:$AB$115,13,FALSE)</f>
        <v>-190</v>
      </c>
      <c r="K39" s="66">
        <f>'114+320'!Q40</f>
        <v>4</v>
      </c>
      <c r="L39" s="65">
        <f t="shared" si="6"/>
        <v>10</v>
      </c>
      <c r="M39" s="70">
        <f>VLOOKUP(B39,'114+320'!$B$14:$AB$115,21,FALSE)</f>
        <v>186</v>
      </c>
      <c r="N39" s="69">
        <f>VLOOKUP(B39,'114+320'!$B$15:$AB$115,5,FALSE)</f>
        <v>658</v>
      </c>
      <c r="O39" s="68">
        <f t="shared" si="2"/>
        <v>1806</v>
      </c>
      <c r="P39" s="68">
        <f>VLOOKUP(B39,'114+320'!$B$15:$AB$115,14,FALSE)</f>
        <v>-194</v>
      </c>
      <c r="Q39" s="66">
        <f>'114+320'!R40</f>
        <v>7</v>
      </c>
      <c r="R39" s="65">
        <f t="shared" si="7"/>
        <v>14</v>
      </c>
      <c r="S39" s="70">
        <f>VLOOKUP(B39,'114+320'!$B$14:$AB$115,22,FALSE)</f>
        <v>189</v>
      </c>
      <c r="T39" s="69">
        <f>VLOOKUP(B39,'114+320'!$B$15:$AB$115,6,FALSE)</f>
        <v>595</v>
      </c>
      <c r="U39" s="68">
        <f t="shared" si="3"/>
        <v>1869</v>
      </c>
      <c r="V39" s="77">
        <f>VLOOKUP(B39,'114+320'!$B$15:$AB$115,15,FALSE)</f>
        <v>-131</v>
      </c>
      <c r="W39" s="66">
        <f>'114+320'!S40</f>
        <v>4</v>
      </c>
      <c r="X39" s="65">
        <f t="shared" si="8"/>
        <v>11</v>
      </c>
      <c r="Y39" s="64">
        <f t="shared" si="9"/>
        <v>-4</v>
      </c>
      <c r="Z39" s="63">
        <f t="shared" si="10"/>
        <v>0</v>
      </c>
      <c r="AA39" s="62">
        <f t="shared" si="11"/>
        <v>0.313</v>
      </c>
      <c r="AB39" s="62">
        <f t="shared" si="12"/>
        <v>0.35199999999999998</v>
      </c>
      <c r="AC39" s="51"/>
      <c r="AD39" s="51"/>
      <c r="AE39" s="85"/>
    </row>
    <row r="40" spans="1:31" s="84" customFormat="1" ht="15" customHeight="1">
      <c r="A40" s="86"/>
      <c r="B40" s="106">
        <f>'114+320'!B41</f>
        <v>45070</v>
      </c>
      <c r="C40" s="75">
        <f t="shared" si="4"/>
        <v>1</v>
      </c>
      <c r="D40" s="74">
        <f t="shared" si="5"/>
        <v>842</v>
      </c>
      <c r="E40" s="73">
        <f>VLOOKUP(B40,'114+320'!B41:AB142,3,FALSE)</f>
        <v>1620</v>
      </c>
      <c r="F40" s="69">
        <f t="shared" si="0"/>
        <v>2462</v>
      </c>
      <c r="G40" s="72">
        <f>VLOOKUP(B40,'114+320'!$B$15:$AB$115,20,FALSE)</f>
        <v>187</v>
      </c>
      <c r="H40" s="72">
        <f>VLOOKUP(B40,'114+320'!$B$15:$AB$115,4,FALSE)</f>
        <v>655</v>
      </c>
      <c r="I40" s="68">
        <f t="shared" si="1"/>
        <v>1807</v>
      </c>
      <c r="J40" s="68">
        <f>VLOOKUP(B40,'114+320'!$B$15:$AB$115,13,FALSE)</f>
        <v>-193</v>
      </c>
      <c r="K40" s="66">
        <f>'114+320'!Q41</f>
        <v>3</v>
      </c>
      <c r="L40" s="65">
        <f t="shared" si="6"/>
        <v>13</v>
      </c>
      <c r="M40" s="70">
        <f>VLOOKUP(B40,'114+320'!$B$14:$AB$115,21,FALSE)</f>
        <v>181</v>
      </c>
      <c r="N40" s="69">
        <f>VLOOKUP(B40,'114+320'!$B$15:$AB$115,5,FALSE)</f>
        <v>661</v>
      </c>
      <c r="O40" s="68">
        <f t="shared" si="2"/>
        <v>1801</v>
      </c>
      <c r="P40" s="68">
        <f>VLOOKUP(B40,'114+320'!$B$15:$AB$115,14,FALSE)</f>
        <v>-199</v>
      </c>
      <c r="Q40" s="66">
        <f>'114+320'!R41</f>
        <v>5</v>
      </c>
      <c r="R40" s="65">
        <f t="shared" si="7"/>
        <v>19</v>
      </c>
      <c r="S40" s="70">
        <f>VLOOKUP(B40,'114+320'!$B$14:$AB$115,22,FALSE)</f>
        <v>186</v>
      </c>
      <c r="T40" s="69">
        <f>VLOOKUP(B40,'114+320'!$B$15:$AB$115,6,FALSE)</f>
        <v>596</v>
      </c>
      <c r="U40" s="68">
        <f t="shared" si="3"/>
        <v>1866</v>
      </c>
      <c r="V40" s="77">
        <f>VLOOKUP(B40,'114+320'!$B$15:$AB$115,15,FALSE)</f>
        <v>-134</v>
      </c>
      <c r="W40" s="66">
        <f>'114+320'!S41</f>
        <v>3</v>
      </c>
      <c r="X40" s="65">
        <f t="shared" si="8"/>
        <v>14</v>
      </c>
      <c r="Y40" s="64">
        <f t="shared" si="9"/>
        <v>-3</v>
      </c>
      <c r="Z40" s="63">
        <f t="shared" si="10"/>
        <v>0</v>
      </c>
      <c r="AA40" s="62">
        <f t="shared" si="11"/>
        <v>0.313</v>
      </c>
      <c r="AB40" s="62">
        <f t="shared" si="12"/>
        <v>0.34200000000000003</v>
      </c>
      <c r="AC40" s="51"/>
      <c r="AD40" s="51"/>
      <c r="AE40" s="85"/>
    </row>
    <row r="41" spans="1:31" s="84" customFormat="1" ht="15" customHeight="1">
      <c r="A41" s="86"/>
      <c r="B41" s="106">
        <f>'114+320'!B42</f>
        <v>45071</v>
      </c>
      <c r="C41" s="75">
        <f t="shared" si="4"/>
        <v>1</v>
      </c>
      <c r="D41" s="74">
        <f t="shared" si="5"/>
        <v>842</v>
      </c>
      <c r="E41" s="73">
        <f>VLOOKUP(B41,'114+320'!B42:AB143,3,FALSE)</f>
        <v>1618</v>
      </c>
      <c r="F41" s="69">
        <f t="shared" si="0"/>
        <v>2460</v>
      </c>
      <c r="G41" s="72">
        <f>VLOOKUP(B41,'114+320'!$B$15:$AB$115,20,FALSE)</f>
        <v>185</v>
      </c>
      <c r="H41" s="72">
        <f>VLOOKUP(B41,'114+320'!$B$15:$AB$115,4,FALSE)</f>
        <v>655</v>
      </c>
      <c r="I41" s="68">
        <f t="shared" si="1"/>
        <v>1805</v>
      </c>
      <c r="J41" s="68">
        <f>VLOOKUP(B41,'114+320'!$B$15:$AB$115,13,FALSE)</f>
        <v>-195</v>
      </c>
      <c r="K41" s="66">
        <f>'114+320'!Q42</f>
        <v>2</v>
      </c>
      <c r="L41" s="65">
        <f t="shared" si="6"/>
        <v>15</v>
      </c>
      <c r="M41" s="70">
        <f>VLOOKUP(B41,'114+320'!$B$14:$AB$115,21,FALSE)</f>
        <v>176</v>
      </c>
      <c r="N41" s="69">
        <f>VLOOKUP(B41,'114+320'!$B$15:$AB$115,5,FALSE)</f>
        <v>664</v>
      </c>
      <c r="O41" s="68">
        <f t="shared" si="2"/>
        <v>1796</v>
      </c>
      <c r="P41" s="68">
        <f>VLOOKUP(B41,'114+320'!$B$15:$AB$115,14,FALSE)</f>
        <v>-204</v>
      </c>
      <c r="Q41" s="66">
        <f>'114+320'!R42</f>
        <v>5</v>
      </c>
      <c r="R41" s="65">
        <f t="shared" si="7"/>
        <v>24</v>
      </c>
      <c r="S41" s="70">
        <f>VLOOKUP(B41,'114+320'!$B$14:$AB$115,22,FALSE)</f>
        <v>184</v>
      </c>
      <c r="T41" s="69">
        <f>VLOOKUP(B41,'114+320'!$B$15:$AB$115,6,FALSE)</f>
        <v>596</v>
      </c>
      <c r="U41" s="68">
        <f t="shared" si="3"/>
        <v>1864</v>
      </c>
      <c r="V41" s="77">
        <f>VLOOKUP(B41,'114+320'!$B$15:$AB$115,15,FALSE)</f>
        <v>-136</v>
      </c>
      <c r="W41" s="66">
        <f>'114+320'!S42</f>
        <v>2</v>
      </c>
      <c r="X41" s="65">
        <f t="shared" si="8"/>
        <v>16</v>
      </c>
      <c r="Y41" s="64">
        <f t="shared" si="9"/>
        <v>-2</v>
      </c>
      <c r="Z41" s="63">
        <f t="shared" si="10"/>
        <v>0</v>
      </c>
      <c r="AA41" s="62">
        <f t="shared" si="11"/>
        <v>0.313</v>
      </c>
      <c r="AB41" s="62">
        <f t="shared" si="12"/>
        <v>0.33200000000000002</v>
      </c>
      <c r="AC41" s="51"/>
      <c r="AD41" s="51"/>
      <c r="AE41" s="85"/>
    </row>
    <row r="42" spans="1:31" s="84" customFormat="1" ht="15" customHeight="1">
      <c r="A42" s="86"/>
      <c r="B42" s="106">
        <f>'114+320'!B43</f>
        <v>45072</v>
      </c>
      <c r="C42" s="75">
        <f t="shared" si="4"/>
        <v>1</v>
      </c>
      <c r="D42" s="74">
        <f t="shared" si="5"/>
        <v>842</v>
      </c>
      <c r="E42" s="73">
        <f>VLOOKUP(B42,'114+320'!B43:AB144,3,FALSE)</f>
        <v>1616</v>
      </c>
      <c r="F42" s="69">
        <f t="shared" si="0"/>
        <v>2458</v>
      </c>
      <c r="G42" s="72">
        <f>VLOOKUP(B42,'114+320'!$B$15:$AB$115,20,FALSE)</f>
        <v>479</v>
      </c>
      <c r="H42" s="72">
        <f>VLOOKUP(B42,'114+320'!$B$15:$AB$115,4,FALSE)</f>
        <v>659</v>
      </c>
      <c r="I42" s="68">
        <f t="shared" si="1"/>
        <v>1799</v>
      </c>
      <c r="J42" s="68">
        <f>VLOOKUP(B42,'114+320'!$B$15:$AB$115,13,FALSE)</f>
        <v>-201</v>
      </c>
      <c r="K42" s="66">
        <f>'114+320'!Q43</f>
        <v>6</v>
      </c>
      <c r="L42" s="65">
        <f t="shared" si="6"/>
        <v>21</v>
      </c>
      <c r="M42" s="70">
        <f>VLOOKUP(B42,'114+320'!$B$14:$AB$115,21,FALSE)</f>
        <v>469</v>
      </c>
      <c r="N42" s="69">
        <f>VLOOKUP(B42,'114+320'!$B$15:$AB$115,5,FALSE)</f>
        <v>669</v>
      </c>
      <c r="O42" s="68">
        <f t="shared" si="2"/>
        <v>1789</v>
      </c>
      <c r="P42" s="68">
        <f>VLOOKUP(B42,'114+320'!$B$15:$AB$115,14,FALSE)</f>
        <v>-211</v>
      </c>
      <c r="Q42" s="66">
        <f>'114+320'!R43</f>
        <v>7</v>
      </c>
      <c r="R42" s="65">
        <f t="shared" si="7"/>
        <v>31</v>
      </c>
      <c r="S42" s="70">
        <f>VLOOKUP(B42,'114+320'!$B$14:$AB$115,22,FALSE)</f>
        <v>477</v>
      </c>
      <c r="T42" s="69">
        <f>VLOOKUP(B42,'114+320'!$B$15:$AB$115,6,FALSE)</f>
        <v>601</v>
      </c>
      <c r="U42" s="68">
        <f t="shared" si="3"/>
        <v>1857</v>
      </c>
      <c r="V42" s="77">
        <f>VLOOKUP(B42,'114+320'!$B$15:$AB$115,15,FALSE)</f>
        <v>-143</v>
      </c>
      <c r="W42" s="66">
        <f>'114+320'!S43</f>
        <v>7</v>
      </c>
      <c r="X42" s="65">
        <f t="shared" si="8"/>
        <v>23</v>
      </c>
      <c r="Y42" s="64">
        <f t="shared" si="9"/>
        <v>293</v>
      </c>
      <c r="Z42" s="63">
        <f t="shared" si="10"/>
        <v>0.29299999999999998</v>
      </c>
      <c r="AA42" s="62">
        <f t="shared" si="11"/>
        <v>0.60599999999999998</v>
      </c>
      <c r="AB42" s="62">
        <f t="shared" si="12"/>
        <v>0.61799999999999999</v>
      </c>
      <c r="AC42" s="51"/>
      <c r="AD42" s="51"/>
      <c r="AE42" s="85"/>
    </row>
    <row r="43" spans="1:31" s="84" customFormat="1" ht="15" customHeight="1">
      <c r="A43" s="86"/>
      <c r="B43" s="106">
        <f>'114+320'!B44</f>
        <v>45073</v>
      </c>
      <c r="C43" s="75">
        <f t="shared" si="4"/>
        <v>1</v>
      </c>
      <c r="D43" s="74">
        <f t="shared" si="5"/>
        <v>842</v>
      </c>
      <c r="E43" s="73">
        <f>VLOOKUP(B43,'114+320'!B44:AB145,3,FALSE)</f>
        <v>1614</v>
      </c>
      <c r="F43" s="69">
        <f t="shared" si="0"/>
        <v>2456</v>
      </c>
      <c r="G43" s="72">
        <f>VLOOKUP(B43,'114+320'!$B$15:$AB$115,20,FALSE)</f>
        <v>476</v>
      </c>
      <c r="H43" s="72">
        <f>VLOOKUP(B43,'114+320'!$B$15:$AB$115,4,FALSE)</f>
        <v>660</v>
      </c>
      <c r="I43" s="68">
        <f t="shared" si="1"/>
        <v>1796</v>
      </c>
      <c r="J43" s="68">
        <f>VLOOKUP(B43,'114+320'!$B$15:$AB$115,13,FALSE)</f>
        <v>-204</v>
      </c>
      <c r="K43" s="66">
        <f>'114+320'!Q44</f>
        <v>3</v>
      </c>
      <c r="L43" s="65">
        <f t="shared" si="6"/>
        <v>24</v>
      </c>
      <c r="M43" s="70">
        <f>VLOOKUP(B43,'114+320'!$B$14:$AB$115,21,FALSE)</f>
        <v>466</v>
      </c>
      <c r="N43" s="69">
        <f>VLOOKUP(B43,'114+320'!$B$15:$AB$115,5,FALSE)</f>
        <v>670</v>
      </c>
      <c r="O43" s="68">
        <f t="shared" si="2"/>
        <v>1786</v>
      </c>
      <c r="P43" s="68">
        <f>VLOOKUP(B43,'114+320'!$B$15:$AB$115,14,FALSE)</f>
        <v>-214</v>
      </c>
      <c r="Q43" s="66">
        <f>'114+320'!R44</f>
        <v>3</v>
      </c>
      <c r="R43" s="65">
        <f t="shared" si="7"/>
        <v>34</v>
      </c>
      <c r="S43" s="70">
        <f>VLOOKUP(B43,'114+320'!$B$14:$AB$115,22,FALSE)</f>
        <v>474</v>
      </c>
      <c r="T43" s="69">
        <f>VLOOKUP(B43,'114+320'!$B$15:$AB$115,6,FALSE)</f>
        <v>602</v>
      </c>
      <c r="U43" s="68">
        <f t="shared" si="3"/>
        <v>1854</v>
      </c>
      <c r="V43" s="77">
        <f>VLOOKUP(B43,'114+320'!$B$15:$AB$115,15,FALSE)</f>
        <v>-146</v>
      </c>
      <c r="W43" s="66">
        <f>'114+320'!S44</f>
        <v>3</v>
      </c>
      <c r="X43" s="65">
        <f t="shared" si="8"/>
        <v>26</v>
      </c>
      <c r="Y43" s="64">
        <f t="shared" si="9"/>
        <v>-3</v>
      </c>
      <c r="Z43" s="63">
        <f t="shared" si="10"/>
        <v>0</v>
      </c>
      <c r="AA43" s="62">
        <f t="shared" si="11"/>
        <v>0.60599999999999998</v>
      </c>
      <c r="AB43" s="62">
        <f t="shared" si="12"/>
        <v>0.61199999999999999</v>
      </c>
      <c r="AC43" s="51"/>
      <c r="AD43" s="51"/>
      <c r="AE43" s="85"/>
    </row>
    <row r="44" spans="1:31" s="84" customFormat="1" ht="15" customHeight="1">
      <c r="A44" s="86"/>
      <c r="B44" s="106">
        <f>'114+320'!B45</f>
        <v>45074</v>
      </c>
      <c r="C44" s="75">
        <f t="shared" si="4"/>
        <v>1</v>
      </c>
      <c r="D44" s="74">
        <f t="shared" si="5"/>
        <v>842</v>
      </c>
      <c r="E44" s="73">
        <f>VLOOKUP(B44,'114+320'!B45:AB146,3,FALSE)</f>
        <v>1612</v>
      </c>
      <c r="F44" s="69">
        <f t="shared" si="0"/>
        <v>2454</v>
      </c>
      <c r="G44" s="72">
        <f>VLOOKUP(B44,'114+320'!$B$15:$AB$115,20,FALSE)</f>
        <v>474</v>
      </c>
      <c r="H44" s="72">
        <f>VLOOKUP(B44,'114+320'!$B$15:$AB$115,4,FALSE)</f>
        <v>660</v>
      </c>
      <c r="I44" s="68">
        <f t="shared" si="1"/>
        <v>1794</v>
      </c>
      <c r="J44" s="68">
        <f>VLOOKUP(B44,'114+320'!$B$15:$AB$115,13,FALSE)</f>
        <v>-206</v>
      </c>
      <c r="K44" s="66">
        <f>'114+320'!Q45</f>
        <v>2</v>
      </c>
      <c r="L44" s="65">
        <f t="shared" si="6"/>
        <v>26</v>
      </c>
      <c r="M44" s="70">
        <f>VLOOKUP(B44,'114+320'!$B$14:$AB$115,21,FALSE)</f>
        <v>464</v>
      </c>
      <c r="N44" s="69">
        <f>VLOOKUP(B44,'114+320'!$B$15:$AB$115,5,FALSE)</f>
        <v>670</v>
      </c>
      <c r="O44" s="68">
        <f t="shared" si="2"/>
        <v>1784</v>
      </c>
      <c r="P44" s="68">
        <f>VLOOKUP(B44,'114+320'!$B$15:$AB$115,14,FALSE)</f>
        <v>-216</v>
      </c>
      <c r="Q44" s="66">
        <f>'114+320'!R45</f>
        <v>2</v>
      </c>
      <c r="R44" s="65">
        <f t="shared" si="7"/>
        <v>36</v>
      </c>
      <c r="S44" s="70">
        <f>VLOOKUP(B44,'114+320'!$B$14:$AB$115,22,FALSE)</f>
        <v>472</v>
      </c>
      <c r="T44" s="69">
        <f>VLOOKUP(B44,'114+320'!$B$15:$AB$115,6,FALSE)</f>
        <v>602</v>
      </c>
      <c r="U44" s="68">
        <f t="shared" si="3"/>
        <v>1852</v>
      </c>
      <c r="V44" s="77">
        <f>VLOOKUP(B44,'114+320'!$B$15:$AB$115,15,FALSE)</f>
        <v>-148</v>
      </c>
      <c r="W44" s="66">
        <f>'114+320'!S45</f>
        <v>2</v>
      </c>
      <c r="X44" s="65">
        <f t="shared" si="8"/>
        <v>28</v>
      </c>
      <c r="Y44" s="64">
        <f t="shared" si="9"/>
        <v>-2</v>
      </c>
      <c r="Z44" s="63">
        <f t="shared" si="10"/>
        <v>0</v>
      </c>
      <c r="AA44" s="62">
        <f t="shared" si="11"/>
        <v>0.60599999999999998</v>
      </c>
      <c r="AB44" s="62">
        <f t="shared" si="12"/>
        <v>0.60799999999999998</v>
      </c>
      <c r="AC44" s="51"/>
      <c r="AD44" s="51"/>
      <c r="AE44" s="85"/>
    </row>
    <row r="45" spans="1:31" s="87" customFormat="1" ht="15" customHeight="1">
      <c r="A45" s="86"/>
      <c r="B45" s="106">
        <f>'114+320'!B46</f>
        <v>45075</v>
      </c>
      <c r="C45" s="75">
        <f t="shared" si="4"/>
        <v>1</v>
      </c>
      <c r="D45" s="74">
        <f t="shared" si="5"/>
        <v>842</v>
      </c>
      <c r="E45" s="73">
        <f>VLOOKUP(B45,'114+320'!B46:AB147,3,FALSE)</f>
        <v>1610</v>
      </c>
      <c r="F45" s="69">
        <f t="shared" si="0"/>
        <v>2452</v>
      </c>
      <c r="G45" s="72">
        <f>VLOOKUP(B45,'114+320'!$B$15:$AB$115,20,FALSE)</f>
        <v>470</v>
      </c>
      <c r="H45" s="72">
        <f>VLOOKUP(B45,'114+320'!$B$15:$AB$115,4,FALSE)</f>
        <v>662</v>
      </c>
      <c r="I45" s="68">
        <f t="shared" si="1"/>
        <v>1790</v>
      </c>
      <c r="J45" s="68">
        <f>VLOOKUP(B45,'114+320'!$B$15:$AB$115,13,FALSE)</f>
        <v>-210</v>
      </c>
      <c r="K45" s="66">
        <f>'114+320'!Q46</f>
        <v>4</v>
      </c>
      <c r="L45" s="65">
        <f t="shared" si="6"/>
        <v>30</v>
      </c>
      <c r="M45" s="70">
        <f>VLOOKUP(B45,'114+320'!$B$14:$AB$115,21,FALSE)</f>
        <v>460</v>
      </c>
      <c r="N45" s="69">
        <f>VLOOKUP(B45,'114+320'!$B$15:$AB$115,5,FALSE)</f>
        <v>672</v>
      </c>
      <c r="O45" s="68">
        <f t="shared" si="2"/>
        <v>1780</v>
      </c>
      <c r="P45" s="68">
        <f>VLOOKUP(B45,'114+320'!$B$15:$AB$115,14,FALSE)</f>
        <v>-220</v>
      </c>
      <c r="Q45" s="66">
        <f>'114+320'!R46</f>
        <v>4</v>
      </c>
      <c r="R45" s="65">
        <f t="shared" si="7"/>
        <v>40</v>
      </c>
      <c r="S45" s="70">
        <f>VLOOKUP(B45,'114+320'!$B$14:$AB$115,22,FALSE)</f>
        <v>468</v>
      </c>
      <c r="T45" s="69">
        <f>VLOOKUP(B45,'114+320'!$B$15:$AB$115,6,FALSE)</f>
        <v>604</v>
      </c>
      <c r="U45" s="68">
        <f t="shared" si="3"/>
        <v>1848</v>
      </c>
      <c r="V45" s="77">
        <f>VLOOKUP(B45,'114+320'!$B$15:$AB$115,15,FALSE)</f>
        <v>-152</v>
      </c>
      <c r="W45" s="66">
        <f>'114+320'!S46</f>
        <v>4</v>
      </c>
      <c r="X45" s="65">
        <f t="shared" si="8"/>
        <v>32</v>
      </c>
      <c r="Y45" s="64">
        <f t="shared" si="9"/>
        <v>-4</v>
      </c>
      <c r="Z45" s="63">
        <f t="shared" si="10"/>
        <v>0</v>
      </c>
      <c r="AA45" s="62">
        <f t="shared" si="11"/>
        <v>0.60599999999999998</v>
      </c>
      <c r="AB45" s="62">
        <f t="shared" si="12"/>
        <v>0.6</v>
      </c>
      <c r="AC45" s="89"/>
      <c r="AD45" s="89"/>
      <c r="AE45" s="88"/>
    </row>
    <row r="46" spans="1:31" s="87" customFormat="1" ht="15" customHeight="1">
      <c r="A46" s="86"/>
      <c r="B46" s="106">
        <f>'114+320'!B47</f>
        <v>45076</v>
      </c>
      <c r="C46" s="75">
        <f t="shared" si="4"/>
        <v>1</v>
      </c>
      <c r="D46" s="74">
        <f t="shared" si="5"/>
        <v>842</v>
      </c>
      <c r="E46" s="73">
        <f>VLOOKUP(B46,'114+320'!B47:AB148,3,FALSE)</f>
        <v>1608</v>
      </c>
      <c r="F46" s="69">
        <f t="shared" si="0"/>
        <v>2450</v>
      </c>
      <c r="G46" s="72">
        <f>VLOOKUP(B46,'114+320'!$B$15:$AB$115,20,FALSE)</f>
        <v>763</v>
      </c>
      <c r="H46" s="72">
        <f>VLOOKUP(B46,'114+320'!$B$15:$AB$115,4,FALSE)</f>
        <v>667</v>
      </c>
      <c r="I46" s="68">
        <f t="shared" si="1"/>
        <v>1783</v>
      </c>
      <c r="J46" s="68">
        <f>VLOOKUP(B46,'114+320'!$B$15:$AB$115,13,FALSE)</f>
        <v>-217</v>
      </c>
      <c r="K46" s="66">
        <f>'114+320'!Q47</f>
        <v>7</v>
      </c>
      <c r="L46" s="65">
        <f t="shared" si="6"/>
        <v>37</v>
      </c>
      <c r="M46" s="70">
        <f>VLOOKUP(B46,'114+320'!$B$14:$AB$115,21,FALSE)</f>
        <v>753</v>
      </c>
      <c r="N46" s="69">
        <f>VLOOKUP(B46,'114+320'!$B$15:$AB$115,5,FALSE)</f>
        <v>677</v>
      </c>
      <c r="O46" s="68">
        <f t="shared" si="2"/>
        <v>1773</v>
      </c>
      <c r="P46" s="68">
        <f>VLOOKUP(B46,'114+320'!$B$15:$AB$115,14,FALSE)</f>
        <v>-227</v>
      </c>
      <c r="Q46" s="66">
        <f>'114+320'!R47</f>
        <v>7</v>
      </c>
      <c r="R46" s="65">
        <f t="shared" si="7"/>
        <v>47</v>
      </c>
      <c r="S46" s="70">
        <f>VLOOKUP(B46,'114+320'!$B$14:$AB$115,22,FALSE)</f>
        <v>761</v>
      </c>
      <c r="T46" s="69">
        <f>VLOOKUP(B46,'114+320'!$B$15:$AB$115,6,FALSE)</f>
        <v>609</v>
      </c>
      <c r="U46" s="68">
        <f t="shared" si="3"/>
        <v>1841</v>
      </c>
      <c r="V46" s="77">
        <f>VLOOKUP(B46,'114+320'!$B$15:$AB$115,15,FALSE)</f>
        <v>-159</v>
      </c>
      <c r="W46" s="66">
        <f>'114+320'!S47</f>
        <v>7</v>
      </c>
      <c r="X46" s="65">
        <f t="shared" si="8"/>
        <v>39</v>
      </c>
      <c r="Y46" s="64">
        <f t="shared" si="9"/>
        <v>293</v>
      </c>
      <c r="Z46" s="63">
        <f t="shared" si="10"/>
        <v>0.29299999999999998</v>
      </c>
      <c r="AA46" s="62">
        <f t="shared" si="11"/>
        <v>0.89900000000000002</v>
      </c>
      <c r="AB46" s="62">
        <f t="shared" si="12"/>
        <v>0.88600000000000001</v>
      </c>
      <c r="AC46" s="89"/>
      <c r="AD46" s="89"/>
      <c r="AE46" s="88"/>
    </row>
    <row r="47" spans="1:31" s="84" customFormat="1" ht="15" customHeight="1">
      <c r="A47" s="86"/>
      <c r="B47" s="106">
        <f>'114+320'!B48</f>
        <v>45077</v>
      </c>
      <c r="C47" s="75">
        <f t="shared" si="4"/>
        <v>1</v>
      </c>
      <c r="D47" s="74">
        <f t="shared" si="5"/>
        <v>842</v>
      </c>
      <c r="E47" s="73">
        <f>VLOOKUP(B47,'114+320'!B48:AB149,3,FALSE)</f>
        <v>1606</v>
      </c>
      <c r="F47" s="69">
        <f t="shared" si="0"/>
        <v>2448</v>
      </c>
      <c r="G47" s="72">
        <f>VLOOKUP(B47,'114+320'!$B$15:$AB$115,20,FALSE)</f>
        <v>758</v>
      </c>
      <c r="H47" s="72">
        <f>VLOOKUP(B47,'114+320'!$B$15:$AB$115,4,FALSE)</f>
        <v>670</v>
      </c>
      <c r="I47" s="68">
        <f t="shared" si="1"/>
        <v>1778</v>
      </c>
      <c r="J47" s="68">
        <f>VLOOKUP(B47,'114+320'!$B$15:$AB$115,13,FALSE)</f>
        <v>-222</v>
      </c>
      <c r="K47" s="66">
        <f>'114+320'!Q48</f>
        <v>5</v>
      </c>
      <c r="L47" s="65">
        <f t="shared" si="6"/>
        <v>42</v>
      </c>
      <c r="M47" s="70">
        <f>VLOOKUP(B47,'114+320'!$B$14:$AB$115,21,FALSE)</f>
        <v>748</v>
      </c>
      <c r="N47" s="69">
        <f>VLOOKUP(B47,'114+320'!$B$15:$AB$115,5,FALSE)</f>
        <v>680</v>
      </c>
      <c r="O47" s="68">
        <f t="shared" si="2"/>
        <v>1768</v>
      </c>
      <c r="P47" s="68">
        <f>VLOOKUP(B47,'114+320'!$B$15:$AB$115,14,FALSE)</f>
        <v>-232</v>
      </c>
      <c r="Q47" s="66">
        <f>'114+320'!R48</f>
        <v>5</v>
      </c>
      <c r="R47" s="65">
        <f t="shared" si="7"/>
        <v>52</v>
      </c>
      <c r="S47" s="70">
        <f>VLOOKUP(B47,'114+320'!$B$14:$AB$115,22,FALSE)</f>
        <v>756</v>
      </c>
      <c r="T47" s="69">
        <f>VLOOKUP(B47,'114+320'!$B$15:$AB$115,6,FALSE)</f>
        <v>612</v>
      </c>
      <c r="U47" s="68">
        <f t="shared" si="3"/>
        <v>1836</v>
      </c>
      <c r="V47" s="77">
        <f>VLOOKUP(B47,'114+320'!$B$15:$AB$115,15,FALSE)</f>
        <v>-164</v>
      </c>
      <c r="W47" s="66">
        <f>'114+320'!S48</f>
        <v>5</v>
      </c>
      <c r="X47" s="65">
        <f t="shared" si="8"/>
        <v>44</v>
      </c>
      <c r="Y47" s="64">
        <f t="shared" si="9"/>
        <v>-5</v>
      </c>
      <c r="Z47" s="63">
        <f t="shared" si="10"/>
        <v>0</v>
      </c>
      <c r="AA47" s="62">
        <f t="shared" si="11"/>
        <v>0.89900000000000002</v>
      </c>
      <c r="AB47" s="62">
        <f t="shared" si="12"/>
        <v>0.876</v>
      </c>
      <c r="AC47" s="51"/>
      <c r="AD47" s="51"/>
      <c r="AE47" s="85"/>
    </row>
    <row r="48" spans="1:31" s="84" customFormat="1" ht="15" customHeight="1">
      <c r="A48" s="86"/>
      <c r="B48" s="106">
        <f>'114+320'!B49</f>
        <v>45078</v>
      </c>
      <c r="C48" s="75">
        <f t="shared" si="4"/>
        <v>1</v>
      </c>
      <c r="D48" s="74">
        <f t="shared" si="5"/>
        <v>842</v>
      </c>
      <c r="E48" s="73">
        <f>VLOOKUP(B48,'114+320'!B49:AB150,3,FALSE)</f>
        <v>1604</v>
      </c>
      <c r="F48" s="69">
        <f t="shared" si="0"/>
        <v>2446</v>
      </c>
      <c r="G48" s="72">
        <f>VLOOKUP(B48,'114+320'!$B$15:$AB$115,20,FALSE)</f>
        <v>753</v>
      </c>
      <c r="H48" s="72">
        <f>VLOOKUP(B48,'114+320'!$B$15:$AB$115,4,FALSE)</f>
        <v>673</v>
      </c>
      <c r="I48" s="68">
        <f t="shared" si="1"/>
        <v>1773</v>
      </c>
      <c r="J48" s="68">
        <f>VLOOKUP(B48,'114+320'!$B$15:$AB$115,13,FALSE)</f>
        <v>-227</v>
      </c>
      <c r="K48" s="66">
        <f>'114+320'!Q49</f>
        <v>5</v>
      </c>
      <c r="L48" s="65">
        <f t="shared" si="6"/>
        <v>47</v>
      </c>
      <c r="M48" s="70">
        <f>VLOOKUP(B48,'114+320'!$B$14:$AB$115,21,FALSE)</f>
        <v>743</v>
      </c>
      <c r="N48" s="69">
        <f>VLOOKUP(B48,'114+320'!$B$15:$AB$115,5,FALSE)</f>
        <v>683</v>
      </c>
      <c r="O48" s="68">
        <f t="shared" si="2"/>
        <v>1763</v>
      </c>
      <c r="P48" s="68">
        <f>VLOOKUP(B48,'114+320'!$B$15:$AB$115,14,FALSE)</f>
        <v>-237</v>
      </c>
      <c r="Q48" s="66">
        <f>'114+320'!R49</f>
        <v>5</v>
      </c>
      <c r="R48" s="65">
        <f t="shared" si="7"/>
        <v>57</v>
      </c>
      <c r="S48" s="70">
        <f>VLOOKUP(B48,'114+320'!$B$14:$AB$115,22,FALSE)</f>
        <v>751</v>
      </c>
      <c r="T48" s="69">
        <f>VLOOKUP(B48,'114+320'!$B$15:$AB$115,6,FALSE)</f>
        <v>615</v>
      </c>
      <c r="U48" s="68">
        <f t="shared" si="3"/>
        <v>1831</v>
      </c>
      <c r="V48" s="77">
        <f>VLOOKUP(B48,'114+320'!$B$15:$AB$115,15,FALSE)</f>
        <v>-169</v>
      </c>
      <c r="W48" s="66">
        <f>'114+320'!S49</f>
        <v>5</v>
      </c>
      <c r="X48" s="65">
        <f t="shared" si="8"/>
        <v>49</v>
      </c>
      <c r="Y48" s="64">
        <f t="shared" si="9"/>
        <v>-5</v>
      </c>
      <c r="Z48" s="63">
        <f t="shared" si="10"/>
        <v>0</v>
      </c>
      <c r="AA48" s="62">
        <f t="shared" si="11"/>
        <v>0.89900000000000002</v>
      </c>
      <c r="AB48" s="62">
        <f t="shared" si="12"/>
        <v>0.86599999999999999</v>
      </c>
      <c r="AC48" s="51"/>
      <c r="AD48" s="51"/>
      <c r="AE48" s="85"/>
    </row>
    <row r="49" spans="1:31" s="84" customFormat="1" ht="15" customHeight="1">
      <c r="A49" s="86"/>
      <c r="B49" s="106">
        <f>'114+320'!B50</f>
        <v>45079</v>
      </c>
      <c r="C49" s="75">
        <f t="shared" si="4"/>
        <v>1</v>
      </c>
      <c r="D49" s="74">
        <f t="shared" si="5"/>
        <v>842</v>
      </c>
      <c r="E49" s="73">
        <f>VLOOKUP(B49,'114+320'!B50:AB151,3,FALSE)</f>
        <v>1602</v>
      </c>
      <c r="F49" s="69">
        <f t="shared" si="0"/>
        <v>2444</v>
      </c>
      <c r="G49" s="72">
        <f>VLOOKUP(B49,'114+320'!$B$15:$AB$115,20,FALSE)</f>
        <v>749</v>
      </c>
      <c r="H49" s="72">
        <f>VLOOKUP(B49,'114+320'!$B$15:$AB$115,4,FALSE)</f>
        <v>675</v>
      </c>
      <c r="I49" s="68">
        <f t="shared" si="1"/>
        <v>1769</v>
      </c>
      <c r="J49" s="68">
        <f>VLOOKUP(B49,'114+320'!$B$15:$AB$115,13,FALSE)</f>
        <v>-231</v>
      </c>
      <c r="K49" s="66">
        <f>'114+320'!Q50</f>
        <v>4</v>
      </c>
      <c r="L49" s="65">
        <f t="shared" si="6"/>
        <v>51</v>
      </c>
      <c r="M49" s="70">
        <f>VLOOKUP(B49,'114+320'!$B$14:$AB$115,21,FALSE)</f>
        <v>739</v>
      </c>
      <c r="N49" s="69">
        <f>VLOOKUP(B49,'114+320'!$B$15:$AB$115,5,FALSE)</f>
        <v>685</v>
      </c>
      <c r="O49" s="68">
        <f t="shared" si="2"/>
        <v>1759</v>
      </c>
      <c r="P49" s="68">
        <f>VLOOKUP(B49,'114+320'!$B$15:$AB$115,14,FALSE)</f>
        <v>-241</v>
      </c>
      <c r="Q49" s="66">
        <f>'114+320'!R50</f>
        <v>4</v>
      </c>
      <c r="R49" s="65">
        <f t="shared" si="7"/>
        <v>61</v>
      </c>
      <c r="S49" s="70">
        <f>VLOOKUP(B49,'114+320'!$B$14:$AB$115,22,FALSE)</f>
        <v>747</v>
      </c>
      <c r="T49" s="69">
        <f>VLOOKUP(B49,'114+320'!$B$15:$AB$115,6,FALSE)</f>
        <v>617</v>
      </c>
      <c r="U49" s="68">
        <f t="shared" si="3"/>
        <v>1827</v>
      </c>
      <c r="V49" s="77">
        <f>VLOOKUP(B49,'114+320'!$B$15:$AB$115,15,FALSE)</f>
        <v>-173</v>
      </c>
      <c r="W49" s="66">
        <f>'114+320'!S50</f>
        <v>4</v>
      </c>
      <c r="X49" s="65">
        <f t="shared" si="8"/>
        <v>53</v>
      </c>
      <c r="Y49" s="64">
        <f t="shared" si="9"/>
        <v>-4</v>
      </c>
      <c r="Z49" s="63">
        <f t="shared" si="10"/>
        <v>0</v>
      </c>
      <c r="AA49" s="62">
        <f t="shared" si="11"/>
        <v>0.89900000000000002</v>
      </c>
      <c r="AB49" s="62">
        <f t="shared" si="12"/>
        <v>0.85799999999999998</v>
      </c>
      <c r="AC49" s="51"/>
      <c r="AD49" s="51"/>
      <c r="AE49" s="85"/>
    </row>
    <row r="50" spans="1:31" s="84" customFormat="1" ht="15" customHeight="1">
      <c r="A50" s="86"/>
      <c r="B50" s="106">
        <f>'114+320'!B51</f>
        <v>45080</v>
      </c>
      <c r="C50" s="75">
        <f t="shared" si="4"/>
        <v>1</v>
      </c>
      <c r="D50" s="74">
        <f t="shared" si="5"/>
        <v>842</v>
      </c>
      <c r="E50" s="73">
        <f>VLOOKUP(B50,'114+320'!B51:AB152,3,FALSE)</f>
        <v>1600</v>
      </c>
      <c r="F50" s="69">
        <f t="shared" si="0"/>
        <v>2442</v>
      </c>
      <c r="G50" s="72">
        <f>VLOOKUP(B50,'114+320'!$B$15:$AB$115,20,FALSE)</f>
        <v>746</v>
      </c>
      <c r="H50" s="72">
        <f>VLOOKUP(B50,'114+320'!$B$15:$AB$115,4,FALSE)</f>
        <v>676</v>
      </c>
      <c r="I50" s="68">
        <f t="shared" si="1"/>
        <v>1766</v>
      </c>
      <c r="J50" s="68">
        <f>VLOOKUP(B50,'114+320'!$B$15:$AB$115,13,FALSE)</f>
        <v>-234</v>
      </c>
      <c r="K50" s="66">
        <f>'114+320'!Q51</f>
        <v>3</v>
      </c>
      <c r="L50" s="65">
        <f t="shared" si="6"/>
        <v>54</v>
      </c>
      <c r="M50" s="70">
        <f>VLOOKUP(B50,'114+320'!$B$14:$AB$115,21,FALSE)</f>
        <v>736</v>
      </c>
      <c r="N50" s="69">
        <f>VLOOKUP(B50,'114+320'!$B$15:$AB$115,5,FALSE)</f>
        <v>686</v>
      </c>
      <c r="O50" s="68">
        <f t="shared" si="2"/>
        <v>1756</v>
      </c>
      <c r="P50" s="68">
        <f>VLOOKUP(B50,'114+320'!$B$15:$AB$115,14,FALSE)</f>
        <v>-244</v>
      </c>
      <c r="Q50" s="66">
        <f>'114+320'!R51</f>
        <v>3</v>
      </c>
      <c r="R50" s="65">
        <f t="shared" si="7"/>
        <v>64</v>
      </c>
      <c r="S50" s="70">
        <f>VLOOKUP(B50,'114+320'!$B$14:$AB$115,22,FALSE)</f>
        <v>744</v>
      </c>
      <c r="T50" s="69">
        <f>VLOOKUP(B50,'114+320'!$B$15:$AB$115,6,FALSE)</f>
        <v>618</v>
      </c>
      <c r="U50" s="68">
        <f t="shared" si="3"/>
        <v>1824</v>
      </c>
      <c r="V50" s="77">
        <f>VLOOKUP(B50,'114+320'!$B$15:$AB$115,15,FALSE)</f>
        <v>-176</v>
      </c>
      <c r="W50" s="66">
        <f>'114+320'!S51</f>
        <v>3</v>
      </c>
      <c r="X50" s="65">
        <f t="shared" si="8"/>
        <v>56</v>
      </c>
      <c r="Y50" s="64">
        <f t="shared" si="9"/>
        <v>-3</v>
      </c>
      <c r="Z50" s="63">
        <f t="shared" si="10"/>
        <v>0</v>
      </c>
      <c r="AA50" s="62">
        <f t="shared" si="11"/>
        <v>0.89900000000000002</v>
      </c>
      <c r="AB50" s="62">
        <f t="shared" si="12"/>
        <v>0.85199999999999998</v>
      </c>
      <c r="AC50" s="51"/>
      <c r="AD50" s="51"/>
      <c r="AE50" s="85"/>
    </row>
    <row r="51" spans="1:31" s="84" customFormat="1" ht="15" customHeight="1">
      <c r="A51" s="86"/>
      <c r="B51" s="106">
        <f>'114+320'!B52</f>
        <v>45081</v>
      </c>
      <c r="C51" s="75">
        <f t="shared" si="4"/>
        <v>1</v>
      </c>
      <c r="D51" s="74">
        <f t="shared" si="5"/>
        <v>842</v>
      </c>
      <c r="E51" s="73">
        <f>VLOOKUP(B51,'114+320'!B52:AB153,3,FALSE)</f>
        <v>1598</v>
      </c>
      <c r="F51" s="69">
        <f t="shared" si="0"/>
        <v>2440</v>
      </c>
      <c r="G51" s="72">
        <f>VLOOKUP(B51,'114+320'!$B$15:$AB$115,20,FALSE)</f>
        <v>741</v>
      </c>
      <c r="H51" s="72">
        <f>VLOOKUP(B51,'114+320'!$B$15:$AB$115,4,FALSE)</f>
        <v>679</v>
      </c>
      <c r="I51" s="68">
        <f t="shared" si="1"/>
        <v>1761</v>
      </c>
      <c r="J51" s="68">
        <f>VLOOKUP(B51,'114+320'!$B$15:$AB$115,13,FALSE)</f>
        <v>-239</v>
      </c>
      <c r="K51" s="66">
        <f>'114+320'!Q52</f>
        <v>5</v>
      </c>
      <c r="L51" s="65">
        <f t="shared" si="6"/>
        <v>59</v>
      </c>
      <c r="M51" s="70">
        <f>VLOOKUP(B51,'114+320'!$B$14:$AB$115,21,FALSE)</f>
        <v>732</v>
      </c>
      <c r="N51" s="69">
        <f>VLOOKUP(B51,'114+320'!$B$15:$AB$115,5,FALSE)</f>
        <v>688</v>
      </c>
      <c r="O51" s="68">
        <f t="shared" si="2"/>
        <v>1752</v>
      </c>
      <c r="P51" s="68">
        <f>VLOOKUP(B51,'114+320'!$B$15:$AB$115,14,FALSE)</f>
        <v>-248</v>
      </c>
      <c r="Q51" s="66">
        <f>'114+320'!R52</f>
        <v>4</v>
      </c>
      <c r="R51" s="65">
        <f t="shared" si="7"/>
        <v>68</v>
      </c>
      <c r="S51" s="70">
        <f>VLOOKUP(B51,'114+320'!$B$14:$AB$115,22,FALSE)</f>
        <v>739</v>
      </c>
      <c r="T51" s="69">
        <f>VLOOKUP(B51,'114+320'!$B$15:$AB$115,6,FALSE)</f>
        <v>621</v>
      </c>
      <c r="U51" s="68">
        <f t="shared" si="3"/>
        <v>1819</v>
      </c>
      <c r="V51" s="77">
        <f>VLOOKUP(B51,'114+320'!$B$15:$AB$115,15,FALSE)</f>
        <v>-181</v>
      </c>
      <c r="W51" s="66">
        <f>'114+320'!S52</f>
        <v>5</v>
      </c>
      <c r="X51" s="65">
        <f t="shared" si="8"/>
        <v>61</v>
      </c>
      <c r="Y51" s="64">
        <f t="shared" si="9"/>
        <v>-5</v>
      </c>
      <c r="Z51" s="63">
        <f t="shared" si="10"/>
        <v>0</v>
      </c>
      <c r="AA51" s="62">
        <f t="shared" si="11"/>
        <v>0.89900000000000002</v>
      </c>
      <c r="AB51" s="62">
        <f t="shared" si="12"/>
        <v>0.84399999999999997</v>
      </c>
      <c r="AC51" s="51"/>
      <c r="AD51" s="51"/>
      <c r="AE51" s="85"/>
    </row>
    <row r="52" spans="1:31" s="84" customFormat="1" ht="15" customHeight="1">
      <c r="A52" s="86"/>
      <c r="B52" s="106">
        <f>'114+320'!B53</f>
        <v>45082</v>
      </c>
      <c r="C52" s="75">
        <f t="shared" si="4"/>
        <v>1</v>
      </c>
      <c r="D52" s="74">
        <f t="shared" si="5"/>
        <v>842</v>
      </c>
      <c r="E52" s="73">
        <f>VLOOKUP(B52,'114+320'!B53:AB154,3,FALSE)</f>
        <v>1596</v>
      </c>
      <c r="F52" s="69">
        <f t="shared" si="0"/>
        <v>2438</v>
      </c>
      <c r="G52" s="72">
        <f>VLOOKUP(B52,'114+320'!$B$15:$AB$115,20,FALSE)</f>
        <v>737</v>
      </c>
      <c r="H52" s="72">
        <f>VLOOKUP(B52,'114+320'!$B$15:$AB$115,4,FALSE)</f>
        <v>681</v>
      </c>
      <c r="I52" s="68">
        <f t="shared" si="1"/>
        <v>1757</v>
      </c>
      <c r="J52" s="68">
        <f>VLOOKUP(B52,'114+320'!$B$15:$AB$115,13,FALSE)</f>
        <v>-243</v>
      </c>
      <c r="K52" s="66">
        <f>'114+320'!Q53</f>
        <v>4</v>
      </c>
      <c r="L52" s="65">
        <f t="shared" si="6"/>
        <v>63</v>
      </c>
      <c r="M52" s="70">
        <f>VLOOKUP(B52,'114+320'!$B$14:$AB$115,21,FALSE)</f>
        <v>725</v>
      </c>
      <c r="N52" s="69">
        <f>VLOOKUP(B52,'114+320'!$B$15:$AB$115,5,FALSE)</f>
        <v>693</v>
      </c>
      <c r="O52" s="68">
        <f t="shared" si="2"/>
        <v>1745</v>
      </c>
      <c r="P52" s="68">
        <f>VLOOKUP(B52,'114+320'!$B$15:$AB$115,14,FALSE)</f>
        <v>-255</v>
      </c>
      <c r="Q52" s="66">
        <f>'114+320'!R53</f>
        <v>7</v>
      </c>
      <c r="R52" s="65">
        <f t="shared" si="7"/>
        <v>75</v>
      </c>
      <c r="S52" s="70">
        <f>VLOOKUP(B52,'114+320'!$B$14:$AB$115,22,FALSE)</f>
        <v>735</v>
      </c>
      <c r="T52" s="69">
        <f>VLOOKUP(B52,'114+320'!$B$15:$AB$115,6,FALSE)</f>
        <v>623</v>
      </c>
      <c r="U52" s="68">
        <f t="shared" si="3"/>
        <v>1815</v>
      </c>
      <c r="V52" s="77">
        <f>VLOOKUP(B52,'114+320'!$B$15:$AB$115,15,FALSE)</f>
        <v>-185</v>
      </c>
      <c r="W52" s="66">
        <f>'114+320'!S53</f>
        <v>4</v>
      </c>
      <c r="X52" s="65">
        <f t="shared" si="8"/>
        <v>65</v>
      </c>
      <c r="Y52" s="64">
        <f t="shared" si="9"/>
        <v>-4</v>
      </c>
      <c r="Z52" s="63">
        <f t="shared" si="10"/>
        <v>0</v>
      </c>
      <c r="AA52" s="62">
        <f t="shared" si="11"/>
        <v>0.89900000000000002</v>
      </c>
      <c r="AB52" s="62">
        <f t="shared" si="12"/>
        <v>0.83</v>
      </c>
      <c r="AC52" s="51"/>
      <c r="AD52" s="51"/>
      <c r="AE52" s="85"/>
    </row>
    <row r="53" spans="1:31" s="84" customFormat="1" ht="15" customHeight="1">
      <c r="A53" s="86"/>
      <c r="B53" s="106">
        <f>'114+320'!B54</f>
        <v>45083</v>
      </c>
      <c r="C53" s="75">
        <f t="shared" si="4"/>
        <v>1</v>
      </c>
      <c r="D53" s="74">
        <f t="shared" si="5"/>
        <v>842</v>
      </c>
      <c r="E53" s="73">
        <f>VLOOKUP(B53,'114+320'!B54:AB155,3,FALSE)</f>
        <v>1594</v>
      </c>
      <c r="F53" s="69">
        <f t="shared" si="0"/>
        <v>2436</v>
      </c>
      <c r="G53" s="72">
        <f>VLOOKUP(B53,'114+320'!$B$15:$AB$115,20,FALSE)</f>
        <v>734</v>
      </c>
      <c r="H53" s="72">
        <f>VLOOKUP(B53,'114+320'!$B$15:$AB$115,4,FALSE)</f>
        <v>682</v>
      </c>
      <c r="I53" s="68">
        <f t="shared" si="1"/>
        <v>1754</v>
      </c>
      <c r="J53" s="68">
        <f>VLOOKUP(B53,'114+320'!$B$15:$AB$115,13,FALSE)</f>
        <v>-246</v>
      </c>
      <c r="K53" s="66">
        <f>'114+320'!Q54</f>
        <v>3</v>
      </c>
      <c r="L53" s="65">
        <f t="shared" si="6"/>
        <v>66</v>
      </c>
      <c r="M53" s="70">
        <f>VLOOKUP(B53,'114+320'!$B$14:$AB$115,21,FALSE)</f>
        <v>720</v>
      </c>
      <c r="N53" s="69">
        <f>VLOOKUP(B53,'114+320'!$B$15:$AB$115,5,FALSE)</f>
        <v>696</v>
      </c>
      <c r="O53" s="68">
        <f t="shared" si="2"/>
        <v>1740</v>
      </c>
      <c r="P53" s="68">
        <f>VLOOKUP(B53,'114+320'!$B$15:$AB$115,14,FALSE)</f>
        <v>-260</v>
      </c>
      <c r="Q53" s="66">
        <f>'114+320'!R54</f>
        <v>5</v>
      </c>
      <c r="R53" s="65">
        <f t="shared" si="7"/>
        <v>80</v>
      </c>
      <c r="S53" s="70">
        <f>VLOOKUP(B53,'114+320'!$B$14:$AB$115,22,FALSE)</f>
        <v>732</v>
      </c>
      <c r="T53" s="69">
        <f>VLOOKUP(B53,'114+320'!$B$15:$AB$115,6,FALSE)</f>
        <v>624</v>
      </c>
      <c r="U53" s="68">
        <f t="shared" si="3"/>
        <v>1812</v>
      </c>
      <c r="V53" s="77">
        <f>VLOOKUP(B53,'114+320'!$B$15:$AB$115,15,FALSE)</f>
        <v>-188</v>
      </c>
      <c r="W53" s="66">
        <f>'114+320'!S54</f>
        <v>3</v>
      </c>
      <c r="X53" s="65">
        <f t="shared" si="8"/>
        <v>68</v>
      </c>
      <c r="Y53" s="64">
        <f t="shared" si="9"/>
        <v>-3</v>
      </c>
      <c r="Z53" s="63">
        <f t="shared" si="10"/>
        <v>0</v>
      </c>
      <c r="AA53" s="62">
        <f t="shared" si="11"/>
        <v>0.89900000000000002</v>
      </c>
      <c r="AB53" s="62">
        <f t="shared" si="12"/>
        <v>0.82</v>
      </c>
      <c r="AC53" s="51"/>
      <c r="AD53" s="51"/>
      <c r="AE53" s="85"/>
    </row>
    <row r="54" spans="1:31" s="96" customFormat="1" ht="15" customHeight="1">
      <c r="A54" s="86"/>
      <c r="B54" s="106">
        <f>'114+320'!B55</f>
        <v>45084</v>
      </c>
      <c r="C54" s="75">
        <f t="shared" si="4"/>
        <v>1</v>
      </c>
      <c r="D54" s="74">
        <f t="shared" si="5"/>
        <v>842</v>
      </c>
      <c r="E54" s="73">
        <f>VLOOKUP(B54,'114+320'!B55:AB156,3,FALSE)</f>
        <v>1592</v>
      </c>
      <c r="F54" s="69">
        <f t="shared" si="0"/>
        <v>2434</v>
      </c>
      <c r="G54" s="72">
        <f>VLOOKUP(B54,'114+320'!$B$15:$AB$115,20,FALSE)</f>
        <v>732</v>
      </c>
      <c r="H54" s="72">
        <f>VLOOKUP(B54,'114+320'!$B$15:$AB$115,4,FALSE)</f>
        <v>682</v>
      </c>
      <c r="I54" s="68">
        <f t="shared" si="1"/>
        <v>1752</v>
      </c>
      <c r="J54" s="68">
        <f>VLOOKUP(B54,'114+320'!$B$15:$AB$115,13,FALSE)</f>
        <v>-248</v>
      </c>
      <c r="K54" s="66">
        <f>'114+320'!Q55</f>
        <v>2</v>
      </c>
      <c r="L54" s="65">
        <f t="shared" si="6"/>
        <v>68</v>
      </c>
      <c r="M54" s="70">
        <f>VLOOKUP(B54,'114+320'!$B$14:$AB$115,21,FALSE)</f>
        <v>715</v>
      </c>
      <c r="N54" s="69">
        <f>VLOOKUP(B54,'114+320'!$B$15:$AB$115,5,FALSE)</f>
        <v>699</v>
      </c>
      <c r="O54" s="68">
        <f t="shared" si="2"/>
        <v>1735</v>
      </c>
      <c r="P54" s="68">
        <f>VLOOKUP(B54,'114+320'!$B$15:$AB$115,14,FALSE)</f>
        <v>-265</v>
      </c>
      <c r="Q54" s="66">
        <f>'114+320'!R55</f>
        <v>5</v>
      </c>
      <c r="R54" s="65">
        <f t="shared" si="7"/>
        <v>85</v>
      </c>
      <c r="S54" s="70">
        <f>VLOOKUP(B54,'114+320'!$B$14:$AB$115,22,FALSE)</f>
        <v>730</v>
      </c>
      <c r="T54" s="69">
        <f>VLOOKUP(B54,'114+320'!$B$15:$AB$115,6,FALSE)</f>
        <v>624</v>
      </c>
      <c r="U54" s="68">
        <f t="shared" si="3"/>
        <v>1810</v>
      </c>
      <c r="V54" s="77">
        <f>VLOOKUP(B54,'114+320'!$B$15:$AB$115,15,FALSE)</f>
        <v>-190</v>
      </c>
      <c r="W54" s="66">
        <f>'114+320'!S55</f>
        <v>2</v>
      </c>
      <c r="X54" s="65">
        <f t="shared" si="8"/>
        <v>70</v>
      </c>
      <c r="Y54" s="64">
        <f t="shared" si="9"/>
        <v>-2</v>
      </c>
      <c r="Z54" s="63">
        <f t="shared" si="10"/>
        <v>0</v>
      </c>
      <c r="AA54" s="62">
        <f t="shared" si="11"/>
        <v>0.89900000000000002</v>
      </c>
      <c r="AB54" s="62">
        <f t="shared" si="12"/>
        <v>0.81</v>
      </c>
      <c r="AC54" s="81"/>
      <c r="AD54" s="81"/>
      <c r="AE54" s="97"/>
    </row>
    <row r="55" spans="1:31" s="84" customFormat="1" ht="15" customHeight="1">
      <c r="A55" s="86"/>
      <c r="B55" s="106">
        <f>'114+320'!B56</f>
        <v>45085</v>
      </c>
      <c r="C55" s="75">
        <f t="shared" si="4"/>
        <v>1</v>
      </c>
      <c r="D55" s="74">
        <f t="shared" si="5"/>
        <v>842</v>
      </c>
      <c r="E55" s="73">
        <f>VLOOKUP(B55,'114+320'!B56:AB157,3,FALSE)</f>
        <v>1590</v>
      </c>
      <c r="F55" s="69">
        <f t="shared" si="0"/>
        <v>2432</v>
      </c>
      <c r="G55" s="72">
        <f>VLOOKUP(B55,'114+320'!$B$15:$AB$115,20,FALSE)</f>
        <v>728</v>
      </c>
      <c r="H55" s="72">
        <f>VLOOKUP(B55,'114+320'!$B$15:$AB$115,4,FALSE)</f>
        <v>684</v>
      </c>
      <c r="I55" s="68">
        <f t="shared" si="1"/>
        <v>1748</v>
      </c>
      <c r="J55" s="68">
        <f>VLOOKUP(B55,'114+320'!$B$15:$AB$115,13,FALSE)</f>
        <v>-252</v>
      </c>
      <c r="K55" s="66">
        <f>'114+320'!Q56</f>
        <v>4</v>
      </c>
      <c r="L55" s="65">
        <f t="shared" si="6"/>
        <v>72</v>
      </c>
      <c r="M55" s="70">
        <f>VLOOKUP(B55,'114+320'!$B$14:$AB$115,21,FALSE)</f>
        <v>711</v>
      </c>
      <c r="N55" s="69">
        <f>VLOOKUP(B55,'114+320'!$B$15:$AB$115,5,FALSE)</f>
        <v>701</v>
      </c>
      <c r="O55" s="68">
        <f t="shared" si="2"/>
        <v>1731</v>
      </c>
      <c r="P55" s="68">
        <f>VLOOKUP(B55,'114+320'!$B$15:$AB$115,14,FALSE)</f>
        <v>-269</v>
      </c>
      <c r="Q55" s="66">
        <f>'114+320'!R56</f>
        <v>4</v>
      </c>
      <c r="R55" s="65">
        <f t="shared" si="7"/>
        <v>89</v>
      </c>
      <c r="S55" s="70">
        <f>VLOOKUP(B55,'114+320'!$B$14:$AB$115,22,FALSE)</f>
        <v>726</v>
      </c>
      <c r="T55" s="69">
        <f>VLOOKUP(B55,'114+320'!$B$15:$AB$115,6,FALSE)</f>
        <v>626</v>
      </c>
      <c r="U55" s="68">
        <f t="shared" si="3"/>
        <v>1806</v>
      </c>
      <c r="V55" s="77">
        <f>VLOOKUP(B55,'114+320'!$B$15:$AB$115,15,FALSE)</f>
        <v>-194</v>
      </c>
      <c r="W55" s="66">
        <f>'114+320'!S56</f>
        <v>4</v>
      </c>
      <c r="X55" s="65">
        <f t="shared" si="8"/>
        <v>74</v>
      </c>
      <c r="Y55" s="64">
        <f t="shared" si="9"/>
        <v>-4</v>
      </c>
      <c r="Z55" s="63">
        <f t="shared" si="10"/>
        <v>0</v>
      </c>
      <c r="AA55" s="62">
        <f t="shared" si="11"/>
        <v>0.89900000000000002</v>
      </c>
      <c r="AB55" s="62">
        <f t="shared" si="12"/>
        <v>0.80200000000000005</v>
      </c>
      <c r="AC55" s="51"/>
      <c r="AD55" s="51"/>
      <c r="AE55" s="85"/>
    </row>
    <row r="56" spans="1:31" s="84" customFormat="1" ht="15" customHeight="1">
      <c r="A56" s="86"/>
      <c r="B56" s="106">
        <f>'114+320'!B57</f>
        <v>45086</v>
      </c>
      <c r="C56" s="75">
        <f t="shared" si="4"/>
        <v>1</v>
      </c>
      <c r="D56" s="74">
        <f t="shared" si="5"/>
        <v>842</v>
      </c>
      <c r="E56" s="73">
        <f>VLOOKUP(B56,'114+320'!B57:AB158,3,FALSE)</f>
        <v>1588</v>
      </c>
      <c r="F56" s="69">
        <f t="shared" si="0"/>
        <v>2430</v>
      </c>
      <c r="G56" s="72">
        <f>VLOOKUP(B56,'114+320'!$B$15:$AB$115,20,FALSE)</f>
        <v>725</v>
      </c>
      <c r="H56" s="72">
        <f>VLOOKUP(B56,'114+320'!$B$15:$AB$115,4,FALSE)</f>
        <v>685</v>
      </c>
      <c r="I56" s="68">
        <f t="shared" si="1"/>
        <v>1745</v>
      </c>
      <c r="J56" s="68">
        <f>VLOOKUP(B56,'114+320'!$B$15:$AB$115,13,FALSE)</f>
        <v>-255</v>
      </c>
      <c r="K56" s="66">
        <f>'114+320'!Q57</f>
        <v>3</v>
      </c>
      <c r="L56" s="65">
        <f t="shared" si="6"/>
        <v>75</v>
      </c>
      <c r="M56" s="70">
        <f>VLOOKUP(B56,'114+320'!$B$14:$AB$115,21,FALSE)</f>
        <v>708</v>
      </c>
      <c r="N56" s="69">
        <f>VLOOKUP(B56,'114+320'!$B$15:$AB$115,5,FALSE)</f>
        <v>702</v>
      </c>
      <c r="O56" s="68">
        <f t="shared" si="2"/>
        <v>1728</v>
      </c>
      <c r="P56" s="68">
        <f>VLOOKUP(B56,'114+320'!$B$15:$AB$115,14,FALSE)</f>
        <v>-272</v>
      </c>
      <c r="Q56" s="66">
        <f>'114+320'!R57</f>
        <v>3</v>
      </c>
      <c r="R56" s="65">
        <f t="shared" si="7"/>
        <v>92</v>
      </c>
      <c r="S56" s="70">
        <f>VLOOKUP(B56,'114+320'!$B$14:$AB$115,22,FALSE)</f>
        <v>723</v>
      </c>
      <c r="T56" s="69">
        <f>VLOOKUP(B56,'114+320'!$B$15:$AB$115,6,FALSE)</f>
        <v>627</v>
      </c>
      <c r="U56" s="68">
        <f t="shared" si="3"/>
        <v>1803</v>
      </c>
      <c r="V56" s="77">
        <f>VLOOKUP(B56,'114+320'!$B$15:$AB$115,15,FALSE)</f>
        <v>-197</v>
      </c>
      <c r="W56" s="66">
        <f>'114+320'!S57</f>
        <v>3</v>
      </c>
      <c r="X56" s="65">
        <f t="shared" si="8"/>
        <v>77</v>
      </c>
      <c r="Y56" s="64">
        <f t="shared" si="9"/>
        <v>-3</v>
      </c>
      <c r="Z56" s="63">
        <f t="shared" si="10"/>
        <v>0</v>
      </c>
      <c r="AA56" s="62">
        <f t="shared" si="11"/>
        <v>0.89900000000000002</v>
      </c>
      <c r="AB56" s="62">
        <f t="shared" si="12"/>
        <v>0.79600000000000004</v>
      </c>
      <c r="AC56" s="51"/>
      <c r="AD56" s="51"/>
      <c r="AE56" s="85"/>
    </row>
    <row r="57" spans="1:31" s="84" customFormat="1" ht="15" customHeight="1">
      <c r="A57" s="86"/>
      <c r="B57" s="106">
        <f>'114+320'!B58</f>
        <v>45087</v>
      </c>
      <c r="C57" s="75">
        <f t="shared" si="4"/>
        <v>1</v>
      </c>
      <c r="D57" s="74">
        <f t="shared" si="5"/>
        <v>842</v>
      </c>
      <c r="E57" s="73">
        <f>VLOOKUP(B57,'114+320'!B58:AB159,3,FALSE)</f>
        <v>1586</v>
      </c>
      <c r="F57" s="69">
        <f t="shared" si="0"/>
        <v>2428</v>
      </c>
      <c r="G57" s="72">
        <f>VLOOKUP(B57,'114+320'!$B$15:$AB$115,20,FALSE)</f>
        <v>723</v>
      </c>
      <c r="H57" s="72">
        <f>VLOOKUP(B57,'114+320'!$B$15:$AB$115,4,FALSE)</f>
        <v>685</v>
      </c>
      <c r="I57" s="68">
        <f t="shared" si="1"/>
        <v>1743</v>
      </c>
      <c r="J57" s="68">
        <f>VLOOKUP(B57,'114+320'!$B$15:$AB$115,13,FALSE)</f>
        <v>-257</v>
      </c>
      <c r="K57" s="66">
        <f>'114+320'!Q58</f>
        <v>2</v>
      </c>
      <c r="L57" s="65">
        <f t="shared" si="6"/>
        <v>77</v>
      </c>
      <c r="M57" s="70">
        <f>VLOOKUP(B57,'114+320'!$B$14:$AB$115,21,FALSE)</f>
        <v>706</v>
      </c>
      <c r="N57" s="69">
        <f>VLOOKUP(B57,'114+320'!$B$15:$AB$115,5,FALSE)</f>
        <v>702</v>
      </c>
      <c r="O57" s="68">
        <f t="shared" si="2"/>
        <v>1726</v>
      </c>
      <c r="P57" s="68">
        <f>VLOOKUP(B57,'114+320'!$B$15:$AB$115,14,FALSE)</f>
        <v>-274</v>
      </c>
      <c r="Q57" s="66">
        <f>'114+320'!R58</f>
        <v>2</v>
      </c>
      <c r="R57" s="65">
        <f t="shared" si="7"/>
        <v>94</v>
      </c>
      <c r="S57" s="70">
        <f>VLOOKUP(B57,'114+320'!$B$14:$AB$115,22,FALSE)</f>
        <v>721</v>
      </c>
      <c r="T57" s="69">
        <f>VLOOKUP(B57,'114+320'!$B$15:$AB$115,6,FALSE)</f>
        <v>627</v>
      </c>
      <c r="U57" s="68">
        <f t="shared" si="3"/>
        <v>1801</v>
      </c>
      <c r="V57" s="77">
        <f>VLOOKUP(B57,'114+320'!$B$15:$AB$115,15,FALSE)</f>
        <v>-199</v>
      </c>
      <c r="W57" s="66">
        <f>'114+320'!S58</f>
        <v>2</v>
      </c>
      <c r="X57" s="65">
        <f t="shared" si="8"/>
        <v>79</v>
      </c>
      <c r="Y57" s="64">
        <f t="shared" si="9"/>
        <v>-2</v>
      </c>
      <c r="Z57" s="63">
        <f t="shared" si="10"/>
        <v>0</v>
      </c>
      <c r="AA57" s="62">
        <f t="shared" si="11"/>
        <v>0.89900000000000002</v>
      </c>
      <c r="AB57" s="62">
        <f t="shared" si="12"/>
        <v>0.79200000000000004</v>
      </c>
      <c r="AC57" s="51"/>
      <c r="AD57" s="51"/>
      <c r="AE57" s="85"/>
    </row>
    <row r="58" spans="1:31" s="84" customFormat="1" ht="15" customHeight="1">
      <c r="A58" s="86"/>
      <c r="B58" s="106">
        <f>'114+320'!B59</f>
        <v>45088</v>
      </c>
      <c r="C58" s="75">
        <f t="shared" si="4"/>
        <v>1</v>
      </c>
      <c r="D58" s="74">
        <f t="shared" si="5"/>
        <v>842</v>
      </c>
      <c r="E58" s="73">
        <f>VLOOKUP(B58,'114+320'!B59:AB160,3,FALSE)</f>
        <v>1584</v>
      </c>
      <c r="F58" s="69">
        <f t="shared" si="0"/>
        <v>2426</v>
      </c>
      <c r="G58" s="72">
        <f>VLOOKUP(B58,'114+320'!$B$15:$AB$115,20,FALSE)</f>
        <v>719</v>
      </c>
      <c r="H58" s="72">
        <f>VLOOKUP(B58,'114+320'!$B$15:$AB$115,4,FALSE)</f>
        <v>687</v>
      </c>
      <c r="I58" s="68">
        <f t="shared" si="1"/>
        <v>1739</v>
      </c>
      <c r="J58" s="68">
        <f>VLOOKUP(B58,'114+320'!$B$15:$AB$115,13,FALSE)</f>
        <v>-261</v>
      </c>
      <c r="K58" s="66">
        <f>'114+320'!Q59</f>
        <v>4</v>
      </c>
      <c r="L58" s="65">
        <f t="shared" si="6"/>
        <v>81</v>
      </c>
      <c r="M58" s="70">
        <f>VLOOKUP(B58,'114+320'!$B$14:$AB$115,21,FALSE)</f>
        <v>702</v>
      </c>
      <c r="N58" s="69">
        <f>VLOOKUP(B58,'114+320'!$B$15:$AB$115,5,FALSE)</f>
        <v>704</v>
      </c>
      <c r="O58" s="68">
        <f t="shared" si="2"/>
        <v>1722</v>
      </c>
      <c r="P58" s="68">
        <f>VLOOKUP(B58,'114+320'!$B$15:$AB$115,14,FALSE)</f>
        <v>-278</v>
      </c>
      <c r="Q58" s="66">
        <f>'114+320'!R59</f>
        <v>4</v>
      </c>
      <c r="R58" s="65">
        <f t="shared" si="7"/>
        <v>98</v>
      </c>
      <c r="S58" s="70">
        <f>VLOOKUP(B58,'114+320'!$B$14:$AB$115,22,FALSE)</f>
        <v>717</v>
      </c>
      <c r="T58" s="69">
        <f>VLOOKUP(B58,'114+320'!$B$15:$AB$115,6,FALSE)</f>
        <v>629</v>
      </c>
      <c r="U58" s="68">
        <f t="shared" si="3"/>
        <v>1797</v>
      </c>
      <c r="V58" s="77">
        <f>VLOOKUP(B58,'114+320'!$B$15:$AB$115,15,FALSE)</f>
        <v>-203</v>
      </c>
      <c r="W58" s="66">
        <f>'114+320'!S59</f>
        <v>4</v>
      </c>
      <c r="X58" s="65">
        <f t="shared" si="8"/>
        <v>83</v>
      </c>
      <c r="Y58" s="64">
        <f t="shared" si="9"/>
        <v>-4</v>
      </c>
      <c r="Z58" s="63">
        <f t="shared" si="10"/>
        <v>0</v>
      </c>
      <c r="AA58" s="62">
        <f t="shared" si="11"/>
        <v>0.89900000000000002</v>
      </c>
      <c r="AB58" s="62">
        <f t="shared" si="12"/>
        <v>0.78400000000000003</v>
      </c>
      <c r="AC58" s="51"/>
      <c r="AD58" s="51"/>
      <c r="AE58" s="85"/>
    </row>
    <row r="59" spans="1:31" s="84" customFormat="1" ht="15" customHeight="1">
      <c r="A59" s="86"/>
      <c r="B59" s="106">
        <f>'114+320'!B60</f>
        <v>45089</v>
      </c>
      <c r="C59" s="75">
        <f t="shared" si="4"/>
        <v>1</v>
      </c>
      <c r="D59" s="74">
        <f t="shared" si="5"/>
        <v>842</v>
      </c>
      <c r="E59" s="73">
        <f>VLOOKUP(B59,'114+320'!B60:AB161,3,FALSE)</f>
        <v>1582</v>
      </c>
      <c r="F59" s="69">
        <f t="shared" si="0"/>
        <v>2424</v>
      </c>
      <c r="G59" s="72">
        <f>VLOOKUP(B59,'114+320'!$B$15:$AB$115,20,FALSE)</f>
        <v>712</v>
      </c>
      <c r="H59" s="72">
        <f>VLOOKUP(B59,'114+320'!$B$15:$AB$115,4,FALSE)</f>
        <v>692</v>
      </c>
      <c r="I59" s="68">
        <f t="shared" si="1"/>
        <v>1732</v>
      </c>
      <c r="J59" s="68">
        <f>VLOOKUP(B59,'114+320'!$B$15:$AB$115,13,FALSE)</f>
        <v>-268</v>
      </c>
      <c r="K59" s="66">
        <f>'114+320'!Q60</f>
        <v>7</v>
      </c>
      <c r="L59" s="65">
        <f t="shared" si="6"/>
        <v>88</v>
      </c>
      <c r="M59" s="70">
        <f>VLOOKUP(B59,'114+320'!$B$14:$AB$115,21,FALSE)</f>
        <v>695</v>
      </c>
      <c r="N59" s="69">
        <f>VLOOKUP(B59,'114+320'!$B$15:$AB$115,5,FALSE)</f>
        <v>709</v>
      </c>
      <c r="O59" s="68">
        <f t="shared" si="2"/>
        <v>1715</v>
      </c>
      <c r="P59" s="68">
        <f>VLOOKUP(B59,'114+320'!$B$15:$AB$115,14,FALSE)</f>
        <v>-285</v>
      </c>
      <c r="Q59" s="66">
        <f>'114+320'!R60</f>
        <v>7</v>
      </c>
      <c r="R59" s="65">
        <f t="shared" si="7"/>
        <v>105</v>
      </c>
      <c r="S59" s="70">
        <f>VLOOKUP(B59,'114+320'!$B$14:$AB$115,22,FALSE)</f>
        <v>710</v>
      </c>
      <c r="T59" s="69">
        <f>VLOOKUP(B59,'114+320'!$B$15:$AB$115,6,FALSE)</f>
        <v>634</v>
      </c>
      <c r="U59" s="68">
        <f t="shared" si="3"/>
        <v>1790</v>
      </c>
      <c r="V59" s="77">
        <f>VLOOKUP(B59,'114+320'!$B$15:$AB$115,15,FALSE)</f>
        <v>-210</v>
      </c>
      <c r="W59" s="66">
        <f>'114+320'!S60</f>
        <v>7</v>
      </c>
      <c r="X59" s="65">
        <f t="shared" si="8"/>
        <v>90</v>
      </c>
      <c r="Y59" s="64">
        <f t="shared" si="9"/>
        <v>-7</v>
      </c>
      <c r="Z59" s="63">
        <f t="shared" si="10"/>
        <v>0</v>
      </c>
      <c r="AA59" s="62">
        <f t="shared" si="11"/>
        <v>0.89900000000000002</v>
      </c>
      <c r="AB59" s="62">
        <f t="shared" si="12"/>
        <v>0.77</v>
      </c>
      <c r="AC59" s="51"/>
      <c r="AD59" s="51"/>
      <c r="AE59" s="85"/>
    </row>
    <row r="60" spans="1:31" s="84" customFormat="1" ht="15" customHeight="1">
      <c r="A60" s="86"/>
      <c r="B60" s="106">
        <f>'114+320'!B61</f>
        <v>45090</v>
      </c>
      <c r="C60" s="75">
        <f t="shared" si="4"/>
        <v>1</v>
      </c>
      <c r="D60" s="74">
        <f t="shared" si="5"/>
        <v>842</v>
      </c>
      <c r="E60" s="73">
        <f>VLOOKUP(B60,'114+320'!B61:AB162,3,FALSE)</f>
        <v>1580</v>
      </c>
      <c r="F60" s="69">
        <f t="shared" si="0"/>
        <v>2422</v>
      </c>
      <c r="G60" s="72">
        <f>VLOOKUP(B60,'114+320'!$B$15:$AB$115,20,FALSE)</f>
        <v>707</v>
      </c>
      <c r="H60" s="72">
        <f>VLOOKUP(B60,'114+320'!$B$15:$AB$115,4,FALSE)</f>
        <v>695</v>
      </c>
      <c r="I60" s="68">
        <f t="shared" si="1"/>
        <v>1727</v>
      </c>
      <c r="J60" s="68">
        <f>VLOOKUP(B60,'114+320'!$B$15:$AB$115,13,FALSE)</f>
        <v>-273</v>
      </c>
      <c r="K60" s="66">
        <f>'114+320'!Q61</f>
        <v>5</v>
      </c>
      <c r="L60" s="65">
        <f t="shared" si="6"/>
        <v>93</v>
      </c>
      <c r="M60" s="70">
        <f>VLOOKUP(B60,'114+320'!$B$14:$AB$115,21,FALSE)</f>
        <v>690</v>
      </c>
      <c r="N60" s="69">
        <f>VLOOKUP(B60,'114+320'!$B$15:$AB$115,5,FALSE)</f>
        <v>712</v>
      </c>
      <c r="O60" s="68">
        <f t="shared" si="2"/>
        <v>1710</v>
      </c>
      <c r="P60" s="68">
        <f>VLOOKUP(B60,'114+320'!$B$15:$AB$115,14,FALSE)</f>
        <v>-290</v>
      </c>
      <c r="Q60" s="66">
        <f>'114+320'!R61</f>
        <v>5</v>
      </c>
      <c r="R60" s="65">
        <f t="shared" si="7"/>
        <v>110</v>
      </c>
      <c r="S60" s="70">
        <f>VLOOKUP(B60,'114+320'!$B$14:$AB$115,22,FALSE)</f>
        <v>705</v>
      </c>
      <c r="T60" s="69">
        <f>VLOOKUP(B60,'114+320'!$B$15:$AB$115,6,FALSE)</f>
        <v>637</v>
      </c>
      <c r="U60" s="68">
        <f t="shared" si="3"/>
        <v>1785</v>
      </c>
      <c r="V60" s="77">
        <f>VLOOKUP(B60,'114+320'!$B$15:$AB$115,15,FALSE)</f>
        <v>-215</v>
      </c>
      <c r="W60" s="66">
        <f>'114+320'!S61</f>
        <v>5</v>
      </c>
      <c r="X60" s="65">
        <f t="shared" si="8"/>
        <v>95</v>
      </c>
      <c r="Y60" s="64">
        <f t="shared" si="9"/>
        <v>-5</v>
      </c>
      <c r="Z60" s="63">
        <f t="shared" si="10"/>
        <v>0</v>
      </c>
      <c r="AA60" s="62">
        <f t="shared" si="11"/>
        <v>0.89900000000000002</v>
      </c>
      <c r="AB60" s="62">
        <f t="shared" si="12"/>
        <v>0.76</v>
      </c>
      <c r="AC60" s="51"/>
      <c r="AD60" s="51"/>
      <c r="AE60" s="85"/>
    </row>
    <row r="61" spans="1:31" s="84" customFormat="1" ht="15" customHeight="1">
      <c r="A61" s="86"/>
      <c r="B61" s="106">
        <f>'114+320'!B62</f>
        <v>45091</v>
      </c>
      <c r="C61" s="75">
        <f t="shared" si="4"/>
        <v>1</v>
      </c>
      <c r="D61" s="74">
        <f t="shared" si="5"/>
        <v>842</v>
      </c>
      <c r="E61" s="73">
        <f>VLOOKUP(B61,'114+320'!B62:AB163,3,FALSE)</f>
        <v>1578</v>
      </c>
      <c r="F61" s="69">
        <f t="shared" si="0"/>
        <v>2420</v>
      </c>
      <c r="G61" s="72">
        <f>VLOOKUP(B61,'114+320'!$B$15:$AB$115,20,FALSE)</f>
        <v>702</v>
      </c>
      <c r="H61" s="72">
        <f>VLOOKUP(B61,'114+320'!$B$15:$AB$115,4,FALSE)</f>
        <v>698</v>
      </c>
      <c r="I61" s="68">
        <f t="shared" si="1"/>
        <v>1722</v>
      </c>
      <c r="J61" s="68">
        <f>VLOOKUP(B61,'114+320'!$B$15:$AB$115,13,FALSE)</f>
        <v>-278</v>
      </c>
      <c r="K61" s="66">
        <f>'114+320'!Q62</f>
        <v>5</v>
      </c>
      <c r="L61" s="65">
        <f t="shared" si="6"/>
        <v>98</v>
      </c>
      <c r="M61" s="70">
        <f>VLOOKUP(B61,'114+320'!$B$14:$AB$115,21,FALSE)</f>
        <v>685</v>
      </c>
      <c r="N61" s="69">
        <f>VLOOKUP(B61,'114+320'!$B$15:$AB$115,5,FALSE)</f>
        <v>715</v>
      </c>
      <c r="O61" s="68">
        <f t="shared" si="2"/>
        <v>1705</v>
      </c>
      <c r="P61" s="68">
        <f>VLOOKUP(B61,'114+320'!$B$15:$AB$115,14,FALSE)</f>
        <v>-295</v>
      </c>
      <c r="Q61" s="66">
        <f>'114+320'!R62</f>
        <v>5</v>
      </c>
      <c r="R61" s="65">
        <f t="shared" si="7"/>
        <v>115</v>
      </c>
      <c r="S61" s="70">
        <f>VLOOKUP(B61,'114+320'!$B$14:$AB$115,22,FALSE)</f>
        <v>700</v>
      </c>
      <c r="T61" s="69">
        <f>VLOOKUP(B61,'114+320'!$B$15:$AB$115,6,FALSE)</f>
        <v>640</v>
      </c>
      <c r="U61" s="68">
        <f t="shared" si="3"/>
        <v>1780</v>
      </c>
      <c r="V61" s="77">
        <f>VLOOKUP(B61,'114+320'!$B$15:$AB$115,15,FALSE)</f>
        <v>-220</v>
      </c>
      <c r="W61" s="66">
        <f>'114+320'!S62</f>
        <v>5</v>
      </c>
      <c r="X61" s="65">
        <f t="shared" si="8"/>
        <v>100</v>
      </c>
      <c r="Y61" s="64">
        <f t="shared" si="9"/>
        <v>-5</v>
      </c>
      <c r="Z61" s="63">
        <f t="shared" si="10"/>
        <v>0</v>
      </c>
      <c r="AA61" s="62">
        <f t="shared" si="11"/>
        <v>0.89900000000000002</v>
      </c>
      <c r="AB61" s="62">
        <f t="shared" si="12"/>
        <v>0.75</v>
      </c>
      <c r="AC61" s="51"/>
      <c r="AD61" s="51"/>
      <c r="AE61" s="85"/>
    </row>
    <row r="62" spans="1:31" s="84" customFormat="1" ht="15" customHeight="1">
      <c r="A62" s="86"/>
      <c r="B62" s="106">
        <f>'114+320'!B63</f>
        <v>45092</v>
      </c>
      <c r="C62" s="75">
        <f t="shared" si="4"/>
        <v>1</v>
      </c>
      <c r="D62" s="74">
        <f t="shared" si="5"/>
        <v>842</v>
      </c>
      <c r="E62" s="73">
        <f>VLOOKUP(B62,'114+320'!B63:AB164,3,FALSE)</f>
        <v>1576</v>
      </c>
      <c r="F62" s="69">
        <f t="shared" si="0"/>
        <v>2418</v>
      </c>
      <c r="G62" s="72">
        <f>VLOOKUP(B62,'114+320'!$B$15:$AB$115,20,FALSE)</f>
        <v>698</v>
      </c>
      <c r="H62" s="72">
        <f>VLOOKUP(B62,'114+320'!$B$15:$AB$115,4,FALSE)</f>
        <v>700</v>
      </c>
      <c r="I62" s="68">
        <f t="shared" si="1"/>
        <v>1718</v>
      </c>
      <c r="J62" s="68">
        <f>VLOOKUP(B62,'114+320'!$B$15:$AB$115,13,FALSE)</f>
        <v>-282</v>
      </c>
      <c r="K62" s="66">
        <f>'114+320'!Q63</f>
        <v>4</v>
      </c>
      <c r="L62" s="65">
        <f t="shared" si="6"/>
        <v>102</v>
      </c>
      <c r="M62" s="70">
        <f>VLOOKUP(B62,'114+320'!$B$14:$AB$115,21,FALSE)</f>
        <v>681</v>
      </c>
      <c r="N62" s="69">
        <f>VLOOKUP(B62,'114+320'!$B$15:$AB$115,5,FALSE)</f>
        <v>717</v>
      </c>
      <c r="O62" s="68">
        <f t="shared" si="2"/>
        <v>1701</v>
      </c>
      <c r="P62" s="68">
        <f>VLOOKUP(B62,'114+320'!$B$15:$AB$115,14,FALSE)</f>
        <v>-299</v>
      </c>
      <c r="Q62" s="66">
        <f>'114+320'!R63</f>
        <v>4</v>
      </c>
      <c r="R62" s="65">
        <f t="shared" si="7"/>
        <v>119</v>
      </c>
      <c r="S62" s="70">
        <f>VLOOKUP(B62,'114+320'!$B$14:$AB$115,22,FALSE)</f>
        <v>696</v>
      </c>
      <c r="T62" s="69">
        <f>VLOOKUP(B62,'114+320'!$B$15:$AB$115,6,FALSE)</f>
        <v>642</v>
      </c>
      <c r="U62" s="68">
        <f t="shared" si="3"/>
        <v>1776</v>
      </c>
      <c r="V62" s="77">
        <f>VLOOKUP(B62,'114+320'!$B$15:$AB$115,15,FALSE)</f>
        <v>-224</v>
      </c>
      <c r="W62" s="66">
        <f>'114+320'!S63</f>
        <v>4</v>
      </c>
      <c r="X62" s="65">
        <f t="shared" si="8"/>
        <v>104</v>
      </c>
      <c r="Y62" s="64">
        <f t="shared" si="9"/>
        <v>-4</v>
      </c>
      <c r="Z62" s="63">
        <f t="shared" si="10"/>
        <v>0</v>
      </c>
      <c r="AA62" s="62">
        <f t="shared" si="11"/>
        <v>0.89900000000000002</v>
      </c>
      <c r="AB62" s="62">
        <f t="shared" si="12"/>
        <v>0.74199999999999999</v>
      </c>
      <c r="AC62" s="51"/>
      <c r="AD62" s="51"/>
      <c r="AE62" s="85"/>
    </row>
    <row r="63" spans="1:31" s="84" customFormat="1" ht="15" customHeight="1">
      <c r="A63" s="86"/>
      <c r="B63" s="106">
        <f>'114+320'!B64</f>
        <v>45093</v>
      </c>
      <c r="C63" s="75">
        <f t="shared" si="4"/>
        <v>1</v>
      </c>
      <c r="D63" s="74">
        <f t="shared" si="5"/>
        <v>842</v>
      </c>
      <c r="E63" s="73">
        <f>VLOOKUP(B63,'114+320'!B64:AB165,3,FALSE)</f>
        <v>1574</v>
      </c>
      <c r="F63" s="69">
        <f t="shared" si="0"/>
        <v>2416</v>
      </c>
      <c r="G63" s="72">
        <f>VLOOKUP(B63,'114+320'!$B$15:$AB$115,20,FALSE)</f>
        <v>697</v>
      </c>
      <c r="H63" s="72">
        <f>VLOOKUP(B63,'114+320'!$B$15:$AB$115,4,FALSE)</f>
        <v>699</v>
      </c>
      <c r="I63" s="68">
        <f t="shared" si="1"/>
        <v>1717</v>
      </c>
      <c r="J63" s="68">
        <f>VLOOKUP(B63,'114+320'!$B$15:$AB$115,13,FALSE)</f>
        <v>-283</v>
      </c>
      <c r="K63" s="66">
        <f>'114+320'!Q64</f>
        <v>1</v>
      </c>
      <c r="L63" s="65">
        <f t="shared" si="6"/>
        <v>103</v>
      </c>
      <c r="M63" s="70">
        <f>VLOOKUP(B63,'114+320'!$B$14:$AB$115,21,FALSE)</f>
        <v>680</v>
      </c>
      <c r="N63" s="69">
        <f>VLOOKUP(B63,'114+320'!$B$15:$AB$115,5,FALSE)</f>
        <v>716</v>
      </c>
      <c r="O63" s="68">
        <f t="shared" si="2"/>
        <v>1700</v>
      </c>
      <c r="P63" s="68">
        <f>VLOOKUP(B63,'114+320'!$B$15:$AB$115,14,FALSE)</f>
        <v>-300</v>
      </c>
      <c r="Q63" s="66">
        <f>'114+320'!R64</f>
        <v>1</v>
      </c>
      <c r="R63" s="65">
        <f t="shared" si="7"/>
        <v>120</v>
      </c>
      <c r="S63" s="70">
        <f>VLOOKUP(B63,'114+320'!$B$14:$AB$115,22,FALSE)</f>
        <v>695</v>
      </c>
      <c r="T63" s="69">
        <f>VLOOKUP(B63,'114+320'!$B$15:$AB$115,6,FALSE)</f>
        <v>641</v>
      </c>
      <c r="U63" s="68">
        <f t="shared" si="3"/>
        <v>1775</v>
      </c>
      <c r="V63" s="77">
        <f>VLOOKUP(B63,'114+320'!$B$15:$AB$115,15,FALSE)</f>
        <v>-225</v>
      </c>
      <c r="W63" s="66">
        <f>'114+320'!S64</f>
        <v>1</v>
      </c>
      <c r="X63" s="65">
        <f t="shared" si="8"/>
        <v>105</v>
      </c>
      <c r="Y63" s="64">
        <f t="shared" si="9"/>
        <v>-1</v>
      </c>
      <c r="Z63" s="63">
        <f t="shared" si="10"/>
        <v>0</v>
      </c>
      <c r="AA63" s="62">
        <f t="shared" si="11"/>
        <v>0.89900000000000002</v>
      </c>
      <c r="AB63" s="62">
        <f t="shared" si="12"/>
        <v>0.74</v>
      </c>
      <c r="AC63" s="51"/>
      <c r="AD63" s="51"/>
      <c r="AE63" s="85"/>
    </row>
    <row r="64" spans="1:31" s="84" customFormat="1" ht="15" customHeight="1">
      <c r="A64" s="86"/>
      <c r="B64" s="106">
        <f>'114+320'!B65</f>
        <v>45094</v>
      </c>
      <c r="C64" s="75">
        <f t="shared" si="4"/>
        <v>1</v>
      </c>
      <c r="D64" s="74">
        <f t="shared" si="5"/>
        <v>842</v>
      </c>
      <c r="E64" s="73">
        <f>VLOOKUP(B64,'114+320'!B65:AB166,3,FALSE)</f>
        <v>1572</v>
      </c>
      <c r="F64" s="69">
        <f t="shared" si="0"/>
        <v>2414</v>
      </c>
      <c r="G64" s="72">
        <f>VLOOKUP(B64,'114+320'!$B$15:$AB$115,20,FALSE)</f>
        <v>696</v>
      </c>
      <c r="H64" s="72">
        <f>VLOOKUP(B64,'114+320'!$B$15:$AB$115,4,FALSE)</f>
        <v>698</v>
      </c>
      <c r="I64" s="68">
        <f t="shared" si="1"/>
        <v>1716</v>
      </c>
      <c r="J64" s="68">
        <f>VLOOKUP(B64,'114+320'!$B$15:$AB$115,13,FALSE)</f>
        <v>-284</v>
      </c>
      <c r="K64" s="66">
        <f>'114+320'!Q65</f>
        <v>1</v>
      </c>
      <c r="L64" s="65">
        <f t="shared" si="6"/>
        <v>104</v>
      </c>
      <c r="M64" s="70">
        <f>VLOOKUP(B64,'114+320'!$B$14:$AB$115,21,FALSE)</f>
        <v>679</v>
      </c>
      <c r="N64" s="69">
        <f>VLOOKUP(B64,'114+320'!$B$15:$AB$115,5,FALSE)</f>
        <v>715</v>
      </c>
      <c r="O64" s="68">
        <f t="shared" si="2"/>
        <v>1699</v>
      </c>
      <c r="P64" s="68">
        <f>VLOOKUP(B64,'114+320'!$B$15:$AB$115,14,FALSE)</f>
        <v>-301</v>
      </c>
      <c r="Q64" s="66">
        <f>'114+320'!R65</f>
        <v>1</v>
      </c>
      <c r="R64" s="65">
        <f t="shared" si="7"/>
        <v>121</v>
      </c>
      <c r="S64" s="70">
        <f>VLOOKUP(B64,'114+320'!$B$14:$AB$115,22,FALSE)</f>
        <v>694</v>
      </c>
      <c r="T64" s="69">
        <f>VLOOKUP(B64,'114+320'!$B$15:$AB$115,6,FALSE)</f>
        <v>640</v>
      </c>
      <c r="U64" s="68">
        <f t="shared" si="3"/>
        <v>1774</v>
      </c>
      <c r="V64" s="77">
        <f>VLOOKUP(B64,'114+320'!$B$15:$AB$115,15,FALSE)</f>
        <v>-226</v>
      </c>
      <c r="W64" s="66">
        <f>'114+320'!S65</f>
        <v>1</v>
      </c>
      <c r="X64" s="65">
        <f t="shared" si="8"/>
        <v>106</v>
      </c>
      <c r="Y64" s="64">
        <f t="shared" si="9"/>
        <v>-1</v>
      </c>
      <c r="Z64" s="63">
        <f t="shared" si="10"/>
        <v>0</v>
      </c>
      <c r="AA64" s="62">
        <f t="shared" si="11"/>
        <v>0.89900000000000002</v>
      </c>
      <c r="AB64" s="62">
        <f t="shared" si="12"/>
        <v>0.73799999999999999</v>
      </c>
      <c r="AC64" s="51"/>
      <c r="AD64" s="51"/>
      <c r="AE64" s="85"/>
    </row>
    <row r="65" spans="1:32" s="84" customFormat="1" ht="15" customHeight="1">
      <c r="A65" s="86"/>
      <c r="B65" s="106">
        <f>'114+320'!B66</f>
        <v>45095</v>
      </c>
      <c r="C65" s="75">
        <f t="shared" si="4"/>
        <v>1</v>
      </c>
      <c r="D65" s="74">
        <f t="shared" si="5"/>
        <v>842</v>
      </c>
      <c r="E65" s="73">
        <f>VLOOKUP(B65,'114+320'!B66:AB167,3,FALSE)</f>
        <v>1570</v>
      </c>
      <c r="F65" s="69">
        <f t="shared" si="0"/>
        <v>2412</v>
      </c>
      <c r="G65" s="72">
        <f>VLOOKUP(B65,'114+320'!$B$15:$AB$115,20,FALSE)</f>
        <v>696</v>
      </c>
      <c r="H65" s="72">
        <f>VLOOKUP(B65,'114+320'!$B$15:$AB$115,4,FALSE)</f>
        <v>696</v>
      </c>
      <c r="I65" s="68">
        <f t="shared" si="1"/>
        <v>1716</v>
      </c>
      <c r="J65" s="68">
        <f>VLOOKUP(B65,'114+320'!$B$15:$AB$115,13,FALSE)</f>
        <v>-284</v>
      </c>
      <c r="K65" s="66">
        <f>'114+320'!Q66</f>
        <v>0</v>
      </c>
      <c r="L65" s="65">
        <f t="shared" si="6"/>
        <v>104</v>
      </c>
      <c r="M65" s="70">
        <f>VLOOKUP(B65,'114+320'!$B$14:$AB$115,21,FALSE)</f>
        <v>679</v>
      </c>
      <c r="N65" s="69">
        <f>VLOOKUP(B65,'114+320'!$B$15:$AB$115,5,FALSE)</f>
        <v>713</v>
      </c>
      <c r="O65" s="68">
        <f t="shared" si="2"/>
        <v>1699</v>
      </c>
      <c r="P65" s="68">
        <f>VLOOKUP(B65,'114+320'!$B$15:$AB$115,14,FALSE)</f>
        <v>-301</v>
      </c>
      <c r="Q65" s="66">
        <f>'114+320'!R66</f>
        <v>0</v>
      </c>
      <c r="R65" s="65">
        <f t="shared" si="7"/>
        <v>121</v>
      </c>
      <c r="S65" s="70">
        <f>VLOOKUP(B65,'114+320'!$B$14:$AB$115,22,FALSE)</f>
        <v>692</v>
      </c>
      <c r="T65" s="69">
        <f>VLOOKUP(B65,'114+320'!$B$15:$AB$115,6,FALSE)</f>
        <v>640</v>
      </c>
      <c r="U65" s="68">
        <f t="shared" si="3"/>
        <v>1772</v>
      </c>
      <c r="V65" s="77">
        <f>VLOOKUP(B65,'114+320'!$B$15:$AB$115,15,FALSE)</f>
        <v>-228</v>
      </c>
      <c r="W65" s="66">
        <f>'114+320'!S66</f>
        <v>2</v>
      </c>
      <c r="X65" s="65">
        <f t="shared" si="8"/>
        <v>108</v>
      </c>
      <c r="Y65" s="64">
        <f t="shared" si="9"/>
        <v>-2</v>
      </c>
      <c r="Z65" s="63">
        <f t="shared" si="10"/>
        <v>0</v>
      </c>
      <c r="AA65" s="62">
        <f t="shared" si="11"/>
        <v>0.89900000000000002</v>
      </c>
      <c r="AB65" s="62">
        <f t="shared" si="12"/>
        <v>0.73799999999999999</v>
      </c>
      <c r="AC65" s="51"/>
      <c r="AD65" s="51"/>
      <c r="AE65" s="85"/>
    </row>
    <row r="66" spans="1:32" s="93" customFormat="1" ht="15" customHeight="1">
      <c r="A66" s="86"/>
      <c r="B66" s="106">
        <f>'114+320'!B67</f>
        <v>45096</v>
      </c>
      <c r="C66" s="75">
        <f t="shared" si="4"/>
        <v>1</v>
      </c>
      <c r="D66" s="74">
        <f t="shared" si="5"/>
        <v>842</v>
      </c>
      <c r="E66" s="73">
        <f>VLOOKUP(B66,'114+320'!B67:AB168,3,FALSE)</f>
        <v>1568</v>
      </c>
      <c r="F66" s="69">
        <f t="shared" si="0"/>
        <v>2410</v>
      </c>
      <c r="G66" s="72">
        <f>VLOOKUP(B66,'114+320'!$B$15:$AB$115,20,FALSE)</f>
        <v>695</v>
      </c>
      <c r="H66" s="72">
        <f>VLOOKUP(B66,'114+320'!$B$15:$AB$115,4,FALSE)</f>
        <v>695</v>
      </c>
      <c r="I66" s="68">
        <f t="shared" si="1"/>
        <v>1715</v>
      </c>
      <c r="J66" s="68">
        <f>VLOOKUP(B66,'114+320'!$B$15:$AB$115,13,FALSE)</f>
        <v>-285</v>
      </c>
      <c r="K66" s="66">
        <f>'114+320'!Q67</f>
        <v>1</v>
      </c>
      <c r="L66" s="65">
        <f t="shared" si="6"/>
        <v>105</v>
      </c>
      <c r="M66" s="70">
        <f>VLOOKUP(B66,'114+320'!$B$14:$AB$115,21,FALSE)</f>
        <v>678</v>
      </c>
      <c r="N66" s="69">
        <f>VLOOKUP(B66,'114+320'!$B$15:$AB$115,5,FALSE)</f>
        <v>712</v>
      </c>
      <c r="O66" s="68">
        <f t="shared" si="2"/>
        <v>1698</v>
      </c>
      <c r="P66" s="68">
        <f>VLOOKUP(B66,'114+320'!$B$15:$AB$115,14,FALSE)</f>
        <v>-302</v>
      </c>
      <c r="Q66" s="66">
        <f>'114+320'!R67</f>
        <v>1</v>
      </c>
      <c r="R66" s="65">
        <f t="shared" si="7"/>
        <v>122</v>
      </c>
      <c r="S66" s="70">
        <f>VLOOKUP(B66,'114+320'!$B$14:$AB$115,22,FALSE)</f>
        <v>692</v>
      </c>
      <c r="T66" s="69">
        <f>VLOOKUP(B66,'114+320'!$B$15:$AB$115,6,FALSE)</f>
        <v>638</v>
      </c>
      <c r="U66" s="68">
        <f t="shared" si="3"/>
        <v>1772</v>
      </c>
      <c r="V66" s="77">
        <f>VLOOKUP(B66,'114+320'!$B$15:$AB$115,15,FALSE)</f>
        <v>-228</v>
      </c>
      <c r="W66" s="66">
        <f>'114+320'!S67</f>
        <v>0</v>
      </c>
      <c r="X66" s="65">
        <f t="shared" si="8"/>
        <v>108</v>
      </c>
      <c r="Y66" s="64">
        <f t="shared" si="9"/>
        <v>0</v>
      </c>
      <c r="Z66" s="63">
        <f t="shared" si="10"/>
        <v>0</v>
      </c>
      <c r="AA66" s="62">
        <f t="shared" si="11"/>
        <v>0.89900000000000002</v>
      </c>
      <c r="AB66" s="62">
        <f t="shared" si="12"/>
        <v>0.73599999999999999</v>
      </c>
      <c r="AC66" s="95"/>
      <c r="AD66" s="95"/>
      <c r="AE66" s="94"/>
    </row>
    <row r="67" spans="1:32" s="87" customFormat="1" ht="15" customHeight="1">
      <c r="A67" s="86"/>
      <c r="B67" s="106">
        <f>'114+320'!B68</f>
        <v>45097</v>
      </c>
      <c r="C67" s="75">
        <f t="shared" si="4"/>
        <v>1</v>
      </c>
      <c r="D67" s="74">
        <f t="shared" si="5"/>
        <v>842</v>
      </c>
      <c r="E67" s="73">
        <f>VLOOKUP(B67,'114+320'!B68:AB169,3,FALSE)</f>
        <v>1566</v>
      </c>
      <c r="F67" s="69">
        <f t="shared" si="0"/>
        <v>2408</v>
      </c>
      <c r="G67" s="72">
        <f>VLOOKUP(B67,'114+320'!$B$15:$AB$115,20,FALSE)</f>
        <v>695</v>
      </c>
      <c r="H67" s="72">
        <f>VLOOKUP(B67,'114+320'!$B$15:$AB$115,4,FALSE)</f>
        <v>693</v>
      </c>
      <c r="I67" s="68">
        <f t="shared" si="1"/>
        <v>1715</v>
      </c>
      <c r="J67" s="68">
        <f>VLOOKUP(B67,'114+320'!$B$15:$AB$115,13,FALSE)</f>
        <v>-285</v>
      </c>
      <c r="K67" s="66">
        <f>'114+320'!Q68</f>
        <v>0</v>
      </c>
      <c r="L67" s="65">
        <f t="shared" si="6"/>
        <v>105</v>
      </c>
      <c r="M67" s="70">
        <f>VLOOKUP(B67,'114+320'!$B$14:$AB$115,21,FALSE)</f>
        <v>678</v>
      </c>
      <c r="N67" s="69">
        <f>VLOOKUP(B67,'114+320'!$B$15:$AB$115,5,FALSE)</f>
        <v>710</v>
      </c>
      <c r="O67" s="68">
        <f t="shared" si="2"/>
        <v>1698</v>
      </c>
      <c r="P67" s="68">
        <f>VLOOKUP(B67,'114+320'!$B$15:$AB$115,14,FALSE)</f>
        <v>-302</v>
      </c>
      <c r="Q67" s="66">
        <f>'114+320'!R68</f>
        <v>0</v>
      </c>
      <c r="R67" s="65">
        <f t="shared" si="7"/>
        <v>122</v>
      </c>
      <c r="S67" s="70">
        <f>VLOOKUP(B67,'114+320'!$B$14:$AB$115,22,FALSE)</f>
        <v>690</v>
      </c>
      <c r="T67" s="69">
        <f>VLOOKUP(B67,'114+320'!$B$15:$AB$115,6,FALSE)</f>
        <v>638</v>
      </c>
      <c r="U67" s="68">
        <f t="shared" si="3"/>
        <v>1770</v>
      </c>
      <c r="V67" s="77">
        <f>VLOOKUP(B67,'114+320'!$B$15:$AB$115,15,FALSE)</f>
        <v>-230</v>
      </c>
      <c r="W67" s="66">
        <f>'114+320'!S68</f>
        <v>2</v>
      </c>
      <c r="X67" s="65">
        <f t="shared" si="8"/>
        <v>110</v>
      </c>
      <c r="Y67" s="64">
        <f t="shared" si="9"/>
        <v>-2</v>
      </c>
      <c r="Z67" s="63">
        <f t="shared" si="10"/>
        <v>0</v>
      </c>
      <c r="AA67" s="62">
        <f t="shared" si="11"/>
        <v>0.89900000000000002</v>
      </c>
      <c r="AB67" s="62">
        <f t="shared" si="12"/>
        <v>0.73599999999999999</v>
      </c>
      <c r="AC67" s="89"/>
      <c r="AD67" s="89"/>
      <c r="AE67" s="88"/>
    </row>
    <row r="68" spans="1:32" s="90" customFormat="1" ht="15" customHeight="1">
      <c r="A68" s="86"/>
      <c r="B68" s="106">
        <f>'114+320'!B69</f>
        <v>45098</v>
      </c>
      <c r="C68" s="75">
        <f t="shared" si="4"/>
        <v>1</v>
      </c>
      <c r="D68" s="74">
        <f t="shared" si="5"/>
        <v>842</v>
      </c>
      <c r="E68" s="73">
        <f>VLOOKUP(B68,'114+320'!B69:AB170,3,FALSE)</f>
        <v>1564</v>
      </c>
      <c r="F68" s="69">
        <f t="shared" si="0"/>
        <v>2406</v>
      </c>
      <c r="G68" s="72">
        <f>VLOOKUP(B68,'114+320'!$B$15:$AB$115,20,FALSE)</f>
        <v>694</v>
      </c>
      <c r="H68" s="72">
        <f>VLOOKUP(B68,'114+320'!$B$15:$AB$115,4,FALSE)</f>
        <v>692</v>
      </c>
      <c r="I68" s="68">
        <f t="shared" si="1"/>
        <v>1714</v>
      </c>
      <c r="J68" s="68">
        <f>VLOOKUP(B68,'114+320'!$B$15:$AB$115,13,FALSE)</f>
        <v>-286</v>
      </c>
      <c r="K68" s="66">
        <f>'114+320'!Q69</f>
        <v>1</v>
      </c>
      <c r="L68" s="65">
        <f t="shared" si="6"/>
        <v>106</v>
      </c>
      <c r="M68" s="70">
        <f>VLOOKUP(B68,'114+320'!$B$14:$AB$115,21,FALSE)</f>
        <v>677</v>
      </c>
      <c r="N68" s="69">
        <f>VLOOKUP(B68,'114+320'!$B$15:$AB$115,5,FALSE)</f>
        <v>709</v>
      </c>
      <c r="O68" s="68">
        <f t="shared" si="2"/>
        <v>1697</v>
      </c>
      <c r="P68" s="68">
        <f>VLOOKUP(B68,'114+320'!$B$15:$AB$115,14,FALSE)</f>
        <v>-303</v>
      </c>
      <c r="Q68" s="66">
        <f>'114+320'!R69</f>
        <v>1</v>
      </c>
      <c r="R68" s="65">
        <f t="shared" si="7"/>
        <v>123</v>
      </c>
      <c r="S68" s="70">
        <f>VLOOKUP(B68,'114+320'!$B$14:$AB$115,22,FALSE)</f>
        <v>689</v>
      </c>
      <c r="T68" s="69">
        <f>VLOOKUP(B68,'114+320'!$B$15:$AB$115,6,FALSE)</f>
        <v>637</v>
      </c>
      <c r="U68" s="68">
        <f t="shared" si="3"/>
        <v>1769</v>
      </c>
      <c r="V68" s="77">
        <f>VLOOKUP(B68,'114+320'!$B$15:$AB$115,15,FALSE)</f>
        <v>-231</v>
      </c>
      <c r="W68" s="66">
        <f>'114+320'!S69</f>
        <v>1</v>
      </c>
      <c r="X68" s="65">
        <f t="shared" si="8"/>
        <v>111</v>
      </c>
      <c r="Y68" s="64">
        <f t="shared" si="9"/>
        <v>-1</v>
      </c>
      <c r="Z68" s="63">
        <f t="shared" si="10"/>
        <v>0</v>
      </c>
      <c r="AA68" s="62">
        <f t="shared" si="11"/>
        <v>0.89900000000000002</v>
      </c>
      <c r="AB68" s="62">
        <f t="shared" si="12"/>
        <v>0.73399999999999999</v>
      </c>
      <c r="AC68" s="92"/>
      <c r="AD68" s="92"/>
      <c r="AE68" s="91"/>
    </row>
    <row r="69" spans="1:32" s="84" customFormat="1" ht="15" customHeight="1">
      <c r="A69" s="86"/>
      <c r="B69" s="106">
        <f>'114+320'!B70</f>
        <v>45099</v>
      </c>
      <c r="C69" s="75">
        <f t="shared" si="4"/>
        <v>1</v>
      </c>
      <c r="D69" s="74">
        <f t="shared" si="5"/>
        <v>842</v>
      </c>
      <c r="E69" s="73">
        <f>VLOOKUP(B69,'114+320'!B70:AB171,3,FALSE)</f>
        <v>1562</v>
      </c>
      <c r="F69" s="69">
        <f t="shared" si="0"/>
        <v>2404</v>
      </c>
      <c r="G69" s="72">
        <f>VLOOKUP(B69,'114+320'!$B$15:$AB$115,20,FALSE)</f>
        <v>694</v>
      </c>
      <c r="H69" s="72">
        <f>VLOOKUP(B69,'114+320'!$B$15:$AB$115,4,FALSE)</f>
        <v>690</v>
      </c>
      <c r="I69" s="68">
        <f t="shared" si="1"/>
        <v>1714</v>
      </c>
      <c r="J69" s="68">
        <f>VLOOKUP(B69,'114+320'!$B$15:$AB$115,13,FALSE)</f>
        <v>-286</v>
      </c>
      <c r="K69" s="66">
        <f>'114+320'!Q70</f>
        <v>0</v>
      </c>
      <c r="L69" s="65">
        <f t="shared" si="6"/>
        <v>106</v>
      </c>
      <c r="M69" s="70">
        <f>VLOOKUP(B69,'114+320'!$B$14:$AB$115,21,FALSE)</f>
        <v>677</v>
      </c>
      <c r="N69" s="69">
        <f>VLOOKUP(B69,'114+320'!$B$15:$AB$115,5,FALSE)</f>
        <v>707</v>
      </c>
      <c r="O69" s="68">
        <f t="shared" si="2"/>
        <v>1697</v>
      </c>
      <c r="P69" s="68">
        <f>VLOOKUP(B69,'114+320'!$B$15:$AB$115,14,FALSE)</f>
        <v>-303</v>
      </c>
      <c r="Q69" s="66">
        <f>'114+320'!R70</f>
        <v>0</v>
      </c>
      <c r="R69" s="65">
        <f t="shared" si="7"/>
        <v>123</v>
      </c>
      <c r="S69" s="70">
        <f>VLOOKUP(B69,'114+320'!$B$14:$AB$115,22,FALSE)</f>
        <v>689</v>
      </c>
      <c r="T69" s="69">
        <f>VLOOKUP(B69,'114+320'!$B$15:$AB$115,6,FALSE)</f>
        <v>635</v>
      </c>
      <c r="U69" s="68">
        <f t="shared" si="3"/>
        <v>1769</v>
      </c>
      <c r="V69" s="77">
        <f>VLOOKUP(B69,'114+320'!$B$15:$AB$115,15,FALSE)</f>
        <v>-231</v>
      </c>
      <c r="W69" s="66">
        <f>'114+320'!S70</f>
        <v>0</v>
      </c>
      <c r="X69" s="65">
        <f t="shared" si="8"/>
        <v>111</v>
      </c>
      <c r="Y69" s="64">
        <f t="shared" si="9"/>
        <v>0</v>
      </c>
      <c r="Z69" s="63">
        <f t="shared" si="10"/>
        <v>0</v>
      </c>
      <c r="AA69" s="62">
        <f t="shared" si="11"/>
        <v>0.89900000000000002</v>
      </c>
      <c r="AB69" s="62">
        <f t="shared" si="12"/>
        <v>0.73399999999999999</v>
      </c>
      <c r="AC69" s="51"/>
      <c r="AD69" s="51"/>
      <c r="AE69" s="85"/>
    </row>
    <row r="70" spans="1:32" s="84" customFormat="1" ht="15" customHeight="1">
      <c r="A70" s="86"/>
      <c r="B70" s="106">
        <f>'114+320'!B71</f>
        <v>45100</v>
      </c>
      <c r="C70" s="75">
        <f t="shared" si="4"/>
        <v>1</v>
      </c>
      <c r="D70" s="74">
        <f t="shared" si="5"/>
        <v>842</v>
      </c>
      <c r="E70" s="73">
        <f>VLOOKUP(B70,'114+320'!B71:AB172,3,FALSE)</f>
        <v>1560</v>
      </c>
      <c r="F70" s="69">
        <f t="shared" si="0"/>
        <v>2402</v>
      </c>
      <c r="G70" s="72">
        <f>VLOOKUP(B70,'114+320'!$B$15:$AB$115,20,FALSE)</f>
        <v>694</v>
      </c>
      <c r="H70" s="72">
        <f>VLOOKUP(B70,'114+320'!$B$15:$AB$115,4,FALSE)</f>
        <v>688</v>
      </c>
      <c r="I70" s="68">
        <f t="shared" si="1"/>
        <v>1714</v>
      </c>
      <c r="J70" s="68">
        <f>VLOOKUP(B70,'114+320'!$B$15:$AB$115,13,FALSE)</f>
        <v>-286</v>
      </c>
      <c r="K70" s="66">
        <f>'114+320'!Q71</f>
        <v>0</v>
      </c>
      <c r="L70" s="65">
        <f t="shared" si="6"/>
        <v>106</v>
      </c>
      <c r="M70" s="70">
        <f>VLOOKUP(B70,'114+320'!$B$14:$AB$115,21,FALSE)</f>
        <v>677</v>
      </c>
      <c r="N70" s="69">
        <f>VLOOKUP(B70,'114+320'!$B$15:$AB$115,5,FALSE)</f>
        <v>705</v>
      </c>
      <c r="O70" s="68">
        <f t="shared" si="2"/>
        <v>1697</v>
      </c>
      <c r="P70" s="68">
        <f>VLOOKUP(B70,'114+320'!$B$15:$AB$115,14,FALSE)</f>
        <v>-303</v>
      </c>
      <c r="Q70" s="66">
        <f>'114+320'!R71</f>
        <v>0</v>
      </c>
      <c r="R70" s="65">
        <f t="shared" si="7"/>
        <v>123</v>
      </c>
      <c r="S70" s="70">
        <f>VLOOKUP(B70,'114+320'!$B$14:$AB$115,22,FALSE)</f>
        <v>689</v>
      </c>
      <c r="T70" s="69">
        <f>VLOOKUP(B70,'114+320'!$B$15:$AB$115,6,FALSE)</f>
        <v>633</v>
      </c>
      <c r="U70" s="68">
        <f t="shared" si="3"/>
        <v>1769</v>
      </c>
      <c r="V70" s="77">
        <f>VLOOKUP(B70,'114+320'!$B$15:$AB$115,15,FALSE)</f>
        <v>-231</v>
      </c>
      <c r="W70" s="66">
        <f>'114+320'!S71</f>
        <v>0</v>
      </c>
      <c r="X70" s="65">
        <f t="shared" si="8"/>
        <v>111</v>
      </c>
      <c r="Y70" s="64">
        <f t="shared" si="9"/>
        <v>0</v>
      </c>
      <c r="Z70" s="63">
        <f t="shared" si="10"/>
        <v>0</v>
      </c>
      <c r="AA70" s="62">
        <f t="shared" si="11"/>
        <v>0.89900000000000002</v>
      </c>
      <c r="AB70" s="62">
        <f t="shared" si="12"/>
        <v>0.73399999999999999</v>
      </c>
      <c r="AC70" s="51"/>
      <c r="AD70" s="51"/>
      <c r="AE70" s="85"/>
    </row>
    <row r="71" spans="1:32" s="84" customFormat="1" ht="15" customHeight="1">
      <c r="A71" s="86"/>
      <c r="B71" s="106">
        <f>'114+320'!B72</f>
        <v>45101</v>
      </c>
      <c r="C71" s="75">
        <f t="shared" si="4"/>
        <v>1</v>
      </c>
      <c r="D71" s="74">
        <f t="shared" si="5"/>
        <v>842</v>
      </c>
      <c r="E71" s="73">
        <f>VLOOKUP(B71,'114+320'!B72:AB173,3,FALSE)</f>
        <v>1558</v>
      </c>
      <c r="F71" s="69">
        <f t="shared" si="0"/>
        <v>2400</v>
      </c>
      <c r="G71" s="72">
        <f>VLOOKUP(B71,'114+320'!$B$15:$AB$115,20,FALSE)</f>
        <v>694</v>
      </c>
      <c r="H71" s="72">
        <f>VLOOKUP(B71,'114+320'!$B$15:$AB$115,4,FALSE)</f>
        <v>686</v>
      </c>
      <c r="I71" s="68">
        <f t="shared" si="1"/>
        <v>1714</v>
      </c>
      <c r="J71" s="68">
        <f>VLOOKUP(B71,'114+320'!$B$15:$AB$115,13,FALSE)</f>
        <v>-286</v>
      </c>
      <c r="K71" s="66">
        <f>'114+320'!Q72</f>
        <v>0</v>
      </c>
      <c r="L71" s="65">
        <f t="shared" si="6"/>
        <v>106</v>
      </c>
      <c r="M71" s="70">
        <f>VLOOKUP(B71,'114+320'!$B$14:$AB$115,21,FALSE)</f>
        <v>677</v>
      </c>
      <c r="N71" s="69">
        <f>VLOOKUP(B71,'114+320'!$B$15:$AB$115,5,FALSE)</f>
        <v>703</v>
      </c>
      <c r="O71" s="68">
        <f t="shared" si="2"/>
        <v>1697</v>
      </c>
      <c r="P71" s="68">
        <f>VLOOKUP(B71,'114+320'!$B$15:$AB$115,14,FALSE)</f>
        <v>-303</v>
      </c>
      <c r="Q71" s="66">
        <f>'114+320'!R72</f>
        <v>0</v>
      </c>
      <c r="R71" s="65">
        <f t="shared" si="7"/>
        <v>123</v>
      </c>
      <c r="S71" s="70">
        <f>VLOOKUP(B71,'114+320'!$B$14:$AB$115,22,FALSE)</f>
        <v>689</v>
      </c>
      <c r="T71" s="69">
        <f>VLOOKUP(B71,'114+320'!$B$15:$AB$115,6,FALSE)</f>
        <v>631</v>
      </c>
      <c r="U71" s="68">
        <f t="shared" si="3"/>
        <v>1769</v>
      </c>
      <c r="V71" s="77">
        <f>VLOOKUP(B71,'114+320'!$B$15:$AB$115,15,FALSE)</f>
        <v>-231</v>
      </c>
      <c r="W71" s="66">
        <f>'114+320'!S72</f>
        <v>0</v>
      </c>
      <c r="X71" s="65">
        <f t="shared" si="8"/>
        <v>111</v>
      </c>
      <c r="Y71" s="64">
        <f t="shared" si="9"/>
        <v>0</v>
      </c>
      <c r="Z71" s="63">
        <f t="shared" si="10"/>
        <v>0</v>
      </c>
      <c r="AA71" s="62">
        <f t="shared" si="11"/>
        <v>0.89900000000000002</v>
      </c>
      <c r="AB71" s="62">
        <f t="shared" si="12"/>
        <v>0.73399999999999999</v>
      </c>
      <c r="AC71" s="51"/>
      <c r="AD71" s="51"/>
      <c r="AE71" s="85"/>
    </row>
    <row r="72" spans="1:32" s="84" customFormat="1" ht="15" customHeight="1">
      <c r="A72" s="86"/>
      <c r="B72" s="106">
        <f>'114+320'!B73</f>
        <v>45102</v>
      </c>
      <c r="C72" s="75">
        <f t="shared" si="4"/>
        <v>1</v>
      </c>
      <c r="D72" s="74">
        <f t="shared" si="5"/>
        <v>842</v>
      </c>
      <c r="E72" s="73">
        <f>VLOOKUP(B72,'114+320'!B73:AB174,3,FALSE)</f>
        <v>1556</v>
      </c>
      <c r="F72" s="69">
        <f t="shared" si="0"/>
        <v>2398</v>
      </c>
      <c r="G72" s="72">
        <f>VLOOKUP(B72,'114+320'!$B$15:$AB$115,20,FALSE)</f>
        <v>694</v>
      </c>
      <c r="H72" s="72">
        <f>VLOOKUP(B72,'114+320'!$B$15:$AB$115,4,FALSE)</f>
        <v>684</v>
      </c>
      <c r="I72" s="68">
        <f t="shared" si="1"/>
        <v>1714</v>
      </c>
      <c r="J72" s="68">
        <f>VLOOKUP(B72,'114+320'!$B$15:$AB$115,13,FALSE)</f>
        <v>-286</v>
      </c>
      <c r="K72" s="66">
        <f>'114+320'!Q73</f>
        <v>0</v>
      </c>
      <c r="L72" s="65">
        <f t="shared" si="6"/>
        <v>106</v>
      </c>
      <c r="M72" s="70">
        <f>VLOOKUP(B72,'114+320'!$B$14:$AB$115,21,FALSE)</f>
        <v>677</v>
      </c>
      <c r="N72" s="69">
        <f>VLOOKUP(B72,'114+320'!$B$15:$AB$115,5,FALSE)</f>
        <v>701</v>
      </c>
      <c r="O72" s="68">
        <f t="shared" si="2"/>
        <v>1697</v>
      </c>
      <c r="P72" s="68">
        <f>VLOOKUP(B72,'114+320'!$B$15:$AB$115,14,FALSE)</f>
        <v>-303</v>
      </c>
      <c r="Q72" s="66">
        <f>'114+320'!R73</f>
        <v>0</v>
      </c>
      <c r="R72" s="65">
        <f t="shared" si="7"/>
        <v>123</v>
      </c>
      <c r="S72" s="70">
        <f>VLOOKUP(B72,'114+320'!$B$14:$AB$115,22,FALSE)</f>
        <v>689</v>
      </c>
      <c r="T72" s="69">
        <f>VLOOKUP(B72,'114+320'!$B$15:$AB$115,6,FALSE)</f>
        <v>629</v>
      </c>
      <c r="U72" s="68">
        <f t="shared" si="3"/>
        <v>1769</v>
      </c>
      <c r="V72" s="77">
        <f>VLOOKUP(B72,'114+320'!$B$15:$AB$115,15,FALSE)</f>
        <v>-231</v>
      </c>
      <c r="W72" s="66">
        <f>'114+320'!S73</f>
        <v>0</v>
      </c>
      <c r="X72" s="65">
        <f t="shared" si="8"/>
        <v>111</v>
      </c>
      <c r="Y72" s="64">
        <f t="shared" si="9"/>
        <v>0</v>
      </c>
      <c r="Z72" s="63">
        <f t="shared" si="10"/>
        <v>0</v>
      </c>
      <c r="AA72" s="62">
        <f t="shared" si="11"/>
        <v>0.89900000000000002</v>
      </c>
      <c r="AB72" s="62">
        <f t="shared" si="12"/>
        <v>0.73399999999999999</v>
      </c>
      <c r="AC72" s="51"/>
      <c r="AD72" s="51"/>
      <c r="AE72" s="85"/>
    </row>
    <row r="73" spans="1:32" s="84" customFormat="1" ht="15" customHeight="1">
      <c r="A73" s="86"/>
      <c r="B73" s="106">
        <f>'114+320'!B74</f>
        <v>45103</v>
      </c>
      <c r="C73" s="75">
        <f t="shared" si="4"/>
        <v>1</v>
      </c>
      <c r="D73" s="74">
        <f t="shared" si="5"/>
        <v>842</v>
      </c>
      <c r="E73" s="73">
        <f>VLOOKUP(B73,'114+320'!B74:AB175,3,FALSE)</f>
        <v>1554</v>
      </c>
      <c r="F73" s="69">
        <f t="shared" si="0"/>
        <v>2396</v>
      </c>
      <c r="G73" s="72">
        <f>VLOOKUP(B73,'114+320'!$B$15:$AB$115,20,FALSE)</f>
        <v>694</v>
      </c>
      <c r="H73" s="72">
        <f>VLOOKUP(B73,'114+320'!$B$15:$AB$115,4,FALSE)</f>
        <v>682</v>
      </c>
      <c r="I73" s="68">
        <f t="shared" si="1"/>
        <v>1714</v>
      </c>
      <c r="J73" s="68">
        <f>VLOOKUP(B73,'114+320'!$B$15:$AB$115,13,FALSE)</f>
        <v>-286</v>
      </c>
      <c r="K73" s="66">
        <f>'114+320'!Q74</f>
        <v>0</v>
      </c>
      <c r="L73" s="65">
        <f t="shared" si="6"/>
        <v>106</v>
      </c>
      <c r="M73" s="70">
        <f>VLOOKUP(B73,'114+320'!$B$14:$AB$115,21,FALSE)</f>
        <v>677</v>
      </c>
      <c r="N73" s="69">
        <f>VLOOKUP(B73,'114+320'!$B$15:$AB$115,5,FALSE)</f>
        <v>699</v>
      </c>
      <c r="O73" s="68">
        <f t="shared" si="2"/>
        <v>1697</v>
      </c>
      <c r="P73" s="68">
        <f>VLOOKUP(B73,'114+320'!$B$15:$AB$115,14,FALSE)</f>
        <v>-303</v>
      </c>
      <c r="Q73" s="66">
        <f>'114+320'!R74</f>
        <v>0</v>
      </c>
      <c r="R73" s="65">
        <f t="shared" si="7"/>
        <v>123</v>
      </c>
      <c r="S73" s="70">
        <f>VLOOKUP(B73,'114+320'!$B$14:$AB$115,22,FALSE)</f>
        <v>689</v>
      </c>
      <c r="T73" s="69">
        <f>VLOOKUP(B73,'114+320'!$B$15:$AB$115,6,FALSE)</f>
        <v>627</v>
      </c>
      <c r="U73" s="68">
        <f t="shared" si="3"/>
        <v>1769</v>
      </c>
      <c r="V73" s="77">
        <f>VLOOKUP(B73,'114+320'!$B$15:$AB$115,15,FALSE)</f>
        <v>-231</v>
      </c>
      <c r="W73" s="66">
        <f>'114+320'!S74</f>
        <v>0</v>
      </c>
      <c r="X73" s="65">
        <f t="shared" si="8"/>
        <v>111</v>
      </c>
      <c r="Y73" s="64">
        <f t="shared" si="9"/>
        <v>0</v>
      </c>
      <c r="Z73" s="63">
        <f t="shared" si="10"/>
        <v>0</v>
      </c>
      <c r="AA73" s="62">
        <f t="shared" si="11"/>
        <v>0.89900000000000002</v>
      </c>
      <c r="AB73" s="62">
        <f t="shared" si="12"/>
        <v>0.73399999999999999</v>
      </c>
      <c r="AC73" s="51"/>
      <c r="AD73" s="51"/>
      <c r="AE73" s="85"/>
    </row>
    <row r="74" spans="1:32" s="87" customFormat="1" ht="15" customHeight="1">
      <c r="A74" s="86"/>
      <c r="B74" s="106">
        <f>'114+320'!B75</f>
        <v>45104</v>
      </c>
      <c r="C74" s="75">
        <f t="shared" si="4"/>
        <v>1</v>
      </c>
      <c r="D74" s="74">
        <f t="shared" si="5"/>
        <v>842</v>
      </c>
      <c r="E74" s="73">
        <f>VLOOKUP(B74,'114+320'!B75:AB176,3,FALSE)</f>
        <v>1552</v>
      </c>
      <c r="F74" s="69">
        <f t="shared" si="0"/>
        <v>2394</v>
      </c>
      <c r="G74" s="72">
        <f>VLOOKUP(B74,'114+320'!$B$15:$AB$115,20,FALSE)</f>
        <v>694</v>
      </c>
      <c r="H74" s="72">
        <f>VLOOKUP(B74,'114+320'!$B$15:$AB$115,4,FALSE)</f>
        <v>680</v>
      </c>
      <c r="I74" s="68">
        <f t="shared" si="1"/>
        <v>1714</v>
      </c>
      <c r="J74" s="68">
        <f>VLOOKUP(B74,'114+320'!$B$15:$AB$115,13,FALSE)</f>
        <v>-286</v>
      </c>
      <c r="K74" s="66">
        <f>'114+320'!Q75</f>
        <v>0</v>
      </c>
      <c r="L74" s="65">
        <f t="shared" si="6"/>
        <v>106</v>
      </c>
      <c r="M74" s="70">
        <f>VLOOKUP(B74,'114+320'!$B$14:$AB$115,21,FALSE)</f>
        <v>677</v>
      </c>
      <c r="N74" s="69">
        <f>VLOOKUP(B74,'114+320'!$B$15:$AB$115,5,FALSE)</f>
        <v>697</v>
      </c>
      <c r="O74" s="68">
        <f t="shared" si="2"/>
        <v>1697</v>
      </c>
      <c r="P74" s="68">
        <f>VLOOKUP(B74,'114+320'!$B$15:$AB$115,14,FALSE)</f>
        <v>-303</v>
      </c>
      <c r="Q74" s="66">
        <f>'114+320'!R75</f>
        <v>0</v>
      </c>
      <c r="R74" s="65">
        <f t="shared" si="7"/>
        <v>123</v>
      </c>
      <c r="S74" s="70">
        <f>VLOOKUP(B74,'114+320'!$B$14:$AB$115,22,FALSE)</f>
        <v>689</v>
      </c>
      <c r="T74" s="69">
        <f>VLOOKUP(B74,'114+320'!$B$15:$AB$115,6,FALSE)</f>
        <v>625</v>
      </c>
      <c r="U74" s="68">
        <f t="shared" si="3"/>
        <v>1769</v>
      </c>
      <c r="V74" s="77">
        <f>VLOOKUP(B74,'114+320'!$B$15:$AB$115,15,FALSE)</f>
        <v>-231</v>
      </c>
      <c r="W74" s="66">
        <f>'114+320'!S75</f>
        <v>0</v>
      </c>
      <c r="X74" s="65">
        <f t="shared" si="8"/>
        <v>111</v>
      </c>
      <c r="Y74" s="64">
        <f t="shared" si="9"/>
        <v>0</v>
      </c>
      <c r="Z74" s="63">
        <f t="shared" si="10"/>
        <v>0</v>
      </c>
      <c r="AA74" s="62">
        <f t="shared" si="11"/>
        <v>0.89900000000000002</v>
      </c>
      <c r="AB74" s="62">
        <f t="shared" si="12"/>
        <v>0.73399999999999999</v>
      </c>
      <c r="AC74" s="89"/>
      <c r="AD74" s="89"/>
      <c r="AE74" s="88"/>
    </row>
    <row r="75" spans="1:32" s="84" customFormat="1" ht="15" customHeight="1">
      <c r="A75" s="86"/>
      <c r="B75" s="106">
        <f>'114+320'!B76</f>
        <v>45105</v>
      </c>
      <c r="C75" s="75">
        <f t="shared" si="4"/>
        <v>1</v>
      </c>
      <c r="D75" s="74">
        <f t="shared" si="5"/>
        <v>842</v>
      </c>
      <c r="E75" s="73">
        <f>VLOOKUP(B75,'114+320'!B76:AB177,3,FALSE)</f>
        <v>1550</v>
      </c>
      <c r="F75" s="69">
        <f t="shared" si="0"/>
        <v>2392</v>
      </c>
      <c r="G75" s="72">
        <f>VLOOKUP(B75,'114+320'!$B$15:$AB$115,20,FALSE)</f>
        <v>694</v>
      </c>
      <c r="H75" s="72">
        <f>VLOOKUP(B75,'114+320'!$B$15:$AB$115,4,FALSE)</f>
        <v>678</v>
      </c>
      <c r="I75" s="68">
        <f t="shared" si="1"/>
        <v>1714</v>
      </c>
      <c r="J75" s="68">
        <f>VLOOKUP(B75,'114+320'!$B$15:$AB$115,13,FALSE)</f>
        <v>-286</v>
      </c>
      <c r="K75" s="66">
        <f>'114+320'!Q76</f>
        <v>0</v>
      </c>
      <c r="L75" s="65">
        <f t="shared" si="6"/>
        <v>106</v>
      </c>
      <c r="M75" s="70">
        <f>VLOOKUP(B75,'114+320'!$B$14:$AB$115,21,FALSE)</f>
        <v>677</v>
      </c>
      <c r="N75" s="69">
        <f>VLOOKUP(B75,'114+320'!$B$15:$AB$115,5,FALSE)</f>
        <v>695</v>
      </c>
      <c r="O75" s="68">
        <f t="shared" si="2"/>
        <v>1697</v>
      </c>
      <c r="P75" s="68">
        <f>VLOOKUP(B75,'114+320'!$B$15:$AB$115,14,FALSE)</f>
        <v>-303</v>
      </c>
      <c r="Q75" s="66">
        <f>'114+320'!R76</f>
        <v>0</v>
      </c>
      <c r="R75" s="65">
        <f t="shared" si="7"/>
        <v>123</v>
      </c>
      <c r="S75" s="70">
        <f>VLOOKUP(B75,'114+320'!$B$14:$AB$115,22,FALSE)</f>
        <v>689</v>
      </c>
      <c r="T75" s="69">
        <f>VLOOKUP(B75,'114+320'!$B$15:$AB$115,6,FALSE)</f>
        <v>623</v>
      </c>
      <c r="U75" s="68">
        <f t="shared" si="3"/>
        <v>1769</v>
      </c>
      <c r="V75" s="77">
        <f>VLOOKUP(B75,'114+320'!$B$15:$AB$115,15,FALSE)</f>
        <v>-231</v>
      </c>
      <c r="W75" s="66">
        <f>'114+320'!S76</f>
        <v>0</v>
      </c>
      <c r="X75" s="65">
        <f t="shared" si="8"/>
        <v>111</v>
      </c>
      <c r="Y75" s="64">
        <f t="shared" si="9"/>
        <v>0</v>
      </c>
      <c r="Z75" s="63">
        <f t="shared" si="10"/>
        <v>0</v>
      </c>
      <c r="AA75" s="62">
        <f t="shared" si="11"/>
        <v>0.89900000000000002</v>
      </c>
      <c r="AB75" s="62">
        <f t="shared" si="12"/>
        <v>0.73399999999999999</v>
      </c>
      <c r="AC75" s="51"/>
      <c r="AD75" s="51"/>
      <c r="AE75" s="85"/>
    </row>
    <row r="76" spans="1:32" s="78" customFormat="1" ht="15" customHeight="1">
      <c r="A76" s="83"/>
      <c r="B76" s="106">
        <f>'114+320'!B77</f>
        <v>45106</v>
      </c>
      <c r="C76" s="75">
        <f t="shared" si="4"/>
        <v>1</v>
      </c>
      <c r="D76" s="74">
        <f t="shared" si="5"/>
        <v>842</v>
      </c>
      <c r="E76" s="73">
        <f>VLOOKUP(B76,'114+320'!B77:AB178,3,FALSE)</f>
        <v>1548</v>
      </c>
      <c r="F76" s="69">
        <f t="shared" si="0"/>
        <v>2390</v>
      </c>
      <c r="G76" s="72">
        <f>VLOOKUP(B76,'114+320'!$B$15:$AB$115,20,FALSE)</f>
        <v>694</v>
      </c>
      <c r="H76" s="72">
        <f>VLOOKUP(B76,'114+320'!$B$15:$AB$115,4,FALSE)</f>
        <v>676</v>
      </c>
      <c r="I76" s="68">
        <f t="shared" si="1"/>
        <v>1714</v>
      </c>
      <c r="J76" s="68">
        <f>VLOOKUP(B76,'114+320'!$B$15:$AB$115,13,FALSE)</f>
        <v>-286</v>
      </c>
      <c r="K76" s="66">
        <f>'114+320'!Q77</f>
        <v>0</v>
      </c>
      <c r="L76" s="65">
        <f t="shared" si="6"/>
        <v>106</v>
      </c>
      <c r="M76" s="70">
        <f>VLOOKUP(B76,'114+320'!$B$14:$AB$115,21,FALSE)</f>
        <v>677</v>
      </c>
      <c r="N76" s="69">
        <f>VLOOKUP(B76,'114+320'!$B$15:$AB$115,5,FALSE)</f>
        <v>693</v>
      </c>
      <c r="O76" s="68">
        <f t="shared" si="2"/>
        <v>1697</v>
      </c>
      <c r="P76" s="68">
        <f>VLOOKUP(B76,'114+320'!$B$15:$AB$115,14,FALSE)</f>
        <v>-303</v>
      </c>
      <c r="Q76" s="66">
        <f>'114+320'!R77</f>
        <v>0</v>
      </c>
      <c r="R76" s="65">
        <f t="shared" si="7"/>
        <v>123</v>
      </c>
      <c r="S76" s="70">
        <f>VLOOKUP(B76,'114+320'!$B$14:$AB$115,22,FALSE)</f>
        <v>689</v>
      </c>
      <c r="T76" s="69">
        <f>VLOOKUP(B76,'114+320'!$B$15:$AB$115,6,FALSE)</f>
        <v>621</v>
      </c>
      <c r="U76" s="68">
        <f t="shared" si="3"/>
        <v>1769</v>
      </c>
      <c r="V76" s="77">
        <f>VLOOKUP(B76,'114+320'!$B$15:$AB$115,15,FALSE)</f>
        <v>-231</v>
      </c>
      <c r="W76" s="66">
        <f>'114+320'!S77</f>
        <v>0</v>
      </c>
      <c r="X76" s="65">
        <f t="shared" si="8"/>
        <v>111</v>
      </c>
      <c r="Y76" s="64">
        <f t="shared" si="9"/>
        <v>0</v>
      </c>
      <c r="Z76" s="63">
        <f t="shared" si="10"/>
        <v>0</v>
      </c>
      <c r="AA76" s="62">
        <f t="shared" si="11"/>
        <v>0.89900000000000002</v>
      </c>
      <c r="AB76" s="62">
        <f t="shared" si="12"/>
        <v>0.73399999999999999</v>
      </c>
      <c r="AC76" s="51"/>
      <c r="AD76" s="51"/>
      <c r="AE76" s="51"/>
      <c r="AF76" s="51"/>
    </row>
    <row r="77" spans="1:32" s="78" customFormat="1" ht="15" customHeight="1">
      <c r="A77" s="83">
        <v>42307</v>
      </c>
      <c r="B77" s="106">
        <f>'114+320'!B78</f>
        <v>45107</v>
      </c>
      <c r="C77" s="75">
        <f t="shared" si="4"/>
        <v>1</v>
      </c>
      <c r="D77" s="74">
        <f t="shared" si="5"/>
        <v>842</v>
      </c>
      <c r="E77" s="73">
        <f>VLOOKUP(B77,'114+320'!B78:AB179,3,FALSE)</f>
        <v>1546</v>
      </c>
      <c r="F77" s="69">
        <f t="shared" ref="F77:F140" si="14">D77+E77</f>
        <v>2388</v>
      </c>
      <c r="G77" s="72">
        <f>VLOOKUP(B77,'114+320'!$B$15:$AB$115,20,FALSE)</f>
        <v>694</v>
      </c>
      <c r="H77" s="72">
        <f>VLOOKUP(B77,'114+320'!$B$15:$AB$115,4,FALSE)</f>
        <v>674</v>
      </c>
      <c r="I77" s="68">
        <f t="shared" ref="I77:I140" si="15">F77-H77</f>
        <v>1714</v>
      </c>
      <c r="J77" s="68">
        <f>VLOOKUP(B77,'114+320'!$B$15:$AB$115,13,FALSE)</f>
        <v>-286</v>
      </c>
      <c r="K77" s="66">
        <f>'114+320'!Q78</f>
        <v>0</v>
      </c>
      <c r="L77" s="65">
        <f t="shared" si="6"/>
        <v>106</v>
      </c>
      <c r="M77" s="70">
        <f>VLOOKUP(B77,'114+320'!$B$14:$AB$115,21,FALSE)</f>
        <v>677</v>
      </c>
      <c r="N77" s="69">
        <f>VLOOKUP(B77,'114+320'!$B$15:$AB$115,5,FALSE)</f>
        <v>691</v>
      </c>
      <c r="O77" s="68">
        <f t="shared" ref="O77:O140" si="16">F77-N77</f>
        <v>1697</v>
      </c>
      <c r="P77" s="68">
        <f>VLOOKUP(B77,'114+320'!$B$15:$AB$115,14,FALSE)</f>
        <v>-303</v>
      </c>
      <c r="Q77" s="66">
        <f>'114+320'!R78</f>
        <v>0</v>
      </c>
      <c r="R77" s="65">
        <f t="shared" si="7"/>
        <v>123</v>
      </c>
      <c r="S77" s="70">
        <f>VLOOKUP(B77,'114+320'!$B$14:$AB$115,22,FALSE)</f>
        <v>689</v>
      </c>
      <c r="T77" s="69">
        <f>VLOOKUP(B77,'114+320'!$B$15:$AB$115,6,FALSE)</f>
        <v>619</v>
      </c>
      <c r="U77" s="68">
        <f t="shared" ref="U77:U140" si="17">F77-T77</f>
        <v>1769</v>
      </c>
      <c r="V77" s="77">
        <f>VLOOKUP(B77,'114+320'!$B$15:$AB$115,15,FALSE)</f>
        <v>-231</v>
      </c>
      <c r="W77" s="66">
        <f>'114+320'!S78</f>
        <v>0</v>
      </c>
      <c r="X77" s="65">
        <f t="shared" si="8"/>
        <v>111</v>
      </c>
      <c r="Y77" s="64">
        <f t="shared" si="9"/>
        <v>0</v>
      </c>
      <c r="Z77" s="63">
        <f t="shared" si="10"/>
        <v>0</v>
      </c>
      <c r="AA77" s="62">
        <f t="shared" si="11"/>
        <v>0.89900000000000002</v>
      </c>
      <c r="AB77" s="62">
        <f t="shared" si="12"/>
        <v>0.73399999999999999</v>
      </c>
      <c r="AC77" s="51"/>
      <c r="AD77" s="51"/>
      <c r="AE77" s="51"/>
      <c r="AF77" s="51"/>
    </row>
    <row r="78" spans="1:32" s="78" customFormat="1" ht="15" customHeight="1">
      <c r="A78" s="83" t="s">
        <v>47</v>
      </c>
      <c r="B78" s="106">
        <f>'114+320'!B79</f>
        <v>45108</v>
      </c>
      <c r="C78" s="75">
        <f t="shared" ref="C78:C141" si="18">B78-B77</f>
        <v>1</v>
      </c>
      <c r="D78" s="74">
        <f t="shared" ref="D78:D141" si="19">D77</f>
        <v>842</v>
      </c>
      <c r="E78" s="73">
        <f>VLOOKUP(B78,'114+320'!B79:AB180,3,FALSE)</f>
        <v>1544</v>
      </c>
      <c r="F78" s="69">
        <f t="shared" si="14"/>
        <v>2386</v>
      </c>
      <c r="G78" s="72">
        <f>VLOOKUP(B78,'114+320'!$B$15:$AB$115,20,FALSE)</f>
        <v>694</v>
      </c>
      <c r="H78" s="72">
        <f>VLOOKUP(B78,'114+320'!$B$15:$AB$115,4,FALSE)</f>
        <v>672</v>
      </c>
      <c r="I78" s="68">
        <f t="shared" si="15"/>
        <v>1714</v>
      </c>
      <c r="J78" s="68">
        <f>VLOOKUP(B78,'114+320'!$B$15:$AB$115,13,FALSE)</f>
        <v>-286</v>
      </c>
      <c r="K78" s="66">
        <f>'114+320'!Q79</f>
        <v>0</v>
      </c>
      <c r="L78" s="65">
        <f t="shared" ref="L78:L141" si="20">+K78+L77</f>
        <v>106</v>
      </c>
      <c r="M78" s="70">
        <f>VLOOKUP(B78,'114+320'!$B$14:$AB$115,21,FALSE)</f>
        <v>677</v>
      </c>
      <c r="N78" s="69">
        <f>VLOOKUP(B78,'114+320'!$B$15:$AB$115,5,FALSE)</f>
        <v>689</v>
      </c>
      <c r="O78" s="68">
        <f t="shared" si="16"/>
        <v>1697</v>
      </c>
      <c r="P78" s="68">
        <f>VLOOKUP(B78,'114+320'!$B$15:$AB$115,14,FALSE)</f>
        <v>-303</v>
      </c>
      <c r="Q78" s="66">
        <f>'114+320'!R79</f>
        <v>0</v>
      </c>
      <c r="R78" s="65">
        <f t="shared" ref="R78:R141" si="21">+Q78+R77</f>
        <v>123</v>
      </c>
      <c r="S78" s="70">
        <f>VLOOKUP(B78,'114+320'!$B$14:$AB$115,22,FALSE)</f>
        <v>689</v>
      </c>
      <c r="T78" s="69">
        <f>VLOOKUP(B78,'114+320'!$B$15:$AB$115,6,FALSE)</f>
        <v>617</v>
      </c>
      <c r="U78" s="68">
        <f t="shared" si="17"/>
        <v>1769</v>
      </c>
      <c r="V78" s="77">
        <f>VLOOKUP(B78,'114+320'!$B$15:$AB$115,15,FALSE)</f>
        <v>-231</v>
      </c>
      <c r="W78" s="66">
        <f>'114+320'!S79</f>
        <v>0</v>
      </c>
      <c r="X78" s="65">
        <f t="shared" ref="X78:X141" si="22">+W78+X77</f>
        <v>111</v>
      </c>
      <c r="Y78" s="64">
        <f t="shared" ref="Y78:Y141" si="23">S78-S77</f>
        <v>0</v>
      </c>
      <c r="Z78" s="63">
        <f t="shared" ref="Z78:Z141" si="24">IF(Y78&gt;0,Y78,0)/1000</f>
        <v>0</v>
      </c>
      <c r="AA78" s="62">
        <f t="shared" ref="AA78:AA141" si="25">AA77+Z78</f>
        <v>0.89900000000000002</v>
      </c>
      <c r="AB78" s="62">
        <f t="shared" ref="AB78:AB141" si="26">(M78-$M$13-R78)/1000</f>
        <v>0.73399999999999999</v>
      </c>
      <c r="AC78" s="51"/>
      <c r="AD78" s="51"/>
      <c r="AE78" s="51"/>
      <c r="AF78" s="51"/>
    </row>
    <row r="79" spans="1:32" s="78" customFormat="1" ht="15" customHeight="1">
      <c r="A79" s="83">
        <v>42313</v>
      </c>
      <c r="B79" s="106">
        <f>'114+320'!B80</f>
        <v>45109</v>
      </c>
      <c r="C79" s="75">
        <f t="shared" si="18"/>
        <v>1</v>
      </c>
      <c r="D79" s="74">
        <f t="shared" si="19"/>
        <v>842</v>
      </c>
      <c r="E79" s="73">
        <f>VLOOKUP(B79,'114+320'!B80:AB181,3,FALSE)</f>
        <v>1542</v>
      </c>
      <c r="F79" s="69">
        <f t="shared" si="14"/>
        <v>2384</v>
      </c>
      <c r="G79" s="72">
        <f>VLOOKUP(B79,'114+320'!$B$15:$AB$115,20,FALSE)</f>
        <v>694</v>
      </c>
      <c r="H79" s="72">
        <f>VLOOKUP(B79,'114+320'!$B$15:$AB$115,4,FALSE)</f>
        <v>670</v>
      </c>
      <c r="I79" s="68">
        <f t="shared" si="15"/>
        <v>1714</v>
      </c>
      <c r="J79" s="68">
        <f>VLOOKUP(B79,'114+320'!$B$15:$AB$115,13,FALSE)</f>
        <v>-286</v>
      </c>
      <c r="K79" s="66">
        <f>'114+320'!Q80</f>
        <v>0</v>
      </c>
      <c r="L79" s="65">
        <f t="shared" si="20"/>
        <v>106</v>
      </c>
      <c r="M79" s="70">
        <f>VLOOKUP(B79,'114+320'!$B$14:$AB$115,21,FALSE)</f>
        <v>677</v>
      </c>
      <c r="N79" s="69">
        <f>VLOOKUP(B79,'114+320'!$B$15:$AB$115,5,FALSE)</f>
        <v>687</v>
      </c>
      <c r="O79" s="68">
        <f t="shared" si="16"/>
        <v>1697</v>
      </c>
      <c r="P79" s="68">
        <f>VLOOKUP(B79,'114+320'!$B$15:$AB$115,14,FALSE)</f>
        <v>-303</v>
      </c>
      <c r="Q79" s="66">
        <f>'114+320'!R80</f>
        <v>0</v>
      </c>
      <c r="R79" s="65">
        <f t="shared" si="21"/>
        <v>123</v>
      </c>
      <c r="S79" s="70">
        <f>VLOOKUP(B79,'114+320'!$B$14:$AB$115,22,FALSE)</f>
        <v>689</v>
      </c>
      <c r="T79" s="69">
        <f>VLOOKUP(B79,'114+320'!$B$15:$AB$115,6,FALSE)</f>
        <v>615</v>
      </c>
      <c r="U79" s="68">
        <f t="shared" si="17"/>
        <v>1769</v>
      </c>
      <c r="V79" s="77">
        <f>VLOOKUP(B79,'114+320'!$B$15:$AB$115,15,FALSE)</f>
        <v>-231</v>
      </c>
      <c r="W79" s="66">
        <f>'114+320'!S80</f>
        <v>0</v>
      </c>
      <c r="X79" s="65">
        <f t="shared" si="22"/>
        <v>111</v>
      </c>
      <c r="Y79" s="64">
        <f t="shared" si="23"/>
        <v>0</v>
      </c>
      <c r="Z79" s="63">
        <f t="shared" si="24"/>
        <v>0</v>
      </c>
      <c r="AA79" s="62">
        <f t="shared" si="25"/>
        <v>0.89900000000000002</v>
      </c>
      <c r="AB79" s="62">
        <f t="shared" si="26"/>
        <v>0.73399999999999999</v>
      </c>
      <c r="AC79" s="51"/>
      <c r="AD79" s="51"/>
      <c r="AE79" s="51"/>
      <c r="AF79" s="51"/>
    </row>
    <row r="80" spans="1:32" s="78" customFormat="1" ht="15" customHeight="1">
      <c r="A80" s="83">
        <v>42319</v>
      </c>
      <c r="B80" s="106">
        <f>'114+320'!B81</f>
        <v>45110</v>
      </c>
      <c r="C80" s="75">
        <f t="shared" si="18"/>
        <v>1</v>
      </c>
      <c r="D80" s="74">
        <f t="shared" si="19"/>
        <v>842</v>
      </c>
      <c r="E80" s="73">
        <f>VLOOKUP(B80,'114+320'!B81:AB182,3,FALSE)</f>
        <v>1540</v>
      </c>
      <c r="F80" s="69">
        <f t="shared" si="14"/>
        <v>2382</v>
      </c>
      <c r="G80" s="72">
        <f>VLOOKUP(B80,'114+320'!$B$15:$AB$115,20,FALSE)</f>
        <v>694</v>
      </c>
      <c r="H80" s="72">
        <f>VLOOKUP(B80,'114+320'!$B$15:$AB$115,4,FALSE)</f>
        <v>668</v>
      </c>
      <c r="I80" s="68">
        <f t="shared" si="15"/>
        <v>1714</v>
      </c>
      <c r="J80" s="68">
        <f>VLOOKUP(B80,'114+320'!$B$15:$AB$115,13,FALSE)</f>
        <v>-286</v>
      </c>
      <c r="K80" s="66">
        <f>'114+320'!Q81</f>
        <v>0</v>
      </c>
      <c r="L80" s="65">
        <f t="shared" si="20"/>
        <v>106</v>
      </c>
      <c r="M80" s="70">
        <f>VLOOKUP(B80,'114+320'!$B$14:$AB$115,21,FALSE)</f>
        <v>677</v>
      </c>
      <c r="N80" s="69">
        <f>VLOOKUP(B80,'114+320'!$B$15:$AB$115,5,FALSE)</f>
        <v>685</v>
      </c>
      <c r="O80" s="68">
        <f t="shared" si="16"/>
        <v>1697</v>
      </c>
      <c r="P80" s="68">
        <f>VLOOKUP(B80,'114+320'!$B$15:$AB$115,14,FALSE)</f>
        <v>-303</v>
      </c>
      <c r="Q80" s="66">
        <f>'114+320'!R81</f>
        <v>0</v>
      </c>
      <c r="R80" s="65">
        <f t="shared" si="21"/>
        <v>123</v>
      </c>
      <c r="S80" s="70">
        <f>VLOOKUP(B80,'114+320'!$B$14:$AB$115,22,FALSE)</f>
        <v>689</v>
      </c>
      <c r="T80" s="69">
        <f>VLOOKUP(B80,'114+320'!$B$15:$AB$115,6,FALSE)</f>
        <v>613</v>
      </c>
      <c r="U80" s="68">
        <f t="shared" si="17"/>
        <v>1769</v>
      </c>
      <c r="V80" s="77">
        <f>VLOOKUP(B80,'114+320'!$B$15:$AB$115,15,FALSE)</f>
        <v>-231</v>
      </c>
      <c r="W80" s="66">
        <f>'114+320'!S81</f>
        <v>0</v>
      </c>
      <c r="X80" s="65">
        <f t="shared" si="22"/>
        <v>111</v>
      </c>
      <c r="Y80" s="64">
        <f t="shared" si="23"/>
        <v>0</v>
      </c>
      <c r="Z80" s="63">
        <f t="shared" si="24"/>
        <v>0</v>
      </c>
      <c r="AA80" s="62">
        <f t="shared" si="25"/>
        <v>0.89900000000000002</v>
      </c>
      <c r="AB80" s="62">
        <f t="shared" si="26"/>
        <v>0.73399999999999999</v>
      </c>
      <c r="AC80" s="51"/>
      <c r="AD80" s="51"/>
      <c r="AE80" s="51"/>
      <c r="AF80" s="51"/>
    </row>
    <row r="81" spans="1:32" s="78" customFormat="1" ht="15" customHeight="1">
      <c r="A81" s="83">
        <v>42322</v>
      </c>
      <c r="B81" s="106">
        <f>'114+320'!B82</f>
        <v>45111</v>
      </c>
      <c r="C81" s="75">
        <f t="shared" si="18"/>
        <v>1</v>
      </c>
      <c r="D81" s="74">
        <f t="shared" si="19"/>
        <v>842</v>
      </c>
      <c r="E81" s="73">
        <f>VLOOKUP(B81,'114+320'!B82:AB183,3,FALSE)</f>
        <v>1538</v>
      </c>
      <c r="F81" s="69">
        <f t="shared" si="14"/>
        <v>2380</v>
      </c>
      <c r="G81" s="72">
        <f>VLOOKUP(B81,'114+320'!$B$15:$AB$115,20,FALSE)</f>
        <v>694</v>
      </c>
      <c r="H81" s="72">
        <f>VLOOKUP(B81,'114+320'!$B$15:$AB$115,4,FALSE)</f>
        <v>666</v>
      </c>
      <c r="I81" s="68">
        <f t="shared" si="15"/>
        <v>1714</v>
      </c>
      <c r="J81" s="68">
        <f>VLOOKUP(B81,'114+320'!$B$15:$AB$115,13,FALSE)</f>
        <v>-286</v>
      </c>
      <c r="K81" s="66">
        <f>'114+320'!Q82</f>
        <v>0</v>
      </c>
      <c r="L81" s="65">
        <f t="shared" si="20"/>
        <v>106</v>
      </c>
      <c r="M81" s="70">
        <f>VLOOKUP(B81,'114+320'!$B$14:$AB$115,21,FALSE)</f>
        <v>677</v>
      </c>
      <c r="N81" s="69">
        <f>VLOOKUP(B81,'114+320'!$B$15:$AB$115,5,FALSE)</f>
        <v>683</v>
      </c>
      <c r="O81" s="68">
        <f t="shared" si="16"/>
        <v>1697</v>
      </c>
      <c r="P81" s="68">
        <f>VLOOKUP(B81,'114+320'!$B$15:$AB$115,14,FALSE)</f>
        <v>-303</v>
      </c>
      <c r="Q81" s="66">
        <f>'114+320'!R82</f>
        <v>0</v>
      </c>
      <c r="R81" s="65">
        <f t="shared" si="21"/>
        <v>123</v>
      </c>
      <c r="S81" s="70">
        <f>VLOOKUP(B81,'114+320'!$B$14:$AB$115,22,FALSE)</f>
        <v>689</v>
      </c>
      <c r="T81" s="69">
        <f>VLOOKUP(B81,'114+320'!$B$15:$AB$115,6,FALSE)</f>
        <v>611</v>
      </c>
      <c r="U81" s="68">
        <f t="shared" si="17"/>
        <v>1769</v>
      </c>
      <c r="V81" s="77">
        <f>VLOOKUP(B81,'114+320'!$B$15:$AB$115,15,FALSE)</f>
        <v>-231</v>
      </c>
      <c r="W81" s="66">
        <f>'114+320'!S82</f>
        <v>0</v>
      </c>
      <c r="X81" s="65">
        <f t="shared" si="22"/>
        <v>111</v>
      </c>
      <c r="Y81" s="64">
        <f t="shared" si="23"/>
        <v>0</v>
      </c>
      <c r="Z81" s="63">
        <f t="shared" si="24"/>
        <v>0</v>
      </c>
      <c r="AA81" s="62">
        <f t="shared" si="25"/>
        <v>0.89900000000000002</v>
      </c>
      <c r="AB81" s="62">
        <f t="shared" si="26"/>
        <v>0.73399999999999999</v>
      </c>
      <c r="AC81" s="51"/>
      <c r="AD81" s="51"/>
      <c r="AE81" s="51"/>
      <c r="AF81" s="51"/>
    </row>
    <row r="82" spans="1:32" s="78" customFormat="1" ht="15" customHeight="1">
      <c r="A82" s="83" t="s">
        <v>46</v>
      </c>
      <c r="B82" s="106">
        <f>'114+320'!B83</f>
        <v>45112</v>
      </c>
      <c r="C82" s="75">
        <f t="shared" si="18"/>
        <v>1</v>
      </c>
      <c r="D82" s="74">
        <f t="shared" si="19"/>
        <v>842</v>
      </c>
      <c r="E82" s="73">
        <f>VLOOKUP(B82,'114+320'!B83:AB184,3,FALSE)</f>
        <v>1536</v>
      </c>
      <c r="F82" s="69">
        <f t="shared" si="14"/>
        <v>2378</v>
      </c>
      <c r="G82" s="72">
        <f>VLOOKUP(B82,'114+320'!$B$15:$AB$115,20,FALSE)</f>
        <v>694</v>
      </c>
      <c r="H82" s="72">
        <f>VLOOKUP(B82,'114+320'!$B$15:$AB$115,4,FALSE)</f>
        <v>664</v>
      </c>
      <c r="I82" s="68">
        <f t="shared" si="15"/>
        <v>1714</v>
      </c>
      <c r="J82" s="68">
        <f>VLOOKUP(B82,'114+320'!$B$15:$AB$115,13,FALSE)</f>
        <v>-286</v>
      </c>
      <c r="K82" s="66">
        <f>'114+320'!Q83</f>
        <v>0</v>
      </c>
      <c r="L82" s="65">
        <f t="shared" si="20"/>
        <v>106</v>
      </c>
      <c r="M82" s="70">
        <f>VLOOKUP(B82,'114+320'!$B$14:$AB$115,21,FALSE)</f>
        <v>677</v>
      </c>
      <c r="N82" s="69">
        <f>VLOOKUP(B82,'114+320'!$B$15:$AB$115,5,FALSE)</f>
        <v>681</v>
      </c>
      <c r="O82" s="68">
        <f t="shared" si="16"/>
        <v>1697</v>
      </c>
      <c r="P82" s="68">
        <f>VLOOKUP(B82,'114+320'!$B$15:$AB$115,14,FALSE)</f>
        <v>-303</v>
      </c>
      <c r="Q82" s="66">
        <f>'114+320'!R83</f>
        <v>0</v>
      </c>
      <c r="R82" s="65">
        <f t="shared" si="21"/>
        <v>123</v>
      </c>
      <c r="S82" s="70">
        <f>VLOOKUP(B82,'114+320'!$B$14:$AB$115,22,FALSE)</f>
        <v>689</v>
      </c>
      <c r="T82" s="69">
        <f>VLOOKUP(B82,'114+320'!$B$15:$AB$115,6,FALSE)</f>
        <v>609</v>
      </c>
      <c r="U82" s="68">
        <f t="shared" si="17"/>
        <v>1769</v>
      </c>
      <c r="V82" s="77">
        <f>VLOOKUP(B82,'114+320'!$B$15:$AB$115,15,FALSE)</f>
        <v>-231</v>
      </c>
      <c r="W82" s="66">
        <f>'114+320'!S83</f>
        <v>0</v>
      </c>
      <c r="X82" s="65">
        <f t="shared" si="22"/>
        <v>111</v>
      </c>
      <c r="Y82" s="64">
        <f t="shared" si="23"/>
        <v>0</v>
      </c>
      <c r="Z82" s="63">
        <f t="shared" si="24"/>
        <v>0</v>
      </c>
      <c r="AA82" s="62">
        <f t="shared" si="25"/>
        <v>0.89900000000000002</v>
      </c>
      <c r="AB82" s="62">
        <f t="shared" si="26"/>
        <v>0.73399999999999999</v>
      </c>
      <c r="AC82" s="51"/>
      <c r="AD82" s="51"/>
      <c r="AE82" s="51"/>
      <c r="AF82" s="51"/>
    </row>
    <row r="83" spans="1:32" s="78" customFormat="1" ht="15" customHeight="1">
      <c r="A83" s="83">
        <v>42328</v>
      </c>
      <c r="B83" s="106">
        <f>'114+320'!B84</f>
        <v>45113</v>
      </c>
      <c r="C83" s="75">
        <f t="shared" si="18"/>
        <v>1</v>
      </c>
      <c r="D83" s="74">
        <f t="shared" si="19"/>
        <v>842</v>
      </c>
      <c r="E83" s="73">
        <f>VLOOKUP(B83,'114+320'!B84:AB185,3,FALSE)</f>
        <v>1534</v>
      </c>
      <c r="F83" s="69">
        <f t="shared" si="14"/>
        <v>2376</v>
      </c>
      <c r="G83" s="72">
        <f>VLOOKUP(B83,'114+320'!$B$15:$AB$115,20,FALSE)</f>
        <v>694</v>
      </c>
      <c r="H83" s="72">
        <f>VLOOKUP(B83,'114+320'!$B$15:$AB$115,4,FALSE)</f>
        <v>662</v>
      </c>
      <c r="I83" s="68">
        <f t="shared" si="15"/>
        <v>1714</v>
      </c>
      <c r="J83" s="68">
        <f>VLOOKUP(B83,'114+320'!$B$15:$AB$115,13,FALSE)</f>
        <v>-286</v>
      </c>
      <c r="K83" s="66">
        <f>'114+320'!Q84</f>
        <v>0</v>
      </c>
      <c r="L83" s="65">
        <f t="shared" si="20"/>
        <v>106</v>
      </c>
      <c r="M83" s="70">
        <f>VLOOKUP(B83,'114+320'!$B$14:$AB$115,21,FALSE)</f>
        <v>677</v>
      </c>
      <c r="N83" s="69">
        <f>VLOOKUP(B83,'114+320'!$B$15:$AB$115,5,FALSE)</f>
        <v>679</v>
      </c>
      <c r="O83" s="68">
        <f t="shared" si="16"/>
        <v>1697</v>
      </c>
      <c r="P83" s="68">
        <f>VLOOKUP(B83,'114+320'!$B$15:$AB$115,14,FALSE)</f>
        <v>-303</v>
      </c>
      <c r="Q83" s="66">
        <f>'114+320'!R84</f>
        <v>0</v>
      </c>
      <c r="R83" s="65">
        <f t="shared" si="21"/>
        <v>123</v>
      </c>
      <c r="S83" s="70">
        <f>VLOOKUP(B83,'114+320'!$B$14:$AB$115,22,FALSE)</f>
        <v>689</v>
      </c>
      <c r="T83" s="69">
        <f>VLOOKUP(B83,'114+320'!$B$15:$AB$115,6,FALSE)</f>
        <v>607</v>
      </c>
      <c r="U83" s="68">
        <f t="shared" si="17"/>
        <v>1769</v>
      </c>
      <c r="V83" s="77">
        <f>VLOOKUP(B83,'114+320'!$B$15:$AB$115,15,FALSE)</f>
        <v>-231</v>
      </c>
      <c r="W83" s="66">
        <f>'114+320'!S84</f>
        <v>0</v>
      </c>
      <c r="X83" s="65">
        <f t="shared" si="22"/>
        <v>111</v>
      </c>
      <c r="Y83" s="64">
        <f t="shared" si="23"/>
        <v>0</v>
      </c>
      <c r="Z83" s="63">
        <f t="shared" si="24"/>
        <v>0</v>
      </c>
      <c r="AA83" s="62">
        <f t="shared" si="25"/>
        <v>0.89900000000000002</v>
      </c>
      <c r="AB83" s="62">
        <f t="shared" si="26"/>
        <v>0.73399999999999999</v>
      </c>
      <c r="AC83" s="51"/>
      <c r="AD83" s="51"/>
      <c r="AE83" s="51"/>
      <c r="AF83" s="51"/>
    </row>
    <row r="84" spans="1:32" s="78" customFormat="1" ht="15" customHeight="1">
      <c r="A84" s="83">
        <v>42331</v>
      </c>
      <c r="B84" s="106">
        <f>'114+320'!B85</f>
        <v>45114</v>
      </c>
      <c r="C84" s="75">
        <f t="shared" si="18"/>
        <v>1</v>
      </c>
      <c r="D84" s="74">
        <f t="shared" si="19"/>
        <v>842</v>
      </c>
      <c r="E84" s="73">
        <f>VLOOKUP(B84,'114+320'!B85:AB186,3,FALSE)</f>
        <v>1532</v>
      </c>
      <c r="F84" s="69">
        <f t="shared" si="14"/>
        <v>2374</v>
      </c>
      <c r="G84" s="72">
        <f>VLOOKUP(B84,'114+320'!$B$15:$AB$115,20,FALSE)</f>
        <v>694</v>
      </c>
      <c r="H84" s="72">
        <f>VLOOKUP(B84,'114+320'!$B$15:$AB$115,4,FALSE)</f>
        <v>660</v>
      </c>
      <c r="I84" s="68">
        <f t="shared" si="15"/>
        <v>1714</v>
      </c>
      <c r="J84" s="68">
        <f>VLOOKUP(B84,'114+320'!$B$15:$AB$115,13,FALSE)</f>
        <v>-286</v>
      </c>
      <c r="K84" s="66">
        <f>'114+320'!Q85</f>
        <v>0</v>
      </c>
      <c r="L84" s="65">
        <f t="shared" si="20"/>
        <v>106</v>
      </c>
      <c r="M84" s="70">
        <f>VLOOKUP(B84,'114+320'!$B$14:$AB$115,21,FALSE)</f>
        <v>677</v>
      </c>
      <c r="N84" s="69">
        <f>VLOOKUP(B84,'114+320'!$B$15:$AB$115,5,FALSE)</f>
        <v>677</v>
      </c>
      <c r="O84" s="68">
        <f t="shared" si="16"/>
        <v>1697</v>
      </c>
      <c r="P84" s="68">
        <f>VLOOKUP(B84,'114+320'!$B$15:$AB$115,14,FALSE)</f>
        <v>-303</v>
      </c>
      <c r="Q84" s="66">
        <f>'114+320'!R85</f>
        <v>0</v>
      </c>
      <c r="R84" s="65">
        <f t="shared" si="21"/>
        <v>123</v>
      </c>
      <c r="S84" s="70">
        <f>VLOOKUP(B84,'114+320'!$B$14:$AB$115,22,FALSE)</f>
        <v>689</v>
      </c>
      <c r="T84" s="69">
        <f>VLOOKUP(B84,'114+320'!$B$15:$AB$115,6,FALSE)</f>
        <v>605</v>
      </c>
      <c r="U84" s="68">
        <f t="shared" si="17"/>
        <v>1769</v>
      </c>
      <c r="V84" s="77">
        <f>VLOOKUP(B84,'114+320'!$B$15:$AB$115,15,FALSE)</f>
        <v>-231</v>
      </c>
      <c r="W84" s="66">
        <f>'114+320'!S85</f>
        <v>0</v>
      </c>
      <c r="X84" s="65">
        <f t="shared" si="22"/>
        <v>111</v>
      </c>
      <c r="Y84" s="64">
        <f t="shared" si="23"/>
        <v>0</v>
      </c>
      <c r="Z84" s="63">
        <f t="shared" si="24"/>
        <v>0</v>
      </c>
      <c r="AA84" s="62">
        <f t="shared" si="25"/>
        <v>0.89900000000000002</v>
      </c>
      <c r="AB84" s="62">
        <f t="shared" si="26"/>
        <v>0.73399999999999999</v>
      </c>
      <c r="AC84" s="51"/>
      <c r="AD84" s="51"/>
      <c r="AE84" s="51"/>
      <c r="AF84" s="51"/>
    </row>
    <row r="85" spans="1:32" s="78" customFormat="1" ht="15" customHeight="1">
      <c r="A85" s="83" t="s">
        <v>45</v>
      </c>
      <c r="B85" s="106">
        <f>'114+320'!B86</f>
        <v>45115</v>
      </c>
      <c r="C85" s="75">
        <f t="shared" si="18"/>
        <v>1</v>
      </c>
      <c r="D85" s="74">
        <f t="shared" si="19"/>
        <v>842</v>
      </c>
      <c r="E85" s="73">
        <f>VLOOKUP(B85,'114+320'!B86:AB187,3,FALSE)</f>
        <v>1530</v>
      </c>
      <c r="F85" s="69">
        <f t="shared" si="14"/>
        <v>2372</v>
      </c>
      <c r="G85" s="72">
        <f>VLOOKUP(B85,'114+320'!$B$15:$AB$115,20,FALSE)</f>
        <v>694</v>
      </c>
      <c r="H85" s="72">
        <f>VLOOKUP(B85,'114+320'!$B$15:$AB$115,4,FALSE)</f>
        <v>658</v>
      </c>
      <c r="I85" s="68">
        <f t="shared" si="15"/>
        <v>1714</v>
      </c>
      <c r="J85" s="68">
        <f>VLOOKUP(B85,'114+320'!$B$15:$AB$115,13,FALSE)</f>
        <v>-286</v>
      </c>
      <c r="K85" s="66">
        <f>'114+320'!Q86</f>
        <v>0</v>
      </c>
      <c r="L85" s="65">
        <f t="shared" si="20"/>
        <v>106</v>
      </c>
      <c r="M85" s="70">
        <f>VLOOKUP(B85,'114+320'!$B$14:$AB$115,21,FALSE)</f>
        <v>677</v>
      </c>
      <c r="N85" s="69">
        <f>VLOOKUP(B85,'114+320'!$B$15:$AB$115,5,FALSE)</f>
        <v>675</v>
      </c>
      <c r="O85" s="68">
        <f t="shared" si="16"/>
        <v>1697</v>
      </c>
      <c r="P85" s="68">
        <f>VLOOKUP(B85,'114+320'!$B$15:$AB$115,14,FALSE)</f>
        <v>-303</v>
      </c>
      <c r="Q85" s="66">
        <f>'114+320'!R86</f>
        <v>0</v>
      </c>
      <c r="R85" s="65">
        <f t="shared" si="21"/>
        <v>123</v>
      </c>
      <c r="S85" s="70">
        <f>VLOOKUP(B85,'114+320'!$B$14:$AB$115,22,FALSE)</f>
        <v>689</v>
      </c>
      <c r="T85" s="69">
        <f>VLOOKUP(B85,'114+320'!$B$15:$AB$115,6,FALSE)</f>
        <v>603</v>
      </c>
      <c r="U85" s="68">
        <f t="shared" si="17"/>
        <v>1769</v>
      </c>
      <c r="V85" s="77">
        <f>VLOOKUP(B85,'114+320'!$B$15:$AB$115,15,FALSE)</f>
        <v>-231</v>
      </c>
      <c r="W85" s="66">
        <f>'114+320'!S86</f>
        <v>0</v>
      </c>
      <c r="X85" s="65">
        <f t="shared" si="22"/>
        <v>111</v>
      </c>
      <c r="Y85" s="64">
        <f t="shared" si="23"/>
        <v>0</v>
      </c>
      <c r="Z85" s="63">
        <f t="shared" si="24"/>
        <v>0</v>
      </c>
      <c r="AA85" s="62">
        <f t="shared" si="25"/>
        <v>0.89900000000000002</v>
      </c>
      <c r="AB85" s="62">
        <f t="shared" si="26"/>
        <v>0.73399999999999999</v>
      </c>
      <c r="AC85" s="51"/>
      <c r="AD85" s="51"/>
      <c r="AE85" s="51"/>
      <c r="AF85" s="51"/>
    </row>
    <row r="86" spans="1:32" s="78" customFormat="1" ht="15" customHeight="1">
      <c r="A86" s="83">
        <v>42337</v>
      </c>
      <c r="B86" s="106">
        <f>'114+320'!B87</f>
        <v>45116</v>
      </c>
      <c r="C86" s="75">
        <f t="shared" si="18"/>
        <v>1</v>
      </c>
      <c r="D86" s="74">
        <f t="shared" si="19"/>
        <v>842</v>
      </c>
      <c r="E86" s="73">
        <f>VLOOKUP(B86,'114+320'!B87:AB188,3,FALSE)</f>
        <v>1528</v>
      </c>
      <c r="F86" s="69">
        <f t="shared" si="14"/>
        <v>2370</v>
      </c>
      <c r="G86" s="72">
        <f>VLOOKUP(B86,'114+320'!$B$15:$AB$115,20,FALSE)</f>
        <v>694</v>
      </c>
      <c r="H86" s="72">
        <f>VLOOKUP(B86,'114+320'!$B$15:$AB$115,4,FALSE)</f>
        <v>656</v>
      </c>
      <c r="I86" s="68">
        <f t="shared" si="15"/>
        <v>1714</v>
      </c>
      <c r="J86" s="68">
        <f>VLOOKUP(B86,'114+320'!$B$15:$AB$115,13,FALSE)</f>
        <v>-286</v>
      </c>
      <c r="K86" s="66">
        <f>'114+320'!Q87</f>
        <v>0</v>
      </c>
      <c r="L86" s="65">
        <f t="shared" si="20"/>
        <v>106</v>
      </c>
      <c r="M86" s="70">
        <f>VLOOKUP(B86,'114+320'!$B$14:$AB$115,21,FALSE)</f>
        <v>677</v>
      </c>
      <c r="N86" s="69">
        <f>VLOOKUP(B86,'114+320'!$B$15:$AB$115,5,FALSE)</f>
        <v>673</v>
      </c>
      <c r="O86" s="68">
        <f t="shared" si="16"/>
        <v>1697</v>
      </c>
      <c r="P86" s="68">
        <f>VLOOKUP(B86,'114+320'!$B$15:$AB$115,14,FALSE)</f>
        <v>-303</v>
      </c>
      <c r="Q86" s="66">
        <f>'114+320'!R87</f>
        <v>0</v>
      </c>
      <c r="R86" s="65">
        <f t="shared" si="21"/>
        <v>123</v>
      </c>
      <c r="S86" s="70">
        <f>VLOOKUP(B86,'114+320'!$B$14:$AB$115,22,FALSE)</f>
        <v>689</v>
      </c>
      <c r="T86" s="69">
        <f>VLOOKUP(B86,'114+320'!$B$15:$AB$115,6,FALSE)</f>
        <v>601</v>
      </c>
      <c r="U86" s="68">
        <f t="shared" si="17"/>
        <v>1769</v>
      </c>
      <c r="V86" s="77">
        <f>VLOOKUP(B86,'114+320'!$B$15:$AB$115,15,FALSE)</f>
        <v>-231</v>
      </c>
      <c r="W86" s="66">
        <f>'114+320'!S87</f>
        <v>0</v>
      </c>
      <c r="X86" s="65">
        <f t="shared" si="22"/>
        <v>111</v>
      </c>
      <c r="Y86" s="64">
        <f t="shared" si="23"/>
        <v>0</v>
      </c>
      <c r="Z86" s="63">
        <f t="shared" si="24"/>
        <v>0</v>
      </c>
      <c r="AA86" s="62">
        <f t="shared" si="25"/>
        <v>0.89900000000000002</v>
      </c>
      <c r="AB86" s="62">
        <f t="shared" si="26"/>
        <v>0.73399999999999999</v>
      </c>
      <c r="AC86" s="51"/>
      <c r="AD86" s="51"/>
      <c r="AE86" s="51"/>
      <c r="AF86" s="51"/>
    </row>
    <row r="87" spans="1:32" s="78" customFormat="1" ht="15" customHeight="1">
      <c r="A87" s="83">
        <v>42340</v>
      </c>
      <c r="B87" s="106">
        <f>'114+320'!B88</f>
        <v>45117</v>
      </c>
      <c r="C87" s="75">
        <f t="shared" si="18"/>
        <v>1</v>
      </c>
      <c r="D87" s="74">
        <f t="shared" si="19"/>
        <v>842</v>
      </c>
      <c r="E87" s="73">
        <f>VLOOKUP(B87,'114+320'!B88:AB189,3,FALSE)</f>
        <v>1526</v>
      </c>
      <c r="F87" s="69">
        <f t="shared" si="14"/>
        <v>2368</v>
      </c>
      <c r="G87" s="72">
        <f>VLOOKUP(B87,'114+320'!$B$15:$AB$115,20,FALSE)</f>
        <v>694</v>
      </c>
      <c r="H87" s="72">
        <f>VLOOKUP(B87,'114+320'!$B$15:$AB$115,4,FALSE)</f>
        <v>654</v>
      </c>
      <c r="I87" s="68">
        <f t="shared" si="15"/>
        <v>1714</v>
      </c>
      <c r="J87" s="68">
        <f>VLOOKUP(B87,'114+320'!$B$15:$AB$115,13,FALSE)</f>
        <v>-286</v>
      </c>
      <c r="K87" s="66">
        <f>'114+320'!Q88</f>
        <v>0</v>
      </c>
      <c r="L87" s="65">
        <f t="shared" si="20"/>
        <v>106</v>
      </c>
      <c r="M87" s="70">
        <f>VLOOKUP(B87,'114+320'!$B$14:$AB$115,21,FALSE)</f>
        <v>677</v>
      </c>
      <c r="N87" s="69">
        <f>VLOOKUP(B87,'114+320'!$B$15:$AB$115,5,FALSE)</f>
        <v>671</v>
      </c>
      <c r="O87" s="68">
        <f t="shared" si="16"/>
        <v>1697</v>
      </c>
      <c r="P87" s="68">
        <f>VLOOKUP(B87,'114+320'!$B$15:$AB$115,14,FALSE)</f>
        <v>-303</v>
      </c>
      <c r="Q87" s="66">
        <f>'114+320'!R88</f>
        <v>0</v>
      </c>
      <c r="R87" s="65">
        <f t="shared" si="21"/>
        <v>123</v>
      </c>
      <c r="S87" s="70">
        <f>VLOOKUP(B87,'114+320'!$B$14:$AB$115,22,FALSE)</f>
        <v>689</v>
      </c>
      <c r="T87" s="69">
        <f>VLOOKUP(B87,'114+320'!$B$15:$AB$115,6,FALSE)</f>
        <v>599</v>
      </c>
      <c r="U87" s="68">
        <f t="shared" si="17"/>
        <v>1769</v>
      </c>
      <c r="V87" s="77">
        <f>VLOOKUP(B87,'114+320'!$B$15:$AB$115,15,FALSE)</f>
        <v>-231</v>
      </c>
      <c r="W87" s="66">
        <f>'114+320'!S88</f>
        <v>0</v>
      </c>
      <c r="X87" s="65">
        <f t="shared" si="22"/>
        <v>111</v>
      </c>
      <c r="Y87" s="64">
        <f t="shared" si="23"/>
        <v>0</v>
      </c>
      <c r="Z87" s="63">
        <f t="shared" si="24"/>
        <v>0</v>
      </c>
      <c r="AA87" s="62">
        <f t="shared" si="25"/>
        <v>0.89900000000000002</v>
      </c>
      <c r="AB87" s="62">
        <f t="shared" si="26"/>
        <v>0.73399999999999999</v>
      </c>
      <c r="AC87" s="51"/>
      <c r="AD87" s="51"/>
      <c r="AE87" s="51"/>
      <c r="AF87" s="51"/>
    </row>
    <row r="88" spans="1:32" s="78" customFormat="1" ht="15" customHeight="1">
      <c r="A88" s="83">
        <v>42343</v>
      </c>
      <c r="B88" s="106">
        <f>'114+320'!B89</f>
        <v>45118</v>
      </c>
      <c r="C88" s="75">
        <f t="shared" si="18"/>
        <v>1</v>
      </c>
      <c r="D88" s="74">
        <f t="shared" si="19"/>
        <v>842</v>
      </c>
      <c r="E88" s="73">
        <f>VLOOKUP(B88,'114+320'!B89:AB190,3,FALSE)</f>
        <v>1524</v>
      </c>
      <c r="F88" s="69">
        <f t="shared" si="14"/>
        <v>2366</v>
      </c>
      <c r="G88" s="72">
        <f>VLOOKUP(B88,'114+320'!$B$15:$AB$115,20,FALSE)</f>
        <v>694</v>
      </c>
      <c r="H88" s="72">
        <f>VLOOKUP(B88,'114+320'!$B$15:$AB$115,4,FALSE)</f>
        <v>652</v>
      </c>
      <c r="I88" s="68">
        <f t="shared" si="15"/>
        <v>1714</v>
      </c>
      <c r="J88" s="68">
        <f>VLOOKUP(B88,'114+320'!$B$15:$AB$115,13,FALSE)</f>
        <v>-286</v>
      </c>
      <c r="K88" s="66">
        <f>'114+320'!Q89</f>
        <v>0</v>
      </c>
      <c r="L88" s="65">
        <f t="shared" si="20"/>
        <v>106</v>
      </c>
      <c r="M88" s="70">
        <f>VLOOKUP(B88,'114+320'!$B$14:$AB$115,21,FALSE)</f>
        <v>677</v>
      </c>
      <c r="N88" s="69">
        <f>VLOOKUP(B88,'114+320'!$B$15:$AB$115,5,FALSE)</f>
        <v>669</v>
      </c>
      <c r="O88" s="68">
        <f t="shared" si="16"/>
        <v>1697</v>
      </c>
      <c r="P88" s="68">
        <f>VLOOKUP(B88,'114+320'!$B$15:$AB$115,14,FALSE)</f>
        <v>-303</v>
      </c>
      <c r="Q88" s="66">
        <f>'114+320'!R89</f>
        <v>0</v>
      </c>
      <c r="R88" s="65">
        <f t="shared" si="21"/>
        <v>123</v>
      </c>
      <c r="S88" s="70">
        <f>VLOOKUP(B88,'114+320'!$B$14:$AB$115,22,FALSE)</f>
        <v>689</v>
      </c>
      <c r="T88" s="69">
        <f>VLOOKUP(B88,'114+320'!$B$15:$AB$115,6,FALSE)</f>
        <v>597</v>
      </c>
      <c r="U88" s="68">
        <f t="shared" si="17"/>
        <v>1769</v>
      </c>
      <c r="V88" s="77">
        <f>VLOOKUP(B88,'114+320'!$B$15:$AB$115,15,FALSE)</f>
        <v>-231</v>
      </c>
      <c r="W88" s="66">
        <f>'114+320'!S89</f>
        <v>0</v>
      </c>
      <c r="X88" s="65">
        <f t="shared" si="22"/>
        <v>111</v>
      </c>
      <c r="Y88" s="64">
        <f t="shared" si="23"/>
        <v>0</v>
      </c>
      <c r="Z88" s="63">
        <f t="shared" si="24"/>
        <v>0</v>
      </c>
      <c r="AA88" s="62">
        <f t="shared" si="25"/>
        <v>0.89900000000000002</v>
      </c>
      <c r="AB88" s="62">
        <f t="shared" si="26"/>
        <v>0.73399999999999999</v>
      </c>
      <c r="AC88" s="51"/>
      <c r="AD88" s="51"/>
      <c r="AE88" s="51"/>
      <c r="AF88" s="51"/>
    </row>
    <row r="89" spans="1:32" s="78" customFormat="1" ht="15" customHeight="1">
      <c r="A89" s="83" t="s">
        <v>44</v>
      </c>
      <c r="B89" s="106">
        <f>'114+320'!B90</f>
        <v>45119</v>
      </c>
      <c r="C89" s="75">
        <f t="shared" si="18"/>
        <v>1</v>
      </c>
      <c r="D89" s="74">
        <f t="shared" si="19"/>
        <v>842</v>
      </c>
      <c r="E89" s="73">
        <f>VLOOKUP(B89,'114+320'!B90:AB191,3,FALSE)</f>
        <v>1522</v>
      </c>
      <c r="F89" s="69">
        <f t="shared" si="14"/>
        <v>2364</v>
      </c>
      <c r="G89" s="72">
        <f>VLOOKUP(B89,'114+320'!$B$15:$AB$115,20,FALSE)</f>
        <v>694</v>
      </c>
      <c r="H89" s="72">
        <f>VLOOKUP(B89,'114+320'!$B$15:$AB$115,4,FALSE)</f>
        <v>650</v>
      </c>
      <c r="I89" s="68">
        <f t="shared" si="15"/>
        <v>1714</v>
      </c>
      <c r="J89" s="68">
        <f>VLOOKUP(B89,'114+320'!$B$15:$AB$115,13,FALSE)</f>
        <v>-286</v>
      </c>
      <c r="K89" s="66">
        <f>'114+320'!Q90</f>
        <v>0</v>
      </c>
      <c r="L89" s="65">
        <f t="shared" si="20"/>
        <v>106</v>
      </c>
      <c r="M89" s="70">
        <f>VLOOKUP(B89,'114+320'!$B$14:$AB$115,21,FALSE)</f>
        <v>677</v>
      </c>
      <c r="N89" s="69">
        <f>VLOOKUP(B89,'114+320'!$B$15:$AB$115,5,FALSE)</f>
        <v>667</v>
      </c>
      <c r="O89" s="68">
        <f t="shared" si="16"/>
        <v>1697</v>
      </c>
      <c r="P89" s="68">
        <f>VLOOKUP(B89,'114+320'!$B$15:$AB$115,14,FALSE)</f>
        <v>-303</v>
      </c>
      <c r="Q89" s="66">
        <f>'114+320'!R90</f>
        <v>0</v>
      </c>
      <c r="R89" s="65">
        <f t="shared" si="21"/>
        <v>123</v>
      </c>
      <c r="S89" s="70">
        <f>VLOOKUP(B89,'114+320'!$B$14:$AB$115,22,FALSE)</f>
        <v>689</v>
      </c>
      <c r="T89" s="69">
        <f>VLOOKUP(B89,'114+320'!$B$15:$AB$115,6,FALSE)</f>
        <v>595</v>
      </c>
      <c r="U89" s="68">
        <f t="shared" si="17"/>
        <v>1769</v>
      </c>
      <c r="V89" s="77">
        <f>VLOOKUP(B89,'114+320'!$B$15:$AB$115,15,FALSE)</f>
        <v>-231</v>
      </c>
      <c r="W89" s="66">
        <f>'114+320'!S90</f>
        <v>0</v>
      </c>
      <c r="X89" s="65">
        <f t="shared" si="22"/>
        <v>111</v>
      </c>
      <c r="Y89" s="64">
        <f t="shared" si="23"/>
        <v>0</v>
      </c>
      <c r="Z89" s="63">
        <f t="shared" si="24"/>
        <v>0</v>
      </c>
      <c r="AA89" s="62">
        <f t="shared" si="25"/>
        <v>0.89900000000000002</v>
      </c>
      <c r="AB89" s="62">
        <f t="shared" si="26"/>
        <v>0.73399999999999999</v>
      </c>
      <c r="AC89" s="51"/>
      <c r="AD89" s="51"/>
      <c r="AE89" s="51"/>
      <c r="AF89" s="51"/>
    </row>
    <row r="90" spans="1:32" s="78" customFormat="1" ht="15" customHeight="1">
      <c r="A90" s="83">
        <v>42349</v>
      </c>
      <c r="B90" s="106">
        <f>'114+320'!B91</f>
        <v>45120</v>
      </c>
      <c r="C90" s="75">
        <f t="shared" si="18"/>
        <v>1</v>
      </c>
      <c r="D90" s="74">
        <f t="shared" si="19"/>
        <v>842</v>
      </c>
      <c r="E90" s="73">
        <f>VLOOKUP(B90,'114+320'!B91:AB192,3,FALSE)</f>
        <v>1520</v>
      </c>
      <c r="F90" s="69">
        <f t="shared" si="14"/>
        <v>2362</v>
      </c>
      <c r="G90" s="72">
        <f>VLOOKUP(B90,'114+320'!$B$15:$AB$115,20,FALSE)</f>
        <v>694</v>
      </c>
      <c r="H90" s="72">
        <f>VLOOKUP(B90,'114+320'!$B$15:$AB$115,4,FALSE)</f>
        <v>648</v>
      </c>
      <c r="I90" s="68">
        <f t="shared" si="15"/>
        <v>1714</v>
      </c>
      <c r="J90" s="68">
        <f>VLOOKUP(B90,'114+320'!$B$15:$AB$115,13,FALSE)</f>
        <v>-286</v>
      </c>
      <c r="K90" s="66">
        <f>'114+320'!Q91</f>
        <v>0</v>
      </c>
      <c r="L90" s="65">
        <f t="shared" si="20"/>
        <v>106</v>
      </c>
      <c r="M90" s="70">
        <f>VLOOKUP(B90,'114+320'!$B$14:$AB$115,21,FALSE)</f>
        <v>677</v>
      </c>
      <c r="N90" s="69">
        <f>VLOOKUP(B90,'114+320'!$B$15:$AB$115,5,FALSE)</f>
        <v>665</v>
      </c>
      <c r="O90" s="68">
        <f t="shared" si="16"/>
        <v>1697</v>
      </c>
      <c r="P90" s="68">
        <f>VLOOKUP(B90,'114+320'!$B$15:$AB$115,14,FALSE)</f>
        <v>-303</v>
      </c>
      <c r="Q90" s="66">
        <f>'114+320'!R91</f>
        <v>0</v>
      </c>
      <c r="R90" s="65">
        <f t="shared" si="21"/>
        <v>123</v>
      </c>
      <c r="S90" s="70">
        <f>VLOOKUP(B90,'114+320'!$B$14:$AB$115,22,FALSE)</f>
        <v>689</v>
      </c>
      <c r="T90" s="69">
        <f>VLOOKUP(B90,'114+320'!$B$15:$AB$115,6,FALSE)</f>
        <v>593</v>
      </c>
      <c r="U90" s="68">
        <f t="shared" si="17"/>
        <v>1769</v>
      </c>
      <c r="V90" s="77">
        <f>VLOOKUP(B90,'114+320'!$B$15:$AB$115,15,FALSE)</f>
        <v>-231</v>
      </c>
      <c r="W90" s="66">
        <f>'114+320'!S91</f>
        <v>0</v>
      </c>
      <c r="X90" s="65">
        <f t="shared" si="22"/>
        <v>111</v>
      </c>
      <c r="Y90" s="64">
        <f t="shared" si="23"/>
        <v>0</v>
      </c>
      <c r="Z90" s="63">
        <f t="shared" si="24"/>
        <v>0</v>
      </c>
      <c r="AA90" s="62">
        <f t="shared" si="25"/>
        <v>0.89900000000000002</v>
      </c>
      <c r="AB90" s="62">
        <f t="shared" si="26"/>
        <v>0.73399999999999999</v>
      </c>
      <c r="AC90" s="51"/>
      <c r="AD90" s="51"/>
      <c r="AE90" s="51"/>
      <c r="AF90" s="51"/>
    </row>
    <row r="91" spans="1:32" s="78" customFormat="1" ht="15" customHeight="1">
      <c r="A91" s="83">
        <v>42352</v>
      </c>
      <c r="B91" s="106">
        <f>'114+320'!B92</f>
        <v>45121</v>
      </c>
      <c r="C91" s="75">
        <f t="shared" si="18"/>
        <v>1</v>
      </c>
      <c r="D91" s="74">
        <f t="shared" si="19"/>
        <v>842</v>
      </c>
      <c r="E91" s="73">
        <f>VLOOKUP(B91,'114+320'!B92:AB193,3,FALSE)</f>
        <v>1518</v>
      </c>
      <c r="F91" s="69">
        <f t="shared" si="14"/>
        <v>2360</v>
      </c>
      <c r="G91" s="72">
        <f>VLOOKUP(B91,'114+320'!$B$15:$AB$115,20,FALSE)</f>
        <v>694</v>
      </c>
      <c r="H91" s="72">
        <f>VLOOKUP(B91,'114+320'!$B$15:$AB$115,4,FALSE)</f>
        <v>646</v>
      </c>
      <c r="I91" s="68">
        <f t="shared" si="15"/>
        <v>1714</v>
      </c>
      <c r="J91" s="68">
        <f>VLOOKUP(B91,'114+320'!$B$15:$AB$115,13,FALSE)</f>
        <v>-286</v>
      </c>
      <c r="K91" s="66">
        <f>'114+320'!Q92</f>
        <v>0</v>
      </c>
      <c r="L91" s="65">
        <f t="shared" si="20"/>
        <v>106</v>
      </c>
      <c r="M91" s="70">
        <f>VLOOKUP(B91,'114+320'!$B$14:$AB$115,21,FALSE)</f>
        <v>677</v>
      </c>
      <c r="N91" s="69">
        <f>VLOOKUP(B91,'114+320'!$B$15:$AB$115,5,FALSE)</f>
        <v>663</v>
      </c>
      <c r="O91" s="68">
        <f t="shared" si="16"/>
        <v>1697</v>
      </c>
      <c r="P91" s="68">
        <f>VLOOKUP(B91,'114+320'!$B$15:$AB$115,14,FALSE)</f>
        <v>-303</v>
      </c>
      <c r="Q91" s="66">
        <f>'114+320'!R92</f>
        <v>0</v>
      </c>
      <c r="R91" s="65">
        <f t="shared" si="21"/>
        <v>123</v>
      </c>
      <c r="S91" s="70">
        <f>VLOOKUP(B91,'114+320'!$B$14:$AB$115,22,FALSE)</f>
        <v>689</v>
      </c>
      <c r="T91" s="69">
        <f>VLOOKUP(B91,'114+320'!$B$15:$AB$115,6,FALSE)</f>
        <v>591</v>
      </c>
      <c r="U91" s="68">
        <f t="shared" si="17"/>
        <v>1769</v>
      </c>
      <c r="V91" s="77">
        <f>VLOOKUP(B91,'114+320'!$B$15:$AB$115,15,FALSE)</f>
        <v>-231</v>
      </c>
      <c r="W91" s="66">
        <f>'114+320'!S92</f>
        <v>0</v>
      </c>
      <c r="X91" s="65">
        <f t="shared" si="22"/>
        <v>111</v>
      </c>
      <c r="Y91" s="64">
        <f t="shared" si="23"/>
        <v>0</v>
      </c>
      <c r="Z91" s="63">
        <f t="shared" si="24"/>
        <v>0</v>
      </c>
      <c r="AA91" s="62">
        <f t="shared" si="25"/>
        <v>0.89900000000000002</v>
      </c>
      <c r="AB91" s="62">
        <f t="shared" si="26"/>
        <v>0.73399999999999999</v>
      </c>
      <c r="AC91" s="51"/>
      <c r="AD91" s="51"/>
      <c r="AE91" s="51"/>
      <c r="AF91" s="51"/>
    </row>
    <row r="92" spans="1:32" s="78" customFormat="1" ht="15" customHeight="1">
      <c r="A92" s="83">
        <v>42353</v>
      </c>
      <c r="B92" s="106">
        <f>'114+320'!B93</f>
        <v>45122</v>
      </c>
      <c r="C92" s="75">
        <f t="shared" si="18"/>
        <v>1</v>
      </c>
      <c r="D92" s="74">
        <f t="shared" si="19"/>
        <v>842</v>
      </c>
      <c r="E92" s="73">
        <f>VLOOKUP(B92,'114+320'!B93:AB194,3,FALSE)</f>
        <v>1516</v>
      </c>
      <c r="F92" s="69">
        <f t="shared" si="14"/>
        <v>2358</v>
      </c>
      <c r="G92" s="72">
        <f>VLOOKUP(B92,'114+320'!$B$15:$AB$115,20,FALSE)</f>
        <v>694</v>
      </c>
      <c r="H92" s="72">
        <f>VLOOKUP(B92,'114+320'!$B$15:$AB$115,4,FALSE)</f>
        <v>644</v>
      </c>
      <c r="I92" s="68">
        <f t="shared" si="15"/>
        <v>1714</v>
      </c>
      <c r="J92" s="68">
        <f>VLOOKUP(B92,'114+320'!$B$15:$AB$115,13,FALSE)</f>
        <v>-286</v>
      </c>
      <c r="K92" s="66">
        <f>'114+320'!Q93</f>
        <v>0</v>
      </c>
      <c r="L92" s="65">
        <f t="shared" si="20"/>
        <v>106</v>
      </c>
      <c r="M92" s="70">
        <f>VLOOKUP(B92,'114+320'!$B$14:$AB$115,21,FALSE)</f>
        <v>677</v>
      </c>
      <c r="N92" s="69">
        <f>VLOOKUP(B92,'114+320'!$B$15:$AB$115,5,FALSE)</f>
        <v>661</v>
      </c>
      <c r="O92" s="68">
        <f t="shared" si="16"/>
        <v>1697</v>
      </c>
      <c r="P92" s="68">
        <f>VLOOKUP(B92,'114+320'!$B$15:$AB$115,14,FALSE)</f>
        <v>-303</v>
      </c>
      <c r="Q92" s="66">
        <f>'114+320'!R93</f>
        <v>0</v>
      </c>
      <c r="R92" s="65">
        <f t="shared" si="21"/>
        <v>123</v>
      </c>
      <c r="S92" s="70">
        <f>VLOOKUP(B92,'114+320'!$B$14:$AB$115,22,FALSE)</f>
        <v>689</v>
      </c>
      <c r="T92" s="69">
        <f>VLOOKUP(B92,'114+320'!$B$15:$AB$115,6,FALSE)</f>
        <v>589</v>
      </c>
      <c r="U92" s="68">
        <f t="shared" si="17"/>
        <v>1769</v>
      </c>
      <c r="V92" s="77">
        <f>VLOOKUP(B92,'114+320'!$B$15:$AB$115,15,FALSE)</f>
        <v>-231</v>
      </c>
      <c r="W92" s="66">
        <f>'114+320'!S93</f>
        <v>0</v>
      </c>
      <c r="X92" s="65">
        <f t="shared" si="22"/>
        <v>111</v>
      </c>
      <c r="Y92" s="64">
        <f t="shared" si="23"/>
        <v>0</v>
      </c>
      <c r="Z92" s="63">
        <f t="shared" si="24"/>
        <v>0</v>
      </c>
      <c r="AA92" s="62">
        <f t="shared" si="25"/>
        <v>0.89900000000000002</v>
      </c>
      <c r="AB92" s="62">
        <f t="shared" si="26"/>
        <v>0.73399999999999999</v>
      </c>
      <c r="AC92" s="51"/>
      <c r="AD92" s="51"/>
      <c r="AE92" s="51"/>
      <c r="AF92" s="51"/>
    </row>
    <row r="93" spans="1:32" s="78" customFormat="1" ht="15" customHeight="1" thickBot="1">
      <c r="A93" s="82">
        <v>42353</v>
      </c>
      <c r="B93" s="106">
        <f>'114+320'!B94</f>
        <v>45123</v>
      </c>
      <c r="C93" s="75">
        <f t="shared" si="18"/>
        <v>1</v>
      </c>
      <c r="D93" s="74">
        <f t="shared" si="19"/>
        <v>842</v>
      </c>
      <c r="E93" s="73">
        <f>VLOOKUP(B93,'114+320'!B94:AB195,3,FALSE)</f>
        <v>1514</v>
      </c>
      <c r="F93" s="69">
        <f t="shared" si="14"/>
        <v>2356</v>
      </c>
      <c r="G93" s="72">
        <f>VLOOKUP(B93,'114+320'!$B$15:$AB$115,20,FALSE)</f>
        <v>694</v>
      </c>
      <c r="H93" s="72">
        <f>VLOOKUP(B93,'114+320'!$B$15:$AB$115,4,FALSE)</f>
        <v>642</v>
      </c>
      <c r="I93" s="68">
        <f t="shared" si="15"/>
        <v>1714</v>
      </c>
      <c r="J93" s="68">
        <f>VLOOKUP(B93,'114+320'!$B$15:$AB$115,13,FALSE)</f>
        <v>-286</v>
      </c>
      <c r="K93" s="66">
        <f>'114+320'!Q94</f>
        <v>0</v>
      </c>
      <c r="L93" s="65">
        <f t="shared" si="20"/>
        <v>106</v>
      </c>
      <c r="M93" s="70">
        <f>VLOOKUP(B93,'114+320'!$B$14:$AB$115,21,FALSE)</f>
        <v>677</v>
      </c>
      <c r="N93" s="69">
        <f>VLOOKUP(B93,'114+320'!$B$15:$AB$115,5,FALSE)</f>
        <v>659</v>
      </c>
      <c r="O93" s="68">
        <f t="shared" si="16"/>
        <v>1697</v>
      </c>
      <c r="P93" s="68">
        <f>VLOOKUP(B93,'114+320'!$B$15:$AB$115,14,FALSE)</f>
        <v>-303</v>
      </c>
      <c r="Q93" s="66">
        <f>'114+320'!R94</f>
        <v>0</v>
      </c>
      <c r="R93" s="65">
        <f t="shared" si="21"/>
        <v>123</v>
      </c>
      <c r="S93" s="70">
        <f>VLOOKUP(B93,'114+320'!$B$14:$AB$115,22,FALSE)</f>
        <v>689</v>
      </c>
      <c r="T93" s="69">
        <f>VLOOKUP(B93,'114+320'!$B$15:$AB$115,6,FALSE)</f>
        <v>587</v>
      </c>
      <c r="U93" s="68">
        <f t="shared" si="17"/>
        <v>1769</v>
      </c>
      <c r="V93" s="77">
        <f>VLOOKUP(B93,'114+320'!$B$15:$AB$115,15,FALSE)</f>
        <v>-231</v>
      </c>
      <c r="W93" s="66">
        <f>'114+320'!S94</f>
        <v>0</v>
      </c>
      <c r="X93" s="65">
        <f t="shared" si="22"/>
        <v>111</v>
      </c>
      <c r="Y93" s="64">
        <f t="shared" si="23"/>
        <v>0</v>
      </c>
      <c r="Z93" s="63">
        <f t="shared" si="24"/>
        <v>0</v>
      </c>
      <c r="AA93" s="62">
        <f t="shared" si="25"/>
        <v>0.89900000000000002</v>
      </c>
      <c r="AB93" s="62">
        <f t="shared" si="26"/>
        <v>0.73399999999999999</v>
      </c>
      <c r="AC93" s="51"/>
      <c r="AD93" s="51"/>
      <c r="AE93" s="51"/>
      <c r="AF93" s="51"/>
    </row>
    <row r="94" spans="1:32" s="78" customFormat="1" ht="15" customHeight="1" thickTop="1">
      <c r="A94" s="79"/>
      <c r="B94" s="106">
        <f>'114+320'!B95</f>
        <v>45124</v>
      </c>
      <c r="C94" s="75">
        <f t="shared" si="18"/>
        <v>1</v>
      </c>
      <c r="D94" s="74">
        <f t="shared" si="19"/>
        <v>842</v>
      </c>
      <c r="E94" s="73">
        <f>VLOOKUP(B94,'114+320'!B95:AB196,3,FALSE)</f>
        <v>1512</v>
      </c>
      <c r="F94" s="69">
        <f t="shared" si="14"/>
        <v>2354</v>
      </c>
      <c r="G94" s="72">
        <f>VLOOKUP(B94,'114+320'!$B$15:$AB$115,20,FALSE)</f>
        <v>694</v>
      </c>
      <c r="H94" s="72">
        <f>VLOOKUP(B94,'114+320'!$B$15:$AB$115,4,FALSE)</f>
        <v>640</v>
      </c>
      <c r="I94" s="68">
        <f t="shared" si="15"/>
        <v>1714</v>
      </c>
      <c r="J94" s="68">
        <f>VLOOKUP(B94,'114+320'!$B$15:$AB$115,13,FALSE)</f>
        <v>-286</v>
      </c>
      <c r="K94" s="66">
        <f>'114+320'!Q95</f>
        <v>0</v>
      </c>
      <c r="L94" s="65">
        <f t="shared" si="20"/>
        <v>106</v>
      </c>
      <c r="M94" s="70">
        <f>VLOOKUP(B94,'114+320'!$B$14:$AB$115,21,FALSE)</f>
        <v>677</v>
      </c>
      <c r="N94" s="69">
        <f>VLOOKUP(B94,'114+320'!$B$15:$AB$115,5,FALSE)</f>
        <v>657</v>
      </c>
      <c r="O94" s="68">
        <f t="shared" si="16"/>
        <v>1697</v>
      </c>
      <c r="P94" s="68">
        <f>VLOOKUP(B94,'114+320'!$B$15:$AB$115,14,FALSE)</f>
        <v>-303</v>
      </c>
      <c r="Q94" s="66">
        <f>'114+320'!R95</f>
        <v>0</v>
      </c>
      <c r="R94" s="65">
        <f t="shared" si="21"/>
        <v>123</v>
      </c>
      <c r="S94" s="70">
        <f>VLOOKUP(B94,'114+320'!$B$14:$AB$115,22,FALSE)</f>
        <v>689</v>
      </c>
      <c r="T94" s="69">
        <f>VLOOKUP(B94,'114+320'!$B$15:$AB$115,6,FALSE)</f>
        <v>585</v>
      </c>
      <c r="U94" s="68">
        <f t="shared" si="17"/>
        <v>1769</v>
      </c>
      <c r="V94" s="77">
        <f>VLOOKUP(B94,'114+320'!$B$15:$AB$115,15,FALSE)</f>
        <v>-231</v>
      </c>
      <c r="W94" s="66">
        <f>'114+320'!S95</f>
        <v>0</v>
      </c>
      <c r="X94" s="65">
        <f t="shared" si="22"/>
        <v>111</v>
      </c>
      <c r="Y94" s="64">
        <f t="shared" si="23"/>
        <v>0</v>
      </c>
      <c r="Z94" s="63">
        <f t="shared" si="24"/>
        <v>0</v>
      </c>
      <c r="AA94" s="62">
        <f t="shared" si="25"/>
        <v>0.89900000000000002</v>
      </c>
      <c r="AB94" s="62">
        <f t="shared" si="26"/>
        <v>0.73399999999999999</v>
      </c>
      <c r="AC94" s="51"/>
      <c r="AD94" s="51"/>
      <c r="AE94" s="51"/>
      <c r="AF94" s="51"/>
    </row>
    <row r="95" spans="1:32" s="78" customFormat="1" ht="15" customHeight="1">
      <c r="A95" s="79"/>
      <c r="B95" s="106">
        <f>'114+320'!B96</f>
        <v>45125</v>
      </c>
      <c r="C95" s="75">
        <f t="shared" si="18"/>
        <v>1</v>
      </c>
      <c r="D95" s="74">
        <f t="shared" si="19"/>
        <v>842</v>
      </c>
      <c r="E95" s="73">
        <f>VLOOKUP(B95,'114+320'!B96:AB197,3,FALSE)</f>
        <v>1510</v>
      </c>
      <c r="F95" s="69">
        <f t="shared" si="14"/>
        <v>2352</v>
      </c>
      <c r="G95" s="72">
        <f>VLOOKUP(B95,'114+320'!$B$15:$AB$115,20,FALSE)</f>
        <v>694</v>
      </c>
      <c r="H95" s="72">
        <f>VLOOKUP(B95,'114+320'!$B$15:$AB$115,4,FALSE)</f>
        <v>638</v>
      </c>
      <c r="I95" s="68">
        <f t="shared" si="15"/>
        <v>1714</v>
      </c>
      <c r="J95" s="68">
        <f>VLOOKUP(B95,'114+320'!$B$15:$AB$115,13,FALSE)</f>
        <v>-286</v>
      </c>
      <c r="K95" s="66">
        <f>'114+320'!Q96</f>
        <v>0</v>
      </c>
      <c r="L95" s="65">
        <f t="shared" si="20"/>
        <v>106</v>
      </c>
      <c r="M95" s="70">
        <f>VLOOKUP(B95,'114+320'!$B$14:$AB$115,21,FALSE)</f>
        <v>677</v>
      </c>
      <c r="N95" s="69">
        <f>VLOOKUP(B95,'114+320'!$B$15:$AB$115,5,FALSE)</f>
        <v>655</v>
      </c>
      <c r="O95" s="68">
        <f t="shared" si="16"/>
        <v>1697</v>
      </c>
      <c r="P95" s="68">
        <f>VLOOKUP(B95,'114+320'!$B$15:$AB$115,14,FALSE)</f>
        <v>-303</v>
      </c>
      <c r="Q95" s="66">
        <f>'114+320'!R96</f>
        <v>0</v>
      </c>
      <c r="R95" s="65">
        <f t="shared" si="21"/>
        <v>123</v>
      </c>
      <c r="S95" s="70">
        <f>VLOOKUP(B95,'114+320'!$B$14:$AB$115,22,FALSE)</f>
        <v>689</v>
      </c>
      <c r="T95" s="69">
        <f>VLOOKUP(B95,'114+320'!$B$15:$AB$115,6,FALSE)</f>
        <v>583</v>
      </c>
      <c r="U95" s="68">
        <f t="shared" si="17"/>
        <v>1769</v>
      </c>
      <c r="V95" s="77">
        <f>VLOOKUP(B95,'114+320'!$B$15:$AB$115,15,FALSE)</f>
        <v>-231</v>
      </c>
      <c r="W95" s="66">
        <f>'114+320'!S96</f>
        <v>0</v>
      </c>
      <c r="X95" s="65">
        <f t="shared" si="22"/>
        <v>111</v>
      </c>
      <c r="Y95" s="64">
        <f t="shared" si="23"/>
        <v>0</v>
      </c>
      <c r="Z95" s="63">
        <f t="shared" si="24"/>
        <v>0</v>
      </c>
      <c r="AA95" s="62">
        <f t="shared" si="25"/>
        <v>0.89900000000000002</v>
      </c>
      <c r="AB95" s="62">
        <f t="shared" si="26"/>
        <v>0.73399999999999999</v>
      </c>
      <c r="AC95" s="51"/>
      <c r="AD95" s="51"/>
      <c r="AE95" s="51"/>
      <c r="AF95" s="51"/>
    </row>
    <row r="96" spans="1:32" s="78" customFormat="1" ht="15" customHeight="1">
      <c r="A96" s="79"/>
      <c r="B96" s="106">
        <f>'114+320'!B97</f>
        <v>45126</v>
      </c>
      <c r="C96" s="75">
        <f t="shared" si="18"/>
        <v>1</v>
      </c>
      <c r="D96" s="74">
        <f t="shared" si="19"/>
        <v>842</v>
      </c>
      <c r="E96" s="73">
        <f>VLOOKUP(B96,'114+320'!B97:AB198,3,FALSE)</f>
        <v>1508</v>
      </c>
      <c r="F96" s="69">
        <f t="shared" si="14"/>
        <v>2350</v>
      </c>
      <c r="G96" s="72">
        <f>VLOOKUP(B96,'114+320'!$B$15:$AB$115,20,FALSE)</f>
        <v>694</v>
      </c>
      <c r="H96" s="72">
        <f>VLOOKUP(B96,'114+320'!$B$15:$AB$115,4,FALSE)</f>
        <v>636</v>
      </c>
      <c r="I96" s="68">
        <f t="shared" si="15"/>
        <v>1714</v>
      </c>
      <c r="J96" s="68">
        <f>VLOOKUP(B96,'114+320'!$B$15:$AB$115,13,FALSE)</f>
        <v>-286</v>
      </c>
      <c r="K96" s="66">
        <f>'114+320'!Q97</f>
        <v>0</v>
      </c>
      <c r="L96" s="65">
        <f t="shared" si="20"/>
        <v>106</v>
      </c>
      <c r="M96" s="70">
        <f>VLOOKUP(B96,'114+320'!$B$14:$AB$115,21,FALSE)</f>
        <v>677</v>
      </c>
      <c r="N96" s="69">
        <f>VLOOKUP(B96,'114+320'!$B$15:$AB$115,5,FALSE)</f>
        <v>653</v>
      </c>
      <c r="O96" s="68">
        <f t="shared" si="16"/>
        <v>1697</v>
      </c>
      <c r="P96" s="68">
        <f>VLOOKUP(B96,'114+320'!$B$15:$AB$115,14,FALSE)</f>
        <v>-303</v>
      </c>
      <c r="Q96" s="66">
        <f>'114+320'!R97</f>
        <v>0</v>
      </c>
      <c r="R96" s="65">
        <f t="shared" si="21"/>
        <v>123</v>
      </c>
      <c r="S96" s="70">
        <f>VLOOKUP(B96,'114+320'!$B$14:$AB$115,22,FALSE)</f>
        <v>689</v>
      </c>
      <c r="T96" s="69">
        <f>VLOOKUP(B96,'114+320'!$B$15:$AB$115,6,FALSE)</f>
        <v>581</v>
      </c>
      <c r="U96" s="68">
        <f t="shared" si="17"/>
        <v>1769</v>
      </c>
      <c r="V96" s="77">
        <f>VLOOKUP(B96,'114+320'!$B$15:$AB$115,15,FALSE)</f>
        <v>-231</v>
      </c>
      <c r="W96" s="66">
        <f>'114+320'!S97</f>
        <v>0</v>
      </c>
      <c r="X96" s="65">
        <f t="shared" si="22"/>
        <v>111</v>
      </c>
      <c r="Y96" s="64">
        <f t="shared" si="23"/>
        <v>0</v>
      </c>
      <c r="Z96" s="63">
        <f t="shared" si="24"/>
        <v>0</v>
      </c>
      <c r="AA96" s="62">
        <f t="shared" si="25"/>
        <v>0.89900000000000002</v>
      </c>
      <c r="AB96" s="62">
        <f t="shared" si="26"/>
        <v>0.73399999999999999</v>
      </c>
      <c r="AC96" s="51"/>
      <c r="AD96" s="51"/>
      <c r="AE96" s="51"/>
      <c r="AF96" s="51"/>
    </row>
    <row r="97" spans="1:32" s="80" customFormat="1" ht="15" customHeight="1">
      <c r="A97" s="79"/>
      <c r="B97" s="106">
        <f>'114+320'!B98</f>
        <v>45127</v>
      </c>
      <c r="C97" s="75">
        <f t="shared" si="18"/>
        <v>1</v>
      </c>
      <c r="D97" s="74">
        <f t="shared" si="19"/>
        <v>842</v>
      </c>
      <c r="E97" s="73">
        <f>VLOOKUP(B97,'114+320'!B98:AB199,3,FALSE)</f>
        <v>1506</v>
      </c>
      <c r="F97" s="69">
        <f t="shared" si="14"/>
        <v>2348</v>
      </c>
      <c r="G97" s="72">
        <f>VLOOKUP(B97,'114+320'!$B$15:$AB$115,20,FALSE)</f>
        <v>694</v>
      </c>
      <c r="H97" s="72">
        <f>VLOOKUP(B97,'114+320'!$B$15:$AB$115,4,FALSE)</f>
        <v>634</v>
      </c>
      <c r="I97" s="68">
        <f t="shared" si="15"/>
        <v>1714</v>
      </c>
      <c r="J97" s="68">
        <f>VLOOKUP(B97,'114+320'!$B$15:$AB$115,13,FALSE)</f>
        <v>-286</v>
      </c>
      <c r="K97" s="66">
        <f>'114+320'!Q98</f>
        <v>0</v>
      </c>
      <c r="L97" s="65">
        <f t="shared" si="20"/>
        <v>106</v>
      </c>
      <c r="M97" s="70">
        <f>VLOOKUP(B97,'114+320'!$B$14:$AB$115,21,FALSE)</f>
        <v>677</v>
      </c>
      <c r="N97" s="69">
        <f>VLOOKUP(B97,'114+320'!$B$15:$AB$115,5,FALSE)</f>
        <v>651</v>
      </c>
      <c r="O97" s="68">
        <f t="shared" si="16"/>
        <v>1697</v>
      </c>
      <c r="P97" s="68">
        <f>VLOOKUP(B97,'114+320'!$B$15:$AB$115,14,FALSE)</f>
        <v>-303</v>
      </c>
      <c r="Q97" s="66">
        <f>'114+320'!R98</f>
        <v>0</v>
      </c>
      <c r="R97" s="65">
        <f t="shared" si="21"/>
        <v>123</v>
      </c>
      <c r="S97" s="70">
        <f>VLOOKUP(B97,'114+320'!$B$14:$AB$115,22,FALSE)</f>
        <v>689</v>
      </c>
      <c r="T97" s="69">
        <f>VLOOKUP(B97,'114+320'!$B$15:$AB$115,6,FALSE)</f>
        <v>579</v>
      </c>
      <c r="U97" s="68">
        <f t="shared" si="17"/>
        <v>1769</v>
      </c>
      <c r="V97" s="77">
        <f>VLOOKUP(B97,'114+320'!$B$15:$AB$115,15,FALSE)</f>
        <v>-231</v>
      </c>
      <c r="W97" s="66">
        <f>'114+320'!S98</f>
        <v>0</v>
      </c>
      <c r="X97" s="65">
        <f t="shared" si="22"/>
        <v>111</v>
      </c>
      <c r="Y97" s="64">
        <f t="shared" si="23"/>
        <v>0</v>
      </c>
      <c r="Z97" s="63">
        <f t="shared" si="24"/>
        <v>0</v>
      </c>
      <c r="AA97" s="62">
        <f t="shared" si="25"/>
        <v>0.89900000000000002</v>
      </c>
      <c r="AB97" s="62">
        <f t="shared" si="26"/>
        <v>0.73399999999999999</v>
      </c>
      <c r="AC97" s="81"/>
      <c r="AD97" s="81"/>
      <c r="AE97" s="81"/>
      <c r="AF97" s="81"/>
    </row>
    <row r="98" spans="1:32" s="78" customFormat="1" ht="15" customHeight="1">
      <c r="A98" s="79"/>
      <c r="B98" s="106">
        <f>'114+320'!B99</f>
        <v>45128</v>
      </c>
      <c r="C98" s="75">
        <f t="shared" si="18"/>
        <v>1</v>
      </c>
      <c r="D98" s="74">
        <f t="shared" si="19"/>
        <v>842</v>
      </c>
      <c r="E98" s="73">
        <f>VLOOKUP(B98,'114+320'!B99:AB200,3,FALSE)</f>
        <v>1504</v>
      </c>
      <c r="F98" s="69">
        <f t="shared" si="14"/>
        <v>2346</v>
      </c>
      <c r="G98" s="72">
        <f>VLOOKUP(B98,'114+320'!$B$15:$AB$115,20,FALSE)</f>
        <v>694</v>
      </c>
      <c r="H98" s="72">
        <f>VLOOKUP(B98,'114+320'!$B$15:$AB$115,4,FALSE)</f>
        <v>632</v>
      </c>
      <c r="I98" s="68">
        <f t="shared" si="15"/>
        <v>1714</v>
      </c>
      <c r="J98" s="68">
        <f>VLOOKUP(B98,'114+320'!$B$15:$AB$115,13,FALSE)</f>
        <v>-286</v>
      </c>
      <c r="K98" s="66">
        <f>'114+320'!Q99</f>
        <v>0</v>
      </c>
      <c r="L98" s="65">
        <f t="shared" si="20"/>
        <v>106</v>
      </c>
      <c r="M98" s="70">
        <f>VLOOKUP(B98,'114+320'!$B$14:$AB$115,21,FALSE)</f>
        <v>677</v>
      </c>
      <c r="N98" s="69">
        <f>VLOOKUP(B98,'114+320'!$B$15:$AB$115,5,FALSE)</f>
        <v>649</v>
      </c>
      <c r="O98" s="68">
        <f t="shared" si="16"/>
        <v>1697</v>
      </c>
      <c r="P98" s="68">
        <f>VLOOKUP(B98,'114+320'!$B$15:$AB$115,14,FALSE)</f>
        <v>-303</v>
      </c>
      <c r="Q98" s="66">
        <f>'114+320'!R99</f>
        <v>0</v>
      </c>
      <c r="R98" s="65">
        <f t="shared" si="21"/>
        <v>123</v>
      </c>
      <c r="S98" s="70">
        <f>VLOOKUP(B98,'114+320'!$B$14:$AB$115,22,FALSE)</f>
        <v>689</v>
      </c>
      <c r="T98" s="69">
        <f>VLOOKUP(B98,'114+320'!$B$15:$AB$115,6,FALSE)</f>
        <v>577</v>
      </c>
      <c r="U98" s="68">
        <f t="shared" si="17"/>
        <v>1769</v>
      </c>
      <c r="V98" s="77">
        <f>VLOOKUP(B98,'114+320'!$B$15:$AB$115,15,FALSE)</f>
        <v>-231</v>
      </c>
      <c r="W98" s="66">
        <f>'114+320'!S99</f>
        <v>0</v>
      </c>
      <c r="X98" s="65">
        <f t="shared" si="22"/>
        <v>111</v>
      </c>
      <c r="Y98" s="64">
        <f t="shared" si="23"/>
        <v>0</v>
      </c>
      <c r="Z98" s="63">
        <f t="shared" si="24"/>
        <v>0</v>
      </c>
      <c r="AA98" s="62">
        <f t="shared" si="25"/>
        <v>0.89900000000000002</v>
      </c>
      <c r="AB98" s="62">
        <f t="shared" si="26"/>
        <v>0.73399999999999999</v>
      </c>
      <c r="AC98" s="51"/>
      <c r="AD98" s="51"/>
      <c r="AE98" s="51"/>
      <c r="AF98" s="51"/>
    </row>
    <row r="99" spans="1:32" s="78" customFormat="1" ht="15" customHeight="1">
      <c r="A99" s="79"/>
      <c r="B99" s="106">
        <f>'114+320'!B100</f>
        <v>45129</v>
      </c>
      <c r="C99" s="75">
        <f t="shared" si="18"/>
        <v>1</v>
      </c>
      <c r="D99" s="74">
        <f t="shared" si="19"/>
        <v>842</v>
      </c>
      <c r="E99" s="73">
        <f>VLOOKUP(B99,'114+320'!B100:AB201,3,FALSE)</f>
        <v>1502</v>
      </c>
      <c r="F99" s="69">
        <f t="shared" si="14"/>
        <v>2344</v>
      </c>
      <c r="G99" s="72">
        <f>VLOOKUP(B99,'114+320'!$B$15:$AB$115,20,FALSE)</f>
        <v>694</v>
      </c>
      <c r="H99" s="72">
        <f>VLOOKUP(B99,'114+320'!$B$15:$AB$115,4,FALSE)</f>
        <v>630</v>
      </c>
      <c r="I99" s="68">
        <f t="shared" si="15"/>
        <v>1714</v>
      </c>
      <c r="J99" s="68">
        <f>VLOOKUP(B99,'114+320'!$B$15:$AB$115,13,FALSE)</f>
        <v>-286</v>
      </c>
      <c r="K99" s="66">
        <f>'114+320'!Q100</f>
        <v>0</v>
      </c>
      <c r="L99" s="65">
        <f t="shared" si="20"/>
        <v>106</v>
      </c>
      <c r="M99" s="70">
        <f>VLOOKUP(B99,'114+320'!$B$14:$AB$115,21,FALSE)</f>
        <v>677</v>
      </c>
      <c r="N99" s="69">
        <f>VLOOKUP(B99,'114+320'!$B$15:$AB$115,5,FALSE)</f>
        <v>647</v>
      </c>
      <c r="O99" s="68">
        <f t="shared" si="16"/>
        <v>1697</v>
      </c>
      <c r="P99" s="68">
        <f>VLOOKUP(B99,'114+320'!$B$15:$AB$115,14,FALSE)</f>
        <v>-303</v>
      </c>
      <c r="Q99" s="66">
        <f>'114+320'!R100</f>
        <v>0</v>
      </c>
      <c r="R99" s="65">
        <f t="shared" si="21"/>
        <v>123</v>
      </c>
      <c r="S99" s="70">
        <f>VLOOKUP(B99,'114+320'!$B$14:$AB$115,22,FALSE)</f>
        <v>689</v>
      </c>
      <c r="T99" s="69">
        <f>VLOOKUP(B99,'114+320'!$B$15:$AB$115,6,FALSE)</f>
        <v>575</v>
      </c>
      <c r="U99" s="68">
        <f t="shared" si="17"/>
        <v>1769</v>
      </c>
      <c r="V99" s="77">
        <f>VLOOKUP(B99,'114+320'!$B$15:$AB$115,15,FALSE)</f>
        <v>-231</v>
      </c>
      <c r="W99" s="66">
        <f>'114+320'!S100</f>
        <v>0</v>
      </c>
      <c r="X99" s="65">
        <f t="shared" si="22"/>
        <v>111</v>
      </c>
      <c r="Y99" s="64">
        <f t="shared" si="23"/>
        <v>0</v>
      </c>
      <c r="Z99" s="63">
        <f t="shared" si="24"/>
        <v>0</v>
      </c>
      <c r="AA99" s="62">
        <f t="shared" si="25"/>
        <v>0.89900000000000002</v>
      </c>
      <c r="AB99" s="62">
        <f t="shared" si="26"/>
        <v>0.73399999999999999</v>
      </c>
      <c r="AC99" s="51"/>
      <c r="AD99" s="51"/>
      <c r="AE99" s="51"/>
      <c r="AF99" s="51"/>
    </row>
    <row r="100" spans="1:32" s="78" customFormat="1" ht="15" customHeight="1">
      <c r="A100" s="79"/>
      <c r="B100" s="106">
        <f>'114+320'!B101</f>
        <v>45130</v>
      </c>
      <c r="C100" s="75">
        <f t="shared" si="18"/>
        <v>1</v>
      </c>
      <c r="D100" s="74">
        <f t="shared" si="19"/>
        <v>842</v>
      </c>
      <c r="E100" s="73">
        <f>VLOOKUP(B100,'114+320'!B101:AB202,3,FALSE)</f>
        <v>1500</v>
      </c>
      <c r="F100" s="69">
        <f t="shared" si="14"/>
        <v>2342</v>
      </c>
      <c r="G100" s="72">
        <f>VLOOKUP(B100,'114+320'!$B$15:$AB$115,20,FALSE)</f>
        <v>694</v>
      </c>
      <c r="H100" s="72">
        <f>VLOOKUP(B100,'114+320'!$B$15:$AB$115,4,FALSE)</f>
        <v>628</v>
      </c>
      <c r="I100" s="68">
        <f t="shared" si="15"/>
        <v>1714</v>
      </c>
      <c r="J100" s="68">
        <f>VLOOKUP(B100,'114+320'!$B$15:$AB$115,13,FALSE)</f>
        <v>-286</v>
      </c>
      <c r="K100" s="66">
        <f>'114+320'!Q101</f>
        <v>0</v>
      </c>
      <c r="L100" s="65">
        <f t="shared" si="20"/>
        <v>106</v>
      </c>
      <c r="M100" s="70">
        <f>VLOOKUP(B100,'114+320'!$B$14:$AB$115,21,FALSE)</f>
        <v>677</v>
      </c>
      <c r="N100" s="69">
        <f>VLOOKUP(B100,'114+320'!$B$15:$AB$115,5,FALSE)</f>
        <v>645</v>
      </c>
      <c r="O100" s="68">
        <f t="shared" si="16"/>
        <v>1697</v>
      </c>
      <c r="P100" s="68">
        <f>VLOOKUP(B100,'114+320'!$B$15:$AB$115,14,FALSE)</f>
        <v>-303</v>
      </c>
      <c r="Q100" s="66">
        <f>'114+320'!R101</f>
        <v>0</v>
      </c>
      <c r="R100" s="65">
        <f t="shared" si="21"/>
        <v>123</v>
      </c>
      <c r="S100" s="70">
        <f>VLOOKUP(B100,'114+320'!$B$14:$AB$115,22,FALSE)</f>
        <v>689</v>
      </c>
      <c r="T100" s="69">
        <f>VLOOKUP(B100,'114+320'!$B$15:$AB$115,6,FALSE)</f>
        <v>573</v>
      </c>
      <c r="U100" s="68">
        <f t="shared" si="17"/>
        <v>1769</v>
      </c>
      <c r="V100" s="77">
        <f>VLOOKUP(B100,'114+320'!$B$15:$AB$115,15,FALSE)</f>
        <v>-231</v>
      </c>
      <c r="W100" s="66">
        <f>'114+320'!S101</f>
        <v>0</v>
      </c>
      <c r="X100" s="65">
        <f t="shared" si="22"/>
        <v>111</v>
      </c>
      <c r="Y100" s="64">
        <f t="shared" si="23"/>
        <v>0</v>
      </c>
      <c r="Z100" s="63">
        <f t="shared" si="24"/>
        <v>0</v>
      </c>
      <c r="AA100" s="62">
        <f t="shared" si="25"/>
        <v>0.89900000000000002</v>
      </c>
      <c r="AB100" s="62">
        <f t="shared" si="26"/>
        <v>0.73399999999999999</v>
      </c>
      <c r="AC100" s="51"/>
      <c r="AD100" s="51"/>
      <c r="AE100" s="51"/>
      <c r="AF100" s="51"/>
    </row>
    <row r="101" spans="1:32" s="78" customFormat="1" ht="15" customHeight="1">
      <c r="A101" s="79"/>
      <c r="B101" s="106">
        <f>'114+320'!B102</f>
        <v>45131</v>
      </c>
      <c r="C101" s="75">
        <f t="shared" si="18"/>
        <v>1</v>
      </c>
      <c r="D101" s="74">
        <f t="shared" si="19"/>
        <v>842</v>
      </c>
      <c r="E101" s="73">
        <f>VLOOKUP(B101,'114+320'!B102:AB203,3,FALSE)</f>
        <v>1498</v>
      </c>
      <c r="F101" s="69">
        <f t="shared" si="14"/>
        <v>2340</v>
      </c>
      <c r="G101" s="72">
        <f>VLOOKUP(B101,'114+320'!$B$15:$AB$115,20,FALSE)</f>
        <v>694</v>
      </c>
      <c r="H101" s="72">
        <f>VLOOKUP(B101,'114+320'!$B$15:$AB$115,4,FALSE)</f>
        <v>626</v>
      </c>
      <c r="I101" s="68">
        <f t="shared" si="15"/>
        <v>1714</v>
      </c>
      <c r="J101" s="68">
        <f>VLOOKUP(B101,'114+320'!$B$15:$AB$115,13,FALSE)</f>
        <v>-286</v>
      </c>
      <c r="K101" s="66">
        <f>'114+320'!Q102</f>
        <v>0</v>
      </c>
      <c r="L101" s="65">
        <f t="shared" si="20"/>
        <v>106</v>
      </c>
      <c r="M101" s="70">
        <f>VLOOKUP(B101,'114+320'!$B$14:$AB$115,21,FALSE)</f>
        <v>677</v>
      </c>
      <c r="N101" s="69">
        <f>VLOOKUP(B101,'114+320'!$B$15:$AB$115,5,FALSE)</f>
        <v>643</v>
      </c>
      <c r="O101" s="68">
        <f t="shared" si="16"/>
        <v>1697</v>
      </c>
      <c r="P101" s="68">
        <f>VLOOKUP(B101,'114+320'!$B$15:$AB$115,14,FALSE)</f>
        <v>-303</v>
      </c>
      <c r="Q101" s="66">
        <f>'114+320'!R102</f>
        <v>0</v>
      </c>
      <c r="R101" s="65">
        <f t="shared" si="21"/>
        <v>123</v>
      </c>
      <c r="S101" s="70">
        <f>VLOOKUP(B101,'114+320'!$B$14:$AB$115,22,FALSE)</f>
        <v>689</v>
      </c>
      <c r="T101" s="69">
        <f>VLOOKUP(B101,'114+320'!$B$15:$AB$115,6,FALSE)</f>
        <v>571</v>
      </c>
      <c r="U101" s="68">
        <f t="shared" si="17"/>
        <v>1769</v>
      </c>
      <c r="V101" s="77">
        <f>VLOOKUP(B101,'114+320'!$B$15:$AB$115,15,FALSE)</f>
        <v>-231</v>
      </c>
      <c r="W101" s="66">
        <f>'114+320'!S102</f>
        <v>0</v>
      </c>
      <c r="X101" s="65">
        <f t="shared" si="22"/>
        <v>111</v>
      </c>
      <c r="Y101" s="64">
        <f t="shared" si="23"/>
        <v>0</v>
      </c>
      <c r="Z101" s="63">
        <f t="shared" si="24"/>
        <v>0</v>
      </c>
      <c r="AA101" s="62">
        <f t="shared" si="25"/>
        <v>0.89900000000000002</v>
      </c>
      <c r="AB101" s="62">
        <f t="shared" si="26"/>
        <v>0.73399999999999999</v>
      </c>
      <c r="AC101" s="51"/>
      <c r="AD101" s="51"/>
      <c r="AE101" s="51"/>
      <c r="AF101" s="51"/>
    </row>
    <row r="102" spans="1:32" s="78" customFormat="1" ht="15" customHeight="1">
      <c r="A102" s="79"/>
      <c r="B102" s="106">
        <f>'114+320'!B103</f>
        <v>45132</v>
      </c>
      <c r="C102" s="75">
        <f t="shared" si="18"/>
        <v>1</v>
      </c>
      <c r="D102" s="74">
        <f t="shared" si="19"/>
        <v>842</v>
      </c>
      <c r="E102" s="73">
        <f>VLOOKUP(B102,'114+320'!B103:AB204,3,FALSE)</f>
        <v>1496</v>
      </c>
      <c r="F102" s="69">
        <f t="shared" si="14"/>
        <v>2338</v>
      </c>
      <c r="G102" s="72">
        <f>VLOOKUP(B102,'114+320'!$B$15:$AB$115,20,FALSE)</f>
        <v>694</v>
      </c>
      <c r="H102" s="72">
        <f>VLOOKUP(B102,'114+320'!$B$15:$AB$115,4,FALSE)</f>
        <v>624</v>
      </c>
      <c r="I102" s="68">
        <f t="shared" si="15"/>
        <v>1714</v>
      </c>
      <c r="J102" s="68">
        <f>VLOOKUP(B102,'114+320'!$B$15:$AB$115,13,FALSE)</f>
        <v>-286</v>
      </c>
      <c r="K102" s="66">
        <f>'114+320'!Q103</f>
        <v>0</v>
      </c>
      <c r="L102" s="65">
        <f t="shared" si="20"/>
        <v>106</v>
      </c>
      <c r="M102" s="70">
        <f>VLOOKUP(B102,'114+320'!$B$14:$AB$115,21,FALSE)</f>
        <v>677</v>
      </c>
      <c r="N102" s="69">
        <f>VLOOKUP(B102,'114+320'!$B$15:$AB$115,5,FALSE)</f>
        <v>641</v>
      </c>
      <c r="O102" s="68">
        <f t="shared" si="16"/>
        <v>1697</v>
      </c>
      <c r="P102" s="68">
        <f>VLOOKUP(B102,'114+320'!$B$15:$AB$115,14,FALSE)</f>
        <v>-303</v>
      </c>
      <c r="Q102" s="66">
        <f>'114+320'!R103</f>
        <v>0</v>
      </c>
      <c r="R102" s="65">
        <f t="shared" si="21"/>
        <v>123</v>
      </c>
      <c r="S102" s="70">
        <f>VLOOKUP(B102,'114+320'!$B$14:$AB$115,22,FALSE)</f>
        <v>689</v>
      </c>
      <c r="T102" s="69">
        <f>VLOOKUP(B102,'114+320'!$B$15:$AB$115,6,FALSE)</f>
        <v>569</v>
      </c>
      <c r="U102" s="68">
        <f t="shared" si="17"/>
        <v>1769</v>
      </c>
      <c r="V102" s="77">
        <f>VLOOKUP(B102,'114+320'!$B$15:$AB$115,15,FALSE)</f>
        <v>-231</v>
      </c>
      <c r="W102" s="66">
        <f>'114+320'!S103</f>
        <v>0</v>
      </c>
      <c r="X102" s="65">
        <f t="shared" si="22"/>
        <v>111</v>
      </c>
      <c r="Y102" s="64">
        <f t="shared" si="23"/>
        <v>0</v>
      </c>
      <c r="Z102" s="63">
        <f t="shared" si="24"/>
        <v>0</v>
      </c>
      <c r="AA102" s="62">
        <f t="shared" si="25"/>
        <v>0.89900000000000002</v>
      </c>
      <c r="AB102" s="62">
        <f t="shared" si="26"/>
        <v>0.73399999999999999</v>
      </c>
      <c r="AC102" s="51"/>
      <c r="AD102" s="51"/>
      <c r="AE102" s="51"/>
      <c r="AF102" s="51"/>
    </row>
    <row r="103" spans="1:32" s="78" customFormat="1" ht="15" customHeight="1">
      <c r="A103" s="79"/>
      <c r="B103" s="106">
        <f>'114+320'!B104</f>
        <v>45133</v>
      </c>
      <c r="C103" s="75">
        <f t="shared" si="18"/>
        <v>1</v>
      </c>
      <c r="D103" s="74">
        <f t="shared" si="19"/>
        <v>842</v>
      </c>
      <c r="E103" s="73">
        <f>VLOOKUP(B103,'114+320'!B104:AB205,3,FALSE)</f>
        <v>1494</v>
      </c>
      <c r="F103" s="69">
        <f t="shared" si="14"/>
        <v>2336</v>
      </c>
      <c r="G103" s="72">
        <f>VLOOKUP(B103,'114+320'!$B$15:$AB$115,20,FALSE)</f>
        <v>694</v>
      </c>
      <c r="H103" s="72">
        <f>VLOOKUP(B103,'114+320'!$B$15:$AB$115,4,FALSE)</f>
        <v>622</v>
      </c>
      <c r="I103" s="68">
        <f t="shared" si="15"/>
        <v>1714</v>
      </c>
      <c r="J103" s="68">
        <f>VLOOKUP(B103,'114+320'!$B$15:$AB$115,13,FALSE)</f>
        <v>-286</v>
      </c>
      <c r="K103" s="66">
        <f>'114+320'!Q104</f>
        <v>0</v>
      </c>
      <c r="L103" s="65">
        <f t="shared" si="20"/>
        <v>106</v>
      </c>
      <c r="M103" s="70">
        <f>VLOOKUP(B103,'114+320'!$B$14:$AB$115,21,FALSE)</f>
        <v>677</v>
      </c>
      <c r="N103" s="69">
        <f>VLOOKUP(B103,'114+320'!$B$15:$AB$115,5,FALSE)</f>
        <v>639</v>
      </c>
      <c r="O103" s="68">
        <f t="shared" si="16"/>
        <v>1697</v>
      </c>
      <c r="P103" s="68">
        <f>VLOOKUP(B103,'114+320'!$B$15:$AB$115,14,FALSE)</f>
        <v>-303</v>
      </c>
      <c r="Q103" s="66">
        <f>'114+320'!R104</f>
        <v>0</v>
      </c>
      <c r="R103" s="65">
        <f t="shared" si="21"/>
        <v>123</v>
      </c>
      <c r="S103" s="70">
        <f>VLOOKUP(B103,'114+320'!$B$14:$AB$115,22,FALSE)</f>
        <v>689</v>
      </c>
      <c r="T103" s="69">
        <f>VLOOKUP(B103,'114+320'!$B$15:$AB$115,6,FALSE)</f>
        <v>567</v>
      </c>
      <c r="U103" s="68">
        <f t="shared" si="17"/>
        <v>1769</v>
      </c>
      <c r="V103" s="77">
        <f>VLOOKUP(B103,'114+320'!$B$15:$AB$115,15,FALSE)</f>
        <v>-231</v>
      </c>
      <c r="W103" s="66">
        <f>'114+320'!S104</f>
        <v>0</v>
      </c>
      <c r="X103" s="65">
        <f t="shared" si="22"/>
        <v>111</v>
      </c>
      <c r="Y103" s="64">
        <f t="shared" si="23"/>
        <v>0</v>
      </c>
      <c r="Z103" s="63">
        <f t="shared" si="24"/>
        <v>0</v>
      </c>
      <c r="AA103" s="62">
        <f t="shared" si="25"/>
        <v>0.89900000000000002</v>
      </c>
      <c r="AB103" s="62">
        <f t="shared" si="26"/>
        <v>0.73399999999999999</v>
      </c>
      <c r="AC103" s="51"/>
      <c r="AD103" s="51"/>
      <c r="AE103" s="51"/>
      <c r="AF103" s="51"/>
    </row>
    <row r="104" spans="1:32" s="78" customFormat="1" ht="15" customHeight="1">
      <c r="A104" s="79"/>
      <c r="B104" s="106">
        <f>'114+320'!B105</f>
        <v>45134</v>
      </c>
      <c r="C104" s="75">
        <f t="shared" si="18"/>
        <v>1</v>
      </c>
      <c r="D104" s="74">
        <f t="shared" si="19"/>
        <v>842</v>
      </c>
      <c r="E104" s="73">
        <f>VLOOKUP(B104,'114+320'!B105:AB206,3,FALSE)</f>
        <v>1492</v>
      </c>
      <c r="F104" s="69">
        <f t="shared" si="14"/>
        <v>2334</v>
      </c>
      <c r="G104" s="72">
        <f>VLOOKUP(B104,'114+320'!$B$15:$AB$115,20,FALSE)</f>
        <v>694</v>
      </c>
      <c r="H104" s="72">
        <f>VLOOKUP(B104,'114+320'!$B$15:$AB$115,4,FALSE)</f>
        <v>620</v>
      </c>
      <c r="I104" s="68">
        <f t="shared" si="15"/>
        <v>1714</v>
      </c>
      <c r="J104" s="68">
        <f>VLOOKUP(B104,'114+320'!$B$15:$AB$115,13,FALSE)</f>
        <v>-286</v>
      </c>
      <c r="K104" s="66">
        <f>'114+320'!Q105</f>
        <v>0</v>
      </c>
      <c r="L104" s="65">
        <f t="shared" si="20"/>
        <v>106</v>
      </c>
      <c r="M104" s="70">
        <f>VLOOKUP(B104,'114+320'!$B$14:$AB$115,21,FALSE)</f>
        <v>677</v>
      </c>
      <c r="N104" s="69">
        <f>VLOOKUP(B104,'114+320'!$B$15:$AB$115,5,FALSE)</f>
        <v>637</v>
      </c>
      <c r="O104" s="68">
        <f t="shared" si="16"/>
        <v>1697</v>
      </c>
      <c r="P104" s="68">
        <f>VLOOKUP(B104,'114+320'!$B$15:$AB$115,14,FALSE)</f>
        <v>-303</v>
      </c>
      <c r="Q104" s="66">
        <f>'114+320'!R105</f>
        <v>0</v>
      </c>
      <c r="R104" s="65">
        <f t="shared" si="21"/>
        <v>123</v>
      </c>
      <c r="S104" s="70">
        <f>VLOOKUP(B104,'114+320'!$B$14:$AB$115,22,FALSE)</f>
        <v>689</v>
      </c>
      <c r="T104" s="69">
        <f>VLOOKUP(B104,'114+320'!$B$15:$AB$115,6,FALSE)</f>
        <v>565</v>
      </c>
      <c r="U104" s="68">
        <f t="shared" si="17"/>
        <v>1769</v>
      </c>
      <c r="V104" s="77">
        <f>VLOOKUP(B104,'114+320'!$B$15:$AB$115,15,FALSE)</f>
        <v>-231</v>
      </c>
      <c r="W104" s="66">
        <f>'114+320'!S105</f>
        <v>0</v>
      </c>
      <c r="X104" s="65">
        <f t="shared" si="22"/>
        <v>111</v>
      </c>
      <c r="Y104" s="64">
        <f t="shared" si="23"/>
        <v>0</v>
      </c>
      <c r="Z104" s="63">
        <f t="shared" si="24"/>
        <v>0</v>
      </c>
      <c r="AA104" s="62">
        <f t="shared" si="25"/>
        <v>0.89900000000000002</v>
      </c>
      <c r="AB104" s="62">
        <f t="shared" si="26"/>
        <v>0.73399999999999999</v>
      </c>
      <c r="AC104" s="51"/>
      <c r="AD104" s="51"/>
      <c r="AE104" s="51"/>
      <c r="AF104" s="51"/>
    </row>
    <row r="105" spans="1:32" s="78" customFormat="1" ht="15" customHeight="1">
      <c r="A105" s="79"/>
      <c r="B105" s="106">
        <f>'114+320'!B106</f>
        <v>45135</v>
      </c>
      <c r="C105" s="75">
        <f t="shared" si="18"/>
        <v>1</v>
      </c>
      <c r="D105" s="74">
        <f t="shared" si="19"/>
        <v>842</v>
      </c>
      <c r="E105" s="73">
        <f>VLOOKUP(B105,'114+320'!B106:AB207,3,FALSE)</f>
        <v>1490</v>
      </c>
      <c r="F105" s="69">
        <f t="shared" si="14"/>
        <v>2332</v>
      </c>
      <c r="G105" s="72">
        <f>VLOOKUP(B105,'114+320'!$B$15:$AB$115,20,FALSE)</f>
        <v>694</v>
      </c>
      <c r="H105" s="72">
        <f>VLOOKUP(B105,'114+320'!$B$15:$AB$115,4,FALSE)</f>
        <v>618</v>
      </c>
      <c r="I105" s="68">
        <f t="shared" si="15"/>
        <v>1714</v>
      </c>
      <c r="J105" s="68">
        <f>VLOOKUP(B105,'114+320'!$B$15:$AB$115,13,FALSE)</f>
        <v>-286</v>
      </c>
      <c r="K105" s="66">
        <f>'114+320'!Q106</f>
        <v>0</v>
      </c>
      <c r="L105" s="65">
        <f t="shared" si="20"/>
        <v>106</v>
      </c>
      <c r="M105" s="70">
        <f>VLOOKUP(B105,'114+320'!$B$14:$AB$115,21,FALSE)</f>
        <v>677</v>
      </c>
      <c r="N105" s="69">
        <f>VLOOKUP(B105,'114+320'!$B$15:$AB$115,5,FALSE)</f>
        <v>635</v>
      </c>
      <c r="O105" s="68">
        <f t="shared" si="16"/>
        <v>1697</v>
      </c>
      <c r="P105" s="68">
        <f>VLOOKUP(B105,'114+320'!$B$15:$AB$115,14,FALSE)</f>
        <v>-303</v>
      </c>
      <c r="Q105" s="66">
        <f>'114+320'!R106</f>
        <v>0</v>
      </c>
      <c r="R105" s="65">
        <f t="shared" si="21"/>
        <v>123</v>
      </c>
      <c r="S105" s="70">
        <f>VLOOKUP(B105,'114+320'!$B$14:$AB$115,22,FALSE)</f>
        <v>689</v>
      </c>
      <c r="T105" s="69">
        <f>VLOOKUP(B105,'114+320'!$B$15:$AB$115,6,FALSE)</f>
        <v>563</v>
      </c>
      <c r="U105" s="68">
        <f t="shared" si="17"/>
        <v>1769</v>
      </c>
      <c r="V105" s="77">
        <f>VLOOKUP(B105,'114+320'!$B$15:$AB$115,15,FALSE)</f>
        <v>-231</v>
      </c>
      <c r="W105" s="66">
        <f>'114+320'!S106</f>
        <v>0</v>
      </c>
      <c r="X105" s="65">
        <f t="shared" si="22"/>
        <v>111</v>
      </c>
      <c r="Y105" s="64">
        <f t="shared" si="23"/>
        <v>0</v>
      </c>
      <c r="Z105" s="63">
        <f t="shared" si="24"/>
        <v>0</v>
      </c>
      <c r="AA105" s="62">
        <f t="shared" si="25"/>
        <v>0.89900000000000002</v>
      </c>
      <c r="AB105" s="62">
        <f t="shared" si="26"/>
        <v>0.73399999999999999</v>
      </c>
      <c r="AC105" s="51"/>
      <c r="AD105" s="51"/>
      <c r="AE105" s="51"/>
      <c r="AF105" s="51"/>
    </row>
    <row r="106" spans="1:32" s="78" customFormat="1" ht="15" customHeight="1">
      <c r="A106" s="79"/>
      <c r="B106" s="106">
        <f>'114+320'!B107</f>
        <v>45136</v>
      </c>
      <c r="C106" s="75">
        <f t="shared" si="18"/>
        <v>1</v>
      </c>
      <c r="D106" s="74">
        <f t="shared" si="19"/>
        <v>842</v>
      </c>
      <c r="E106" s="73">
        <f>VLOOKUP(B106,'114+320'!B107:AB208,3,FALSE)</f>
        <v>1488</v>
      </c>
      <c r="F106" s="69">
        <f t="shared" si="14"/>
        <v>2330</v>
      </c>
      <c r="G106" s="72">
        <f>VLOOKUP(B106,'114+320'!$B$15:$AB$115,20,FALSE)</f>
        <v>694</v>
      </c>
      <c r="H106" s="72">
        <f>VLOOKUP(B106,'114+320'!$B$15:$AB$115,4,FALSE)</f>
        <v>616</v>
      </c>
      <c r="I106" s="68">
        <f t="shared" si="15"/>
        <v>1714</v>
      </c>
      <c r="J106" s="68">
        <f>VLOOKUP(B106,'114+320'!$B$15:$AB$115,13,FALSE)</f>
        <v>-286</v>
      </c>
      <c r="K106" s="66">
        <f>'114+320'!Q107</f>
        <v>0</v>
      </c>
      <c r="L106" s="65">
        <f t="shared" si="20"/>
        <v>106</v>
      </c>
      <c r="M106" s="70">
        <f>VLOOKUP(B106,'114+320'!$B$14:$AB$115,21,FALSE)</f>
        <v>677</v>
      </c>
      <c r="N106" s="69">
        <f>VLOOKUP(B106,'114+320'!$B$15:$AB$115,5,FALSE)</f>
        <v>633</v>
      </c>
      <c r="O106" s="68">
        <f t="shared" si="16"/>
        <v>1697</v>
      </c>
      <c r="P106" s="68">
        <f>VLOOKUP(B106,'114+320'!$B$15:$AB$115,14,FALSE)</f>
        <v>-303</v>
      </c>
      <c r="Q106" s="66">
        <f>'114+320'!R107</f>
        <v>0</v>
      </c>
      <c r="R106" s="65">
        <f t="shared" si="21"/>
        <v>123</v>
      </c>
      <c r="S106" s="70">
        <f>VLOOKUP(B106,'114+320'!$B$14:$AB$115,22,FALSE)</f>
        <v>689</v>
      </c>
      <c r="T106" s="69">
        <f>VLOOKUP(B106,'114+320'!$B$15:$AB$115,6,FALSE)</f>
        <v>561</v>
      </c>
      <c r="U106" s="68">
        <f t="shared" si="17"/>
        <v>1769</v>
      </c>
      <c r="V106" s="77">
        <f>VLOOKUP(B106,'114+320'!$B$15:$AB$115,15,FALSE)</f>
        <v>-231</v>
      </c>
      <c r="W106" s="66">
        <f>'114+320'!S107</f>
        <v>0</v>
      </c>
      <c r="X106" s="65">
        <f t="shared" si="22"/>
        <v>111</v>
      </c>
      <c r="Y106" s="64">
        <f t="shared" si="23"/>
        <v>0</v>
      </c>
      <c r="Z106" s="63">
        <f t="shared" si="24"/>
        <v>0</v>
      </c>
      <c r="AA106" s="62">
        <f t="shared" si="25"/>
        <v>0.89900000000000002</v>
      </c>
      <c r="AB106" s="62">
        <f t="shared" si="26"/>
        <v>0.73399999999999999</v>
      </c>
      <c r="AC106" s="51"/>
      <c r="AD106" s="51"/>
      <c r="AE106" s="51"/>
      <c r="AF106" s="51"/>
    </row>
    <row r="107" spans="1:32" s="78" customFormat="1" ht="15" customHeight="1">
      <c r="A107" s="79"/>
      <c r="B107" s="106">
        <f>'114+320'!B108</f>
        <v>45137</v>
      </c>
      <c r="C107" s="75">
        <f t="shared" si="18"/>
        <v>1</v>
      </c>
      <c r="D107" s="74">
        <f t="shared" si="19"/>
        <v>842</v>
      </c>
      <c r="E107" s="73">
        <f>VLOOKUP(B107,'114+320'!B108:AB209,3,FALSE)</f>
        <v>1486</v>
      </c>
      <c r="F107" s="69">
        <f t="shared" si="14"/>
        <v>2328</v>
      </c>
      <c r="G107" s="72">
        <f>VLOOKUP(B107,'114+320'!$B$15:$AB$115,20,FALSE)</f>
        <v>694</v>
      </c>
      <c r="H107" s="72">
        <f>VLOOKUP(B107,'114+320'!$B$15:$AB$115,4,FALSE)</f>
        <v>614</v>
      </c>
      <c r="I107" s="68">
        <f t="shared" si="15"/>
        <v>1714</v>
      </c>
      <c r="J107" s="68">
        <f>VLOOKUP(B107,'114+320'!$B$15:$AB$115,13,FALSE)</f>
        <v>-286</v>
      </c>
      <c r="K107" s="66">
        <f>'114+320'!Q108</f>
        <v>0</v>
      </c>
      <c r="L107" s="65">
        <f t="shared" si="20"/>
        <v>106</v>
      </c>
      <c r="M107" s="70">
        <f>VLOOKUP(B107,'114+320'!$B$14:$AB$115,21,FALSE)</f>
        <v>677</v>
      </c>
      <c r="N107" s="69">
        <f>VLOOKUP(B107,'114+320'!$B$15:$AB$115,5,FALSE)</f>
        <v>631</v>
      </c>
      <c r="O107" s="68">
        <f t="shared" si="16"/>
        <v>1697</v>
      </c>
      <c r="P107" s="68">
        <f>VLOOKUP(B107,'114+320'!$B$15:$AB$115,14,FALSE)</f>
        <v>-303</v>
      </c>
      <c r="Q107" s="66">
        <f>'114+320'!R108</f>
        <v>0</v>
      </c>
      <c r="R107" s="65">
        <f t="shared" si="21"/>
        <v>123</v>
      </c>
      <c r="S107" s="70">
        <f>VLOOKUP(B107,'114+320'!$B$14:$AB$115,22,FALSE)</f>
        <v>689</v>
      </c>
      <c r="T107" s="69">
        <f>VLOOKUP(B107,'114+320'!$B$15:$AB$115,6,FALSE)</f>
        <v>559</v>
      </c>
      <c r="U107" s="68">
        <f t="shared" si="17"/>
        <v>1769</v>
      </c>
      <c r="V107" s="77">
        <f>VLOOKUP(B107,'114+320'!$B$15:$AB$115,15,FALSE)</f>
        <v>-231</v>
      </c>
      <c r="W107" s="66">
        <f>'114+320'!S108</f>
        <v>0</v>
      </c>
      <c r="X107" s="65">
        <f t="shared" si="22"/>
        <v>111</v>
      </c>
      <c r="Y107" s="64">
        <f t="shared" si="23"/>
        <v>0</v>
      </c>
      <c r="Z107" s="63">
        <f t="shared" si="24"/>
        <v>0</v>
      </c>
      <c r="AA107" s="62">
        <f t="shared" si="25"/>
        <v>0.89900000000000002</v>
      </c>
      <c r="AB107" s="62">
        <f t="shared" si="26"/>
        <v>0.73399999999999999</v>
      </c>
      <c r="AC107" s="51"/>
      <c r="AD107" s="51"/>
      <c r="AE107" s="51"/>
      <c r="AF107" s="51"/>
    </row>
    <row r="108" spans="1:32" s="78" customFormat="1" ht="15" customHeight="1">
      <c r="A108" s="79"/>
      <c r="B108" s="106">
        <f>'114+320'!B109</f>
        <v>45138</v>
      </c>
      <c r="C108" s="75">
        <f t="shared" si="18"/>
        <v>1</v>
      </c>
      <c r="D108" s="74">
        <f t="shared" si="19"/>
        <v>842</v>
      </c>
      <c r="E108" s="73">
        <f>VLOOKUP(B108,'114+320'!B109:AB210,3,FALSE)</f>
        <v>1484</v>
      </c>
      <c r="F108" s="69">
        <f t="shared" si="14"/>
        <v>2326</v>
      </c>
      <c r="G108" s="72">
        <f>VLOOKUP(B108,'114+320'!$B$15:$AB$115,20,FALSE)</f>
        <v>694</v>
      </c>
      <c r="H108" s="72">
        <f>VLOOKUP(B108,'114+320'!$B$15:$AB$115,4,FALSE)</f>
        <v>612</v>
      </c>
      <c r="I108" s="68">
        <f t="shared" si="15"/>
        <v>1714</v>
      </c>
      <c r="J108" s="68">
        <f>VLOOKUP(B108,'114+320'!$B$15:$AB$115,13,FALSE)</f>
        <v>-286</v>
      </c>
      <c r="K108" s="66">
        <f>'114+320'!Q109</f>
        <v>0</v>
      </c>
      <c r="L108" s="65">
        <f t="shared" si="20"/>
        <v>106</v>
      </c>
      <c r="M108" s="70">
        <f>VLOOKUP(B108,'114+320'!$B$14:$AB$115,21,FALSE)</f>
        <v>677</v>
      </c>
      <c r="N108" s="69">
        <f>VLOOKUP(B108,'114+320'!$B$15:$AB$115,5,FALSE)</f>
        <v>629</v>
      </c>
      <c r="O108" s="68">
        <f t="shared" si="16"/>
        <v>1697</v>
      </c>
      <c r="P108" s="68">
        <f>VLOOKUP(B108,'114+320'!$B$15:$AB$115,14,FALSE)</f>
        <v>-303</v>
      </c>
      <c r="Q108" s="66">
        <f>'114+320'!R109</f>
        <v>0</v>
      </c>
      <c r="R108" s="65">
        <f t="shared" si="21"/>
        <v>123</v>
      </c>
      <c r="S108" s="70">
        <f>VLOOKUP(B108,'114+320'!$B$14:$AB$115,22,FALSE)</f>
        <v>689</v>
      </c>
      <c r="T108" s="69">
        <f>VLOOKUP(B108,'114+320'!$B$15:$AB$115,6,FALSE)</f>
        <v>557</v>
      </c>
      <c r="U108" s="68">
        <f t="shared" si="17"/>
        <v>1769</v>
      </c>
      <c r="V108" s="77">
        <f>VLOOKUP(B108,'114+320'!$B$15:$AB$115,15,FALSE)</f>
        <v>-231</v>
      </c>
      <c r="W108" s="66">
        <f>'114+320'!S109</f>
        <v>0</v>
      </c>
      <c r="X108" s="65">
        <f t="shared" si="22"/>
        <v>111</v>
      </c>
      <c r="Y108" s="64">
        <f t="shared" si="23"/>
        <v>0</v>
      </c>
      <c r="Z108" s="63">
        <f t="shared" si="24"/>
        <v>0</v>
      </c>
      <c r="AA108" s="62">
        <f t="shared" si="25"/>
        <v>0.89900000000000002</v>
      </c>
      <c r="AB108" s="62">
        <f t="shared" si="26"/>
        <v>0.73399999999999999</v>
      </c>
      <c r="AC108" s="51"/>
      <c r="AD108" s="51"/>
      <c r="AE108" s="51"/>
      <c r="AF108" s="51"/>
    </row>
    <row r="109" spans="1:32" s="78" customFormat="1" ht="15" customHeight="1">
      <c r="A109" s="79"/>
      <c r="B109" s="106">
        <f>'114+320'!B110</f>
        <v>45139</v>
      </c>
      <c r="C109" s="75">
        <f t="shared" si="18"/>
        <v>1</v>
      </c>
      <c r="D109" s="74">
        <f t="shared" si="19"/>
        <v>842</v>
      </c>
      <c r="E109" s="73">
        <f>VLOOKUP(B109,'114+320'!B110:AB211,3,FALSE)</f>
        <v>1482</v>
      </c>
      <c r="F109" s="69">
        <f t="shared" si="14"/>
        <v>2324</v>
      </c>
      <c r="G109" s="72">
        <f>VLOOKUP(B109,'114+320'!$B$15:$AB$115,20,FALSE)</f>
        <v>694</v>
      </c>
      <c r="H109" s="72">
        <f>VLOOKUP(B109,'114+320'!$B$15:$AB$115,4,FALSE)</f>
        <v>610</v>
      </c>
      <c r="I109" s="68">
        <f t="shared" si="15"/>
        <v>1714</v>
      </c>
      <c r="J109" s="68">
        <f>VLOOKUP(B109,'114+320'!$B$15:$AB$115,13,FALSE)</f>
        <v>-286</v>
      </c>
      <c r="K109" s="66">
        <f>'114+320'!Q110</f>
        <v>0</v>
      </c>
      <c r="L109" s="65">
        <f t="shared" si="20"/>
        <v>106</v>
      </c>
      <c r="M109" s="70">
        <f>VLOOKUP(B109,'114+320'!$B$14:$AB$115,21,FALSE)</f>
        <v>677</v>
      </c>
      <c r="N109" s="69">
        <f>VLOOKUP(B109,'114+320'!$B$15:$AB$115,5,FALSE)</f>
        <v>627</v>
      </c>
      <c r="O109" s="68">
        <f t="shared" si="16"/>
        <v>1697</v>
      </c>
      <c r="P109" s="68">
        <f>VLOOKUP(B109,'114+320'!$B$15:$AB$115,14,FALSE)</f>
        <v>-303</v>
      </c>
      <c r="Q109" s="66">
        <f>'114+320'!R110</f>
        <v>0</v>
      </c>
      <c r="R109" s="65">
        <f t="shared" si="21"/>
        <v>123</v>
      </c>
      <c r="S109" s="70">
        <f>VLOOKUP(B109,'114+320'!$B$14:$AB$115,22,FALSE)</f>
        <v>689</v>
      </c>
      <c r="T109" s="69">
        <f>VLOOKUP(B109,'114+320'!$B$15:$AB$115,6,FALSE)</f>
        <v>555</v>
      </c>
      <c r="U109" s="68">
        <f t="shared" si="17"/>
        <v>1769</v>
      </c>
      <c r="V109" s="77">
        <f>VLOOKUP(B109,'114+320'!$B$15:$AB$115,15,FALSE)</f>
        <v>-231</v>
      </c>
      <c r="W109" s="66">
        <f>'114+320'!S110</f>
        <v>0</v>
      </c>
      <c r="X109" s="65">
        <f t="shared" si="22"/>
        <v>111</v>
      </c>
      <c r="Y109" s="64">
        <f t="shared" si="23"/>
        <v>0</v>
      </c>
      <c r="Z109" s="63">
        <f t="shared" si="24"/>
        <v>0</v>
      </c>
      <c r="AA109" s="62">
        <f t="shared" si="25"/>
        <v>0.89900000000000002</v>
      </c>
      <c r="AB109" s="62">
        <f t="shared" si="26"/>
        <v>0.73399999999999999</v>
      </c>
      <c r="AC109" s="51"/>
      <c r="AD109" s="51"/>
      <c r="AE109" s="51"/>
      <c r="AF109" s="51"/>
    </row>
    <row r="110" spans="1:32" s="78" customFormat="1" ht="15" customHeight="1">
      <c r="A110" s="79"/>
      <c r="B110" s="106">
        <f>'114+320'!B111</f>
        <v>45140</v>
      </c>
      <c r="C110" s="75">
        <f t="shared" si="18"/>
        <v>1</v>
      </c>
      <c r="D110" s="74">
        <f t="shared" si="19"/>
        <v>842</v>
      </c>
      <c r="E110" s="73">
        <f>VLOOKUP(B110,'114+320'!B111:AB212,3,FALSE)</f>
        <v>1480</v>
      </c>
      <c r="F110" s="69">
        <f t="shared" si="14"/>
        <v>2322</v>
      </c>
      <c r="G110" s="72">
        <f>VLOOKUP(B110,'114+320'!$B$15:$AB$115,20,FALSE)</f>
        <v>694</v>
      </c>
      <c r="H110" s="72">
        <f>VLOOKUP(B110,'114+320'!$B$15:$AB$115,4,FALSE)</f>
        <v>608</v>
      </c>
      <c r="I110" s="68">
        <f t="shared" si="15"/>
        <v>1714</v>
      </c>
      <c r="J110" s="68">
        <f>VLOOKUP(B110,'114+320'!$B$15:$AB$115,13,FALSE)</f>
        <v>-286</v>
      </c>
      <c r="K110" s="66">
        <f>'114+320'!Q111</f>
        <v>0</v>
      </c>
      <c r="L110" s="65">
        <f t="shared" si="20"/>
        <v>106</v>
      </c>
      <c r="M110" s="70">
        <f>VLOOKUP(B110,'114+320'!$B$14:$AB$115,21,FALSE)</f>
        <v>677</v>
      </c>
      <c r="N110" s="69">
        <f>VLOOKUP(B110,'114+320'!$B$15:$AB$115,5,FALSE)</f>
        <v>625</v>
      </c>
      <c r="O110" s="68">
        <f t="shared" si="16"/>
        <v>1697</v>
      </c>
      <c r="P110" s="68">
        <f>VLOOKUP(B110,'114+320'!$B$15:$AB$115,14,FALSE)</f>
        <v>-303</v>
      </c>
      <c r="Q110" s="66">
        <f>'114+320'!R111</f>
        <v>0</v>
      </c>
      <c r="R110" s="65">
        <f t="shared" si="21"/>
        <v>123</v>
      </c>
      <c r="S110" s="70">
        <f>VLOOKUP(B110,'114+320'!$B$14:$AB$115,22,FALSE)</f>
        <v>689</v>
      </c>
      <c r="T110" s="69">
        <f>VLOOKUP(B110,'114+320'!$B$15:$AB$115,6,FALSE)</f>
        <v>553</v>
      </c>
      <c r="U110" s="68">
        <f t="shared" si="17"/>
        <v>1769</v>
      </c>
      <c r="V110" s="77">
        <f>VLOOKUP(B110,'114+320'!$B$15:$AB$115,15,FALSE)</f>
        <v>-231</v>
      </c>
      <c r="W110" s="66">
        <f>'114+320'!S111</f>
        <v>0</v>
      </c>
      <c r="X110" s="65">
        <f t="shared" si="22"/>
        <v>111</v>
      </c>
      <c r="Y110" s="64">
        <f t="shared" si="23"/>
        <v>0</v>
      </c>
      <c r="Z110" s="63">
        <f t="shared" si="24"/>
        <v>0</v>
      </c>
      <c r="AA110" s="62">
        <f t="shared" si="25"/>
        <v>0.89900000000000002</v>
      </c>
      <c r="AB110" s="62">
        <f t="shared" si="26"/>
        <v>0.73399999999999999</v>
      </c>
      <c r="AC110" s="51"/>
      <c r="AD110" s="51"/>
      <c r="AE110" s="51"/>
      <c r="AF110" s="51"/>
    </row>
    <row r="111" spans="1:32" s="78" customFormat="1" ht="15" customHeight="1">
      <c r="A111" s="79"/>
      <c r="B111" s="106">
        <f>'114+320'!B112</f>
        <v>45141</v>
      </c>
      <c r="C111" s="75">
        <f t="shared" si="18"/>
        <v>1</v>
      </c>
      <c r="D111" s="74">
        <f t="shared" si="19"/>
        <v>842</v>
      </c>
      <c r="E111" s="73">
        <f>VLOOKUP(B111,'114+320'!B112:AB213,3,FALSE)</f>
        <v>1478</v>
      </c>
      <c r="F111" s="69">
        <f t="shared" si="14"/>
        <v>2320</v>
      </c>
      <c r="G111" s="72">
        <f>VLOOKUP(B111,'114+320'!$B$15:$AB$115,20,FALSE)</f>
        <v>694</v>
      </c>
      <c r="H111" s="72">
        <f>VLOOKUP(B111,'114+320'!$B$15:$AB$115,4,FALSE)</f>
        <v>606</v>
      </c>
      <c r="I111" s="68">
        <f t="shared" si="15"/>
        <v>1714</v>
      </c>
      <c r="J111" s="68">
        <f>VLOOKUP(B111,'114+320'!$B$15:$AB$115,13,FALSE)</f>
        <v>-286</v>
      </c>
      <c r="K111" s="66">
        <f>'114+320'!Q112</f>
        <v>0</v>
      </c>
      <c r="L111" s="65">
        <f t="shared" si="20"/>
        <v>106</v>
      </c>
      <c r="M111" s="70">
        <f>VLOOKUP(B111,'114+320'!$B$14:$AB$115,21,FALSE)</f>
        <v>677</v>
      </c>
      <c r="N111" s="69">
        <f>VLOOKUP(B111,'114+320'!$B$15:$AB$115,5,FALSE)</f>
        <v>623</v>
      </c>
      <c r="O111" s="68">
        <f t="shared" si="16"/>
        <v>1697</v>
      </c>
      <c r="P111" s="68">
        <f>VLOOKUP(B111,'114+320'!$B$15:$AB$115,14,FALSE)</f>
        <v>-303</v>
      </c>
      <c r="Q111" s="66">
        <f>'114+320'!R112</f>
        <v>0</v>
      </c>
      <c r="R111" s="65">
        <f t="shared" si="21"/>
        <v>123</v>
      </c>
      <c r="S111" s="70">
        <f>VLOOKUP(B111,'114+320'!$B$14:$AB$115,22,FALSE)</f>
        <v>689</v>
      </c>
      <c r="T111" s="69">
        <f>VLOOKUP(B111,'114+320'!$B$15:$AB$115,6,FALSE)</f>
        <v>551</v>
      </c>
      <c r="U111" s="68">
        <f t="shared" si="17"/>
        <v>1769</v>
      </c>
      <c r="V111" s="77">
        <f>VLOOKUP(B111,'114+320'!$B$15:$AB$115,15,FALSE)</f>
        <v>-231</v>
      </c>
      <c r="W111" s="66">
        <f>'114+320'!S112</f>
        <v>0</v>
      </c>
      <c r="X111" s="65">
        <f t="shared" si="22"/>
        <v>111</v>
      </c>
      <c r="Y111" s="64">
        <f t="shared" si="23"/>
        <v>0</v>
      </c>
      <c r="Z111" s="63">
        <f t="shared" si="24"/>
        <v>0</v>
      </c>
      <c r="AA111" s="62">
        <f t="shared" si="25"/>
        <v>0.89900000000000002</v>
      </c>
      <c r="AB111" s="62">
        <f t="shared" si="26"/>
        <v>0.73399999999999999</v>
      </c>
      <c r="AC111" s="51"/>
      <c r="AD111" s="51"/>
      <c r="AE111" s="51"/>
      <c r="AF111" s="51"/>
    </row>
    <row r="112" spans="1:32" s="78" customFormat="1" ht="15" customHeight="1">
      <c r="A112" s="79"/>
      <c r="B112" s="106">
        <f>'114+320'!B113</f>
        <v>45142</v>
      </c>
      <c r="C112" s="75">
        <f t="shared" si="18"/>
        <v>1</v>
      </c>
      <c r="D112" s="74">
        <f t="shared" si="19"/>
        <v>842</v>
      </c>
      <c r="E112" s="73">
        <f>VLOOKUP(B112,'114+320'!B113:AB214,3,FALSE)</f>
        <v>1476</v>
      </c>
      <c r="F112" s="69">
        <f t="shared" si="14"/>
        <v>2318</v>
      </c>
      <c r="G112" s="72">
        <f>VLOOKUP(B112,'114+320'!$B$15:$AB$115,20,FALSE)</f>
        <v>694</v>
      </c>
      <c r="H112" s="72">
        <f>VLOOKUP(B112,'114+320'!$B$15:$AB$115,4,FALSE)</f>
        <v>604</v>
      </c>
      <c r="I112" s="68">
        <f t="shared" si="15"/>
        <v>1714</v>
      </c>
      <c r="J112" s="68">
        <f>VLOOKUP(B112,'114+320'!$B$15:$AB$115,13,FALSE)</f>
        <v>-286</v>
      </c>
      <c r="K112" s="66">
        <f>'114+320'!Q113</f>
        <v>0</v>
      </c>
      <c r="L112" s="65">
        <f t="shared" si="20"/>
        <v>106</v>
      </c>
      <c r="M112" s="70">
        <f>VLOOKUP(B112,'114+320'!$B$14:$AB$115,21,FALSE)</f>
        <v>677</v>
      </c>
      <c r="N112" s="69">
        <f>VLOOKUP(B112,'114+320'!$B$15:$AB$115,5,FALSE)</f>
        <v>621</v>
      </c>
      <c r="O112" s="68">
        <f t="shared" si="16"/>
        <v>1697</v>
      </c>
      <c r="P112" s="68">
        <f>VLOOKUP(B112,'114+320'!$B$15:$AB$115,14,FALSE)</f>
        <v>-303</v>
      </c>
      <c r="Q112" s="66">
        <f>'114+320'!R113</f>
        <v>0</v>
      </c>
      <c r="R112" s="65">
        <f t="shared" si="21"/>
        <v>123</v>
      </c>
      <c r="S112" s="70">
        <f>VLOOKUP(B112,'114+320'!$B$14:$AB$115,22,FALSE)</f>
        <v>689</v>
      </c>
      <c r="T112" s="69">
        <f>VLOOKUP(B112,'114+320'!$B$15:$AB$115,6,FALSE)</f>
        <v>549</v>
      </c>
      <c r="U112" s="68">
        <f t="shared" si="17"/>
        <v>1769</v>
      </c>
      <c r="V112" s="77">
        <f>VLOOKUP(B112,'114+320'!$B$15:$AB$115,15,FALSE)</f>
        <v>-231</v>
      </c>
      <c r="W112" s="66">
        <f>'114+320'!S113</f>
        <v>0</v>
      </c>
      <c r="X112" s="65">
        <f t="shared" si="22"/>
        <v>111</v>
      </c>
      <c r="Y112" s="64">
        <f t="shared" si="23"/>
        <v>0</v>
      </c>
      <c r="Z112" s="63">
        <f t="shared" si="24"/>
        <v>0</v>
      </c>
      <c r="AA112" s="62">
        <f t="shared" si="25"/>
        <v>0.89900000000000002</v>
      </c>
      <c r="AB112" s="62">
        <f t="shared" si="26"/>
        <v>0.73399999999999999</v>
      </c>
      <c r="AC112" s="51"/>
      <c r="AD112" s="51"/>
      <c r="AE112" s="51"/>
      <c r="AF112" s="51"/>
    </row>
    <row r="113" spans="1:32" s="78" customFormat="1" ht="15" customHeight="1">
      <c r="A113" s="79"/>
      <c r="B113" s="106">
        <f>'114+320'!B114</f>
        <v>45143</v>
      </c>
      <c r="C113" s="75">
        <f t="shared" si="18"/>
        <v>1</v>
      </c>
      <c r="D113" s="74">
        <f t="shared" si="19"/>
        <v>842</v>
      </c>
      <c r="E113" s="73">
        <f>VLOOKUP(B113,'114+320'!B114:AB215,3,FALSE)</f>
        <v>1474</v>
      </c>
      <c r="F113" s="69">
        <f t="shared" si="14"/>
        <v>2316</v>
      </c>
      <c r="G113" s="72">
        <f>VLOOKUP(B113,'114+320'!$B$15:$AB$115,20,FALSE)</f>
        <v>694</v>
      </c>
      <c r="H113" s="72">
        <f>VLOOKUP(B113,'114+320'!$B$15:$AB$115,4,FALSE)</f>
        <v>602</v>
      </c>
      <c r="I113" s="68">
        <f t="shared" si="15"/>
        <v>1714</v>
      </c>
      <c r="J113" s="68">
        <f>VLOOKUP(B113,'114+320'!$B$15:$AB$115,13,FALSE)</f>
        <v>-286</v>
      </c>
      <c r="K113" s="66">
        <f>'114+320'!Q114</f>
        <v>0</v>
      </c>
      <c r="L113" s="65">
        <f t="shared" si="20"/>
        <v>106</v>
      </c>
      <c r="M113" s="70">
        <f>VLOOKUP(B113,'114+320'!$B$14:$AB$115,21,FALSE)</f>
        <v>677</v>
      </c>
      <c r="N113" s="69">
        <f>VLOOKUP(B113,'114+320'!$B$15:$AB$115,5,FALSE)</f>
        <v>619</v>
      </c>
      <c r="O113" s="68">
        <f t="shared" si="16"/>
        <v>1697</v>
      </c>
      <c r="P113" s="68">
        <f>VLOOKUP(B113,'114+320'!$B$15:$AB$115,14,FALSE)</f>
        <v>-303</v>
      </c>
      <c r="Q113" s="66">
        <f>'114+320'!R114</f>
        <v>0</v>
      </c>
      <c r="R113" s="65">
        <f t="shared" si="21"/>
        <v>123</v>
      </c>
      <c r="S113" s="70">
        <f>VLOOKUP(B113,'114+320'!$B$14:$AB$115,22,FALSE)</f>
        <v>689</v>
      </c>
      <c r="T113" s="69">
        <f>VLOOKUP(B113,'114+320'!$B$15:$AB$115,6,FALSE)</f>
        <v>547</v>
      </c>
      <c r="U113" s="68">
        <f t="shared" si="17"/>
        <v>1769</v>
      </c>
      <c r="V113" s="77">
        <f>VLOOKUP(B113,'114+320'!$B$15:$AB$115,15,FALSE)</f>
        <v>-231</v>
      </c>
      <c r="W113" s="66">
        <f>'114+320'!S114</f>
        <v>0</v>
      </c>
      <c r="X113" s="65">
        <f t="shared" si="22"/>
        <v>111</v>
      </c>
      <c r="Y113" s="64">
        <f t="shared" si="23"/>
        <v>0</v>
      </c>
      <c r="Z113" s="63">
        <f t="shared" si="24"/>
        <v>0</v>
      </c>
      <c r="AA113" s="62">
        <f t="shared" si="25"/>
        <v>0.89900000000000002</v>
      </c>
      <c r="AB113" s="62">
        <f t="shared" si="26"/>
        <v>0.73399999999999999</v>
      </c>
      <c r="AC113" s="51"/>
      <c r="AD113" s="51"/>
      <c r="AE113" s="51"/>
      <c r="AF113" s="51"/>
    </row>
    <row r="114" spans="1:32" s="78" customFormat="1" ht="15" customHeight="1">
      <c r="A114" s="79"/>
      <c r="B114" s="106">
        <f>'114+320'!B115</f>
        <v>45144</v>
      </c>
      <c r="C114" s="75">
        <f t="shared" si="18"/>
        <v>1</v>
      </c>
      <c r="D114" s="74">
        <f t="shared" si="19"/>
        <v>842</v>
      </c>
      <c r="E114" s="73">
        <f>VLOOKUP(B114,'114+320'!B115:AB216,3,FALSE)</f>
        <v>1472</v>
      </c>
      <c r="F114" s="69">
        <f t="shared" si="14"/>
        <v>2314</v>
      </c>
      <c r="G114" s="72">
        <f>VLOOKUP(B114,'114+320'!$B$15:$AB$115,20,FALSE)</f>
        <v>694</v>
      </c>
      <c r="H114" s="72">
        <f>VLOOKUP(B114,'114+320'!$B$15:$AB$115,4,FALSE)</f>
        <v>600</v>
      </c>
      <c r="I114" s="68">
        <f t="shared" si="15"/>
        <v>1714</v>
      </c>
      <c r="J114" s="68">
        <f>VLOOKUP(B114,'114+320'!$B$15:$AB$115,13,FALSE)</f>
        <v>-286</v>
      </c>
      <c r="K114" s="66">
        <f>'114+320'!Q115</f>
        <v>0</v>
      </c>
      <c r="L114" s="65">
        <f t="shared" si="20"/>
        <v>106</v>
      </c>
      <c r="M114" s="70">
        <f>VLOOKUP(B114,'114+320'!$B$14:$AB$115,21,FALSE)</f>
        <v>677</v>
      </c>
      <c r="N114" s="69">
        <f>VLOOKUP(B114,'114+320'!$B$15:$AB$115,5,FALSE)</f>
        <v>617</v>
      </c>
      <c r="O114" s="68">
        <f t="shared" si="16"/>
        <v>1697</v>
      </c>
      <c r="P114" s="68">
        <f>VLOOKUP(B114,'114+320'!$B$15:$AB$115,14,FALSE)</f>
        <v>-303</v>
      </c>
      <c r="Q114" s="66">
        <f>'114+320'!R115</f>
        <v>0</v>
      </c>
      <c r="R114" s="65">
        <f t="shared" si="21"/>
        <v>123</v>
      </c>
      <c r="S114" s="70">
        <f>VLOOKUP(B114,'114+320'!$B$14:$AB$115,22,FALSE)</f>
        <v>689</v>
      </c>
      <c r="T114" s="69">
        <f>VLOOKUP(B114,'114+320'!$B$15:$AB$115,6,FALSE)</f>
        <v>545</v>
      </c>
      <c r="U114" s="68">
        <f t="shared" si="17"/>
        <v>1769</v>
      </c>
      <c r="V114" s="77">
        <f>VLOOKUP(B114,'114+320'!$B$15:$AB$115,15,FALSE)</f>
        <v>-231</v>
      </c>
      <c r="W114" s="66">
        <f>'114+320'!S115</f>
        <v>0</v>
      </c>
      <c r="X114" s="65">
        <f t="shared" si="22"/>
        <v>111</v>
      </c>
      <c r="Y114" s="64">
        <f t="shared" si="23"/>
        <v>0</v>
      </c>
      <c r="Z114" s="63">
        <f t="shared" si="24"/>
        <v>0</v>
      </c>
      <c r="AA114" s="62">
        <f t="shared" si="25"/>
        <v>0.89900000000000002</v>
      </c>
      <c r="AB114" s="62">
        <f t="shared" si="26"/>
        <v>0.73399999999999999</v>
      </c>
      <c r="AC114" s="51"/>
      <c r="AD114" s="51"/>
      <c r="AE114" s="51"/>
      <c r="AF114" s="51"/>
    </row>
    <row r="115" spans="1:32">
      <c r="B115" s="106">
        <f>'114+320'!B116</f>
        <v>45145</v>
      </c>
      <c r="C115" s="75">
        <f t="shared" si="18"/>
        <v>1</v>
      </c>
      <c r="D115" s="74">
        <f t="shared" si="19"/>
        <v>842</v>
      </c>
      <c r="E115" s="73">
        <f>VLOOKUP(B115,'114+320'!B116:AB217,3,FALSE)</f>
        <v>1470</v>
      </c>
      <c r="F115" s="69">
        <f t="shared" si="14"/>
        <v>2312</v>
      </c>
      <c r="G115" s="72">
        <f>VLOOKUP(B115,'114+320'!$B$15:$AB$785,20,FALSE)</f>
        <v>694</v>
      </c>
      <c r="H115" s="72">
        <f>VLOOKUP(B115,'114+320'!$B$15:$AB$785,4,FALSE)</f>
        <v>598</v>
      </c>
      <c r="I115" s="68">
        <f t="shared" si="15"/>
        <v>1714</v>
      </c>
      <c r="J115" s="68">
        <f>VLOOKUP(B115,'114+320'!$B$15:$AB$785,13,FALSE)</f>
        <v>-286</v>
      </c>
      <c r="K115" s="66">
        <f>'114+320'!Q116</f>
        <v>0</v>
      </c>
      <c r="L115" s="65">
        <f t="shared" si="20"/>
        <v>106</v>
      </c>
      <c r="M115" s="70">
        <f>VLOOKUP(B115,'114+320'!$B$14:$AB$785,21,FALSE)</f>
        <v>677</v>
      </c>
      <c r="N115" s="69">
        <f>VLOOKUP(B115,'114+320'!$B$15:$AB$785,5,FALSE)</f>
        <v>615</v>
      </c>
      <c r="O115" s="68">
        <f t="shared" si="16"/>
        <v>1697</v>
      </c>
      <c r="P115" s="68">
        <f>VLOOKUP(B115,'114+320'!$B$15:$AB$785,14,FALSE)</f>
        <v>-303</v>
      </c>
      <c r="Q115" s="66">
        <f>'114+320'!R116</f>
        <v>0</v>
      </c>
      <c r="R115" s="65">
        <f t="shared" si="21"/>
        <v>123</v>
      </c>
      <c r="S115" s="70">
        <f>VLOOKUP(B115,'114+320'!$B$14:$AB$785,22,FALSE)</f>
        <v>689</v>
      </c>
      <c r="T115" s="69">
        <f>VLOOKUP(B115,'114+320'!$B$15:$AB$785,6,FALSE)</f>
        <v>543</v>
      </c>
      <c r="U115" s="68">
        <f t="shared" si="17"/>
        <v>1769</v>
      </c>
      <c r="V115" s="77">
        <f>VLOOKUP(B115,'114+320'!$B$15:$AB$785,15,FALSE)</f>
        <v>-231</v>
      </c>
      <c r="W115" s="66">
        <f>'114+320'!S116</f>
        <v>0</v>
      </c>
      <c r="X115" s="65">
        <f t="shared" si="22"/>
        <v>111</v>
      </c>
      <c r="Y115" s="64">
        <f t="shared" si="23"/>
        <v>0</v>
      </c>
      <c r="Z115" s="63">
        <f t="shared" si="24"/>
        <v>0</v>
      </c>
      <c r="AA115" s="62">
        <f t="shared" si="25"/>
        <v>0.89900000000000002</v>
      </c>
      <c r="AB115" s="62">
        <f t="shared" si="26"/>
        <v>0.73399999999999999</v>
      </c>
      <c r="AD115" s="50"/>
      <c r="AE115" s="49"/>
    </row>
    <row r="116" spans="1:32">
      <c r="B116" s="106">
        <f>'114+320'!B117</f>
        <v>45146</v>
      </c>
      <c r="C116" s="75">
        <f t="shared" si="18"/>
        <v>1</v>
      </c>
      <c r="D116" s="74">
        <f t="shared" si="19"/>
        <v>842</v>
      </c>
      <c r="E116" s="73">
        <f>VLOOKUP(B116,'114+320'!B117:AB218,3,FALSE)</f>
        <v>1468</v>
      </c>
      <c r="F116" s="69">
        <f t="shared" si="14"/>
        <v>2310</v>
      </c>
      <c r="G116" s="72">
        <f>VLOOKUP(B116,'114+320'!$B$15:$AB$785,20,FALSE)</f>
        <v>694</v>
      </c>
      <c r="H116" s="72">
        <f>VLOOKUP(B116,'114+320'!$B$15:$AB$785,4,FALSE)</f>
        <v>596</v>
      </c>
      <c r="I116" s="68">
        <f t="shared" si="15"/>
        <v>1714</v>
      </c>
      <c r="J116" s="68">
        <f>VLOOKUP(B116,'114+320'!$B$15:$AB$785,13,FALSE)</f>
        <v>-286</v>
      </c>
      <c r="K116" s="66">
        <f>'114+320'!Q117</f>
        <v>0</v>
      </c>
      <c r="L116" s="65">
        <f t="shared" si="20"/>
        <v>106</v>
      </c>
      <c r="M116" s="70">
        <f>VLOOKUP(B116,'114+320'!$B$14:$AB$785,21,FALSE)</f>
        <v>677</v>
      </c>
      <c r="N116" s="69">
        <f>VLOOKUP(B116,'114+320'!$B$15:$AB$785,5,FALSE)</f>
        <v>613</v>
      </c>
      <c r="O116" s="68">
        <f t="shared" si="16"/>
        <v>1697</v>
      </c>
      <c r="P116" s="68">
        <f>VLOOKUP(B116,'114+320'!$B$15:$AB$785,14,FALSE)</f>
        <v>-303</v>
      </c>
      <c r="Q116" s="66">
        <f>'114+320'!R117</f>
        <v>0</v>
      </c>
      <c r="R116" s="65">
        <f t="shared" si="21"/>
        <v>123</v>
      </c>
      <c r="S116" s="70">
        <f>VLOOKUP(B116,'114+320'!$B$14:$AB$785,22,FALSE)</f>
        <v>689</v>
      </c>
      <c r="T116" s="69">
        <f>VLOOKUP(B116,'114+320'!$B$15:$AB$785,6,FALSE)</f>
        <v>541</v>
      </c>
      <c r="U116" s="68">
        <f t="shared" si="17"/>
        <v>1769</v>
      </c>
      <c r="V116" s="77">
        <f>VLOOKUP(B116,'114+320'!$B$15:$AB$785,15,FALSE)</f>
        <v>-231</v>
      </c>
      <c r="W116" s="66">
        <f>'114+320'!S117</f>
        <v>0</v>
      </c>
      <c r="X116" s="65">
        <f t="shared" si="22"/>
        <v>111</v>
      </c>
      <c r="Y116" s="64">
        <f t="shared" si="23"/>
        <v>0</v>
      </c>
      <c r="Z116" s="63">
        <f t="shared" si="24"/>
        <v>0</v>
      </c>
      <c r="AA116" s="62">
        <f t="shared" si="25"/>
        <v>0.89900000000000002</v>
      </c>
      <c r="AB116" s="62">
        <f t="shared" si="26"/>
        <v>0.73399999999999999</v>
      </c>
      <c r="AD116" s="50"/>
      <c r="AE116" s="49"/>
    </row>
    <row r="117" spans="1:32">
      <c r="B117" s="106">
        <f>'114+320'!B118</f>
        <v>45147</v>
      </c>
      <c r="C117" s="75">
        <f t="shared" si="18"/>
        <v>1</v>
      </c>
      <c r="D117" s="74">
        <f t="shared" si="19"/>
        <v>842</v>
      </c>
      <c r="E117" s="73">
        <f>VLOOKUP(B117,'114+320'!B118:AB219,3,FALSE)</f>
        <v>1466</v>
      </c>
      <c r="F117" s="69">
        <f t="shared" si="14"/>
        <v>2308</v>
      </c>
      <c r="G117" s="72">
        <f>VLOOKUP(B117,'114+320'!$B$15:$AB$785,20,FALSE)</f>
        <v>694</v>
      </c>
      <c r="H117" s="72">
        <f>VLOOKUP(B117,'114+320'!$B$15:$AB$785,4,FALSE)</f>
        <v>594</v>
      </c>
      <c r="I117" s="68">
        <f t="shared" si="15"/>
        <v>1714</v>
      </c>
      <c r="J117" s="68">
        <f>VLOOKUP(B117,'114+320'!$B$15:$AB$785,13,FALSE)</f>
        <v>-286</v>
      </c>
      <c r="K117" s="66">
        <f>'114+320'!Q118</f>
        <v>0</v>
      </c>
      <c r="L117" s="65">
        <f t="shared" si="20"/>
        <v>106</v>
      </c>
      <c r="M117" s="70">
        <f>VLOOKUP(B117,'114+320'!$B$14:$AB$785,21,FALSE)</f>
        <v>677</v>
      </c>
      <c r="N117" s="69">
        <f>VLOOKUP(B117,'114+320'!$B$15:$AB$785,5,FALSE)</f>
        <v>611</v>
      </c>
      <c r="O117" s="68">
        <f t="shared" si="16"/>
        <v>1697</v>
      </c>
      <c r="P117" s="68">
        <f>VLOOKUP(B117,'114+320'!$B$15:$AB$785,14,FALSE)</f>
        <v>-303</v>
      </c>
      <c r="Q117" s="66">
        <f>'114+320'!R118</f>
        <v>0</v>
      </c>
      <c r="R117" s="65">
        <f t="shared" si="21"/>
        <v>123</v>
      </c>
      <c r="S117" s="70">
        <f>VLOOKUP(B117,'114+320'!$B$14:$AB$785,22,FALSE)</f>
        <v>689</v>
      </c>
      <c r="T117" s="69">
        <f>VLOOKUP(B117,'114+320'!$B$15:$AB$785,6,FALSE)</f>
        <v>539</v>
      </c>
      <c r="U117" s="68">
        <f t="shared" si="17"/>
        <v>1769</v>
      </c>
      <c r="V117" s="77">
        <f>VLOOKUP(B117,'114+320'!$B$15:$AB$785,15,FALSE)</f>
        <v>-231</v>
      </c>
      <c r="W117" s="66">
        <f>'114+320'!S118</f>
        <v>0</v>
      </c>
      <c r="X117" s="65">
        <f t="shared" si="22"/>
        <v>111</v>
      </c>
      <c r="Y117" s="64">
        <f t="shared" si="23"/>
        <v>0</v>
      </c>
      <c r="Z117" s="63">
        <f t="shared" si="24"/>
        <v>0</v>
      </c>
      <c r="AA117" s="62">
        <f t="shared" si="25"/>
        <v>0.89900000000000002</v>
      </c>
      <c r="AB117" s="62">
        <f t="shared" si="26"/>
        <v>0.73399999999999999</v>
      </c>
      <c r="AD117" s="50"/>
      <c r="AE117" s="49"/>
    </row>
    <row r="118" spans="1:32">
      <c r="B118" s="106">
        <f>'114+320'!B119</f>
        <v>45148</v>
      </c>
      <c r="C118" s="75">
        <f t="shared" si="18"/>
        <v>1</v>
      </c>
      <c r="D118" s="74">
        <f t="shared" si="19"/>
        <v>842</v>
      </c>
      <c r="E118" s="73">
        <f>VLOOKUP(B118,'114+320'!B119:AB220,3,FALSE)</f>
        <v>1464</v>
      </c>
      <c r="F118" s="69">
        <f t="shared" si="14"/>
        <v>2306</v>
      </c>
      <c r="G118" s="72">
        <f>VLOOKUP(B118,'114+320'!$B$15:$AB$785,20,FALSE)</f>
        <v>694</v>
      </c>
      <c r="H118" s="72">
        <f>VLOOKUP(B118,'114+320'!$B$15:$AB$785,4,FALSE)</f>
        <v>592</v>
      </c>
      <c r="I118" s="68">
        <f t="shared" si="15"/>
        <v>1714</v>
      </c>
      <c r="J118" s="68">
        <f>VLOOKUP(B118,'114+320'!$B$15:$AB$785,13,FALSE)</f>
        <v>-286</v>
      </c>
      <c r="K118" s="66">
        <f>'114+320'!Q119</f>
        <v>0</v>
      </c>
      <c r="L118" s="65">
        <f t="shared" si="20"/>
        <v>106</v>
      </c>
      <c r="M118" s="70">
        <f>VLOOKUP(B118,'114+320'!$B$14:$AB$785,21,FALSE)</f>
        <v>677</v>
      </c>
      <c r="N118" s="69">
        <f>VLOOKUP(B118,'114+320'!$B$15:$AB$785,5,FALSE)</f>
        <v>609</v>
      </c>
      <c r="O118" s="68">
        <f t="shared" si="16"/>
        <v>1697</v>
      </c>
      <c r="P118" s="68">
        <f>VLOOKUP(B118,'114+320'!$B$15:$AB$785,14,FALSE)</f>
        <v>-303</v>
      </c>
      <c r="Q118" s="66">
        <f>'114+320'!R119</f>
        <v>0</v>
      </c>
      <c r="R118" s="65">
        <f t="shared" si="21"/>
        <v>123</v>
      </c>
      <c r="S118" s="70">
        <f>VLOOKUP(B118,'114+320'!$B$14:$AB$785,22,FALSE)</f>
        <v>689</v>
      </c>
      <c r="T118" s="69">
        <f>VLOOKUP(B118,'114+320'!$B$15:$AB$785,6,FALSE)</f>
        <v>537</v>
      </c>
      <c r="U118" s="68">
        <f t="shared" si="17"/>
        <v>1769</v>
      </c>
      <c r="V118" s="77">
        <f>VLOOKUP(B118,'114+320'!$B$15:$AB$785,15,FALSE)</f>
        <v>-231</v>
      </c>
      <c r="W118" s="66">
        <f>'114+320'!S119</f>
        <v>0</v>
      </c>
      <c r="X118" s="65">
        <f t="shared" si="22"/>
        <v>111</v>
      </c>
      <c r="Y118" s="64">
        <f t="shared" si="23"/>
        <v>0</v>
      </c>
      <c r="Z118" s="63">
        <f t="shared" si="24"/>
        <v>0</v>
      </c>
      <c r="AA118" s="62">
        <f t="shared" si="25"/>
        <v>0.89900000000000002</v>
      </c>
      <c r="AB118" s="62">
        <f t="shared" si="26"/>
        <v>0.73399999999999999</v>
      </c>
      <c r="AD118" s="50"/>
      <c r="AE118" s="49"/>
    </row>
    <row r="119" spans="1:32">
      <c r="B119" s="106">
        <f>'114+320'!B120</f>
        <v>45149</v>
      </c>
      <c r="C119" s="75">
        <f t="shared" si="18"/>
        <v>1</v>
      </c>
      <c r="D119" s="74">
        <f t="shared" si="19"/>
        <v>842</v>
      </c>
      <c r="E119" s="73">
        <f>VLOOKUP(B119,'114+320'!B120:AB221,3,FALSE)</f>
        <v>1462</v>
      </c>
      <c r="F119" s="69">
        <f t="shared" si="14"/>
        <v>2304</v>
      </c>
      <c r="G119" s="72">
        <f>VLOOKUP(B119,'114+320'!$B$15:$AB$785,20,FALSE)</f>
        <v>694</v>
      </c>
      <c r="H119" s="72">
        <f>VLOOKUP(B119,'114+320'!$B$15:$AB$785,4,FALSE)</f>
        <v>590</v>
      </c>
      <c r="I119" s="68">
        <f t="shared" si="15"/>
        <v>1714</v>
      </c>
      <c r="J119" s="68">
        <f>VLOOKUP(B119,'114+320'!$B$15:$AB$785,13,FALSE)</f>
        <v>-286</v>
      </c>
      <c r="K119" s="66">
        <f>'114+320'!Q120</f>
        <v>0</v>
      </c>
      <c r="L119" s="65">
        <f t="shared" si="20"/>
        <v>106</v>
      </c>
      <c r="M119" s="70">
        <f>VLOOKUP(B119,'114+320'!$B$14:$AB$785,21,FALSE)</f>
        <v>677</v>
      </c>
      <c r="N119" s="69">
        <f>VLOOKUP(B119,'114+320'!$B$15:$AB$785,5,FALSE)</f>
        <v>607</v>
      </c>
      <c r="O119" s="68">
        <f t="shared" si="16"/>
        <v>1697</v>
      </c>
      <c r="P119" s="68">
        <f>VLOOKUP(B119,'114+320'!$B$15:$AB$785,14,FALSE)</f>
        <v>-303</v>
      </c>
      <c r="Q119" s="66">
        <f>'114+320'!R120</f>
        <v>0</v>
      </c>
      <c r="R119" s="65">
        <f t="shared" si="21"/>
        <v>123</v>
      </c>
      <c r="S119" s="70">
        <f>VLOOKUP(B119,'114+320'!$B$14:$AB$785,22,FALSE)</f>
        <v>689</v>
      </c>
      <c r="T119" s="69">
        <f>VLOOKUP(B119,'114+320'!$B$15:$AB$785,6,FALSE)</f>
        <v>535</v>
      </c>
      <c r="U119" s="68">
        <f t="shared" si="17"/>
        <v>1769</v>
      </c>
      <c r="V119" s="77">
        <f>VLOOKUP(B119,'114+320'!$B$15:$AB$785,15,FALSE)</f>
        <v>-231</v>
      </c>
      <c r="W119" s="66">
        <f>'114+320'!S120</f>
        <v>0</v>
      </c>
      <c r="X119" s="65">
        <f t="shared" si="22"/>
        <v>111</v>
      </c>
      <c r="Y119" s="64">
        <f t="shared" si="23"/>
        <v>0</v>
      </c>
      <c r="Z119" s="63">
        <f t="shared" si="24"/>
        <v>0</v>
      </c>
      <c r="AA119" s="62">
        <f t="shared" si="25"/>
        <v>0.89900000000000002</v>
      </c>
      <c r="AB119" s="62">
        <f t="shared" si="26"/>
        <v>0.73399999999999999</v>
      </c>
      <c r="AD119" s="50"/>
      <c r="AE119" s="49"/>
    </row>
    <row r="120" spans="1:32">
      <c r="B120" s="106">
        <f>'114+320'!B121</f>
        <v>45150</v>
      </c>
      <c r="C120" s="75">
        <f t="shared" si="18"/>
        <v>1</v>
      </c>
      <c r="D120" s="74">
        <f t="shared" si="19"/>
        <v>842</v>
      </c>
      <c r="E120" s="73">
        <f>VLOOKUP(B120,'114+320'!B121:AB222,3,FALSE)</f>
        <v>1460</v>
      </c>
      <c r="F120" s="69">
        <f t="shared" si="14"/>
        <v>2302</v>
      </c>
      <c r="G120" s="72">
        <f>VLOOKUP(B120,'114+320'!$B$15:$AB$785,20,FALSE)</f>
        <v>694</v>
      </c>
      <c r="H120" s="72">
        <f>VLOOKUP(B120,'114+320'!$B$15:$AB$785,4,FALSE)</f>
        <v>588</v>
      </c>
      <c r="I120" s="68">
        <f t="shared" si="15"/>
        <v>1714</v>
      </c>
      <c r="J120" s="68">
        <f>VLOOKUP(B120,'114+320'!$B$15:$AB$785,13,FALSE)</f>
        <v>-286</v>
      </c>
      <c r="K120" s="66">
        <f>'114+320'!Q121</f>
        <v>0</v>
      </c>
      <c r="L120" s="65">
        <f t="shared" si="20"/>
        <v>106</v>
      </c>
      <c r="M120" s="70">
        <f>VLOOKUP(B120,'114+320'!$B$14:$AB$785,21,FALSE)</f>
        <v>677</v>
      </c>
      <c r="N120" s="69">
        <f>VLOOKUP(B120,'114+320'!$B$15:$AB$785,5,FALSE)</f>
        <v>605</v>
      </c>
      <c r="O120" s="68">
        <f t="shared" si="16"/>
        <v>1697</v>
      </c>
      <c r="P120" s="68">
        <f>VLOOKUP(B120,'114+320'!$B$15:$AB$785,14,FALSE)</f>
        <v>-303</v>
      </c>
      <c r="Q120" s="66">
        <f>'114+320'!R121</f>
        <v>0</v>
      </c>
      <c r="R120" s="65">
        <f t="shared" si="21"/>
        <v>123</v>
      </c>
      <c r="S120" s="70">
        <f>VLOOKUP(B120,'114+320'!$B$14:$AB$785,22,FALSE)</f>
        <v>689</v>
      </c>
      <c r="T120" s="69">
        <f>VLOOKUP(B120,'114+320'!$B$15:$AB$785,6,FALSE)</f>
        <v>533</v>
      </c>
      <c r="U120" s="68">
        <f t="shared" si="17"/>
        <v>1769</v>
      </c>
      <c r="V120" s="77">
        <f>VLOOKUP(B120,'114+320'!$B$15:$AB$785,15,FALSE)</f>
        <v>-231</v>
      </c>
      <c r="W120" s="66">
        <f>'114+320'!S121</f>
        <v>0</v>
      </c>
      <c r="X120" s="65">
        <f t="shared" si="22"/>
        <v>111</v>
      </c>
      <c r="Y120" s="64">
        <f t="shared" si="23"/>
        <v>0</v>
      </c>
      <c r="Z120" s="63">
        <f t="shared" si="24"/>
        <v>0</v>
      </c>
      <c r="AA120" s="62">
        <f t="shared" si="25"/>
        <v>0.89900000000000002</v>
      </c>
      <c r="AB120" s="62">
        <f t="shared" si="26"/>
        <v>0.73399999999999999</v>
      </c>
      <c r="AD120" s="50"/>
      <c r="AE120" s="49"/>
    </row>
    <row r="121" spans="1:32">
      <c r="B121" s="106">
        <f>'114+320'!B122</f>
        <v>45151</v>
      </c>
      <c r="C121" s="75">
        <f t="shared" si="18"/>
        <v>1</v>
      </c>
      <c r="D121" s="74">
        <f t="shared" si="19"/>
        <v>842</v>
      </c>
      <c r="E121" s="73">
        <f>VLOOKUP(B121,'114+320'!B122:AB223,3,FALSE)</f>
        <v>1458</v>
      </c>
      <c r="F121" s="69">
        <f t="shared" si="14"/>
        <v>2300</v>
      </c>
      <c r="G121" s="72">
        <f>VLOOKUP(B121,'114+320'!$B$15:$AB$785,20,FALSE)</f>
        <v>694</v>
      </c>
      <c r="H121" s="72">
        <f>VLOOKUP(B121,'114+320'!$B$15:$AB$785,4,FALSE)</f>
        <v>586</v>
      </c>
      <c r="I121" s="68">
        <f t="shared" si="15"/>
        <v>1714</v>
      </c>
      <c r="J121" s="68">
        <f>VLOOKUP(B121,'114+320'!$B$15:$AB$785,13,FALSE)</f>
        <v>-286</v>
      </c>
      <c r="K121" s="66">
        <f>'114+320'!Q122</f>
        <v>0</v>
      </c>
      <c r="L121" s="65">
        <f t="shared" si="20"/>
        <v>106</v>
      </c>
      <c r="M121" s="70">
        <f>VLOOKUP(B121,'114+320'!$B$14:$AB$785,21,FALSE)</f>
        <v>677</v>
      </c>
      <c r="N121" s="69">
        <f>VLOOKUP(B121,'114+320'!$B$15:$AB$785,5,FALSE)</f>
        <v>603</v>
      </c>
      <c r="O121" s="68">
        <f t="shared" si="16"/>
        <v>1697</v>
      </c>
      <c r="P121" s="68">
        <f>VLOOKUP(B121,'114+320'!$B$15:$AB$785,14,FALSE)</f>
        <v>-303</v>
      </c>
      <c r="Q121" s="66">
        <f>'114+320'!R122</f>
        <v>0</v>
      </c>
      <c r="R121" s="65">
        <f t="shared" si="21"/>
        <v>123</v>
      </c>
      <c r="S121" s="70">
        <f>VLOOKUP(B121,'114+320'!$B$14:$AB$785,22,FALSE)</f>
        <v>689</v>
      </c>
      <c r="T121" s="69">
        <f>VLOOKUP(B121,'114+320'!$B$15:$AB$785,6,FALSE)</f>
        <v>531</v>
      </c>
      <c r="U121" s="68">
        <f t="shared" si="17"/>
        <v>1769</v>
      </c>
      <c r="V121" s="77">
        <f>VLOOKUP(B121,'114+320'!$B$15:$AB$785,15,FALSE)</f>
        <v>-231</v>
      </c>
      <c r="W121" s="66">
        <f>'114+320'!S122</f>
        <v>0</v>
      </c>
      <c r="X121" s="65">
        <f t="shared" si="22"/>
        <v>111</v>
      </c>
      <c r="Y121" s="64">
        <f t="shared" si="23"/>
        <v>0</v>
      </c>
      <c r="Z121" s="63">
        <f t="shared" si="24"/>
        <v>0</v>
      </c>
      <c r="AA121" s="62">
        <f t="shared" si="25"/>
        <v>0.89900000000000002</v>
      </c>
      <c r="AB121" s="62">
        <f t="shared" si="26"/>
        <v>0.73399999999999999</v>
      </c>
      <c r="AD121" s="50"/>
      <c r="AE121" s="49"/>
    </row>
    <row r="122" spans="1:32">
      <c r="B122" s="106">
        <f>'114+320'!B123</f>
        <v>45152</v>
      </c>
      <c r="C122" s="75">
        <f t="shared" si="18"/>
        <v>1</v>
      </c>
      <c r="D122" s="74">
        <f t="shared" si="19"/>
        <v>842</v>
      </c>
      <c r="E122" s="73">
        <f>VLOOKUP(B122,'114+320'!B123:AB224,3,FALSE)</f>
        <v>1456</v>
      </c>
      <c r="F122" s="69">
        <f t="shared" si="14"/>
        <v>2298</v>
      </c>
      <c r="G122" s="72">
        <f>VLOOKUP(B122,'114+320'!$B$15:$AB$785,20,FALSE)</f>
        <v>694</v>
      </c>
      <c r="H122" s="72">
        <f>VLOOKUP(B122,'114+320'!$B$15:$AB$785,4,FALSE)</f>
        <v>584</v>
      </c>
      <c r="I122" s="68">
        <f t="shared" si="15"/>
        <v>1714</v>
      </c>
      <c r="J122" s="68">
        <f>VLOOKUP(B122,'114+320'!$B$15:$AB$785,13,FALSE)</f>
        <v>-286</v>
      </c>
      <c r="K122" s="66">
        <f>'114+320'!Q123</f>
        <v>0</v>
      </c>
      <c r="L122" s="65">
        <f t="shared" si="20"/>
        <v>106</v>
      </c>
      <c r="M122" s="70">
        <f>VLOOKUP(B122,'114+320'!$B$14:$AB$785,21,FALSE)</f>
        <v>677</v>
      </c>
      <c r="N122" s="69">
        <f>VLOOKUP(B122,'114+320'!$B$15:$AB$785,5,FALSE)</f>
        <v>601</v>
      </c>
      <c r="O122" s="68">
        <f t="shared" si="16"/>
        <v>1697</v>
      </c>
      <c r="P122" s="68">
        <f>VLOOKUP(B122,'114+320'!$B$15:$AB$785,14,FALSE)</f>
        <v>-303</v>
      </c>
      <c r="Q122" s="66">
        <f>'114+320'!R123</f>
        <v>0</v>
      </c>
      <c r="R122" s="65">
        <f t="shared" si="21"/>
        <v>123</v>
      </c>
      <c r="S122" s="70">
        <f>VLOOKUP(B122,'114+320'!$B$14:$AB$785,22,FALSE)</f>
        <v>689</v>
      </c>
      <c r="T122" s="69">
        <f>VLOOKUP(B122,'114+320'!$B$15:$AB$785,6,FALSE)</f>
        <v>529</v>
      </c>
      <c r="U122" s="68">
        <f t="shared" si="17"/>
        <v>1769</v>
      </c>
      <c r="V122" s="77">
        <f>VLOOKUP(B122,'114+320'!$B$15:$AB$785,15,FALSE)</f>
        <v>-231</v>
      </c>
      <c r="W122" s="66">
        <f>'114+320'!S123</f>
        <v>0</v>
      </c>
      <c r="X122" s="65">
        <f t="shared" si="22"/>
        <v>111</v>
      </c>
      <c r="Y122" s="64">
        <f t="shared" si="23"/>
        <v>0</v>
      </c>
      <c r="Z122" s="63">
        <f t="shared" si="24"/>
        <v>0</v>
      </c>
      <c r="AA122" s="62">
        <f t="shared" si="25"/>
        <v>0.89900000000000002</v>
      </c>
      <c r="AB122" s="62">
        <f t="shared" si="26"/>
        <v>0.73399999999999999</v>
      </c>
      <c r="AD122" s="50"/>
      <c r="AE122" s="49"/>
    </row>
    <row r="123" spans="1:32">
      <c r="B123" s="106">
        <f>'114+320'!B124</f>
        <v>45153</v>
      </c>
      <c r="C123" s="75">
        <f t="shared" si="18"/>
        <v>1</v>
      </c>
      <c r="D123" s="74">
        <f t="shared" si="19"/>
        <v>842</v>
      </c>
      <c r="E123" s="73">
        <f>VLOOKUP(B123,'114+320'!B124:AB225,3,FALSE)</f>
        <v>1454</v>
      </c>
      <c r="F123" s="69">
        <f t="shared" si="14"/>
        <v>2296</v>
      </c>
      <c r="G123" s="72">
        <f>VLOOKUP(B123,'114+320'!$B$15:$AB$785,20,FALSE)</f>
        <v>694</v>
      </c>
      <c r="H123" s="72">
        <f>VLOOKUP(B123,'114+320'!$B$15:$AB$785,4,FALSE)</f>
        <v>582</v>
      </c>
      <c r="I123" s="68">
        <f t="shared" si="15"/>
        <v>1714</v>
      </c>
      <c r="J123" s="68">
        <f>VLOOKUP(B123,'114+320'!$B$15:$AB$785,13,FALSE)</f>
        <v>-286</v>
      </c>
      <c r="K123" s="66">
        <f>'114+320'!Q124</f>
        <v>0</v>
      </c>
      <c r="L123" s="65">
        <f t="shared" si="20"/>
        <v>106</v>
      </c>
      <c r="M123" s="70">
        <f>VLOOKUP(B123,'114+320'!$B$14:$AB$785,21,FALSE)</f>
        <v>677</v>
      </c>
      <c r="N123" s="69">
        <f>VLOOKUP(B123,'114+320'!$B$15:$AB$785,5,FALSE)</f>
        <v>599</v>
      </c>
      <c r="O123" s="68">
        <f t="shared" si="16"/>
        <v>1697</v>
      </c>
      <c r="P123" s="68">
        <f>VLOOKUP(B123,'114+320'!$B$15:$AB$785,14,FALSE)</f>
        <v>-303</v>
      </c>
      <c r="Q123" s="66">
        <f>'114+320'!R124</f>
        <v>0</v>
      </c>
      <c r="R123" s="65">
        <f t="shared" si="21"/>
        <v>123</v>
      </c>
      <c r="S123" s="70">
        <f>VLOOKUP(B123,'114+320'!$B$14:$AB$785,22,FALSE)</f>
        <v>689</v>
      </c>
      <c r="T123" s="69">
        <f>VLOOKUP(B123,'114+320'!$B$15:$AB$785,6,FALSE)</f>
        <v>527</v>
      </c>
      <c r="U123" s="68">
        <f t="shared" si="17"/>
        <v>1769</v>
      </c>
      <c r="V123" s="77">
        <f>VLOOKUP(B123,'114+320'!$B$15:$AB$785,15,FALSE)</f>
        <v>-231</v>
      </c>
      <c r="W123" s="66">
        <f>'114+320'!S124</f>
        <v>0</v>
      </c>
      <c r="X123" s="65">
        <f t="shared" si="22"/>
        <v>111</v>
      </c>
      <c r="Y123" s="64">
        <f t="shared" si="23"/>
        <v>0</v>
      </c>
      <c r="Z123" s="63">
        <f t="shared" si="24"/>
        <v>0</v>
      </c>
      <c r="AA123" s="62">
        <f t="shared" si="25"/>
        <v>0.89900000000000002</v>
      </c>
      <c r="AB123" s="62">
        <f t="shared" si="26"/>
        <v>0.73399999999999999</v>
      </c>
      <c r="AD123" s="50"/>
      <c r="AE123" s="49"/>
    </row>
    <row r="124" spans="1:32">
      <c r="B124" s="106">
        <f>'114+320'!B125</f>
        <v>45154</v>
      </c>
      <c r="C124" s="75">
        <f t="shared" si="18"/>
        <v>1</v>
      </c>
      <c r="D124" s="74">
        <f t="shared" si="19"/>
        <v>842</v>
      </c>
      <c r="E124" s="73">
        <f>VLOOKUP(B124,'114+320'!B125:AB226,3,FALSE)</f>
        <v>1452</v>
      </c>
      <c r="F124" s="69">
        <f t="shared" si="14"/>
        <v>2294</v>
      </c>
      <c r="G124" s="72">
        <f>VLOOKUP(B124,'114+320'!$B$15:$AB$785,20,FALSE)</f>
        <v>694</v>
      </c>
      <c r="H124" s="72">
        <f>VLOOKUP(B124,'114+320'!$B$15:$AB$785,4,FALSE)</f>
        <v>580</v>
      </c>
      <c r="I124" s="68">
        <f t="shared" si="15"/>
        <v>1714</v>
      </c>
      <c r="J124" s="68">
        <f>VLOOKUP(B124,'114+320'!$B$15:$AB$785,13,FALSE)</f>
        <v>-286</v>
      </c>
      <c r="K124" s="66">
        <f>'114+320'!Q125</f>
        <v>0</v>
      </c>
      <c r="L124" s="65">
        <f t="shared" si="20"/>
        <v>106</v>
      </c>
      <c r="M124" s="70">
        <f>VLOOKUP(B124,'114+320'!$B$14:$AB$785,21,FALSE)</f>
        <v>677</v>
      </c>
      <c r="N124" s="69">
        <f>VLOOKUP(B124,'114+320'!$B$15:$AB$785,5,FALSE)</f>
        <v>597</v>
      </c>
      <c r="O124" s="68">
        <f t="shared" si="16"/>
        <v>1697</v>
      </c>
      <c r="P124" s="68">
        <f>VLOOKUP(B124,'114+320'!$B$15:$AB$785,14,FALSE)</f>
        <v>-303</v>
      </c>
      <c r="Q124" s="66">
        <f>'114+320'!R125</f>
        <v>0</v>
      </c>
      <c r="R124" s="65">
        <f t="shared" si="21"/>
        <v>123</v>
      </c>
      <c r="S124" s="70">
        <f>VLOOKUP(B124,'114+320'!$B$14:$AB$785,22,FALSE)</f>
        <v>689</v>
      </c>
      <c r="T124" s="69">
        <f>VLOOKUP(B124,'114+320'!$B$15:$AB$785,6,FALSE)</f>
        <v>525</v>
      </c>
      <c r="U124" s="68">
        <f t="shared" si="17"/>
        <v>1769</v>
      </c>
      <c r="V124" s="77">
        <f>VLOOKUP(B124,'114+320'!$B$15:$AB$785,15,FALSE)</f>
        <v>-231</v>
      </c>
      <c r="W124" s="66">
        <f>'114+320'!S125</f>
        <v>0</v>
      </c>
      <c r="X124" s="65">
        <f t="shared" si="22"/>
        <v>111</v>
      </c>
      <c r="Y124" s="64">
        <f t="shared" si="23"/>
        <v>0</v>
      </c>
      <c r="Z124" s="63">
        <f t="shared" si="24"/>
        <v>0</v>
      </c>
      <c r="AA124" s="62">
        <f t="shared" si="25"/>
        <v>0.89900000000000002</v>
      </c>
      <c r="AB124" s="62">
        <f t="shared" si="26"/>
        <v>0.73399999999999999</v>
      </c>
      <c r="AD124" s="50"/>
      <c r="AE124" s="49"/>
    </row>
    <row r="125" spans="1:32">
      <c r="B125" s="106">
        <f>'114+320'!B126</f>
        <v>45155</v>
      </c>
      <c r="C125" s="75">
        <f t="shared" si="18"/>
        <v>1</v>
      </c>
      <c r="D125" s="74">
        <f t="shared" si="19"/>
        <v>842</v>
      </c>
      <c r="E125" s="73">
        <f>VLOOKUP(B125,'114+320'!B126:AB227,3,FALSE)</f>
        <v>1450</v>
      </c>
      <c r="F125" s="69">
        <f t="shared" si="14"/>
        <v>2292</v>
      </c>
      <c r="G125" s="72">
        <f>VLOOKUP(B125,'114+320'!$B$15:$AB$785,20,FALSE)</f>
        <v>694</v>
      </c>
      <c r="H125" s="72">
        <f>VLOOKUP(B125,'114+320'!$B$15:$AB$785,4,FALSE)</f>
        <v>578</v>
      </c>
      <c r="I125" s="68">
        <f t="shared" si="15"/>
        <v>1714</v>
      </c>
      <c r="J125" s="68">
        <f>VLOOKUP(B125,'114+320'!$B$15:$AB$785,13,FALSE)</f>
        <v>-286</v>
      </c>
      <c r="K125" s="66">
        <f>'114+320'!Q126</f>
        <v>0</v>
      </c>
      <c r="L125" s="65">
        <f t="shared" si="20"/>
        <v>106</v>
      </c>
      <c r="M125" s="70">
        <f>VLOOKUP(B125,'114+320'!$B$14:$AB$785,21,FALSE)</f>
        <v>677</v>
      </c>
      <c r="N125" s="69">
        <f>VLOOKUP(B125,'114+320'!$B$15:$AB$785,5,FALSE)</f>
        <v>595</v>
      </c>
      <c r="O125" s="68">
        <f t="shared" si="16"/>
        <v>1697</v>
      </c>
      <c r="P125" s="68">
        <f>VLOOKUP(B125,'114+320'!$B$15:$AB$785,14,FALSE)</f>
        <v>-303</v>
      </c>
      <c r="Q125" s="66">
        <f>'114+320'!R126</f>
        <v>0</v>
      </c>
      <c r="R125" s="65">
        <f t="shared" si="21"/>
        <v>123</v>
      </c>
      <c r="S125" s="70">
        <f>VLOOKUP(B125,'114+320'!$B$14:$AB$785,22,FALSE)</f>
        <v>689</v>
      </c>
      <c r="T125" s="69">
        <f>VLOOKUP(B125,'114+320'!$B$15:$AB$785,6,FALSE)</f>
        <v>523</v>
      </c>
      <c r="U125" s="68">
        <f t="shared" si="17"/>
        <v>1769</v>
      </c>
      <c r="V125" s="77">
        <f>VLOOKUP(B125,'114+320'!$B$15:$AB$785,15,FALSE)</f>
        <v>-231</v>
      </c>
      <c r="W125" s="66">
        <f>'114+320'!S126</f>
        <v>0</v>
      </c>
      <c r="X125" s="65">
        <f t="shared" si="22"/>
        <v>111</v>
      </c>
      <c r="Y125" s="64">
        <f t="shared" si="23"/>
        <v>0</v>
      </c>
      <c r="Z125" s="63">
        <f t="shared" si="24"/>
        <v>0</v>
      </c>
      <c r="AA125" s="62">
        <f t="shared" si="25"/>
        <v>0.89900000000000002</v>
      </c>
      <c r="AB125" s="62">
        <f t="shared" si="26"/>
        <v>0.73399999999999999</v>
      </c>
      <c r="AD125" s="50"/>
      <c r="AE125" s="49"/>
    </row>
    <row r="126" spans="1:32">
      <c r="B126" s="106">
        <f>'114+320'!B127</f>
        <v>45156</v>
      </c>
      <c r="C126" s="75">
        <f t="shared" si="18"/>
        <v>1</v>
      </c>
      <c r="D126" s="74">
        <f t="shared" si="19"/>
        <v>842</v>
      </c>
      <c r="E126" s="73">
        <f>VLOOKUP(B126,'114+320'!B127:AB228,3,FALSE)</f>
        <v>1452</v>
      </c>
      <c r="F126" s="69">
        <f t="shared" si="14"/>
        <v>2294</v>
      </c>
      <c r="G126" s="72">
        <f>VLOOKUP(B126,'114+320'!$B$15:$AB$785,20,FALSE)</f>
        <v>694</v>
      </c>
      <c r="H126" s="72">
        <f>VLOOKUP(B126,'114+320'!$B$15:$AB$785,4,FALSE)</f>
        <v>580</v>
      </c>
      <c r="I126" s="68">
        <f t="shared" si="15"/>
        <v>1714</v>
      </c>
      <c r="J126" s="68">
        <f>VLOOKUP(B126,'114+320'!$B$15:$AB$785,13,FALSE)</f>
        <v>-286</v>
      </c>
      <c r="K126" s="66">
        <f>'114+320'!Q127</f>
        <v>0</v>
      </c>
      <c r="L126" s="65">
        <f t="shared" si="20"/>
        <v>106</v>
      </c>
      <c r="M126" s="70">
        <f>VLOOKUP(B126,'114+320'!$B$14:$AB$785,21,FALSE)</f>
        <v>677</v>
      </c>
      <c r="N126" s="69">
        <f>VLOOKUP(B126,'114+320'!$B$15:$AB$785,5,FALSE)</f>
        <v>597</v>
      </c>
      <c r="O126" s="68">
        <f t="shared" si="16"/>
        <v>1697</v>
      </c>
      <c r="P126" s="68">
        <f>VLOOKUP(B126,'114+320'!$B$15:$AB$785,14,FALSE)</f>
        <v>-303</v>
      </c>
      <c r="Q126" s="66">
        <f>'114+320'!R127</f>
        <v>0</v>
      </c>
      <c r="R126" s="65">
        <f t="shared" si="21"/>
        <v>123</v>
      </c>
      <c r="S126" s="70">
        <f>VLOOKUP(B126,'114+320'!$B$14:$AB$785,22,FALSE)</f>
        <v>689</v>
      </c>
      <c r="T126" s="69">
        <f>VLOOKUP(B126,'114+320'!$B$15:$AB$785,6,FALSE)</f>
        <v>525</v>
      </c>
      <c r="U126" s="68">
        <f t="shared" si="17"/>
        <v>1769</v>
      </c>
      <c r="V126" s="77">
        <f>VLOOKUP(B126,'114+320'!$B$15:$AB$785,15,FALSE)</f>
        <v>-231</v>
      </c>
      <c r="W126" s="66">
        <f>'114+320'!S127</f>
        <v>0</v>
      </c>
      <c r="X126" s="65">
        <f t="shared" si="22"/>
        <v>111</v>
      </c>
      <c r="Y126" s="64">
        <f t="shared" si="23"/>
        <v>0</v>
      </c>
      <c r="Z126" s="63">
        <f t="shared" si="24"/>
        <v>0</v>
      </c>
      <c r="AA126" s="62">
        <f t="shared" si="25"/>
        <v>0.89900000000000002</v>
      </c>
      <c r="AB126" s="62">
        <f t="shared" si="26"/>
        <v>0.73399999999999999</v>
      </c>
      <c r="AD126" s="50"/>
      <c r="AE126" s="49"/>
    </row>
    <row r="127" spans="1:32">
      <c r="B127" s="106">
        <f>'114+320'!B128</f>
        <v>45157</v>
      </c>
      <c r="C127" s="75">
        <f t="shared" si="18"/>
        <v>1</v>
      </c>
      <c r="D127" s="74">
        <f t="shared" si="19"/>
        <v>842</v>
      </c>
      <c r="E127" s="73">
        <f>VLOOKUP(B127,'114+320'!B128:AB229,3,FALSE)</f>
        <v>1454</v>
      </c>
      <c r="F127" s="69">
        <f t="shared" si="14"/>
        <v>2296</v>
      </c>
      <c r="G127" s="72">
        <f>VLOOKUP(B127,'114+320'!$B$15:$AB$785,20,FALSE)</f>
        <v>694</v>
      </c>
      <c r="H127" s="72">
        <f>VLOOKUP(B127,'114+320'!$B$15:$AB$785,4,FALSE)</f>
        <v>582</v>
      </c>
      <c r="I127" s="68">
        <f t="shared" si="15"/>
        <v>1714</v>
      </c>
      <c r="J127" s="68">
        <f>VLOOKUP(B127,'114+320'!$B$15:$AB$785,13,FALSE)</f>
        <v>-286</v>
      </c>
      <c r="K127" s="66">
        <f>'114+320'!Q128</f>
        <v>0</v>
      </c>
      <c r="L127" s="65">
        <f t="shared" si="20"/>
        <v>106</v>
      </c>
      <c r="M127" s="70">
        <f>VLOOKUP(B127,'114+320'!$B$14:$AB$785,21,FALSE)</f>
        <v>677</v>
      </c>
      <c r="N127" s="69">
        <f>VLOOKUP(B127,'114+320'!$B$15:$AB$785,5,FALSE)</f>
        <v>599</v>
      </c>
      <c r="O127" s="68">
        <f t="shared" si="16"/>
        <v>1697</v>
      </c>
      <c r="P127" s="68">
        <f>VLOOKUP(B127,'114+320'!$B$15:$AB$785,14,FALSE)</f>
        <v>-303</v>
      </c>
      <c r="Q127" s="66">
        <f>'114+320'!R128</f>
        <v>0</v>
      </c>
      <c r="R127" s="65">
        <f t="shared" si="21"/>
        <v>123</v>
      </c>
      <c r="S127" s="70">
        <f>VLOOKUP(B127,'114+320'!$B$14:$AB$785,22,FALSE)</f>
        <v>689</v>
      </c>
      <c r="T127" s="69">
        <f>VLOOKUP(B127,'114+320'!$B$15:$AB$785,6,FALSE)</f>
        <v>527</v>
      </c>
      <c r="U127" s="68">
        <f t="shared" si="17"/>
        <v>1769</v>
      </c>
      <c r="V127" s="77">
        <f>VLOOKUP(B127,'114+320'!$B$15:$AB$785,15,FALSE)</f>
        <v>-231</v>
      </c>
      <c r="W127" s="66">
        <f>'114+320'!S128</f>
        <v>0</v>
      </c>
      <c r="X127" s="65">
        <f t="shared" si="22"/>
        <v>111</v>
      </c>
      <c r="Y127" s="64">
        <f t="shared" si="23"/>
        <v>0</v>
      </c>
      <c r="Z127" s="63">
        <f t="shared" si="24"/>
        <v>0</v>
      </c>
      <c r="AA127" s="62">
        <f t="shared" si="25"/>
        <v>0.89900000000000002</v>
      </c>
      <c r="AB127" s="62">
        <f t="shared" si="26"/>
        <v>0.73399999999999999</v>
      </c>
      <c r="AD127" s="50"/>
      <c r="AE127" s="49"/>
    </row>
    <row r="128" spans="1:32">
      <c r="B128" s="106">
        <f>'114+320'!B129</f>
        <v>45158</v>
      </c>
      <c r="C128" s="75">
        <f t="shared" si="18"/>
        <v>1</v>
      </c>
      <c r="D128" s="74">
        <f t="shared" si="19"/>
        <v>842</v>
      </c>
      <c r="E128" s="73">
        <f>VLOOKUP(B128,'114+320'!B129:AB230,3,FALSE)</f>
        <v>1456</v>
      </c>
      <c r="F128" s="69">
        <f t="shared" si="14"/>
        <v>2298</v>
      </c>
      <c r="G128" s="72">
        <f>VLOOKUP(B128,'114+320'!$B$15:$AB$785,20,FALSE)</f>
        <v>694</v>
      </c>
      <c r="H128" s="72">
        <f>VLOOKUP(B128,'114+320'!$B$15:$AB$785,4,FALSE)</f>
        <v>584</v>
      </c>
      <c r="I128" s="68">
        <f t="shared" si="15"/>
        <v>1714</v>
      </c>
      <c r="J128" s="68">
        <f>VLOOKUP(B128,'114+320'!$B$15:$AB$785,13,FALSE)</f>
        <v>-286</v>
      </c>
      <c r="K128" s="66">
        <f>'114+320'!Q129</f>
        <v>0</v>
      </c>
      <c r="L128" s="65">
        <f t="shared" si="20"/>
        <v>106</v>
      </c>
      <c r="M128" s="70">
        <f>VLOOKUP(B128,'114+320'!$B$14:$AB$785,21,FALSE)</f>
        <v>677</v>
      </c>
      <c r="N128" s="69">
        <f>VLOOKUP(B128,'114+320'!$B$15:$AB$785,5,FALSE)</f>
        <v>601</v>
      </c>
      <c r="O128" s="68">
        <f t="shared" si="16"/>
        <v>1697</v>
      </c>
      <c r="P128" s="68">
        <f>VLOOKUP(B128,'114+320'!$B$15:$AB$785,14,FALSE)</f>
        <v>-303</v>
      </c>
      <c r="Q128" s="66">
        <f>'114+320'!R129</f>
        <v>0</v>
      </c>
      <c r="R128" s="65">
        <f t="shared" si="21"/>
        <v>123</v>
      </c>
      <c r="S128" s="70">
        <f>VLOOKUP(B128,'114+320'!$B$14:$AB$785,22,FALSE)</f>
        <v>689</v>
      </c>
      <c r="T128" s="69">
        <f>VLOOKUP(B128,'114+320'!$B$15:$AB$785,6,FALSE)</f>
        <v>529</v>
      </c>
      <c r="U128" s="68">
        <f t="shared" si="17"/>
        <v>1769</v>
      </c>
      <c r="V128" s="77">
        <f>VLOOKUP(B128,'114+320'!$B$15:$AB$785,15,FALSE)</f>
        <v>-231</v>
      </c>
      <c r="W128" s="66">
        <f>'114+320'!S129</f>
        <v>0</v>
      </c>
      <c r="X128" s="65">
        <f t="shared" si="22"/>
        <v>111</v>
      </c>
      <c r="Y128" s="64">
        <f t="shared" si="23"/>
        <v>0</v>
      </c>
      <c r="Z128" s="63">
        <f t="shared" si="24"/>
        <v>0</v>
      </c>
      <c r="AA128" s="62">
        <f t="shared" si="25"/>
        <v>0.89900000000000002</v>
      </c>
      <c r="AB128" s="62">
        <f t="shared" si="26"/>
        <v>0.73399999999999999</v>
      </c>
      <c r="AD128" s="50"/>
      <c r="AE128" s="49"/>
    </row>
    <row r="129" spans="2:31">
      <c r="B129" s="106">
        <f>'114+320'!B130</f>
        <v>45159</v>
      </c>
      <c r="C129" s="75">
        <f t="shared" si="18"/>
        <v>1</v>
      </c>
      <c r="D129" s="74">
        <f t="shared" si="19"/>
        <v>842</v>
      </c>
      <c r="E129" s="73">
        <f>VLOOKUP(B129,'114+320'!B130:AB231,3,FALSE)</f>
        <v>1458</v>
      </c>
      <c r="F129" s="69">
        <f t="shared" si="14"/>
        <v>2300</v>
      </c>
      <c r="G129" s="72">
        <f>VLOOKUP(B129,'114+320'!$B$15:$AB$785,20,FALSE)</f>
        <v>694</v>
      </c>
      <c r="H129" s="72">
        <f>VLOOKUP(B129,'114+320'!$B$15:$AB$785,4,FALSE)</f>
        <v>586</v>
      </c>
      <c r="I129" s="68">
        <f t="shared" si="15"/>
        <v>1714</v>
      </c>
      <c r="J129" s="68">
        <f>VLOOKUP(B129,'114+320'!$B$15:$AB$785,13,FALSE)</f>
        <v>-286</v>
      </c>
      <c r="K129" s="66">
        <f>'114+320'!Q130</f>
        <v>0</v>
      </c>
      <c r="L129" s="65">
        <f t="shared" si="20"/>
        <v>106</v>
      </c>
      <c r="M129" s="70">
        <f>VLOOKUP(B129,'114+320'!$B$14:$AB$785,21,FALSE)</f>
        <v>677</v>
      </c>
      <c r="N129" s="69">
        <f>VLOOKUP(B129,'114+320'!$B$15:$AB$785,5,FALSE)</f>
        <v>603</v>
      </c>
      <c r="O129" s="68">
        <f t="shared" si="16"/>
        <v>1697</v>
      </c>
      <c r="P129" s="68">
        <f>VLOOKUP(B129,'114+320'!$B$15:$AB$785,14,FALSE)</f>
        <v>-303</v>
      </c>
      <c r="Q129" s="66">
        <f>'114+320'!R130</f>
        <v>0</v>
      </c>
      <c r="R129" s="65">
        <f t="shared" si="21"/>
        <v>123</v>
      </c>
      <c r="S129" s="70">
        <f>VLOOKUP(B129,'114+320'!$B$14:$AB$785,22,FALSE)</f>
        <v>689</v>
      </c>
      <c r="T129" s="69">
        <f>VLOOKUP(B129,'114+320'!$B$15:$AB$785,6,FALSE)</f>
        <v>531</v>
      </c>
      <c r="U129" s="68">
        <f t="shared" si="17"/>
        <v>1769</v>
      </c>
      <c r="V129" s="77">
        <f>VLOOKUP(B129,'114+320'!$B$15:$AB$785,15,FALSE)</f>
        <v>-231</v>
      </c>
      <c r="W129" s="66">
        <f>'114+320'!S130</f>
        <v>0</v>
      </c>
      <c r="X129" s="65">
        <f t="shared" si="22"/>
        <v>111</v>
      </c>
      <c r="Y129" s="64">
        <f t="shared" si="23"/>
        <v>0</v>
      </c>
      <c r="Z129" s="63">
        <f t="shared" si="24"/>
        <v>0</v>
      </c>
      <c r="AA129" s="62">
        <f t="shared" si="25"/>
        <v>0.89900000000000002</v>
      </c>
      <c r="AB129" s="62">
        <f t="shared" si="26"/>
        <v>0.73399999999999999</v>
      </c>
      <c r="AD129" s="50"/>
      <c r="AE129" s="49"/>
    </row>
    <row r="130" spans="2:31">
      <c r="B130" s="106">
        <f>'114+320'!B131</f>
        <v>45160</v>
      </c>
      <c r="C130" s="75">
        <f t="shared" si="18"/>
        <v>1</v>
      </c>
      <c r="D130" s="74">
        <f t="shared" si="19"/>
        <v>842</v>
      </c>
      <c r="E130" s="73">
        <f>VLOOKUP(B130,'114+320'!B131:AB232,3,FALSE)</f>
        <v>1460</v>
      </c>
      <c r="F130" s="69">
        <f t="shared" si="14"/>
        <v>2302</v>
      </c>
      <c r="G130" s="72">
        <f>VLOOKUP(B130,'114+320'!$B$15:$AB$785,20,FALSE)</f>
        <v>694</v>
      </c>
      <c r="H130" s="72">
        <f>VLOOKUP(B130,'114+320'!$B$15:$AB$785,4,FALSE)</f>
        <v>588</v>
      </c>
      <c r="I130" s="68">
        <f t="shared" si="15"/>
        <v>1714</v>
      </c>
      <c r="J130" s="68">
        <f>VLOOKUP(B130,'114+320'!$B$15:$AB$785,13,FALSE)</f>
        <v>-286</v>
      </c>
      <c r="K130" s="66">
        <f>'114+320'!Q131</f>
        <v>0</v>
      </c>
      <c r="L130" s="65">
        <f t="shared" si="20"/>
        <v>106</v>
      </c>
      <c r="M130" s="70">
        <f>VLOOKUP(B130,'114+320'!$B$14:$AB$785,21,FALSE)</f>
        <v>677</v>
      </c>
      <c r="N130" s="69">
        <f>VLOOKUP(B130,'114+320'!$B$15:$AB$785,5,FALSE)</f>
        <v>605</v>
      </c>
      <c r="O130" s="68">
        <f t="shared" si="16"/>
        <v>1697</v>
      </c>
      <c r="P130" s="68">
        <f>VLOOKUP(B130,'114+320'!$B$15:$AB$785,14,FALSE)</f>
        <v>-303</v>
      </c>
      <c r="Q130" s="66">
        <f>'114+320'!R131</f>
        <v>0</v>
      </c>
      <c r="R130" s="65">
        <f t="shared" si="21"/>
        <v>123</v>
      </c>
      <c r="S130" s="70">
        <f>VLOOKUP(B130,'114+320'!$B$14:$AB$785,22,FALSE)</f>
        <v>689</v>
      </c>
      <c r="T130" s="69">
        <f>VLOOKUP(B130,'114+320'!$B$15:$AB$785,6,FALSE)</f>
        <v>533</v>
      </c>
      <c r="U130" s="68">
        <f t="shared" si="17"/>
        <v>1769</v>
      </c>
      <c r="V130" s="77">
        <f>VLOOKUP(B130,'114+320'!$B$15:$AB$785,15,FALSE)</f>
        <v>-231</v>
      </c>
      <c r="W130" s="66">
        <f>'114+320'!S131</f>
        <v>0</v>
      </c>
      <c r="X130" s="65">
        <f t="shared" si="22"/>
        <v>111</v>
      </c>
      <c r="Y130" s="64">
        <f t="shared" si="23"/>
        <v>0</v>
      </c>
      <c r="Z130" s="63">
        <f t="shared" si="24"/>
        <v>0</v>
      </c>
      <c r="AA130" s="62">
        <f t="shared" si="25"/>
        <v>0.89900000000000002</v>
      </c>
      <c r="AB130" s="62">
        <f t="shared" si="26"/>
        <v>0.73399999999999999</v>
      </c>
      <c r="AD130" s="50"/>
      <c r="AE130" s="49"/>
    </row>
    <row r="131" spans="2:31">
      <c r="B131" s="106">
        <f>'114+320'!B132</f>
        <v>45161</v>
      </c>
      <c r="C131" s="75">
        <f t="shared" si="18"/>
        <v>1</v>
      </c>
      <c r="D131" s="74">
        <f t="shared" si="19"/>
        <v>842</v>
      </c>
      <c r="E131" s="73">
        <f>VLOOKUP(B131,'114+320'!B132:AB233,3,FALSE)</f>
        <v>1462</v>
      </c>
      <c r="F131" s="69">
        <f t="shared" si="14"/>
        <v>2304</v>
      </c>
      <c r="G131" s="72">
        <f>VLOOKUP(B131,'114+320'!$B$15:$AB$785,20,FALSE)</f>
        <v>694</v>
      </c>
      <c r="H131" s="72">
        <f>VLOOKUP(B131,'114+320'!$B$15:$AB$785,4,FALSE)</f>
        <v>590</v>
      </c>
      <c r="I131" s="68">
        <f t="shared" si="15"/>
        <v>1714</v>
      </c>
      <c r="J131" s="68">
        <f>VLOOKUP(B131,'114+320'!$B$15:$AB$785,13,FALSE)</f>
        <v>-286</v>
      </c>
      <c r="K131" s="66">
        <f>'114+320'!Q132</f>
        <v>0</v>
      </c>
      <c r="L131" s="65">
        <f t="shared" si="20"/>
        <v>106</v>
      </c>
      <c r="M131" s="70">
        <f>VLOOKUP(B131,'114+320'!$B$14:$AB$785,21,FALSE)</f>
        <v>677</v>
      </c>
      <c r="N131" s="69">
        <f>VLOOKUP(B131,'114+320'!$B$15:$AB$785,5,FALSE)</f>
        <v>607</v>
      </c>
      <c r="O131" s="68">
        <f t="shared" si="16"/>
        <v>1697</v>
      </c>
      <c r="P131" s="68">
        <f>VLOOKUP(B131,'114+320'!$B$15:$AB$785,14,FALSE)</f>
        <v>-303</v>
      </c>
      <c r="Q131" s="66">
        <f>'114+320'!R132</f>
        <v>0</v>
      </c>
      <c r="R131" s="65">
        <f t="shared" si="21"/>
        <v>123</v>
      </c>
      <c r="S131" s="70">
        <f>VLOOKUP(B131,'114+320'!$B$14:$AB$785,22,FALSE)</f>
        <v>689</v>
      </c>
      <c r="T131" s="69">
        <f>VLOOKUP(B131,'114+320'!$B$15:$AB$785,6,FALSE)</f>
        <v>535</v>
      </c>
      <c r="U131" s="68">
        <f t="shared" si="17"/>
        <v>1769</v>
      </c>
      <c r="V131" s="77">
        <f>VLOOKUP(B131,'114+320'!$B$15:$AB$785,15,FALSE)</f>
        <v>-231</v>
      </c>
      <c r="W131" s="66">
        <f>'114+320'!S132</f>
        <v>0</v>
      </c>
      <c r="X131" s="65">
        <f t="shared" si="22"/>
        <v>111</v>
      </c>
      <c r="Y131" s="64">
        <f t="shared" si="23"/>
        <v>0</v>
      </c>
      <c r="Z131" s="63">
        <f t="shared" si="24"/>
        <v>0</v>
      </c>
      <c r="AA131" s="62">
        <f t="shared" si="25"/>
        <v>0.89900000000000002</v>
      </c>
      <c r="AB131" s="62">
        <f t="shared" si="26"/>
        <v>0.73399999999999999</v>
      </c>
    </row>
    <row r="132" spans="2:31">
      <c r="B132" s="106">
        <f>'114+320'!B133</f>
        <v>45162</v>
      </c>
      <c r="C132" s="75">
        <f t="shared" si="18"/>
        <v>1</v>
      </c>
      <c r="D132" s="74">
        <f t="shared" si="19"/>
        <v>842</v>
      </c>
      <c r="E132" s="73">
        <f>VLOOKUP(B132,'114+320'!B133:AB234,3,FALSE)</f>
        <v>1464</v>
      </c>
      <c r="F132" s="69">
        <f t="shared" si="14"/>
        <v>2306</v>
      </c>
      <c r="G132" s="72">
        <f>VLOOKUP(B132,'114+320'!$B$15:$AB$785,20,FALSE)</f>
        <v>694</v>
      </c>
      <c r="H132" s="72">
        <f>VLOOKUP(B132,'114+320'!$B$15:$AB$785,4,FALSE)</f>
        <v>592</v>
      </c>
      <c r="I132" s="68">
        <f t="shared" si="15"/>
        <v>1714</v>
      </c>
      <c r="J132" s="68">
        <f>VLOOKUP(B132,'114+320'!$B$15:$AB$785,13,FALSE)</f>
        <v>-286</v>
      </c>
      <c r="K132" s="66">
        <f>'114+320'!Q133</f>
        <v>0</v>
      </c>
      <c r="L132" s="65">
        <f t="shared" si="20"/>
        <v>106</v>
      </c>
      <c r="M132" s="70">
        <f>VLOOKUP(B132,'114+320'!$B$14:$AB$785,21,FALSE)</f>
        <v>677</v>
      </c>
      <c r="N132" s="69">
        <f>VLOOKUP(B132,'114+320'!$B$15:$AB$785,5,FALSE)</f>
        <v>609</v>
      </c>
      <c r="O132" s="68">
        <f t="shared" si="16"/>
        <v>1697</v>
      </c>
      <c r="P132" s="68">
        <f>VLOOKUP(B132,'114+320'!$B$15:$AB$785,14,FALSE)</f>
        <v>-303</v>
      </c>
      <c r="Q132" s="66">
        <f>'114+320'!R133</f>
        <v>0</v>
      </c>
      <c r="R132" s="65">
        <f t="shared" si="21"/>
        <v>123</v>
      </c>
      <c r="S132" s="70">
        <f>VLOOKUP(B132,'114+320'!$B$14:$AB$785,22,FALSE)</f>
        <v>689</v>
      </c>
      <c r="T132" s="69">
        <f>VLOOKUP(B132,'114+320'!$B$15:$AB$785,6,FALSE)</f>
        <v>537</v>
      </c>
      <c r="U132" s="68">
        <f t="shared" si="17"/>
        <v>1769</v>
      </c>
      <c r="V132" s="77">
        <f>VLOOKUP(B132,'114+320'!$B$15:$AB$785,15,FALSE)</f>
        <v>-231</v>
      </c>
      <c r="W132" s="66">
        <f>'114+320'!S133</f>
        <v>0</v>
      </c>
      <c r="X132" s="65">
        <f t="shared" si="22"/>
        <v>111</v>
      </c>
      <c r="Y132" s="64">
        <f t="shared" si="23"/>
        <v>0</v>
      </c>
      <c r="Z132" s="63">
        <f t="shared" si="24"/>
        <v>0</v>
      </c>
      <c r="AA132" s="62">
        <f t="shared" si="25"/>
        <v>0.89900000000000002</v>
      </c>
      <c r="AB132" s="62">
        <f t="shared" si="26"/>
        <v>0.73399999999999999</v>
      </c>
    </row>
    <row r="133" spans="2:31">
      <c r="B133" s="106">
        <f>'114+320'!B134</f>
        <v>45163</v>
      </c>
      <c r="C133" s="75">
        <f t="shared" si="18"/>
        <v>1</v>
      </c>
      <c r="D133" s="74">
        <f t="shared" si="19"/>
        <v>842</v>
      </c>
      <c r="E133" s="73">
        <f>VLOOKUP(B133,'114+320'!B134:AB235,3,FALSE)</f>
        <v>1466</v>
      </c>
      <c r="F133" s="69">
        <f t="shared" si="14"/>
        <v>2308</v>
      </c>
      <c r="G133" s="72">
        <f>VLOOKUP(B133,'114+320'!$B$15:$AB$785,20,FALSE)</f>
        <v>694</v>
      </c>
      <c r="H133" s="72">
        <f>VLOOKUP(B133,'114+320'!$B$15:$AB$785,4,FALSE)</f>
        <v>594</v>
      </c>
      <c r="I133" s="68">
        <f t="shared" si="15"/>
        <v>1714</v>
      </c>
      <c r="J133" s="68">
        <f>VLOOKUP(B133,'114+320'!$B$15:$AB$785,13,FALSE)</f>
        <v>-286</v>
      </c>
      <c r="K133" s="66">
        <f>'114+320'!Q134</f>
        <v>0</v>
      </c>
      <c r="L133" s="65">
        <f t="shared" si="20"/>
        <v>106</v>
      </c>
      <c r="M133" s="70">
        <f>VLOOKUP(B133,'114+320'!$B$14:$AB$785,21,FALSE)</f>
        <v>677</v>
      </c>
      <c r="N133" s="69">
        <f>VLOOKUP(B133,'114+320'!$B$15:$AB$785,5,FALSE)</f>
        <v>611</v>
      </c>
      <c r="O133" s="68">
        <f t="shared" si="16"/>
        <v>1697</v>
      </c>
      <c r="P133" s="68">
        <f>VLOOKUP(B133,'114+320'!$B$15:$AB$785,14,FALSE)</f>
        <v>-303</v>
      </c>
      <c r="Q133" s="66">
        <f>'114+320'!R134</f>
        <v>0</v>
      </c>
      <c r="R133" s="65">
        <f t="shared" si="21"/>
        <v>123</v>
      </c>
      <c r="S133" s="70">
        <f>VLOOKUP(B133,'114+320'!$B$14:$AB$785,22,FALSE)</f>
        <v>689</v>
      </c>
      <c r="T133" s="69">
        <f>VLOOKUP(B133,'114+320'!$B$15:$AB$785,6,FALSE)</f>
        <v>539</v>
      </c>
      <c r="U133" s="68">
        <f t="shared" si="17"/>
        <v>1769</v>
      </c>
      <c r="V133" s="77">
        <f>VLOOKUP(B133,'114+320'!$B$15:$AB$785,15,FALSE)</f>
        <v>-231</v>
      </c>
      <c r="W133" s="66">
        <f>'114+320'!S134</f>
        <v>0</v>
      </c>
      <c r="X133" s="65">
        <f t="shared" si="22"/>
        <v>111</v>
      </c>
      <c r="Y133" s="64">
        <f t="shared" si="23"/>
        <v>0</v>
      </c>
      <c r="Z133" s="63">
        <f t="shared" si="24"/>
        <v>0</v>
      </c>
      <c r="AA133" s="62">
        <f t="shared" si="25"/>
        <v>0.89900000000000002</v>
      </c>
      <c r="AB133" s="62">
        <f t="shared" si="26"/>
        <v>0.73399999999999999</v>
      </c>
    </row>
    <row r="134" spans="2:31">
      <c r="B134" s="106">
        <f>'114+320'!B135</f>
        <v>45164</v>
      </c>
      <c r="C134" s="75">
        <f t="shared" si="18"/>
        <v>1</v>
      </c>
      <c r="D134" s="74">
        <f t="shared" si="19"/>
        <v>842</v>
      </c>
      <c r="E134" s="73">
        <f>VLOOKUP(B134,'114+320'!B135:AB236,3,FALSE)</f>
        <v>1468</v>
      </c>
      <c r="F134" s="69">
        <f t="shared" si="14"/>
        <v>2310</v>
      </c>
      <c r="G134" s="72">
        <f>VLOOKUP(B134,'114+320'!$B$15:$AB$785,20,FALSE)</f>
        <v>694</v>
      </c>
      <c r="H134" s="72">
        <f>VLOOKUP(B134,'114+320'!$B$15:$AB$785,4,FALSE)</f>
        <v>596</v>
      </c>
      <c r="I134" s="68">
        <f t="shared" si="15"/>
        <v>1714</v>
      </c>
      <c r="J134" s="68">
        <f>VLOOKUP(B134,'114+320'!$B$15:$AB$785,13,FALSE)</f>
        <v>-286</v>
      </c>
      <c r="K134" s="66">
        <f>'114+320'!Q135</f>
        <v>0</v>
      </c>
      <c r="L134" s="65">
        <f t="shared" si="20"/>
        <v>106</v>
      </c>
      <c r="M134" s="70">
        <f>VLOOKUP(B134,'114+320'!$B$14:$AB$785,21,FALSE)</f>
        <v>677</v>
      </c>
      <c r="N134" s="69">
        <f>VLOOKUP(B134,'114+320'!$B$15:$AB$785,5,FALSE)</f>
        <v>613</v>
      </c>
      <c r="O134" s="68">
        <f t="shared" si="16"/>
        <v>1697</v>
      </c>
      <c r="P134" s="68">
        <f>VLOOKUP(B134,'114+320'!$B$15:$AB$785,14,FALSE)</f>
        <v>-303</v>
      </c>
      <c r="Q134" s="66">
        <f>'114+320'!R135</f>
        <v>0</v>
      </c>
      <c r="R134" s="65">
        <f t="shared" si="21"/>
        <v>123</v>
      </c>
      <c r="S134" s="70">
        <f>VLOOKUP(B134,'114+320'!$B$14:$AB$785,22,FALSE)</f>
        <v>689</v>
      </c>
      <c r="T134" s="69">
        <f>VLOOKUP(B134,'114+320'!$B$15:$AB$785,6,FALSE)</f>
        <v>541</v>
      </c>
      <c r="U134" s="68">
        <f t="shared" si="17"/>
        <v>1769</v>
      </c>
      <c r="V134" s="77">
        <f>VLOOKUP(B134,'114+320'!$B$15:$AB$785,15,FALSE)</f>
        <v>-231</v>
      </c>
      <c r="W134" s="66">
        <f>'114+320'!S135</f>
        <v>0</v>
      </c>
      <c r="X134" s="65">
        <f t="shared" si="22"/>
        <v>111</v>
      </c>
      <c r="Y134" s="64">
        <f t="shared" si="23"/>
        <v>0</v>
      </c>
      <c r="Z134" s="63">
        <f t="shared" si="24"/>
        <v>0</v>
      </c>
      <c r="AA134" s="62">
        <f t="shared" si="25"/>
        <v>0.89900000000000002</v>
      </c>
      <c r="AB134" s="62">
        <f t="shared" si="26"/>
        <v>0.73399999999999999</v>
      </c>
    </row>
    <row r="135" spans="2:31">
      <c r="B135" s="106">
        <f>'114+320'!B136</f>
        <v>45165</v>
      </c>
      <c r="C135" s="75">
        <f t="shared" si="18"/>
        <v>1</v>
      </c>
      <c r="D135" s="74">
        <f t="shared" si="19"/>
        <v>842</v>
      </c>
      <c r="E135" s="73">
        <f>VLOOKUP(B135,'114+320'!B136:AB237,3,FALSE)</f>
        <v>1470</v>
      </c>
      <c r="F135" s="69">
        <f t="shared" si="14"/>
        <v>2312</v>
      </c>
      <c r="G135" s="72">
        <f>VLOOKUP(B135,'114+320'!$B$15:$AB$785,20,FALSE)</f>
        <v>694</v>
      </c>
      <c r="H135" s="72">
        <f>VLOOKUP(B135,'114+320'!$B$15:$AB$785,4,FALSE)</f>
        <v>598</v>
      </c>
      <c r="I135" s="68">
        <f t="shared" si="15"/>
        <v>1714</v>
      </c>
      <c r="J135" s="68">
        <f>VLOOKUP(B135,'114+320'!$B$15:$AB$785,13,FALSE)</f>
        <v>-286</v>
      </c>
      <c r="K135" s="66">
        <f>'114+320'!Q136</f>
        <v>0</v>
      </c>
      <c r="L135" s="65">
        <f t="shared" si="20"/>
        <v>106</v>
      </c>
      <c r="M135" s="70">
        <f>VLOOKUP(B135,'114+320'!$B$14:$AB$785,21,FALSE)</f>
        <v>677</v>
      </c>
      <c r="N135" s="69">
        <f>VLOOKUP(B135,'114+320'!$B$15:$AB$785,5,FALSE)</f>
        <v>615</v>
      </c>
      <c r="O135" s="68">
        <f t="shared" si="16"/>
        <v>1697</v>
      </c>
      <c r="P135" s="68">
        <f>VLOOKUP(B135,'114+320'!$B$15:$AB$785,14,FALSE)</f>
        <v>-303</v>
      </c>
      <c r="Q135" s="66">
        <f>'114+320'!R136</f>
        <v>0</v>
      </c>
      <c r="R135" s="65">
        <f t="shared" si="21"/>
        <v>123</v>
      </c>
      <c r="S135" s="70">
        <f>VLOOKUP(B135,'114+320'!$B$14:$AB$785,22,FALSE)</f>
        <v>689</v>
      </c>
      <c r="T135" s="69">
        <f>VLOOKUP(B135,'114+320'!$B$15:$AB$785,6,FALSE)</f>
        <v>543</v>
      </c>
      <c r="U135" s="68">
        <f t="shared" si="17"/>
        <v>1769</v>
      </c>
      <c r="V135" s="77">
        <f>VLOOKUP(B135,'114+320'!$B$15:$AB$785,15,FALSE)</f>
        <v>-231</v>
      </c>
      <c r="W135" s="66">
        <f>'114+320'!S136</f>
        <v>0</v>
      </c>
      <c r="X135" s="65">
        <f t="shared" si="22"/>
        <v>111</v>
      </c>
      <c r="Y135" s="64">
        <f t="shared" si="23"/>
        <v>0</v>
      </c>
      <c r="Z135" s="63">
        <f t="shared" si="24"/>
        <v>0</v>
      </c>
      <c r="AA135" s="62">
        <f t="shared" si="25"/>
        <v>0.89900000000000002</v>
      </c>
      <c r="AB135" s="62">
        <f t="shared" si="26"/>
        <v>0.73399999999999999</v>
      </c>
    </row>
    <row r="136" spans="2:31">
      <c r="B136" s="106">
        <f>'114+320'!B137</f>
        <v>45166</v>
      </c>
      <c r="C136" s="75">
        <f t="shared" si="18"/>
        <v>1</v>
      </c>
      <c r="D136" s="74">
        <f t="shared" si="19"/>
        <v>842</v>
      </c>
      <c r="E136" s="73">
        <f>VLOOKUP(B136,'114+320'!B137:AB238,3,FALSE)</f>
        <v>1472</v>
      </c>
      <c r="F136" s="69">
        <f t="shared" si="14"/>
        <v>2314</v>
      </c>
      <c r="G136" s="72">
        <f>VLOOKUP(B136,'114+320'!$B$15:$AB$785,20,FALSE)</f>
        <v>694</v>
      </c>
      <c r="H136" s="72">
        <f>VLOOKUP(B136,'114+320'!$B$15:$AB$785,4,FALSE)</f>
        <v>600</v>
      </c>
      <c r="I136" s="68">
        <f t="shared" si="15"/>
        <v>1714</v>
      </c>
      <c r="J136" s="68">
        <f>VLOOKUP(B136,'114+320'!$B$15:$AB$785,13,FALSE)</f>
        <v>-286</v>
      </c>
      <c r="K136" s="66">
        <f>'114+320'!Q137</f>
        <v>0</v>
      </c>
      <c r="L136" s="65">
        <f t="shared" si="20"/>
        <v>106</v>
      </c>
      <c r="M136" s="70">
        <f>VLOOKUP(B136,'114+320'!$B$14:$AB$785,21,FALSE)</f>
        <v>677</v>
      </c>
      <c r="N136" s="69">
        <f>VLOOKUP(B136,'114+320'!$B$15:$AB$785,5,FALSE)</f>
        <v>617</v>
      </c>
      <c r="O136" s="68">
        <f t="shared" si="16"/>
        <v>1697</v>
      </c>
      <c r="P136" s="68">
        <f>VLOOKUP(B136,'114+320'!$B$15:$AB$785,14,FALSE)</f>
        <v>-303</v>
      </c>
      <c r="Q136" s="66">
        <f>'114+320'!R137</f>
        <v>0</v>
      </c>
      <c r="R136" s="65">
        <f t="shared" si="21"/>
        <v>123</v>
      </c>
      <c r="S136" s="70">
        <f>VLOOKUP(B136,'114+320'!$B$14:$AB$785,22,FALSE)</f>
        <v>689</v>
      </c>
      <c r="T136" s="69">
        <f>VLOOKUP(B136,'114+320'!$B$15:$AB$785,6,FALSE)</f>
        <v>545</v>
      </c>
      <c r="U136" s="68">
        <f t="shared" si="17"/>
        <v>1769</v>
      </c>
      <c r="V136" s="77">
        <f>VLOOKUP(B136,'114+320'!$B$15:$AB$785,15,FALSE)</f>
        <v>-231</v>
      </c>
      <c r="W136" s="66">
        <f>'114+320'!S137</f>
        <v>0</v>
      </c>
      <c r="X136" s="65">
        <f t="shared" si="22"/>
        <v>111</v>
      </c>
      <c r="Y136" s="64">
        <f t="shared" si="23"/>
        <v>0</v>
      </c>
      <c r="Z136" s="63">
        <f t="shared" si="24"/>
        <v>0</v>
      </c>
      <c r="AA136" s="62">
        <f t="shared" si="25"/>
        <v>0.89900000000000002</v>
      </c>
      <c r="AB136" s="62">
        <f t="shared" si="26"/>
        <v>0.73399999999999999</v>
      </c>
    </row>
    <row r="137" spans="2:31">
      <c r="B137" s="106">
        <f>'114+320'!B138</f>
        <v>45167</v>
      </c>
      <c r="C137" s="75">
        <f t="shared" si="18"/>
        <v>1</v>
      </c>
      <c r="D137" s="74">
        <f t="shared" si="19"/>
        <v>842</v>
      </c>
      <c r="E137" s="73">
        <f>VLOOKUP(B137,'114+320'!B138:AB239,3,FALSE)</f>
        <v>1474</v>
      </c>
      <c r="F137" s="69">
        <f t="shared" si="14"/>
        <v>2316</v>
      </c>
      <c r="G137" s="72">
        <f>VLOOKUP(B137,'114+320'!$B$15:$AB$785,20,FALSE)</f>
        <v>694</v>
      </c>
      <c r="H137" s="72">
        <f>VLOOKUP(B137,'114+320'!$B$15:$AB$785,4,FALSE)</f>
        <v>602</v>
      </c>
      <c r="I137" s="68">
        <f t="shared" si="15"/>
        <v>1714</v>
      </c>
      <c r="J137" s="68">
        <f>VLOOKUP(B137,'114+320'!$B$15:$AB$785,13,FALSE)</f>
        <v>-286</v>
      </c>
      <c r="K137" s="66">
        <f>'114+320'!Q138</f>
        <v>0</v>
      </c>
      <c r="L137" s="65">
        <f t="shared" si="20"/>
        <v>106</v>
      </c>
      <c r="M137" s="70">
        <f>VLOOKUP(B137,'114+320'!$B$14:$AB$785,21,FALSE)</f>
        <v>677</v>
      </c>
      <c r="N137" s="69">
        <f>VLOOKUP(B137,'114+320'!$B$15:$AB$785,5,FALSE)</f>
        <v>619</v>
      </c>
      <c r="O137" s="68">
        <f t="shared" si="16"/>
        <v>1697</v>
      </c>
      <c r="P137" s="68">
        <f>VLOOKUP(B137,'114+320'!$B$15:$AB$785,14,FALSE)</f>
        <v>-303</v>
      </c>
      <c r="Q137" s="66">
        <f>'114+320'!R138</f>
        <v>0</v>
      </c>
      <c r="R137" s="65">
        <f t="shared" si="21"/>
        <v>123</v>
      </c>
      <c r="S137" s="70">
        <f>VLOOKUP(B137,'114+320'!$B$14:$AB$785,22,FALSE)</f>
        <v>689</v>
      </c>
      <c r="T137" s="69">
        <f>VLOOKUP(B137,'114+320'!$B$15:$AB$785,6,FALSE)</f>
        <v>547</v>
      </c>
      <c r="U137" s="68">
        <f t="shared" si="17"/>
        <v>1769</v>
      </c>
      <c r="V137" s="77">
        <f>VLOOKUP(B137,'114+320'!$B$15:$AB$785,15,FALSE)</f>
        <v>-231</v>
      </c>
      <c r="W137" s="66">
        <f>'114+320'!S138</f>
        <v>0</v>
      </c>
      <c r="X137" s="65">
        <f t="shared" si="22"/>
        <v>111</v>
      </c>
      <c r="Y137" s="64">
        <f t="shared" si="23"/>
        <v>0</v>
      </c>
      <c r="Z137" s="63">
        <f t="shared" si="24"/>
        <v>0</v>
      </c>
      <c r="AA137" s="62">
        <f t="shared" si="25"/>
        <v>0.89900000000000002</v>
      </c>
      <c r="AB137" s="62">
        <f t="shared" si="26"/>
        <v>0.73399999999999999</v>
      </c>
    </row>
    <row r="138" spans="2:31">
      <c r="B138" s="106">
        <f>'114+320'!B139</f>
        <v>45168</v>
      </c>
      <c r="C138" s="75">
        <f t="shared" si="18"/>
        <v>1</v>
      </c>
      <c r="D138" s="74">
        <f t="shared" si="19"/>
        <v>842</v>
      </c>
      <c r="E138" s="73">
        <f>VLOOKUP(B138,'114+320'!B139:AB240,3,FALSE)</f>
        <v>1476</v>
      </c>
      <c r="F138" s="69">
        <f t="shared" si="14"/>
        <v>2318</v>
      </c>
      <c r="G138" s="72">
        <f>VLOOKUP(B138,'114+320'!$B$15:$AB$785,20,FALSE)</f>
        <v>694</v>
      </c>
      <c r="H138" s="72">
        <f>VLOOKUP(B138,'114+320'!$B$15:$AB$785,4,FALSE)</f>
        <v>604</v>
      </c>
      <c r="I138" s="68">
        <f t="shared" si="15"/>
        <v>1714</v>
      </c>
      <c r="J138" s="68">
        <f>VLOOKUP(B138,'114+320'!$B$15:$AB$785,13,FALSE)</f>
        <v>-286</v>
      </c>
      <c r="K138" s="66">
        <f>'114+320'!Q139</f>
        <v>0</v>
      </c>
      <c r="L138" s="65">
        <f t="shared" si="20"/>
        <v>106</v>
      </c>
      <c r="M138" s="70">
        <f>VLOOKUP(B138,'114+320'!$B$14:$AB$785,21,FALSE)</f>
        <v>677</v>
      </c>
      <c r="N138" s="69">
        <f>VLOOKUP(B138,'114+320'!$B$15:$AB$785,5,FALSE)</f>
        <v>621</v>
      </c>
      <c r="O138" s="68">
        <f t="shared" si="16"/>
        <v>1697</v>
      </c>
      <c r="P138" s="68">
        <f>VLOOKUP(B138,'114+320'!$B$15:$AB$785,14,FALSE)</f>
        <v>-303</v>
      </c>
      <c r="Q138" s="66">
        <f>'114+320'!R139</f>
        <v>0</v>
      </c>
      <c r="R138" s="65">
        <f t="shared" si="21"/>
        <v>123</v>
      </c>
      <c r="S138" s="70">
        <f>VLOOKUP(B138,'114+320'!$B$14:$AB$785,22,FALSE)</f>
        <v>689</v>
      </c>
      <c r="T138" s="69">
        <f>VLOOKUP(B138,'114+320'!$B$15:$AB$785,6,FALSE)</f>
        <v>549</v>
      </c>
      <c r="U138" s="68">
        <f t="shared" si="17"/>
        <v>1769</v>
      </c>
      <c r="V138" s="77">
        <f>VLOOKUP(B138,'114+320'!$B$15:$AB$785,15,FALSE)</f>
        <v>-231</v>
      </c>
      <c r="W138" s="66">
        <f>'114+320'!S139</f>
        <v>0</v>
      </c>
      <c r="X138" s="65">
        <f t="shared" si="22"/>
        <v>111</v>
      </c>
      <c r="Y138" s="64">
        <f t="shared" si="23"/>
        <v>0</v>
      </c>
      <c r="Z138" s="63">
        <f t="shared" si="24"/>
        <v>0</v>
      </c>
      <c r="AA138" s="62">
        <f t="shared" si="25"/>
        <v>0.89900000000000002</v>
      </c>
      <c r="AB138" s="62">
        <f t="shared" si="26"/>
        <v>0.73399999999999999</v>
      </c>
    </row>
    <row r="139" spans="2:31">
      <c r="B139" s="106">
        <f>'114+320'!B140</f>
        <v>45169</v>
      </c>
      <c r="C139" s="75">
        <f t="shared" si="18"/>
        <v>1</v>
      </c>
      <c r="D139" s="74">
        <f t="shared" si="19"/>
        <v>842</v>
      </c>
      <c r="E139" s="73">
        <f>VLOOKUP(B139,'114+320'!B140:AB241,3,FALSE)</f>
        <v>1478</v>
      </c>
      <c r="F139" s="69">
        <f t="shared" si="14"/>
        <v>2320</v>
      </c>
      <c r="G139" s="72">
        <f>VLOOKUP(B139,'114+320'!$B$15:$AB$785,20,FALSE)</f>
        <v>694</v>
      </c>
      <c r="H139" s="72">
        <f>VLOOKUP(B139,'114+320'!$B$15:$AB$785,4,FALSE)</f>
        <v>606</v>
      </c>
      <c r="I139" s="68">
        <f t="shared" si="15"/>
        <v>1714</v>
      </c>
      <c r="J139" s="68">
        <f>VLOOKUP(B139,'114+320'!$B$15:$AB$785,13,FALSE)</f>
        <v>-286</v>
      </c>
      <c r="K139" s="66">
        <f>'114+320'!Q140</f>
        <v>0</v>
      </c>
      <c r="L139" s="65">
        <f t="shared" si="20"/>
        <v>106</v>
      </c>
      <c r="M139" s="70">
        <f>VLOOKUP(B139,'114+320'!$B$14:$AB$785,21,FALSE)</f>
        <v>677</v>
      </c>
      <c r="N139" s="69">
        <f>VLOOKUP(B139,'114+320'!$B$15:$AB$785,5,FALSE)</f>
        <v>623</v>
      </c>
      <c r="O139" s="68">
        <f t="shared" si="16"/>
        <v>1697</v>
      </c>
      <c r="P139" s="68">
        <f>VLOOKUP(B139,'114+320'!$B$15:$AB$785,14,FALSE)</f>
        <v>-303</v>
      </c>
      <c r="Q139" s="66">
        <f>'114+320'!R140</f>
        <v>0</v>
      </c>
      <c r="R139" s="65">
        <f t="shared" si="21"/>
        <v>123</v>
      </c>
      <c r="S139" s="70">
        <f>VLOOKUP(B139,'114+320'!$B$14:$AB$785,22,FALSE)</f>
        <v>689</v>
      </c>
      <c r="T139" s="69">
        <f>VLOOKUP(B139,'114+320'!$B$15:$AB$785,6,FALSE)</f>
        <v>551</v>
      </c>
      <c r="U139" s="68">
        <f t="shared" si="17"/>
        <v>1769</v>
      </c>
      <c r="V139" s="77">
        <f>VLOOKUP(B139,'114+320'!$B$15:$AB$785,15,FALSE)</f>
        <v>-231</v>
      </c>
      <c r="W139" s="66">
        <f>'114+320'!S140</f>
        <v>0</v>
      </c>
      <c r="X139" s="65">
        <f t="shared" si="22"/>
        <v>111</v>
      </c>
      <c r="Y139" s="64">
        <f t="shared" si="23"/>
        <v>0</v>
      </c>
      <c r="Z139" s="63">
        <f t="shared" si="24"/>
        <v>0</v>
      </c>
      <c r="AA139" s="62">
        <f t="shared" si="25"/>
        <v>0.89900000000000002</v>
      </c>
      <c r="AB139" s="62">
        <f t="shared" si="26"/>
        <v>0.73399999999999999</v>
      </c>
    </row>
    <row r="140" spans="2:31">
      <c r="B140" s="106">
        <f>'114+320'!B141</f>
        <v>45170</v>
      </c>
      <c r="C140" s="75">
        <f t="shared" si="18"/>
        <v>1</v>
      </c>
      <c r="D140" s="74">
        <f t="shared" si="19"/>
        <v>842</v>
      </c>
      <c r="E140" s="73">
        <f>VLOOKUP(B140,'114+320'!B141:AB242,3,FALSE)</f>
        <v>1480</v>
      </c>
      <c r="F140" s="69">
        <f t="shared" si="14"/>
        <v>2322</v>
      </c>
      <c r="G140" s="72">
        <f>VLOOKUP(B140,'114+320'!$B$15:$AB$785,20,FALSE)</f>
        <v>694</v>
      </c>
      <c r="H140" s="72">
        <f>VLOOKUP(B140,'114+320'!$B$15:$AB$785,4,FALSE)</f>
        <v>608</v>
      </c>
      <c r="I140" s="68">
        <f t="shared" si="15"/>
        <v>1714</v>
      </c>
      <c r="J140" s="68">
        <f>VLOOKUP(B140,'114+320'!$B$15:$AB$785,13,FALSE)</f>
        <v>-286</v>
      </c>
      <c r="K140" s="66">
        <f>'114+320'!Q141</f>
        <v>0</v>
      </c>
      <c r="L140" s="65">
        <f t="shared" si="20"/>
        <v>106</v>
      </c>
      <c r="M140" s="70">
        <f>VLOOKUP(B140,'114+320'!$B$14:$AB$785,21,FALSE)</f>
        <v>677</v>
      </c>
      <c r="N140" s="69">
        <f>VLOOKUP(B140,'114+320'!$B$15:$AB$785,5,FALSE)</f>
        <v>625</v>
      </c>
      <c r="O140" s="68">
        <f t="shared" si="16"/>
        <v>1697</v>
      </c>
      <c r="P140" s="68">
        <f>VLOOKUP(B140,'114+320'!$B$15:$AB$785,14,FALSE)</f>
        <v>-303</v>
      </c>
      <c r="Q140" s="66">
        <f>'114+320'!R141</f>
        <v>0</v>
      </c>
      <c r="R140" s="65">
        <f t="shared" si="21"/>
        <v>123</v>
      </c>
      <c r="S140" s="70">
        <f>VLOOKUP(B140,'114+320'!$B$14:$AB$785,22,FALSE)</f>
        <v>689</v>
      </c>
      <c r="T140" s="69">
        <f>VLOOKUP(B140,'114+320'!$B$15:$AB$785,6,FALSE)</f>
        <v>553</v>
      </c>
      <c r="U140" s="68">
        <f t="shared" si="17"/>
        <v>1769</v>
      </c>
      <c r="V140" s="77">
        <f>VLOOKUP(B140,'114+320'!$B$15:$AB$785,15,FALSE)</f>
        <v>-231</v>
      </c>
      <c r="W140" s="66">
        <f>'114+320'!S141</f>
        <v>0</v>
      </c>
      <c r="X140" s="65">
        <f t="shared" si="22"/>
        <v>111</v>
      </c>
      <c r="Y140" s="64">
        <f t="shared" si="23"/>
        <v>0</v>
      </c>
      <c r="Z140" s="63">
        <f t="shared" si="24"/>
        <v>0</v>
      </c>
      <c r="AA140" s="62">
        <f t="shared" si="25"/>
        <v>0.89900000000000002</v>
      </c>
      <c r="AB140" s="62">
        <f t="shared" si="26"/>
        <v>0.73399999999999999</v>
      </c>
    </row>
    <row r="141" spans="2:31">
      <c r="B141" s="106">
        <f>'114+320'!B142</f>
        <v>45171</v>
      </c>
      <c r="C141" s="75">
        <f t="shared" si="18"/>
        <v>1</v>
      </c>
      <c r="D141" s="74">
        <f t="shared" si="19"/>
        <v>842</v>
      </c>
      <c r="E141" s="73">
        <f>VLOOKUP(B141,'114+320'!B142:AB243,3,FALSE)</f>
        <v>1482</v>
      </c>
      <c r="F141" s="69">
        <f t="shared" ref="F141:F204" si="27">D141+E141</f>
        <v>2324</v>
      </c>
      <c r="G141" s="72">
        <f>VLOOKUP(B141,'114+320'!$B$15:$AB$785,20,FALSE)</f>
        <v>694</v>
      </c>
      <c r="H141" s="72">
        <f>VLOOKUP(B141,'114+320'!$B$15:$AB$785,4,FALSE)</f>
        <v>610</v>
      </c>
      <c r="I141" s="68">
        <f t="shared" ref="I141:I204" si="28">F141-H141</f>
        <v>1714</v>
      </c>
      <c r="J141" s="68">
        <f>VLOOKUP(B141,'114+320'!$B$15:$AB$785,13,FALSE)</f>
        <v>-286</v>
      </c>
      <c r="K141" s="66">
        <f>'114+320'!Q142</f>
        <v>0</v>
      </c>
      <c r="L141" s="65">
        <f t="shared" si="20"/>
        <v>106</v>
      </c>
      <c r="M141" s="70">
        <f>VLOOKUP(B141,'114+320'!$B$14:$AB$785,21,FALSE)</f>
        <v>677</v>
      </c>
      <c r="N141" s="69">
        <f>VLOOKUP(B141,'114+320'!$B$15:$AB$785,5,FALSE)</f>
        <v>627</v>
      </c>
      <c r="O141" s="68">
        <f t="shared" ref="O141:O204" si="29">F141-N141</f>
        <v>1697</v>
      </c>
      <c r="P141" s="68">
        <f>VLOOKUP(B141,'114+320'!$B$15:$AB$785,14,FALSE)</f>
        <v>-303</v>
      </c>
      <c r="Q141" s="66">
        <f>'114+320'!R142</f>
        <v>0</v>
      </c>
      <c r="R141" s="65">
        <f t="shared" si="21"/>
        <v>123</v>
      </c>
      <c r="S141" s="70">
        <f>VLOOKUP(B141,'114+320'!$B$14:$AB$785,22,FALSE)</f>
        <v>689</v>
      </c>
      <c r="T141" s="69">
        <f>VLOOKUP(B141,'114+320'!$B$15:$AB$785,6,FALSE)</f>
        <v>555</v>
      </c>
      <c r="U141" s="68">
        <f t="shared" ref="U141:U204" si="30">F141-T141</f>
        <v>1769</v>
      </c>
      <c r="V141" s="77">
        <f>VLOOKUP(B141,'114+320'!$B$15:$AB$785,15,FALSE)</f>
        <v>-231</v>
      </c>
      <c r="W141" s="66">
        <f>'114+320'!S142</f>
        <v>0</v>
      </c>
      <c r="X141" s="65">
        <f t="shared" si="22"/>
        <v>111</v>
      </c>
      <c r="Y141" s="64">
        <f t="shared" si="23"/>
        <v>0</v>
      </c>
      <c r="Z141" s="63">
        <f t="shared" si="24"/>
        <v>0</v>
      </c>
      <c r="AA141" s="62">
        <f t="shared" si="25"/>
        <v>0.89900000000000002</v>
      </c>
      <c r="AB141" s="62">
        <f t="shared" si="26"/>
        <v>0.73399999999999999</v>
      </c>
    </row>
    <row r="142" spans="2:31">
      <c r="B142" s="106">
        <f>'114+320'!B143</f>
        <v>45172</v>
      </c>
      <c r="C142" s="75">
        <f t="shared" ref="C142:C205" si="31">B142-B141</f>
        <v>1</v>
      </c>
      <c r="D142" s="74">
        <f t="shared" ref="D142:D205" si="32">D141</f>
        <v>842</v>
      </c>
      <c r="E142" s="73">
        <f>VLOOKUP(B142,'114+320'!B143:AB244,3,FALSE)</f>
        <v>1484</v>
      </c>
      <c r="F142" s="69">
        <f t="shared" si="27"/>
        <v>2326</v>
      </c>
      <c r="G142" s="72">
        <f>VLOOKUP(B142,'114+320'!$B$15:$AB$785,20,FALSE)</f>
        <v>694</v>
      </c>
      <c r="H142" s="72">
        <f>VLOOKUP(B142,'114+320'!$B$15:$AB$785,4,FALSE)</f>
        <v>612</v>
      </c>
      <c r="I142" s="68">
        <f t="shared" si="28"/>
        <v>1714</v>
      </c>
      <c r="J142" s="68">
        <f>VLOOKUP(B142,'114+320'!$B$15:$AB$785,13,FALSE)</f>
        <v>-286</v>
      </c>
      <c r="K142" s="66">
        <f>'114+320'!Q143</f>
        <v>0</v>
      </c>
      <c r="L142" s="65">
        <f t="shared" ref="L142:L205" si="33">+K142+L141</f>
        <v>106</v>
      </c>
      <c r="M142" s="70">
        <f>VLOOKUP(B142,'114+320'!$B$14:$AB$785,21,FALSE)</f>
        <v>677</v>
      </c>
      <c r="N142" s="69">
        <f>VLOOKUP(B142,'114+320'!$B$15:$AB$785,5,FALSE)</f>
        <v>629</v>
      </c>
      <c r="O142" s="68">
        <f t="shared" si="29"/>
        <v>1697</v>
      </c>
      <c r="P142" s="68">
        <f>VLOOKUP(B142,'114+320'!$B$15:$AB$785,14,FALSE)</f>
        <v>-303</v>
      </c>
      <c r="Q142" s="66">
        <f>'114+320'!R143</f>
        <v>0</v>
      </c>
      <c r="R142" s="65">
        <f t="shared" ref="R142:R205" si="34">+Q142+R141</f>
        <v>123</v>
      </c>
      <c r="S142" s="70">
        <f>VLOOKUP(B142,'114+320'!$B$14:$AB$785,22,FALSE)</f>
        <v>689</v>
      </c>
      <c r="T142" s="69">
        <f>VLOOKUP(B142,'114+320'!$B$15:$AB$785,6,FALSE)</f>
        <v>557</v>
      </c>
      <c r="U142" s="68">
        <f t="shared" si="30"/>
        <v>1769</v>
      </c>
      <c r="V142" s="77">
        <f>VLOOKUP(B142,'114+320'!$B$15:$AB$785,15,FALSE)</f>
        <v>-231</v>
      </c>
      <c r="W142" s="66">
        <f>'114+320'!S143</f>
        <v>0</v>
      </c>
      <c r="X142" s="65">
        <f t="shared" ref="X142:X205" si="35">+W142+X141</f>
        <v>111</v>
      </c>
      <c r="Y142" s="64">
        <f t="shared" ref="Y142:Y205" si="36">S142-S141</f>
        <v>0</v>
      </c>
      <c r="Z142" s="63">
        <f t="shared" ref="Z142:Z205" si="37">IF(Y142&gt;0,Y142,0)/1000</f>
        <v>0</v>
      </c>
      <c r="AA142" s="62">
        <f t="shared" ref="AA142:AA205" si="38">AA141+Z142</f>
        <v>0.89900000000000002</v>
      </c>
      <c r="AB142" s="62">
        <f t="shared" ref="AB142:AB205" si="39">(M142-$M$13-R142)/1000</f>
        <v>0.73399999999999999</v>
      </c>
    </row>
    <row r="143" spans="2:31">
      <c r="B143" s="106">
        <f>'114+320'!B144</f>
        <v>45173</v>
      </c>
      <c r="C143" s="75">
        <f t="shared" si="31"/>
        <v>1</v>
      </c>
      <c r="D143" s="74">
        <f t="shared" si="32"/>
        <v>842</v>
      </c>
      <c r="E143" s="73">
        <f>VLOOKUP(B143,'114+320'!B144:AB245,3,FALSE)</f>
        <v>1486</v>
      </c>
      <c r="F143" s="69">
        <f t="shared" si="27"/>
        <v>2328</v>
      </c>
      <c r="G143" s="72">
        <f>VLOOKUP(B143,'114+320'!$B$15:$AB$785,20,FALSE)</f>
        <v>694</v>
      </c>
      <c r="H143" s="72">
        <f>VLOOKUP(B143,'114+320'!$B$15:$AB$785,4,FALSE)</f>
        <v>614</v>
      </c>
      <c r="I143" s="68">
        <f t="shared" si="28"/>
        <v>1714</v>
      </c>
      <c r="J143" s="68">
        <f>VLOOKUP(B143,'114+320'!$B$15:$AB$785,13,FALSE)</f>
        <v>-286</v>
      </c>
      <c r="K143" s="66">
        <f>'114+320'!Q144</f>
        <v>0</v>
      </c>
      <c r="L143" s="65">
        <f t="shared" si="33"/>
        <v>106</v>
      </c>
      <c r="M143" s="70">
        <f>VLOOKUP(B143,'114+320'!$B$14:$AB$785,21,FALSE)</f>
        <v>677</v>
      </c>
      <c r="N143" s="69">
        <f>VLOOKUP(B143,'114+320'!$B$15:$AB$785,5,FALSE)</f>
        <v>631</v>
      </c>
      <c r="O143" s="68">
        <f t="shared" si="29"/>
        <v>1697</v>
      </c>
      <c r="P143" s="68">
        <f>VLOOKUP(B143,'114+320'!$B$15:$AB$785,14,FALSE)</f>
        <v>-303</v>
      </c>
      <c r="Q143" s="66">
        <f>'114+320'!R144</f>
        <v>0</v>
      </c>
      <c r="R143" s="65">
        <f t="shared" si="34"/>
        <v>123</v>
      </c>
      <c r="S143" s="70">
        <f>VLOOKUP(B143,'114+320'!$B$14:$AB$785,22,FALSE)</f>
        <v>689</v>
      </c>
      <c r="T143" s="69">
        <f>VLOOKUP(B143,'114+320'!$B$15:$AB$785,6,FALSE)</f>
        <v>559</v>
      </c>
      <c r="U143" s="68">
        <f t="shared" si="30"/>
        <v>1769</v>
      </c>
      <c r="V143" s="77">
        <f>VLOOKUP(B143,'114+320'!$B$15:$AB$785,15,FALSE)</f>
        <v>-231</v>
      </c>
      <c r="W143" s="66">
        <f>'114+320'!S144</f>
        <v>0</v>
      </c>
      <c r="X143" s="65">
        <f t="shared" si="35"/>
        <v>111</v>
      </c>
      <c r="Y143" s="64">
        <f t="shared" si="36"/>
        <v>0</v>
      </c>
      <c r="Z143" s="63">
        <f t="shared" si="37"/>
        <v>0</v>
      </c>
      <c r="AA143" s="62">
        <f t="shared" si="38"/>
        <v>0.89900000000000002</v>
      </c>
      <c r="AB143" s="62">
        <f t="shared" si="39"/>
        <v>0.73399999999999999</v>
      </c>
    </row>
    <row r="144" spans="2:31">
      <c r="B144" s="106">
        <f>'114+320'!B145</f>
        <v>45174</v>
      </c>
      <c r="C144" s="75">
        <f t="shared" si="31"/>
        <v>1</v>
      </c>
      <c r="D144" s="74">
        <f t="shared" si="32"/>
        <v>842</v>
      </c>
      <c r="E144" s="73">
        <f>VLOOKUP(B144,'114+320'!B145:AB246,3,FALSE)</f>
        <v>1488</v>
      </c>
      <c r="F144" s="69">
        <f t="shared" si="27"/>
        <v>2330</v>
      </c>
      <c r="G144" s="72">
        <f>VLOOKUP(B144,'114+320'!$B$15:$AB$785,20,FALSE)</f>
        <v>694</v>
      </c>
      <c r="H144" s="72">
        <f>VLOOKUP(B144,'114+320'!$B$15:$AB$785,4,FALSE)</f>
        <v>616</v>
      </c>
      <c r="I144" s="68">
        <f t="shared" si="28"/>
        <v>1714</v>
      </c>
      <c r="J144" s="68">
        <f>VLOOKUP(B144,'114+320'!$B$15:$AB$785,13,FALSE)</f>
        <v>-286</v>
      </c>
      <c r="K144" s="66">
        <f>'114+320'!Q145</f>
        <v>0</v>
      </c>
      <c r="L144" s="65">
        <f t="shared" si="33"/>
        <v>106</v>
      </c>
      <c r="M144" s="70">
        <f>VLOOKUP(B144,'114+320'!$B$14:$AB$785,21,FALSE)</f>
        <v>677</v>
      </c>
      <c r="N144" s="69">
        <f>VLOOKUP(B144,'114+320'!$B$15:$AB$785,5,FALSE)</f>
        <v>633</v>
      </c>
      <c r="O144" s="68">
        <f t="shared" si="29"/>
        <v>1697</v>
      </c>
      <c r="P144" s="68">
        <f>VLOOKUP(B144,'114+320'!$B$15:$AB$785,14,FALSE)</f>
        <v>-303</v>
      </c>
      <c r="Q144" s="66">
        <f>'114+320'!R145</f>
        <v>0</v>
      </c>
      <c r="R144" s="65">
        <f t="shared" si="34"/>
        <v>123</v>
      </c>
      <c r="S144" s="70">
        <f>VLOOKUP(B144,'114+320'!$B$14:$AB$785,22,FALSE)</f>
        <v>689</v>
      </c>
      <c r="T144" s="69">
        <f>VLOOKUP(B144,'114+320'!$B$15:$AB$785,6,FALSE)</f>
        <v>561</v>
      </c>
      <c r="U144" s="68">
        <f t="shared" si="30"/>
        <v>1769</v>
      </c>
      <c r="V144" s="77">
        <f>VLOOKUP(B144,'114+320'!$B$15:$AB$785,15,FALSE)</f>
        <v>-231</v>
      </c>
      <c r="W144" s="66">
        <f>'114+320'!S145</f>
        <v>0</v>
      </c>
      <c r="X144" s="65">
        <f t="shared" si="35"/>
        <v>111</v>
      </c>
      <c r="Y144" s="64">
        <f t="shared" si="36"/>
        <v>0</v>
      </c>
      <c r="Z144" s="63">
        <f t="shared" si="37"/>
        <v>0</v>
      </c>
      <c r="AA144" s="62">
        <f t="shared" si="38"/>
        <v>0.89900000000000002</v>
      </c>
      <c r="AB144" s="62">
        <f t="shared" si="39"/>
        <v>0.73399999999999999</v>
      </c>
    </row>
    <row r="145" spans="2:28">
      <c r="B145" s="106">
        <f>'114+320'!B146</f>
        <v>45175</v>
      </c>
      <c r="C145" s="75">
        <f t="shared" si="31"/>
        <v>1</v>
      </c>
      <c r="D145" s="74">
        <f t="shared" si="32"/>
        <v>842</v>
      </c>
      <c r="E145" s="73">
        <f>VLOOKUP(B145,'114+320'!B146:AB247,3,FALSE)</f>
        <v>1490</v>
      </c>
      <c r="F145" s="69">
        <f t="shared" si="27"/>
        <v>2332</v>
      </c>
      <c r="G145" s="72">
        <f>VLOOKUP(B145,'114+320'!$B$15:$AB$785,20,FALSE)</f>
        <v>694</v>
      </c>
      <c r="H145" s="72">
        <f>VLOOKUP(B145,'114+320'!$B$15:$AB$785,4,FALSE)</f>
        <v>618</v>
      </c>
      <c r="I145" s="68">
        <f t="shared" si="28"/>
        <v>1714</v>
      </c>
      <c r="J145" s="68">
        <f>VLOOKUP(B145,'114+320'!$B$15:$AB$785,13,FALSE)</f>
        <v>-286</v>
      </c>
      <c r="K145" s="66">
        <f>'114+320'!Q146</f>
        <v>0</v>
      </c>
      <c r="L145" s="65">
        <f t="shared" si="33"/>
        <v>106</v>
      </c>
      <c r="M145" s="70">
        <f>VLOOKUP(B145,'114+320'!$B$14:$AB$785,21,FALSE)</f>
        <v>677</v>
      </c>
      <c r="N145" s="69">
        <f>VLOOKUP(B145,'114+320'!$B$15:$AB$785,5,FALSE)</f>
        <v>635</v>
      </c>
      <c r="O145" s="68">
        <f t="shared" si="29"/>
        <v>1697</v>
      </c>
      <c r="P145" s="68">
        <f>VLOOKUP(B145,'114+320'!$B$15:$AB$785,14,FALSE)</f>
        <v>-303</v>
      </c>
      <c r="Q145" s="66">
        <f>'114+320'!R146</f>
        <v>0</v>
      </c>
      <c r="R145" s="65">
        <f t="shared" si="34"/>
        <v>123</v>
      </c>
      <c r="S145" s="70">
        <f>VLOOKUP(B145,'114+320'!$B$14:$AB$785,22,FALSE)</f>
        <v>689</v>
      </c>
      <c r="T145" s="69">
        <f>VLOOKUP(B145,'114+320'!$B$15:$AB$785,6,FALSE)</f>
        <v>563</v>
      </c>
      <c r="U145" s="68">
        <f t="shared" si="30"/>
        <v>1769</v>
      </c>
      <c r="V145" s="77">
        <f>VLOOKUP(B145,'114+320'!$B$15:$AB$785,15,FALSE)</f>
        <v>-231</v>
      </c>
      <c r="W145" s="66">
        <f>'114+320'!S146</f>
        <v>0</v>
      </c>
      <c r="X145" s="65">
        <f t="shared" si="35"/>
        <v>111</v>
      </c>
      <c r="Y145" s="64">
        <f t="shared" si="36"/>
        <v>0</v>
      </c>
      <c r="Z145" s="63">
        <f t="shared" si="37"/>
        <v>0</v>
      </c>
      <c r="AA145" s="62">
        <f t="shared" si="38"/>
        <v>0.89900000000000002</v>
      </c>
      <c r="AB145" s="62">
        <f t="shared" si="39"/>
        <v>0.73399999999999999</v>
      </c>
    </row>
    <row r="146" spans="2:28">
      <c r="B146" s="106">
        <f>'114+320'!B147</f>
        <v>45176</v>
      </c>
      <c r="C146" s="75">
        <f t="shared" si="31"/>
        <v>1</v>
      </c>
      <c r="D146" s="74">
        <f t="shared" si="32"/>
        <v>842</v>
      </c>
      <c r="E146" s="73">
        <f>VLOOKUP(B146,'114+320'!B147:AB248,3,FALSE)</f>
        <v>1492</v>
      </c>
      <c r="F146" s="69">
        <f t="shared" si="27"/>
        <v>2334</v>
      </c>
      <c r="G146" s="72">
        <f>VLOOKUP(B146,'114+320'!$B$15:$AB$785,20,FALSE)</f>
        <v>694</v>
      </c>
      <c r="H146" s="72">
        <f>VLOOKUP(B146,'114+320'!$B$15:$AB$785,4,FALSE)</f>
        <v>620</v>
      </c>
      <c r="I146" s="68">
        <f t="shared" si="28"/>
        <v>1714</v>
      </c>
      <c r="J146" s="68">
        <f>VLOOKUP(B146,'114+320'!$B$15:$AB$785,13,FALSE)</f>
        <v>-286</v>
      </c>
      <c r="K146" s="66">
        <f>'114+320'!Q147</f>
        <v>0</v>
      </c>
      <c r="L146" s="65">
        <f t="shared" si="33"/>
        <v>106</v>
      </c>
      <c r="M146" s="70">
        <f>VLOOKUP(B146,'114+320'!$B$14:$AB$785,21,FALSE)</f>
        <v>677</v>
      </c>
      <c r="N146" s="69">
        <f>VLOOKUP(B146,'114+320'!$B$15:$AB$785,5,FALSE)</f>
        <v>637</v>
      </c>
      <c r="O146" s="68">
        <f t="shared" si="29"/>
        <v>1697</v>
      </c>
      <c r="P146" s="68">
        <f>VLOOKUP(B146,'114+320'!$B$15:$AB$785,14,FALSE)</f>
        <v>-303</v>
      </c>
      <c r="Q146" s="66">
        <f>'114+320'!R147</f>
        <v>0</v>
      </c>
      <c r="R146" s="65">
        <f t="shared" si="34"/>
        <v>123</v>
      </c>
      <c r="S146" s="70">
        <f>VLOOKUP(B146,'114+320'!$B$14:$AB$785,22,FALSE)</f>
        <v>689</v>
      </c>
      <c r="T146" s="69">
        <f>VLOOKUP(B146,'114+320'!$B$15:$AB$785,6,FALSE)</f>
        <v>565</v>
      </c>
      <c r="U146" s="68">
        <f t="shared" si="30"/>
        <v>1769</v>
      </c>
      <c r="V146" s="77">
        <f>VLOOKUP(B146,'114+320'!$B$15:$AB$785,15,FALSE)</f>
        <v>-231</v>
      </c>
      <c r="W146" s="66">
        <f>'114+320'!S147</f>
        <v>0</v>
      </c>
      <c r="X146" s="65">
        <f t="shared" si="35"/>
        <v>111</v>
      </c>
      <c r="Y146" s="64">
        <f t="shared" si="36"/>
        <v>0</v>
      </c>
      <c r="Z146" s="63">
        <f t="shared" si="37"/>
        <v>0</v>
      </c>
      <c r="AA146" s="62">
        <f t="shared" si="38"/>
        <v>0.89900000000000002</v>
      </c>
      <c r="AB146" s="62">
        <f t="shared" si="39"/>
        <v>0.73399999999999999</v>
      </c>
    </row>
    <row r="147" spans="2:28">
      <c r="B147" s="106">
        <f>'114+320'!B148</f>
        <v>45177</v>
      </c>
      <c r="C147" s="75">
        <f t="shared" si="31"/>
        <v>1</v>
      </c>
      <c r="D147" s="74">
        <f t="shared" si="32"/>
        <v>842</v>
      </c>
      <c r="E147" s="73">
        <f>VLOOKUP(B147,'114+320'!B148:AB249,3,FALSE)</f>
        <v>1494</v>
      </c>
      <c r="F147" s="69">
        <f t="shared" si="27"/>
        <v>2336</v>
      </c>
      <c r="G147" s="72">
        <f>VLOOKUP(B147,'114+320'!$B$15:$AB$785,20,FALSE)</f>
        <v>694</v>
      </c>
      <c r="H147" s="72">
        <f>VLOOKUP(B147,'114+320'!$B$15:$AB$785,4,FALSE)</f>
        <v>622</v>
      </c>
      <c r="I147" s="68">
        <f t="shared" si="28"/>
        <v>1714</v>
      </c>
      <c r="J147" s="68">
        <f>VLOOKUP(B147,'114+320'!$B$15:$AB$785,13,FALSE)</f>
        <v>-286</v>
      </c>
      <c r="K147" s="66">
        <f>'114+320'!Q148</f>
        <v>0</v>
      </c>
      <c r="L147" s="65">
        <f t="shared" si="33"/>
        <v>106</v>
      </c>
      <c r="M147" s="70">
        <f>VLOOKUP(B147,'114+320'!$B$14:$AB$785,21,FALSE)</f>
        <v>677</v>
      </c>
      <c r="N147" s="69">
        <f>VLOOKUP(B147,'114+320'!$B$15:$AB$785,5,FALSE)</f>
        <v>639</v>
      </c>
      <c r="O147" s="68">
        <f t="shared" si="29"/>
        <v>1697</v>
      </c>
      <c r="P147" s="68">
        <f>VLOOKUP(B147,'114+320'!$B$15:$AB$785,14,FALSE)</f>
        <v>-303</v>
      </c>
      <c r="Q147" s="66">
        <f>'114+320'!R148</f>
        <v>0</v>
      </c>
      <c r="R147" s="65">
        <f t="shared" si="34"/>
        <v>123</v>
      </c>
      <c r="S147" s="70">
        <f>VLOOKUP(B147,'114+320'!$B$14:$AB$785,22,FALSE)</f>
        <v>689</v>
      </c>
      <c r="T147" s="69">
        <f>VLOOKUP(B147,'114+320'!$B$15:$AB$785,6,FALSE)</f>
        <v>567</v>
      </c>
      <c r="U147" s="68">
        <f t="shared" si="30"/>
        <v>1769</v>
      </c>
      <c r="V147" s="77">
        <f>VLOOKUP(B147,'114+320'!$B$15:$AB$785,15,FALSE)</f>
        <v>-231</v>
      </c>
      <c r="W147" s="66">
        <f>'114+320'!S148</f>
        <v>0</v>
      </c>
      <c r="X147" s="65">
        <f t="shared" si="35"/>
        <v>111</v>
      </c>
      <c r="Y147" s="64">
        <f t="shared" si="36"/>
        <v>0</v>
      </c>
      <c r="Z147" s="63">
        <f t="shared" si="37"/>
        <v>0</v>
      </c>
      <c r="AA147" s="62">
        <f t="shared" si="38"/>
        <v>0.89900000000000002</v>
      </c>
      <c r="AB147" s="62">
        <f t="shared" si="39"/>
        <v>0.73399999999999999</v>
      </c>
    </row>
    <row r="148" spans="2:28">
      <c r="B148" s="106">
        <f>'114+320'!B149</f>
        <v>45178</v>
      </c>
      <c r="C148" s="75">
        <f t="shared" si="31"/>
        <v>1</v>
      </c>
      <c r="D148" s="74">
        <f t="shared" si="32"/>
        <v>842</v>
      </c>
      <c r="E148" s="73">
        <f>VLOOKUP(B148,'114+320'!B149:AB250,3,FALSE)</f>
        <v>1496</v>
      </c>
      <c r="F148" s="69">
        <f t="shared" si="27"/>
        <v>2338</v>
      </c>
      <c r="G148" s="72">
        <f>VLOOKUP(B148,'114+320'!$B$15:$AB$785,20,FALSE)</f>
        <v>694</v>
      </c>
      <c r="H148" s="72">
        <f>VLOOKUP(B148,'114+320'!$B$15:$AB$785,4,FALSE)</f>
        <v>624</v>
      </c>
      <c r="I148" s="68">
        <f t="shared" si="28"/>
        <v>1714</v>
      </c>
      <c r="J148" s="68">
        <f>VLOOKUP(B148,'114+320'!$B$15:$AB$785,13,FALSE)</f>
        <v>-286</v>
      </c>
      <c r="K148" s="66">
        <f>'114+320'!Q149</f>
        <v>0</v>
      </c>
      <c r="L148" s="65">
        <f t="shared" si="33"/>
        <v>106</v>
      </c>
      <c r="M148" s="70">
        <f>VLOOKUP(B148,'114+320'!$B$14:$AB$785,21,FALSE)</f>
        <v>677</v>
      </c>
      <c r="N148" s="69">
        <f>VLOOKUP(B148,'114+320'!$B$15:$AB$785,5,FALSE)</f>
        <v>641</v>
      </c>
      <c r="O148" s="68">
        <f t="shared" si="29"/>
        <v>1697</v>
      </c>
      <c r="P148" s="68">
        <f>VLOOKUP(B148,'114+320'!$B$15:$AB$785,14,FALSE)</f>
        <v>-303</v>
      </c>
      <c r="Q148" s="66">
        <f>'114+320'!R149</f>
        <v>0</v>
      </c>
      <c r="R148" s="65">
        <f t="shared" si="34"/>
        <v>123</v>
      </c>
      <c r="S148" s="70">
        <f>VLOOKUP(B148,'114+320'!$B$14:$AB$785,22,FALSE)</f>
        <v>689</v>
      </c>
      <c r="T148" s="69">
        <f>VLOOKUP(B148,'114+320'!$B$15:$AB$785,6,FALSE)</f>
        <v>569</v>
      </c>
      <c r="U148" s="68">
        <f t="shared" si="30"/>
        <v>1769</v>
      </c>
      <c r="V148" s="77">
        <f>VLOOKUP(B148,'114+320'!$B$15:$AB$785,15,FALSE)</f>
        <v>-231</v>
      </c>
      <c r="W148" s="66">
        <f>'114+320'!S149</f>
        <v>0</v>
      </c>
      <c r="X148" s="65">
        <f t="shared" si="35"/>
        <v>111</v>
      </c>
      <c r="Y148" s="64">
        <f t="shared" si="36"/>
        <v>0</v>
      </c>
      <c r="Z148" s="63">
        <f t="shared" si="37"/>
        <v>0</v>
      </c>
      <c r="AA148" s="62">
        <f t="shared" si="38"/>
        <v>0.89900000000000002</v>
      </c>
      <c r="AB148" s="62">
        <f t="shared" si="39"/>
        <v>0.73399999999999999</v>
      </c>
    </row>
    <row r="149" spans="2:28">
      <c r="B149" s="106">
        <f>'114+320'!B150</f>
        <v>45179</v>
      </c>
      <c r="C149" s="75">
        <f t="shared" si="31"/>
        <v>1</v>
      </c>
      <c r="D149" s="74">
        <f t="shared" si="32"/>
        <v>842</v>
      </c>
      <c r="E149" s="73">
        <f>VLOOKUP(B149,'114+320'!B150:AB251,3,FALSE)</f>
        <v>1498</v>
      </c>
      <c r="F149" s="69">
        <f t="shared" si="27"/>
        <v>2340</v>
      </c>
      <c r="G149" s="72">
        <f>VLOOKUP(B149,'114+320'!$B$15:$AB$785,20,FALSE)</f>
        <v>694</v>
      </c>
      <c r="H149" s="72">
        <f>VLOOKUP(B149,'114+320'!$B$15:$AB$785,4,FALSE)</f>
        <v>626</v>
      </c>
      <c r="I149" s="68">
        <f t="shared" si="28"/>
        <v>1714</v>
      </c>
      <c r="J149" s="68">
        <f>VLOOKUP(B149,'114+320'!$B$15:$AB$785,13,FALSE)</f>
        <v>-286</v>
      </c>
      <c r="K149" s="66">
        <f>'114+320'!Q150</f>
        <v>0</v>
      </c>
      <c r="L149" s="65">
        <f t="shared" si="33"/>
        <v>106</v>
      </c>
      <c r="M149" s="70">
        <f>VLOOKUP(B149,'114+320'!$B$14:$AB$785,21,FALSE)</f>
        <v>677</v>
      </c>
      <c r="N149" s="69">
        <f>VLOOKUP(B149,'114+320'!$B$15:$AB$785,5,FALSE)</f>
        <v>643</v>
      </c>
      <c r="O149" s="68">
        <f t="shared" si="29"/>
        <v>1697</v>
      </c>
      <c r="P149" s="68">
        <f>VLOOKUP(B149,'114+320'!$B$15:$AB$785,14,FALSE)</f>
        <v>-303</v>
      </c>
      <c r="Q149" s="66">
        <f>'114+320'!R150</f>
        <v>0</v>
      </c>
      <c r="R149" s="65">
        <f t="shared" si="34"/>
        <v>123</v>
      </c>
      <c r="S149" s="70">
        <f>VLOOKUP(B149,'114+320'!$B$14:$AB$785,22,FALSE)</f>
        <v>689</v>
      </c>
      <c r="T149" s="69">
        <f>VLOOKUP(B149,'114+320'!$B$15:$AB$785,6,FALSE)</f>
        <v>571</v>
      </c>
      <c r="U149" s="68">
        <f t="shared" si="30"/>
        <v>1769</v>
      </c>
      <c r="V149" s="77">
        <f>VLOOKUP(B149,'114+320'!$B$15:$AB$785,15,FALSE)</f>
        <v>-231</v>
      </c>
      <c r="W149" s="66">
        <f>'114+320'!S150</f>
        <v>0</v>
      </c>
      <c r="X149" s="65">
        <f t="shared" si="35"/>
        <v>111</v>
      </c>
      <c r="Y149" s="64">
        <f t="shared" si="36"/>
        <v>0</v>
      </c>
      <c r="Z149" s="63">
        <f t="shared" si="37"/>
        <v>0</v>
      </c>
      <c r="AA149" s="62">
        <f t="shared" si="38"/>
        <v>0.89900000000000002</v>
      </c>
      <c r="AB149" s="62">
        <f t="shared" si="39"/>
        <v>0.73399999999999999</v>
      </c>
    </row>
    <row r="150" spans="2:28">
      <c r="B150" s="106">
        <f>'114+320'!B151</f>
        <v>45180</v>
      </c>
      <c r="C150" s="75">
        <f t="shared" si="31"/>
        <v>1</v>
      </c>
      <c r="D150" s="74">
        <f t="shared" si="32"/>
        <v>842</v>
      </c>
      <c r="E150" s="73">
        <f>VLOOKUP(B150,'114+320'!B151:AB252,3,FALSE)</f>
        <v>1500</v>
      </c>
      <c r="F150" s="69">
        <f t="shared" si="27"/>
        <v>2342</v>
      </c>
      <c r="G150" s="72">
        <f>VLOOKUP(B150,'114+320'!$B$15:$AB$785,20,FALSE)</f>
        <v>694</v>
      </c>
      <c r="H150" s="72">
        <f>VLOOKUP(B150,'114+320'!$B$15:$AB$785,4,FALSE)</f>
        <v>628</v>
      </c>
      <c r="I150" s="68">
        <f t="shared" si="28"/>
        <v>1714</v>
      </c>
      <c r="J150" s="68">
        <f>VLOOKUP(B150,'114+320'!$B$15:$AB$785,13,FALSE)</f>
        <v>-286</v>
      </c>
      <c r="K150" s="66">
        <f>'114+320'!Q151</f>
        <v>0</v>
      </c>
      <c r="L150" s="65">
        <f t="shared" si="33"/>
        <v>106</v>
      </c>
      <c r="M150" s="70">
        <f>VLOOKUP(B150,'114+320'!$B$14:$AB$785,21,FALSE)</f>
        <v>677</v>
      </c>
      <c r="N150" s="69">
        <f>VLOOKUP(B150,'114+320'!$B$15:$AB$785,5,FALSE)</f>
        <v>645</v>
      </c>
      <c r="O150" s="68">
        <f t="shared" si="29"/>
        <v>1697</v>
      </c>
      <c r="P150" s="68">
        <f>VLOOKUP(B150,'114+320'!$B$15:$AB$785,14,FALSE)</f>
        <v>-303</v>
      </c>
      <c r="Q150" s="66">
        <f>'114+320'!R151</f>
        <v>0</v>
      </c>
      <c r="R150" s="65">
        <f t="shared" si="34"/>
        <v>123</v>
      </c>
      <c r="S150" s="70">
        <f>VLOOKUP(B150,'114+320'!$B$14:$AB$785,22,FALSE)</f>
        <v>689</v>
      </c>
      <c r="T150" s="69">
        <f>VLOOKUP(B150,'114+320'!$B$15:$AB$785,6,FALSE)</f>
        <v>573</v>
      </c>
      <c r="U150" s="68">
        <f t="shared" si="30"/>
        <v>1769</v>
      </c>
      <c r="V150" s="77">
        <f>VLOOKUP(B150,'114+320'!$B$15:$AB$785,15,FALSE)</f>
        <v>-231</v>
      </c>
      <c r="W150" s="66">
        <f>'114+320'!S151</f>
        <v>0</v>
      </c>
      <c r="X150" s="65">
        <f t="shared" si="35"/>
        <v>111</v>
      </c>
      <c r="Y150" s="64">
        <f t="shared" si="36"/>
        <v>0</v>
      </c>
      <c r="Z150" s="63">
        <f t="shared" si="37"/>
        <v>0</v>
      </c>
      <c r="AA150" s="62">
        <f t="shared" si="38"/>
        <v>0.89900000000000002</v>
      </c>
      <c r="AB150" s="62">
        <f t="shared" si="39"/>
        <v>0.73399999999999999</v>
      </c>
    </row>
    <row r="151" spans="2:28">
      <c r="B151" s="106">
        <f>'114+320'!B152</f>
        <v>45181</v>
      </c>
      <c r="C151" s="75">
        <f t="shared" si="31"/>
        <v>1</v>
      </c>
      <c r="D151" s="74">
        <f t="shared" si="32"/>
        <v>842</v>
      </c>
      <c r="E151" s="73">
        <f>VLOOKUP(B151,'114+320'!B152:AB253,3,FALSE)</f>
        <v>1502</v>
      </c>
      <c r="F151" s="69">
        <f t="shared" si="27"/>
        <v>2344</v>
      </c>
      <c r="G151" s="72">
        <f>VLOOKUP(B151,'114+320'!$B$15:$AB$785,20,FALSE)</f>
        <v>694</v>
      </c>
      <c r="H151" s="72">
        <f>VLOOKUP(B151,'114+320'!$B$15:$AB$785,4,FALSE)</f>
        <v>630</v>
      </c>
      <c r="I151" s="68">
        <f t="shared" si="28"/>
        <v>1714</v>
      </c>
      <c r="J151" s="68">
        <f>VLOOKUP(B151,'114+320'!$B$15:$AB$785,13,FALSE)</f>
        <v>-286</v>
      </c>
      <c r="K151" s="66">
        <f>'114+320'!Q152</f>
        <v>0</v>
      </c>
      <c r="L151" s="65">
        <f t="shared" si="33"/>
        <v>106</v>
      </c>
      <c r="M151" s="70">
        <f>VLOOKUP(B151,'114+320'!$B$14:$AB$785,21,FALSE)</f>
        <v>677</v>
      </c>
      <c r="N151" s="69">
        <f>VLOOKUP(B151,'114+320'!$B$15:$AB$785,5,FALSE)</f>
        <v>647</v>
      </c>
      <c r="O151" s="68">
        <f t="shared" si="29"/>
        <v>1697</v>
      </c>
      <c r="P151" s="68">
        <f>VLOOKUP(B151,'114+320'!$B$15:$AB$785,14,FALSE)</f>
        <v>-303</v>
      </c>
      <c r="Q151" s="66">
        <f>'114+320'!R152</f>
        <v>0</v>
      </c>
      <c r="R151" s="65">
        <f t="shared" si="34"/>
        <v>123</v>
      </c>
      <c r="S151" s="70">
        <f>VLOOKUP(B151,'114+320'!$B$14:$AB$785,22,FALSE)</f>
        <v>689</v>
      </c>
      <c r="T151" s="69">
        <f>VLOOKUP(B151,'114+320'!$B$15:$AB$785,6,FALSE)</f>
        <v>575</v>
      </c>
      <c r="U151" s="68">
        <f t="shared" si="30"/>
        <v>1769</v>
      </c>
      <c r="V151" s="77">
        <f>VLOOKUP(B151,'114+320'!$B$15:$AB$785,15,FALSE)</f>
        <v>-231</v>
      </c>
      <c r="W151" s="66">
        <f>'114+320'!S152</f>
        <v>0</v>
      </c>
      <c r="X151" s="65">
        <f t="shared" si="35"/>
        <v>111</v>
      </c>
      <c r="Y151" s="64">
        <f t="shared" si="36"/>
        <v>0</v>
      </c>
      <c r="Z151" s="63">
        <f t="shared" si="37"/>
        <v>0</v>
      </c>
      <c r="AA151" s="62">
        <f t="shared" si="38"/>
        <v>0.89900000000000002</v>
      </c>
      <c r="AB151" s="62">
        <f t="shared" si="39"/>
        <v>0.73399999999999999</v>
      </c>
    </row>
    <row r="152" spans="2:28">
      <c r="B152" s="106">
        <f>'114+320'!B153</f>
        <v>45182</v>
      </c>
      <c r="C152" s="75">
        <f t="shared" si="31"/>
        <v>1</v>
      </c>
      <c r="D152" s="74">
        <f t="shared" si="32"/>
        <v>842</v>
      </c>
      <c r="E152" s="73">
        <f>VLOOKUP(B152,'114+320'!B153:AB254,3,FALSE)</f>
        <v>1504</v>
      </c>
      <c r="F152" s="69">
        <f t="shared" si="27"/>
        <v>2346</v>
      </c>
      <c r="G152" s="72">
        <f>VLOOKUP(B152,'114+320'!$B$15:$AB$785,20,FALSE)</f>
        <v>694</v>
      </c>
      <c r="H152" s="72">
        <f>VLOOKUP(B152,'114+320'!$B$15:$AB$785,4,FALSE)</f>
        <v>632</v>
      </c>
      <c r="I152" s="68">
        <f t="shared" si="28"/>
        <v>1714</v>
      </c>
      <c r="J152" s="68">
        <f>VLOOKUP(B152,'114+320'!$B$15:$AB$785,13,FALSE)</f>
        <v>-286</v>
      </c>
      <c r="K152" s="66">
        <f>'114+320'!Q153</f>
        <v>0</v>
      </c>
      <c r="L152" s="65">
        <f t="shared" si="33"/>
        <v>106</v>
      </c>
      <c r="M152" s="70">
        <f>VLOOKUP(B152,'114+320'!$B$14:$AB$785,21,FALSE)</f>
        <v>677</v>
      </c>
      <c r="N152" s="69">
        <f>VLOOKUP(B152,'114+320'!$B$15:$AB$785,5,FALSE)</f>
        <v>649</v>
      </c>
      <c r="O152" s="68">
        <f t="shared" si="29"/>
        <v>1697</v>
      </c>
      <c r="P152" s="68">
        <f>VLOOKUP(B152,'114+320'!$B$15:$AB$785,14,FALSE)</f>
        <v>-303</v>
      </c>
      <c r="Q152" s="66">
        <f>'114+320'!R153</f>
        <v>0</v>
      </c>
      <c r="R152" s="65">
        <f t="shared" si="34"/>
        <v>123</v>
      </c>
      <c r="S152" s="70">
        <f>VLOOKUP(B152,'114+320'!$B$14:$AB$785,22,FALSE)</f>
        <v>689</v>
      </c>
      <c r="T152" s="69">
        <f>VLOOKUP(B152,'114+320'!$B$15:$AB$785,6,FALSE)</f>
        <v>577</v>
      </c>
      <c r="U152" s="68">
        <f t="shared" si="30"/>
        <v>1769</v>
      </c>
      <c r="V152" s="77">
        <f>VLOOKUP(B152,'114+320'!$B$15:$AB$785,15,FALSE)</f>
        <v>-231</v>
      </c>
      <c r="W152" s="66">
        <f>'114+320'!S153</f>
        <v>0</v>
      </c>
      <c r="X152" s="65">
        <f t="shared" si="35"/>
        <v>111</v>
      </c>
      <c r="Y152" s="64">
        <f t="shared" si="36"/>
        <v>0</v>
      </c>
      <c r="Z152" s="63">
        <f t="shared" si="37"/>
        <v>0</v>
      </c>
      <c r="AA152" s="62">
        <f t="shared" si="38"/>
        <v>0.89900000000000002</v>
      </c>
      <c r="AB152" s="62">
        <f t="shared" si="39"/>
        <v>0.73399999999999999</v>
      </c>
    </row>
    <row r="153" spans="2:28">
      <c r="B153" s="106">
        <f>'114+320'!B154</f>
        <v>45183</v>
      </c>
      <c r="C153" s="75">
        <f t="shared" si="31"/>
        <v>1</v>
      </c>
      <c r="D153" s="74">
        <f t="shared" si="32"/>
        <v>842</v>
      </c>
      <c r="E153" s="73">
        <f>VLOOKUP(B153,'114+320'!B154:AB255,3,FALSE)</f>
        <v>1506</v>
      </c>
      <c r="F153" s="69">
        <f t="shared" si="27"/>
        <v>2348</v>
      </c>
      <c r="G153" s="72">
        <f>VLOOKUP(B153,'114+320'!$B$15:$AB$785,20,FALSE)</f>
        <v>694</v>
      </c>
      <c r="H153" s="72">
        <f>VLOOKUP(B153,'114+320'!$B$15:$AB$785,4,FALSE)</f>
        <v>634</v>
      </c>
      <c r="I153" s="68">
        <f t="shared" si="28"/>
        <v>1714</v>
      </c>
      <c r="J153" s="68">
        <f>VLOOKUP(B153,'114+320'!$B$15:$AB$785,13,FALSE)</f>
        <v>-286</v>
      </c>
      <c r="K153" s="66">
        <f>'114+320'!Q154</f>
        <v>0</v>
      </c>
      <c r="L153" s="65">
        <f t="shared" si="33"/>
        <v>106</v>
      </c>
      <c r="M153" s="70">
        <f>VLOOKUP(B153,'114+320'!$B$14:$AB$785,21,FALSE)</f>
        <v>677</v>
      </c>
      <c r="N153" s="69">
        <f>VLOOKUP(B153,'114+320'!$B$15:$AB$785,5,FALSE)</f>
        <v>651</v>
      </c>
      <c r="O153" s="68">
        <f t="shared" si="29"/>
        <v>1697</v>
      </c>
      <c r="P153" s="68">
        <f>VLOOKUP(B153,'114+320'!$B$15:$AB$785,14,FALSE)</f>
        <v>-303</v>
      </c>
      <c r="Q153" s="66">
        <f>'114+320'!R154</f>
        <v>0</v>
      </c>
      <c r="R153" s="65">
        <f t="shared" si="34"/>
        <v>123</v>
      </c>
      <c r="S153" s="70">
        <f>VLOOKUP(B153,'114+320'!$B$14:$AB$785,22,FALSE)</f>
        <v>689</v>
      </c>
      <c r="T153" s="69">
        <f>VLOOKUP(B153,'114+320'!$B$15:$AB$785,6,FALSE)</f>
        <v>579</v>
      </c>
      <c r="U153" s="68">
        <f t="shared" si="30"/>
        <v>1769</v>
      </c>
      <c r="V153" s="77">
        <f>VLOOKUP(B153,'114+320'!$B$15:$AB$785,15,FALSE)</f>
        <v>-231</v>
      </c>
      <c r="W153" s="66">
        <f>'114+320'!S154</f>
        <v>0</v>
      </c>
      <c r="X153" s="65">
        <f t="shared" si="35"/>
        <v>111</v>
      </c>
      <c r="Y153" s="64">
        <f t="shared" si="36"/>
        <v>0</v>
      </c>
      <c r="Z153" s="63">
        <f t="shared" si="37"/>
        <v>0</v>
      </c>
      <c r="AA153" s="62">
        <f t="shared" si="38"/>
        <v>0.89900000000000002</v>
      </c>
      <c r="AB153" s="62">
        <f t="shared" si="39"/>
        <v>0.73399999999999999</v>
      </c>
    </row>
    <row r="154" spans="2:28">
      <c r="B154" s="106">
        <f>'114+320'!B155</f>
        <v>45184</v>
      </c>
      <c r="C154" s="75">
        <f t="shared" si="31"/>
        <v>1</v>
      </c>
      <c r="D154" s="74">
        <f t="shared" si="32"/>
        <v>842</v>
      </c>
      <c r="E154" s="73">
        <f>VLOOKUP(B154,'114+320'!B155:AB256,3,FALSE)</f>
        <v>1508</v>
      </c>
      <c r="F154" s="69">
        <f t="shared" si="27"/>
        <v>2350</v>
      </c>
      <c r="G154" s="72">
        <f>VLOOKUP(B154,'114+320'!$B$15:$AB$785,20,FALSE)</f>
        <v>694</v>
      </c>
      <c r="H154" s="72">
        <f>VLOOKUP(B154,'114+320'!$B$15:$AB$785,4,FALSE)</f>
        <v>636</v>
      </c>
      <c r="I154" s="68">
        <f t="shared" si="28"/>
        <v>1714</v>
      </c>
      <c r="J154" s="68">
        <f>VLOOKUP(B154,'114+320'!$B$15:$AB$785,13,FALSE)</f>
        <v>-286</v>
      </c>
      <c r="K154" s="66">
        <f>'114+320'!Q155</f>
        <v>0</v>
      </c>
      <c r="L154" s="65">
        <f t="shared" si="33"/>
        <v>106</v>
      </c>
      <c r="M154" s="70">
        <f>VLOOKUP(B154,'114+320'!$B$14:$AB$785,21,FALSE)</f>
        <v>677</v>
      </c>
      <c r="N154" s="69">
        <f>VLOOKUP(B154,'114+320'!$B$15:$AB$785,5,FALSE)</f>
        <v>653</v>
      </c>
      <c r="O154" s="68">
        <f t="shared" si="29"/>
        <v>1697</v>
      </c>
      <c r="P154" s="68">
        <f>VLOOKUP(B154,'114+320'!$B$15:$AB$785,14,FALSE)</f>
        <v>-303</v>
      </c>
      <c r="Q154" s="66">
        <f>'114+320'!R155</f>
        <v>0</v>
      </c>
      <c r="R154" s="65">
        <f t="shared" si="34"/>
        <v>123</v>
      </c>
      <c r="S154" s="70">
        <f>VLOOKUP(B154,'114+320'!$B$14:$AB$785,22,FALSE)</f>
        <v>689</v>
      </c>
      <c r="T154" s="69">
        <f>VLOOKUP(B154,'114+320'!$B$15:$AB$785,6,FALSE)</f>
        <v>581</v>
      </c>
      <c r="U154" s="68">
        <f t="shared" si="30"/>
        <v>1769</v>
      </c>
      <c r="V154" s="77">
        <f>VLOOKUP(B154,'114+320'!$B$15:$AB$785,15,FALSE)</f>
        <v>-231</v>
      </c>
      <c r="W154" s="66">
        <f>'114+320'!S155</f>
        <v>0</v>
      </c>
      <c r="X154" s="65">
        <f t="shared" si="35"/>
        <v>111</v>
      </c>
      <c r="Y154" s="64">
        <f t="shared" si="36"/>
        <v>0</v>
      </c>
      <c r="Z154" s="63">
        <f t="shared" si="37"/>
        <v>0</v>
      </c>
      <c r="AA154" s="62">
        <f t="shared" si="38"/>
        <v>0.89900000000000002</v>
      </c>
      <c r="AB154" s="62">
        <f t="shared" si="39"/>
        <v>0.73399999999999999</v>
      </c>
    </row>
    <row r="155" spans="2:28">
      <c r="B155" s="106">
        <f>'114+320'!B156</f>
        <v>45185</v>
      </c>
      <c r="C155" s="75">
        <f t="shared" si="31"/>
        <v>1</v>
      </c>
      <c r="D155" s="74">
        <f t="shared" si="32"/>
        <v>842</v>
      </c>
      <c r="E155" s="73">
        <f>VLOOKUP(B155,'114+320'!B156:AB257,3,FALSE)</f>
        <v>1510</v>
      </c>
      <c r="F155" s="69">
        <f t="shared" si="27"/>
        <v>2352</v>
      </c>
      <c r="G155" s="72">
        <f>VLOOKUP(B155,'114+320'!$B$15:$AB$785,20,FALSE)</f>
        <v>694</v>
      </c>
      <c r="H155" s="72">
        <f>VLOOKUP(B155,'114+320'!$B$15:$AB$785,4,FALSE)</f>
        <v>638</v>
      </c>
      <c r="I155" s="68">
        <f t="shared" si="28"/>
        <v>1714</v>
      </c>
      <c r="J155" s="68">
        <f>VLOOKUP(B155,'114+320'!$B$15:$AB$785,13,FALSE)</f>
        <v>-286</v>
      </c>
      <c r="K155" s="66">
        <f>'114+320'!Q156</f>
        <v>0</v>
      </c>
      <c r="L155" s="65">
        <f t="shared" si="33"/>
        <v>106</v>
      </c>
      <c r="M155" s="70">
        <f>VLOOKUP(B155,'114+320'!$B$14:$AB$785,21,FALSE)</f>
        <v>677</v>
      </c>
      <c r="N155" s="69">
        <f>VLOOKUP(B155,'114+320'!$B$15:$AB$785,5,FALSE)</f>
        <v>655</v>
      </c>
      <c r="O155" s="68">
        <f t="shared" si="29"/>
        <v>1697</v>
      </c>
      <c r="P155" s="68">
        <f>VLOOKUP(B155,'114+320'!$B$15:$AB$785,14,FALSE)</f>
        <v>-303</v>
      </c>
      <c r="Q155" s="66">
        <f>'114+320'!R156</f>
        <v>0</v>
      </c>
      <c r="R155" s="65">
        <f t="shared" si="34"/>
        <v>123</v>
      </c>
      <c r="S155" s="70">
        <f>VLOOKUP(B155,'114+320'!$B$14:$AB$785,22,FALSE)</f>
        <v>689</v>
      </c>
      <c r="T155" s="69">
        <f>VLOOKUP(B155,'114+320'!$B$15:$AB$785,6,FALSE)</f>
        <v>583</v>
      </c>
      <c r="U155" s="68">
        <f t="shared" si="30"/>
        <v>1769</v>
      </c>
      <c r="V155" s="77">
        <f>VLOOKUP(B155,'114+320'!$B$15:$AB$785,15,FALSE)</f>
        <v>-231</v>
      </c>
      <c r="W155" s="66">
        <f>'114+320'!S156</f>
        <v>0</v>
      </c>
      <c r="X155" s="65">
        <f t="shared" si="35"/>
        <v>111</v>
      </c>
      <c r="Y155" s="64">
        <f t="shared" si="36"/>
        <v>0</v>
      </c>
      <c r="Z155" s="63">
        <f t="shared" si="37"/>
        <v>0</v>
      </c>
      <c r="AA155" s="62">
        <f t="shared" si="38"/>
        <v>0.89900000000000002</v>
      </c>
      <c r="AB155" s="62">
        <f t="shared" si="39"/>
        <v>0.73399999999999999</v>
      </c>
    </row>
    <row r="156" spans="2:28">
      <c r="B156" s="106">
        <f>'114+320'!B157</f>
        <v>45186</v>
      </c>
      <c r="C156" s="75">
        <f t="shared" si="31"/>
        <v>1</v>
      </c>
      <c r="D156" s="74">
        <f t="shared" si="32"/>
        <v>842</v>
      </c>
      <c r="E156" s="73">
        <f>VLOOKUP(B156,'114+320'!B157:AB258,3,FALSE)</f>
        <v>1512</v>
      </c>
      <c r="F156" s="69">
        <f t="shared" si="27"/>
        <v>2354</v>
      </c>
      <c r="G156" s="72">
        <f>VLOOKUP(B156,'114+320'!$B$15:$AB$785,20,FALSE)</f>
        <v>694</v>
      </c>
      <c r="H156" s="72">
        <f>VLOOKUP(B156,'114+320'!$B$15:$AB$785,4,FALSE)</f>
        <v>640</v>
      </c>
      <c r="I156" s="68">
        <f t="shared" si="28"/>
        <v>1714</v>
      </c>
      <c r="J156" s="68">
        <f>VLOOKUP(B156,'114+320'!$B$15:$AB$785,13,FALSE)</f>
        <v>-286</v>
      </c>
      <c r="K156" s="66">
        <f>'114+320'!Q157</f>
        <v>0</v>
      </c>
      <c r="L156" s="65">
        <f t="shared" si="33"/>
        <v>106</v>
      </c>
      <c r="M156" s="70">
        <f>VLOOKUP(B156,'114+320'!$B$14:$AB$785,21,FALSE)</f>
        <v>677</v>
      </c>
      <c r="N156" s="69">
        <f>VLOOKUP(B156,'114+320'!$B$15:$AB$785,5,FALSE)</f>
        <v>657</v>
      </c>
      <c r="O156" s="68">
        <f t="shared" si="29"/>
        <v>1697</v>
      </c>
      <c r="P156" s="68">
        <f>VLOOKUP(B156,'114+320'!$B$15:$AB$785,14,FALSE)</f>
        <v>-303</v>
      </c>
      <c r="Q156" s="66">
        <f>'114+320'!R157</f>
        <v>0</v>
      </c>
      <c r="R156" s="65">
        <f t="shared" si="34"/>
        <v>123</v>
      </c>
      <c r="S156" s="70">
        <f>VLOOKUP(B156,'114+320'!$B$14:$AB$785,22,FALSE)</f>
        <v>689</v>
      </c>
      <c r="T156" s="69">
        <f>VLOOKUP(B156,'114+320'!$B$15:$AB$785,6,FALSE)</f>
        <v>585</v>
      </c>
      <c r="U156" s="68">
        <f t="shared" si="30"/>
        <v>1769</v>
      </c>
      <c r="V156" s="77">
        <f>VLOOKUP(B156,'114+320'!$B$15:$AB$785,15,FALSE)</f>
        <v>-231</v>
      </c>
      <c r="W156" s="66">
        <f>'114+320'!S157</f>
        <v>0</v>
      </c>
      <c r="X156" s="65">
        <f t="shared" si="35"/>
        <v>111</v>
      </c>
      <c r="Y156" s="64">
        <f t="shared" si="36"/>
        <v>0</v>
      </c>
      <c r="Z156" s="63">
        <f t="shared" si="37"/>
        <v>0</v>
      </c>
      <c r="AA156" s="62">
        <f t="shared" si="38"/>
        <v>0.89900000000000002</v>
      </c>
      <c r="AB156" s="62">
        <f t="shared" si="39"/>
        <v>0.73399999999999999</v>
      </c>
    </row>
    <row r="157" spans="2:28">
      <c r="B157" s="106">
        <f>'114+320'!B158</f>
        <v>45187</v>
      </c>
      <c r="C157" s="75">
        <f t="shared" si="31"/>
        <v>1</v>
      </c>
      <c r="D157" s="74">
        <f t="shared" si="32"/>
        <v>842</v>
      </c>
      <c r="E157" s="73">
        <f>VLOOKUP(B157,'114+320'!B158:AB259,3,FALSE)</f>
        <v>1514</v>
      </c>
      <c r="F157" s="69">
        <f t="shared" si="27"/>
        <v>2356</v>
      </c>
      <c r="G157" s="72">
        <f>VLOOKUP(B157,'114+320'!$B$15:$AB$785,20,FALSE)</f>
        <v>694</v>
      </c>
      <c r="H157" s="72">
        <f>VLOOKUP(B157,'114+320'!$B$15:$AB$785,4,FALSE)</f>
        <v>642</v>
      </c>
      <c r="I157" s="68">
        <f t="shared" si="28"/>
        <v>1714</v>
      </c>
      <c r="J157" s="68">
        <f>VLOOKUP(B157,'114+320'!$B$15:$AB$785,13,FALSE)</f>
        <v>-286</v>
      </c>
      <c r="K157" s="66">
        <f>'114+320'!Q158</f>
        <v>0</v>
      </c>
      <c r="L157" s="65">
        <f t="shared" si="33"/>
        <v>106</v>
      </c>
      <c r="M157" s="70">
        <f>VLOOKUP(B157,'114+320'!$B$14:$AB$785,21,FALSE)</f>
        <v>677</v>
      </c>
      <c r="N157" s="69">
        <f>VLOOKUP(B157,'114+320'!$B$15:$AB$785,5,FALSE)</f>
        <v>659</v>
      </c>
      <c r="O157" s="68">
        <f t="shared" si="29"/>
        <v>1697</v>
      </c>
      <c r="P157" s="68">
        <f>VLOOKUP(B157,'114+320'!$B$15:$AB$785,14,FALSE)</f>
        <v>-303</v>
      </c>
      <c r="Q157" s="66">
        <f>'114+320'!R158</f>
        <v>0</v>
      </c>
      <c r="R157" s="65">
        <f t="shared" si="34"/>
        <v>123</v>
      </c>
      <c r="S157" s="70">
        <f>VLOOKUP(B157,'114+320'!$B$14:$AB$785,22,FALSE)</f>
        <v>689</v>
      </c>
      <c r="T157" s="69">
        <f>VLOOKUP(B157,'114+320'!$B$15:$AB$785,6,FALSE)</f>
        <v>587</v>
      </c>
      <c r="U157" s="68">
        <f t="shared" si="30"/>
        <v>1769</v>
      </c>
      <c r="V157" s="77">
        <f>VLOOKUP(B157,'114+320'!$B$15:$AB$785,15,FALSE)</f>
        <v>-231</v>
      </c>
      <c r="W157" s="66">
        <f>'114+320'!S158</f>
        <v>0</v>
      </c>
      <c r="X157" s="65">
        <f t="shared" si="35"/>
        <v>111</v>
      </c>
      <c r="Y157" s="64">
        <f t="shared" si="36"/>
        <v>0</v>
      </c>
      <c r="Z157" s="63">
        <f t="shared" si="37"/>
        <v>0</v>
      </c>
      <c r="AA157" s="62">
        <f t="shared" si="38"/>
        <v>0.89900000000000002</v>
      </c>
      <c r="AB157" s="62">
        <f t="shared" si="39"/>
        <v>0.73399999999999999</v>
      </c>
    </row>
    <row r="158" spans="2:28">
      <c r="B158" s="106">
        <f>'114+320'!B159</f>
        <v>45188</v>
      </c>
      <c r="C158" s="75">
        <f t="shared" si="31"/>
        <v>1</v>
      </c>
      <c r="D158" s="74">
        <f t="shared" si="32"/>
        <v>842</v>
      </c>
      <c r="E158" s="73">
        <f>VLOOKUP(B158,'114+320'!B159:AB260,3,FALSE)</f>
        <v>1516</v>
      </c>
      <c r="F158" s="69">
        <f t="shared" si="27"/>
        <v>2358</v>
      </c>
      <c r="G158" s="72">
        <f>VLOOKUP(B158,'114+320'!$B$15:$AB$785,20,FALSE)</f>
        <v>694</v>
      </c>
      <c r="H158" s="72">
        <f>VLOOKUP(B158,'114+320'!$B$15:$AB$785,4,FALSE)</f>
        <v>644</v>
      </c>
      <c r="I158" s="68">
        <f t="shared" si="28"/>
        <v>1714</v>
      </c>
      <c r="J158" s="68">
        <f>VLOOKUP(B158,'114+320'!$B$15:$AB$785,13,FALSE)</f>
        <v>-286</v>
      </c>
      <c r="K158" s="66">
        <f>'114+320'!Q159</f>
        <v>0</v>
      </c>
      <c r="L158" s="65">
        <f t="shared" si="33"/>
        <v>106</v>
      </c>
      <c r="M158" s="70">
        <f>VLOOKUP(B158,'114+320'!$B$14:$AB$785,21,FALSE)</f>
        <v>677</v>
      </c>
      <c r="N158" s="69">
        <f>VLOOKUP(B158,'114+320'!$B$15:$AB$785,5,FALSE)</f>
        <v>661</v>
      </c>
      <c r="O158" s="68">
        <f t="shared" si="29"/>
        <v>1697</v>
      </c>
      <c r="P158" s="68">
        <f>VLOOKUP(B158,'114+320'!$B$15:$AB$785,14,FALSE)</f>
        <v>-303</v>
      </c>
      <c r="Q158" s="66">
        <f>'114+320'!R159</f>
        <v>0</v>
      </c>
      <c r="R158" s="65">
        <f t="shared" si="34"/>
        <v>123</v>
      </c>
      <c r="S158" s="70">
        <f>VLOOKUP(B158,'114+320'!$B$14:$AB$785,22,FALSE)</f>
        <v>689</v>
      </c>
      <c r="T158" s="69">
        <f>VLOOKUP(B158,'114+320'!$B$15:$AB$785,6,FALSE)</f>
        <v>589</v>
      </c>
      <c r="U158" s="68">
        <f t="shared" si="30"/>
        <v>1769</v>
      </c>
      <c r="V158" s="77">
        <f>VLOOKUP(B158,'114+320'!$B$15:$AB$785,15,FALSE)</f>
        <v>-231</v>
      </c>
      <c r="W158" s="66">
        <f>'114+320'!S159</f>
        <v>0</v>
      </c>
      <c r="X158" s="65">
        <f t="shared" si="35"/>
        <v>111</v>
      </c>
      <c r="Y158" s="64">
        <f t="shared" si="36"/>
        <v>0</v>
      </c>
      <c r="Z158" s="63">
        <f t="shared" si="37"/>
        <v>0</v>
      </c>
      <c r="AA158" s="62">
        <f t="shared" si="38"/>
        <v>0.89900000000000002</v>
      </c>
      <c r="AB158" s="62">
        <f t="shared" si="39"/>
        <v>0.73399999999999999</v>
      </c>
    </row>
    <row r="159" spans="2:28">
      <c r="B159" s="106">
        <f>'114+320'!B160</f>
        <v>45189</v>
      </c>
      <c r="C159" s="75">
        <f t="shared" si="31"/>
        <v>1</v>
      </c>
      <c r="D159" s="74">
        <f t="shared" si="32"/>
        <v>842</v>
      </c>
      <c r="E159" s="73">
        <f>VLOOKUP(B159,'114+320'!B160:AB261,3,FALSE)</f>
        <v>1518</v>
      </c>
      <c r="F159" s="69">
        <f t="shared" si="27"/>
        <v>2360</v>
      </c>
      <c r="G159" s="72">
        <f>VLOOKUP(B159,'114+320'!$B$15:$AB$785,20,FALSE)</f>
        <v>694</v>
      </c>
      <c r="H159" s="72">
        <f>VLOOKUP(B159,'114+320'!$B$15:$AB$785,4,FALSE)</f>
        <v>646</v>
      </c>
      <c r="I159" s="68">
        <f t="shared" si="28"/>
        <v>1714</v>
      </c>
      <c r="J159" s="68">
        <f>VLOOKUP(B159,'114+320'!$B$15:$AB$785,13,FALSE)</f>
        <v>-286</v>
      </c>
      <c r="K159" s="66">
        <f>'114+320'!Q160</f>
        <v>0</v>
      </c>
      <c r="L159" s="65">
        <f t="shared" si="33"/>
        <v>106</v>
      </c>
      <c r="M159" s="70">
        <f>VLOOKUP(B159,'114+320'!$B$14:$AB$785,21,FALSE)</f>
        <v>677</v>
      </c>
      <c r="N159" s="69">
        <f>VLOOKUP(B159,'114+320'!$B$15:$AB$785,5,FALSE)</f>
        <v>663</v>
      </c>
      <c r="O159" s="68">
        <f t="shared" si="29"/>
        <v>1697</v>
      </c>
      <c r="P159" s="68">
        <f>VLOOKUP(B159,'114+320'!$B$15:$AB$785,14,FALSE)</f>
        <v>-303</v>
      </c>
      <c r="Q159" s="66">
        <f>'114+320'!R160</f>
        <v>0</v>
      </c>
      <c r="R159" s="65">
        <f t="shared" si="34"/>
        <v>123</v>
      </c>
      <c r="S159" s="70">
        <f>VLOOKUP(B159,'114+320'!$B$14:$AB$785,22,FALSE)</f>
        <v>689</v>
      </c>
      <c r="T159" s="69">
        <f>VLOOKUP(B159,'114+320'!$B$15:$AB$785,6,FALSE)</f>
        <v>591</v>
      </c>
      <c r="U159" s="68">
        <f t="shared" si="30"/>
        <v>1769</v>
      </c>
      <c r="V159" s="77">
        <f>VLOOKUP(B159,'114+320'!$B$15:$AB$785,15,FALSE)</f>
        <v>-231</v>
      </c>
      <c r="W159" s="66">
        <f>'114+320'!S160</f>
        <v>0</v>
      </c>
      <c r="X159" s="65">
        <f t="shared" si="35"/>
        <v>111</v>
      </c>
      <c r="Y159" s="64">
        <f t="shared" si="36"/>
        <v>0</v>
      </c>
      <c r="Z159" s="63">
        <f t="shared" si="37"/>
        <v>0</v>
      </c>
      <c r="AA159" s="62">
        <f t="shared" si="38"/>
        <v>0.89900000000000002</v>
      </c>
      <c r="AB159" s="62">
        <f t="shared" si="39"/>
        <v>0.73399999999999999</v>
      </c>
    </row>
    <row r="160" spans="2:28">
      <c r="B160" s="106">
        <f>'114+320'!B161</f>
        <v>45190</v>
      </c>
      <c r="C160" s="75">
        <f t="shared" si="31"/>
        <v>1</v>
      </c>
      <c r="D160" s="74">
        <f t="shared" si="32"/>
        <v>842</v>
      </c>
      <c r="E160" s="73">
        <f>VLOOKUP(B160,'114+320'!B161:AB262,3,FALSE)</f>
        <v>1520</v>
      </c>
      <c r="F160" s="69">
        <f t="shared" si="27"/>
        <v>2362</v>
      </c>
      <c r="G160" s="72">
        <f>VLOOKUP(B160,'114+320'!$B$15:$AB$785,20,FALSE)</f>
        <v>694</v>
      </c>
      <c r="H160" s="72">
        <f>VLOOKUP(B160,'114+320'!$B$15:$AB$785,4,FALSE)</f>
        <v>648</v>
      </c>
      <c r="I160" s="68">
        <f t="shared" si="28"/>
        <v>1714</v>
      </c>
      <c r="J160" s="68">
        <f>VLOOKUP(B160,'114+320'!$B$15:$AB$785,13,FALSE)</f>
        <v>-286</v>
      </c>
      <c r="K160" s="66">
        <f>'114+320'!Q161</f>
        <v>0</v>
      </c>
      <c r="L160" s="65">
        <f t="shared" si="33"/>
        <v>106</v>
      </c>
      <c r="M160" s="70">
        <f>VLOOKUP(B160,'114+320'!$B$14:$AB$785,21,FALSE)</f>
        <v>677</v>
      </c>
      <c r="N160" s="69">
        <f>VLOOKUP(B160,'114+320'!$B$15:$AB$785,5,FALSE)</f>
        <v>665</v>
      </c>
      <c r="O160" s="68">
        <f t="shared" si="29"/>
        <v>1697</v>
      </c>
      <c r="P160" s="68">
        <f>VLOOKUP(B160,'114+320'!$B$15:$AB$785,14,FALSE)</f>
        <v>-303</v>
      </c>
      <c r="Q160" s="66">
        <f>'114+320'!R161</f>
        <v>0</v>
      </c>
      <c r="R160" s="65">
        <f t="shared" si="34"/>
        <v>123</v>
      </c>
      <c r="S160" s="70">
        <f>VLOOKUP(B160,'114+320'!$B$14:$AB$785,22,FALSE)</f>
        <v>689</v>
      </c>
      <c r="T160" s="69">
        <f>VLOOKUP(B160,'114+320'!$B$15:$AB$785,6,FALSE)</f>
        <v>593</v>
      </c>
      <c r="U160" s="68">
        <f t="shared" si="30"/>
        <v>1769</v>
      </c>
      <c r="V160" s="77">
        <f>VLOOKUP(B160,'114+320'!$B$15:$AB$785,15,FALSE)</f>
        <v>-231</v>
      </c>
      <c r="W160" s="66">
        <f>'114+320'!S161</f>
        <v>0</v>
      </c>
      <c r="X160" s="65">
        <f t="shared" si="35"/>
        <v>111</v>
      </c>
      <c r="Y160" s="64">
        <f t="shared" si="36"/>
        <v>0</v>
      </c>
      <c r="Z160" s="63">
        <f t="shared" si="37"/>
        <v>0</v>
      </c>
      <c r="AA160" s="62">
        <f t="shared" si="38"/>
        <v>0.89900000000000002</v>
      </c>
      <c r="AB160" s="62">
        <f t="shared" si="39"/>
        <v>0.73399999999999999</v>
      </c>
    </row>
    <row r="161" spans="2:28">
      <c r="B161" s="106">
        <f>'114+320'!B162</f>
        <v>45191</v>
      </c>
      <c r="C161" s="75">
        <f t="shared" si="31"/>
        <v>1</v>
      </c>
      <c r="D161" s="74">
        <f t="shared" si="32"/>
        <v>842</v>
      </c>
      <c r="E161" s="73">
        <f>VLOOKUP(B161,'114+320'!B162:AB263,3,FALSE)</f>
        <v>1522</v>
      </c>
      <c r="F161" s="69">
        <f t="shared" si="27"/>
        <v>2364</v>
      </c>
      <c r="G161" s="72">
        <f>VLOOKUP(B161,'114+320'!$B$15:$AB$785,20,FALSE)</f>
        <v>694</v>
      </c>
      <c r="H161" s="72">
        <f>VLOOKUP(B161,'114+320'!$B$15:$AB$785,4,FALSE)</f>
        <v>650</v>
      </c>
      <c r="I161" s="68">
        <f t="shared" si="28"/>
        <v>1714</v>
      </c>
      <c r="J161" s="68">
        <f>VLOOKUP(B161,'114+320'!$B$15:$AB$785,13,FALSE)</f>
        <v>-286</v>
      </c>
      <c r="K161" s="66">
        <f>'114+320'!Q162</f>
        <v>0</v>
      </c>
      <c r="L161" s="65">
        <f t="shared" si="33"/>
        <v>106</v>
      </c>
      <c r="M161" s="70">
        <f>VLOOKUP(B161,'114+320'!$B$14:$AB$785,21,FALSE)</f>
        <v>677</v>
      </c>
      <c r="N161" s="69">
        <f>VLOOKUP(B161,'114+320'!$B$15:$AB$785,5,FALSE)</f>
        <v>667</v>
      </c>
      <c r="O161" s="68">
        <f t="shared" si="29"/>
        <v>1697</v>
      </c>
      <c r="P161" s="68">
        <f>VLOOKUP(B161,'114+320'!$B$15:$AB$785,14,FALSE)</f>
        <v>-303</v>
      </c>
      <c r="Q161" s="66">
        <f>'114+320'!R162</f>
        <v>0</v>
      </c>
      <c r="R161" s="65">
        <f t="shared" si="34"/>
        <v>123</v>
      </c>
      <c r="S161" s="70">
        <f>VLOOKUP(B161,'114+320'!$B$14:$AB$785,22,FALSE)</f>
        <v>689</v>
      </c>
      <c r="T161" s="69">
        <f>VLOOKUP(B161,'114+320'!$B$15:$AB$785,6,FALSE)</f>
        <v>595</v>
      </c>
      <c r="U161" s="68">
        <f t="shared" si="30"/>
        <v>1769</v>
      </c>
      <c r="V161" s="77">
        <f>VLOOKUP(B161,'114+320'!$B$15:$AB$785,15,FALSE)</f>
        <v>-231</v>
      </c>
      <c r="W161" s="66">
        <f>'114+320'!S162</f>
        <v>0</v>
      </c>
      <c r="X161" s="65">
        <f t="shared" si="35"/>
        <v>111</v>
      </c>
      <c r="Y161" s="64">
        <f t="shared" si="36"/>
        <v>0</v>
      </c>
      <c r="Z161" s="63">
        <f t="shared" si="37"/>
        <v>0</v>
      </c>
      <c r="AA161" s="62">
        <f t="shared" si="38"/>
        <v>0.89900000000000002</v>
      </c>
      <c r="AB161" s="62">
        <f t="shared" si="39"/>
        <v>0.73399999999999999</v>
      </c>
    </row>
    <row r="162" spans="2:28">
      <c r="B162" s="106">
        <f>'114+320'!B163</f>
        <v>45192</v>
      </c>
      <c r="C162" s="75">
        <f t="shared" si="31"/>
        <v>1</v>
      </c>
      <c r="D162" s="74">
        <f t="shared" si="32"/>
        <v>842</v>
      </c>
      <c r="E162" s="73">
        <f>VLOOKUP(B162,'114+320'!B163:AB264,3,FALSE)</f>
        <v>1524</v>
      </c>
      <c r="F162" s="69">
        <f t="shared" si="27"/>
        <v>2366</v>
      </c>
      <c r="G162" s="72">
        <f>VLOOKUP(B162,'114+320'!$B$15:$AB$785,20,FALSE)</f>
        <v>694</v>
      </c>
      <c r="H162" s="72">
        <f>VLOOKUP(B162,'114+320'!$B$15:$AB$785,4,FALSE)</f>
        <v>652</v>
      </c>
      <c r="I162" s="68">
        <f t="shared" si="28"/>
        <v>1714</v>
      </c>
      <c r="J162" s="68">
        <f>VLOOKUP(B162,'114+320'!$B$15:$AB$785,13,FALSE)</f>
        <v>-286</v>
      </c>
      <c r="K162" s="66">
        <f>'114+320'!Q163</f>
        <v>0</v>
      </c>
      <c r="L162" s="65">
        <f t="shared" si="33"/>
        <v>106</v>
      </c>
      <c r="M162" s="70">
        <f>VLOOKUP(B162,'114+320'!$B$14:$AB$785,21,FALSE)</f>
        <v>677</v>
      </c>
      <c r="N162" s="69">
        <f>VLOOKUP(B162,'114+320'!$B$15:$AB$785,5,FALSE)</f>
        <v>669</v>
      </c>
      <c r="O162" s="68">
        <f t="shared" si="29"/>
        <v>1697</v>
      </c>
      <c r="P162" s="68">
        <f>VLOOKUP(B162,'114+320'!$B$15:$AB$785,14,FALSE)</f>
        <v>-303</v>
      </c>
      <c r="Q162" s="66">
        <f>'114+320'!R163</f>
        <v>0</v>
      </c>
      <c r="R162" s="65">
        <f t="shared" si="34"/>
        <v>123</v>
      </c>
      <c r="S162" s="70">
        <f>VLOOKUP(B162,'114+320'!$B$14:$AB$785,22,FALSE)</f>
        <v>689</v>
      </c>
      <c r="T162" s="69">
        <f>VLOOKUP(B162,'114+320'!$B$15:$AB$785,6,FALSE)</f>
        <v>597</v>
      </c>
      <c r="U162" s="68">
        <f t="shared" si="30"/>
        <v>1769</v>
      </c>
      <c r="V162" s="77">
        <f>VLOOKUP(B162,'114+320'!$B$15:$AB$785,15,FALSE)</f>
        <v>-231</v>
      </c>
      <c r="W162" s="66">
        <f>'114+320'!S163</f>
        <v>0</v>
      </c>
      <c r="X162" s="65">
        <f t="shared" si="35"/>
        <v>111</v>
      </c>
      <c r="Y162" s="64">
        <f t="shared" si="36"/>
        <v>0</v>
      </c>
      <c r="Z162" s="63">
        <f t="shared" si="37"/>
        <v>0</v>
      </c>
      <c r="AA162" s="62">
        <f t="shared" si="38"/>
        <v>0.89900000000000002</v>
      </c>
      <c r="AB162" s="62">
        <f t="shared" si="39"/>
        <v>0.73399999999999999</v>
      </c>
    </row>
    <row r="163" spans="2:28">
      <c r="B163" s="106">
        <f>'114+320'!B164</f>
        <v>45193</v>
      </c>
      <c r="C163" s="75">
        <f t="shared" si="31"/>
        <v>1</v>
      </c>
      <c r="D163" s="74">
        <f t="shared" si="32"/>
        <v>842</v>
      </c>
      <c r="E163" s="73">
        <f>VLOOKUP(B163,'114+320'!B164:AB265,3,FALSE)</f>
        <v>1526</v>
      </c>
      <c r="F163" s="69">
        <f t="shared" si="27"/>
        <v>2368</v>
      </c>
      <c r="G163" s="72">
        <f>VLOOKUP(B163,'114+320'!$B$15:$AB$785,20,FALSE)</f>
        <v>694</v>
      </c>
      <c r="H163" s="72">
        <f>VLOOKUP(B163,'114+320'!$B$15:$AB$785,4,FALSE)</f>
        <v>654</v>
      </c>
      <c r="I163" s="68">
        <f t="shared" si="28"/>
        <v>1714</v>
      </c>
      <c r="J163" s="68">
        <f>VLOOKUP(B163,'114+320'!$B$15:$AB$785,13,FALSE)</f>
        <v>-286</v>
      </c>
      <c r="K163" s="66">
        <f>'114+320'!Q164</f>
        <v>0</v>
      </c>
      <c r="L163" s="65">
        <f t="shared" si="33"/>
        <v>106</v>
      </c>
      <c r="M163" s="70">
        <f>VLOOKUP(B163,'114+320'!$B$14:$AB$785,21,FALSE)</f>
        <v>677</v>
      </c>
      <c r="N163" s="69">
        <f>VLOOKUP(B163,'114+320'!$B$15:$AB$785,5,FALSE)</f>
        <v>671</v>
      </c>
      <c r="O163" s="68">
        <f t="shared" si="29"/>
        <v>1697</v>
      </c>
      <c r="P163" s="68">
        <f>VLOOKUP(B163,'114+320'!$B$15:$AB$785,14,FALSE)</f>
        <v>-303</v>
      </c>
      <c r="Q163" s="66">
        <f>'114+320'!R164</f>
        <v>0</v>
      </c>
      <c r="R163" s="65">
        <f t="shared" si="34"/>
        <v>123</v>
      </c>
      <c r="S163" s="70">
        <f>VLOOKUP(B163,'114+320'!$B$14:$AB$785,22,FALSE)</f>
        <v>689</v>
      </c>
      <c r="T163" s="69">
        <f>VLOOKUP(B163,'114+320'!$B$15:$AB$785,6,FALSE)</f>
        <v>599</v>
      </c>
      <c r="U163" s="68">
        <f t="shared" si="30"/>
        <v>1769</v>
      </c>
      <c r="V163" s="77">
        <f>VLOOKUP(B163,'114+320'!$B$15:$AB$785,15,FALSE)</f>
        <v>-231</v>
      </c>
      <c r="W163" s="66">
        <f>'114+320'!S164</f>
        <v>0</v>
      </c>
      <c r="X163" s="65">
        <f t="shared" si="35"/>
        <v>111</v>
      </c>
      <c r="Y163" s="64">
        <f t="shared" si="36"/>
        <v>0</v>
      </c>
      <c r="Z163" s="63">
        <f t="shared" si="37"/>
        <v>0</v>
      </c>
      <c r="AA163" s="62">
        <f t="shared" si="38"/>
        <v>0.89900000000000002</v>
      </c>
      <c r="AB163" s="62">
        <f t="shared" si="39"/>
        <v>0.73399999999999999</v>
      </c>
    </row>
    <row r="164" spans="2:28">
      <c r="B164" s="106">
        <f>'114+320'!B165</f>
        <v>45194</v>
      </c>
      <c r="C164" s="75">
        <f t="shared" si="31"/>
        <v>1</v>
      </c>
      <c r="D164" s="74">
        <f t="shared" si="32"/>
        <v>842</v>
      </c>
      <c r="E164" s="73">
        <f>VLOOKUP(B164,'114+320'!B165:AB266,3,FALSE)</f>
        <v>1528</v>
      </c>
      <c r="F164" s="69">
        <f t="shared" si="27"/>
        <v>2370</v>
      </c>
      <c r="G164" s="72">
        <f>VLOOKUP(B164,'114+320'!$B$15:$AB$785,20,FALSE)</f>
        <v>694</v>
      </c>
      <c r="H164" s="72">
        <f>VLOOKUP(B164,'114+320'!$B$15:$AB$785,4,FALSE)</f>
        <v>656</v>
      </c>
      <c r="I164" s="68">
        <f t="shared" si="28"/>
        <v>1714</v>
      </c>
      <c r="J164" s="68">
        <f>VLOOKUP(B164,'114+320'!$B$15:$AB$785,13,FALSE)</f>
        <v>-286</v>
      </c>
      <c r="K164" s="66">
        <f>'114+320'!Q165</f>
        <v>0</v>
      </c>
      <c r="L164" s="65">
        <f t="shared" si="33"/>
        <v>106</v>
      </c>
      <c r="M164" s="70">
        <f>VLOOKUP(B164,'114+320'!$B$14:$AB$785,21,FALSE)</f>
        <v>677</v>
      </c>
      <c r="N164" s="69">
        <f>VLOOKUP(B164,'114+320'!$B$15:$AB$785,5,FALSE)</f>
        <v>673</v>
      </c>
      <c r="O164" s="68">
        <f t="shared" si="29"/>
        <v>1697</v>
      </c>
      <c r="P164" s="68">
        <f>VLOOKUP(B164,'114+320'!$B$15:$AB$785,14,FALSE)</f>
        <v>-303</v>
      </c>
      <c r="Q164" s="66">
        <f>'114+320'!R165</f>
        <v>0</v>
      </c>
      <c r="R164" s="65">
        <f t="shared" si="34"/>
        <v>123</v>
      </c>
      <c r="S164" s="70">
        <f>VLOOKUP(B164,'114+320'!$B$14:$AB$785,22,FALSE)</f>
        <v>689</v>
      </c>
      <c r="T164" s="69">
        <f>VLOOKUP(B164,'114+320'!$B$15:$AB$785,6,FALSE)</f>
        <v>601</v>
      </c>
      <c r="U164" s="68">
        <f t="shared" si="30"/>
        <v>1769</v>
      </c>
      <c r="V164" s="77">
        <f>VLOOKUP(B164,'114+320'!$B$15:$AB$785,15,FALSE)</f>
        <v>-231</v>
      </c>
      <c r="W164" s="66">
        <f>'114+320'!S165</f>
        <v>0</v>
      </c>
      <c r="X164" s="65">
        <f t="shared" si="35"/>
        <v>111</v>
      </c>
      <c r="Y164" s="64">
        <f t="shared" si="36"/>
        <v>0</v>
      </c>
      <c r="Z164" s="63">
        <f t="shared" si="37"/>
        <v>0</v>
      </c>
      <c r="AA164" s="62">
        <f t="shared" si="38"/>
        <v>0.89900000000000002</v>
      </c>
      <c r="AB164" s="62">
        <f t="shared" si="39"/>
        <v>0.73399999999999999</v>
      </c>
    </row>
    <row r="165" spans="2:28">
      <c r="B165" s="106">
        <f>'114+320'!B166</f>
        <v>45195</v>
      </c>
      <c r="C165" s="75">
        <f t="shared" si="31"/>
        <v>1</v>
      </c>
      <c r="D165" s="74">
        <f t="shared" si="32"/>
        <v>842</v>
      </c>
      <c r="E165" s="73">
        <f>VLOOKUP(B165,'114+320'!B166:AB267,3,FALSE)</f>
        <v>1530</v>
      </c>
      <c r="F165" s="69">
        <f t="shared" si="27"/>
        <v>2372</v>
      </c>
      <c r="G165" s="72">
        <f>VLOOKUP(B165,'114+320'!$B$15:$AB$785,20,FALSE)</f>
        <v>694</v>
      </c>
      <c r="H165" s="72">
        <f>VLOOKUP(B165,'114+320'!$B$15:$AB$785,4,FALSE)</f>
        <v>658</v>
      </c>
      <c r="I165" s="68">
        <f t="shared" si="28"/>
        <v>1714</v>
      </c>
      <c r="J165" s="68">
        <f>VLOOKUP(B165,'114+320'!$B$15:$AB$785,13,FALSE)</f>
        <v>-286</v>
      </c>
      <c r="K165" s="66">
        <f>'114+320'!Q166</f>
        <v>0</v>
      </c>
      <c r="L165" s="65">
        <f t="shared" si="33"/>
        <v>106</v>
      </c>
      <c r="M165" s="70">
        <f>VLOOKUP(B165,'114+320'!$B$14:$AB$785,21,FALSE)</f>
        <v>677</v>
      </c>
      <c r="N165" s="69">
        <f>VLOOKUP(B165,'114+320'!$B$15:$AB$785,5,FALSE)</f>
        <v>675</v>
      </c>
      <c r="O165" s="68">
        <f t="shared" si="29"/>
        <v>1697</v>
      </c>
      <c r="P165" s="68">
        <f>VLOOKUP(B165,'114+320'!$B$15:$AB$785,14,FALSE)</f>
        <v>-303</v>
      </c>
      <c r="Q165" s="66">
        <f>'114+320'!R166</f>
        <v>0</v>
      </c>
      <c r="R165" s="65">
        <f t="shared" si="34"/>
        <v>123</v>
      </c>
      <c r="S165" s="70">
        <f>VLOOKUP(B165,'114+320'!$B$14:$AB$785,22,FALSE)</f>
        <v>689</v>
      </c>
      <c r="T165" s="69">
        <f>VLOOKUP(B165,'114+320'!$B$15:$AB$785,6,FALSE)</f>
        <v>603</v>
      </c>
      <c r="U165" s="68">
        <f t="shared" si="30"/>
        <v>1769</v>
      </c>
      <c r="V165" s="77">
        <f>VLOOKUP(B165,'114+320'!$B$15:$AB$785,15,FALSE)</f>
        <v>-231</v>
      </c>
      <c r="W165" s="66">
        <f>'114+320'!S166</f>
        <v>0</v>
      </c>
      <c r="X165" s="65">
        <f t="shared" si="35"/>
        <v>111</v>
      </c>
      <c r="Y165" s="64">
        <f t="shared" si="36"/>
        <v>0</v>
      </c>
      <c r="Z165" s="63">
        <f t="shared" si="37"/>
        <v>0</v>
      </c>
      <c r="AA165" s="62">
        <f t="shared" si="38"/>
        <v>0.89900000000000002</v>
      </c>
      <c r="AB165" s="62">
        <f t="shared" si="39"/>
        <v>0.73399999999999999</v>
      </c>
    </row>
    <row r="166" spans="2:28">
      <c r="B166" s="106">
        <f>'114+320'!B167</f>
        <v>45196</v>
      </c>
      <c r="C166" s="75">
        <f t="shared" si="31"/>
        <v>1</v>
      </c>
      <c r="D166" s="74">
        <f t="shared" si="32"/>
        <v>842</v>
      </c>
      <c r="E166" s="73">
        <f>VLOOKUP(B166,'114+320'!B167:AB268,3,FALSE)</f>
        <v>1532</v>
      </c>
      <c r="F166" s="69">
        <f t="shared" si="27"/>
        <v>2374</v>
      </c>
      <c r="G166" s="72">
        <f>VLOOKUP(B166,'114+320'!$B$15:$AB$785,20,FALSE)</f>
        <v>694</v>
      </c>
      <c r="H166" s="72">
        <f>VLOOKUP(B166,'114+320'!$B$15:$AB$785,4,FALSE)</f>
        <v>660</v>
      </c>
      <c r="I166" s="68">
        <f t="shared" si="28"/>
        <v>1714</v>
      </c>
      <c r="J166" s="68">
        <f>VLOOKUP(B166,'114+320'!$B$15:$AB$785,13,FALSE)</f>
        <v>-286</v>
      </c>
      <c r="K166" s="66">
        <f>'114+320'!Q167</f>
        <v>0</v>
      </c>
      <c r="L166" s="65">
        <f t="shared" si="33"/>
        <v>106</v>
      </c>
      <c r="M166" s="70">
        <f>VLOOKUP(B166,'114+320'!$B$14:$AB$785,21,FALSE)</f>
        <v>677</v>
      </c>
      <c r="N166" s="69">
        <f>VLOOKUP(B166,'114+320'!$B$15:$AB$785,5,FALSE)</f>
        <v>677</v>
      </c>
      <c r="O166" s="68">
        <f t="shared" si="29"/>
        <v>1697</v>
      </c>
      <c r="P166" s="68">
        <f>VLOOKUP(B166,'114+320'!$B$15:$AB$785,14,FALSE)</f>
        <v>-303</v>
      </c>
      <c r="Q166" s="66">
        <f>'114+320'!R167</f>
        <v>0</v>
      </c>
      <c r="R166" s="65">
        <f t="shared" si="34"/>
        <v>123</v>
      </c>
      <c r="S166" s="70">
        <f>VLOOKUP(B166,'114+320'!$B$14:$AB$785,22,FALSE)</f>
        <v>689</v>
      </c>
      <c r="T166" s="69">
        <f>VLOOKUP(B166,'114+320'!$B$15:$AB$785,6,FALSE)</f>
        <v>605</v>
      </c>
      <c r="U166" s="68">
        <f t="shared" si="30"/>
        <v>1769</v>
      </c>
      <c r="V166" s="77">
        <f>VLOOKUP(B166,'114+320'!$B$15:$AB$785,15,FALSE)</f>
        <v>-231</v>
      </c>
      <c r="W166" s="66">
        <f>'114+320'!S167</f>
        <v>0</v>
      </c>
      <c r="X166" s="65">
        <f t="shared" si="35"/>
        <v>111</v>
      </c>
      <c r="Y166" s="64">
        <f t="shared" si="36"/>
        <v>0</v>
      </c>
      <c r="Z166" s="63">
        <f t="shared" si="37"/>
        <v>0</v>
      </c>
      <c r="AA166" s="62">
        <f t="shared" si="38"/>
        <v>0.89900000000000002</v>
      </c>
      <c r="AB166" s="62">
        <f t="shared" si="39"/>
        <v>0.73399999999999999</v>
      </c>
    </row>
    <row r="167" spans="2:28">
      <c r="B167" s="106">
        <f>'114+320'!B168</f>
        <v>45197</v>
      </c>
      <c r="C167" s="75">
        <f t="shared" si="31"/>
        <v>1</v>
      </c>
      <c r="D167" s="74">
        <f t="shared" si="32"/>
        <v>842</v>
      </c>
      <c r="E167" s="73">
        <f>VLOOKUP(B167,'114+320'!B168:AB269,3,FALSE)</f>
        <v>1534</v>
      </c>
      <c r="F167" s="69">
        <f t="shared" si="27"/>
        <v>2376</v>
      </c>
      <c r="G167" s="72">
        <f>VLOOKUP(B167,'114+320'!$B$15:$AB$785,20,FALSE)</f>
        <v>694</v>
      </c>
      <c r="H167" s="72">
        <f>VLOOKUP(B167,'114+320'!$B$15:$AB$785,4,FALSE)</f>
        <v>662</v>
      </c>
      <c r="I167" s="68">
        <f t="shared" si="28"/>
        <v>1714</v>
      </c>
      <c r="J167" s="68">
        <f>VLOOKUP(B167,'114+320'!$B$15:$AB$785,13,FALSE)</f>
        <v>-286</v>
      </c>
      <c r="K167" s="66">
        <f>'114+320'!Q168</f>
        <v>0</v>
      </c>
      <c r="L167" s="65">
        <f t="shared" si="33"/>
        <v>106</v>
      </c>
      <c r="M167" s="70">
        <f>VLOOKUP(B167,'114+320'!$B$14:$AB$785,21,FALSE)</f>
        <v>677</v>
      </c>
      <c r="N167" s="69">
        <f>VLOOKUP(B167,'114+320'!$B$15:$AB$785,5,FALSE)</f>
        <v>679</v>
      </c>
      <c r="O167" s="68">
        <f t="shared" si="29"/>
        <v>1697</v>
      </c>
      <c r="P167" s="68">
        <f>VLOOKUP(B167,'114+320'!$B$15:$AB$785,14,FALSE)</f>
        <v>-303</v>
      </c>
      <c r="Q167" s="66">
        <f>'114+320'!R168</f>
        <v>0</v>
      </c>
      <c r="R167" s="65">
        <f t="shared" si="34"/>
        <v>123</v>
      </c>
      <c r="S167" s="70">
        <f>VLOOKUP(B167,'114+320'!$B$14:$AB$785,22,FALSE)</f>
        <v>689</v>
      </c>
      <c r="T167" s="69">
        <f>VLOOKUP(B167,'114+320'!$B$15:$AB$785,6,FALSE)</f>
        <v>607</v>
      </c>
      <c r="U167" s="68">
        <f t="shared" si="30"/>
        <v>1769</v>
      </c>
      <c r="V167" s="77">
        <f>VLOOKUP(B167,'114+320'!$B$15:$AB$785,15,FALSE)</f>
        <v>-231</v>
      </c>
      <c r="W167" s="66">
        <f>'114+320'!S168</f>
        <v>0</v>
      </c>
      <c r="X167" s="65">
        <f t="shared" si="35"/>
        <v>111</v>
      </c>
      <c r="Y167" s="64">
        <f t="shared" si="36"/>
        <v>0</v>
      </c>
      <c r="Z167" s="63">
        <f t="shared" si="37"/>
        <v>0</v>
      </c>
      <c r="AA167" s="62">
        <f t="shared" si="38"/>
        <v>0.89900000000000002</v>
      </c>
      <c r="AB167" s="62">
        <f t="shared" si="39"/>
        <v>0.73399999999999999</v>
      </c>
    </row>
    <row r="168" spans="2:28">
      <c r="B168" s="106">
        <f>'114+320'!B169</f>
        <v>45198</v>
      </c>
      <c r="C168" s="75">
        <f t="shared" si="31"/>
        <v>1</v>
      </c>
      <c r="D168" s="74">
        <f t="shared" si="32"/>
        <v>842</v>
      </c>
      <c r="E168" s="73">
        <f>VLOOKUP(B168,'114+320'!B169:AB270,3,FALSE)</f>
        <v>1536</v>
      </c>
      <c r="F168" s="69">
        <f t="shared" si="27"/>
        <v>2378</v>
      </c>
      <c r="G168" s="72">
        <f>VLOOKUP(B168,'114+320'!$B$15:$AB$785,20,FALSE)</f>
        <v>694</v>
      </c>
      <c r="H168" s="72">
        <f>VLOOKUP(B168,'114+320'!$B$15:$AB$785,4,FALSE)</f>
        <v>664</v>
      </c>
      <c r="I168" s="68">
        <f t="shared" si="28"/>
        <v>1714</v>
      </c>
      <c r="J168" s="68">
        <f>VLOOKUP(B168,'114+320'!$B$15:$AB$785,13,FALSE)</f>
        <v>-286</v>
      </c>
      <c r="K168" s="66">
        <f>'114+320'!Q169</f>
        <v>0</v>
      </c>
      <c r="L168" s="65">
        <f t="shared" si="33"/>
        <v>106</v>
      </c>
      <c r="M168" s="70">
        <f>VLOOKUP(B168,'114+320'!$B$14:$AB$785,21,FALSE)</f>
        <v>677</v>
      </c>
      <c r="N168" s="69">
        <f>VLOOKUP(B168,'114+320'!$B$15:$AB$785,5,FALSE)</f>
        <v>681</v>
      </c>
      <c r="O168" s="68">
        <f t="shared" si="29"/>
        <v>1697</v>
      </c>
      <c r="P168" s="68">
        <f>VLOOKUP(B168,'114+320'!$B$15:$AB$785,14,FALSE)</f>
        <v>-303</v>
      </c>
      <c r="Q168" s="66">
        <f>'114+320'!R169</f>
        <v>0</v>
      </c>
      <c r="R168" s="65">
        <f t="shared" si="34"/>
        <v>123</v>
      </c>
      <c r="S168" s="70">
        <f>VLOOKUP(B168,'114+320'!$B$14:$AB$785,22,FALSE)</f>
        <v>689</v>
      </c>
      <c r="T168" s="69">
        <f>VLOOKUP(B168,'114+320'!$B$15:$AB$785,6,FALSE)</f>
        <v>609</v>
      </c>
      <c r="U168" s="68">
        <f t="shared" si="30"/>
        <v>1769</v>
      </c>
      <c r="V168" s="77">
        <f>VLOOKUP(B168,'114+320'!$B$15:$AB$785,15,FALSE)</f>
        <v>-231</v>
      </c>
      <c r="W168" s="66">
        <f>'114+320'!S169</f>
        <v>0</v>
      </c>
      <c r="X168" s="65">
        <f t="shared" si="35"/>
        <v>111</v>
      </c>
      <c r="Y168" s="64">
        <f t="shared" si="36"/>
        <v>0</v>
      </c>
      <c r="Z168" s="63">
        <f t="shared" si="37"/>
        <v>0</v>
      </c>
      <c r="AA168" s="62">
        <f t="shared" si="38"/>
        <v>0.89900000000000002</v>
      </c>
      <c r="AB168" s="62">
        <f t="shared" si="39"/>
        <v>0.73399999999999999</v>
      </c>
    </row>
    <row r="169" spans="2:28">
      <c r="B169" s="106">
        <f>'114+320'!B170</f>
        <v>45199</v>
      </c>
      <c r="C169" s="75">
        <f t="shared" si="31"/>
        <v>1</v>
      </c>
      <c r="D169" s="74">
        <f t="shared" si="32"/>
        <v>842</v>
      </c>
      <c r="E169" s="73">
        <f>VLOOKUP(B169,'114+320'!B170:AB271,3,FALSE)</f>
        <v>1538</v>
      </c>
      <c r="F169" s="69">
        <f t="shared" si="27"/>
        <v>2380</v>
      </c>
      <c r="G169" s="72">
        <f>VLOOKUP(B169,'114+320'!$B$15:$AB$785,20,FALSE)</f>
        <v>694</v>
      </c>
      <c r="H169" s="72">
        <f>VLOOKUP(B169,'114+320'!$B$15:$AB$785,4,FALSE)</f>
        <v>666</v>
      </c>
      <c r="I169" s="68">
        <f t="shared" si="28"/>
        <v>1714</v>
      </c>
      <c r="J169" s="68">
        <f>VLOOKUP(B169,'114+320'!$B$15:$AB$785,13,FALSE)</f>
        <v>-286</v>
      </c>
      <c r="K169" s="66">
        <f>'114+320'!Q170</f>
        <v>0</v>
      </c>
      <c r="L169" s="65">
        <f t="shared" si="33"/>
        <v>106</v>
      </c>
      <c r="M169" s="70">
        <f>VLOOKUP(B169,'114+320'!$B$14:$AB$785,21,FALSE)</f>
        <v>677</v>
      </c>
      <c r="N169" s="69">
        <f>VLOOKUP(B169,'114+320'!$B$15:$AB$785,5,FALSE)</f>
        <v>683</v>
      </c>
      <c r="O169" s="68">
        <f t="shared" si="29"/>
        <v>1697</v>
      </c>
      <c r="P169" s="68">
        <f>VLOOKUP(B169,'114+320'!$B$15:$AB$785,14,FALSE)</f>
        <v>-303</v>
      </c>
      <c r="Q169" s="66">
        <f>'114+320'!R170</f>
        <v>0</v>
      </c>
      <c r="R169" s="65">
        <f t="shared" si="34"/>
        <v>123</v>
      </c>
      <c r="S169" s="70">
        <f>VLOOKUP(B169,'114+320'!$B$14:$AB$785,22,FALSE)</f>
        <v>689</v>
      </c>
      <c r="T169" s="69">
        <f>VLOOKUP(B169,'114+320'!$B$15:$AB$785,6,FALSE)</f>
        <v>611</v>
      </c>
      <c r="U169" s="68">
        <f t="shared" si="30"/>
        <v>1769</v>
      </c>
      <c r="V169" s="77">
        <f>VLOOKUP(B169,'114+320'!$B$15:$AB$785,15,FALSE)</f>
        <v>-231</v>
      </c>
      <c r="W169" s="66">
        <f>'114+320'!S170</f>
        <v>0</v>
      </c>
      <c r="X169" s="65">
        <f t="shared" si="35"/>
        <v>111</v>
      </c>
      <c r="Y169" s="64">
        <f t="shared" si="36"/>
        <v>0</v>
      </c>
      <c r="Z169" s="63">
        <f t="shared" si="37"/>
        <v>0</v>
      </c>
      <c r="AA169" s="62">
        <f t="shared" si="38"/>
        <v>0.89900000000000002</v>
      </c>
      <c r="AB169" s="62">
        <f t="shared" si="39"/>
        <v>0.73399999999999999</v>
      </c>
    </row>
    <row r="170" spans="2:28">
      <c r="B170" s="106">
        <f>'114+320'!B171</f>
        <v>45200</v>
      </c>
      <c r="C170" s="75">
        <f t="shared" si="31"/>
        <v>1</v>
      </c>
      <c r="D170" s="74">
        <f t="shared" si="32"/>
        <v>842</v>
      </c>
      <c r="E170" s="73">
        <f>VLOOKUP(B170,'114+320'!B171:AB272,3,FALSE)</f>
        <v>1540</v>
      </c>
      <c r="F170" s="69">
        <f t="shared" si="27"/>
        <v>2382</v>
      </c>
      <c r="G170" s="72">
        <f>VLOOKUP(B170,'114+320'!$B$15:$AB$785,20,FALSE)</f>
        <v>694</v>
      </c>
      <c r="H170" s="72">
        <f>VLOOKUP(B170,'114+320'!$B$15:$AB$785,4,FALSE)</f>
        <v>668</v>
      </c>
      <c r="I170" s="68">
        <f t="shared" si="28"/>
        <v>1714</v>
      </c>
      <c r="J170" s="68">
        <f>VLOOKUP(B170,'114+320'!$B$15:$AB$785,13,FALSE)</f>
        <v>-286</v>
      </c>
      <c r="K170" s="66">
        <f>'114+320'!Q171</f>
        <v>0</v>
      </c>
      <c r="L170" s="65">
        <f t="shared" si="33"/>
        <v>106</v>
      </c>
      <c r="M170" s="70">
        <f>VLOOKUP(B170,'114+320'!$B$14:$AB$785,21,FALSE)</f>
        <v>677</v>
      </c>
      <c r="N170" s="69">
        <f>VLOOKUP(B170,'114+320'!$B$15:$AB$785,5,FALSE)</f>
        <v>685</v>
      </c>
      <c r="O170" s="68">
        <f t="shared" si="29"/>
        <v>1697</v>
      </c>
      <c r="P170" s="68">
        <f>VLOOKUP(B170,'114+320'!$B$15:$AB$785,14,FALSE)</f>
        <v>-303</v>
      </c>
      <c r="Q170" s="66">
        <f>'114+320'!R171</f>
        <v>0</v>
      </c>
      <c r="R170" s="65">
        <f t="shared" si="34"/>
        <v>123</v>
      </c>
      <c r="S170" s="70">
        <f>VLOOKUP(B170,'114+320'!$B$14:$AB$785,22,FALSE)</f>
        <v>689</v>
      </c>
      <c r="T170" s="69">
        <f>VLOOKUP(B170,'114+320'!$B$15:$AB$785,6,FALSE)</f>
        <v>613</v>
      </c>
      <c r="U170" s="68">
        <f t="shared" si="30"/>
        <v>1769</v>
      </c>
      <c r="V170" s="77">
        <f>VLOOKUP(B170,'114+320'!$B$15:$AB$785,15,FALSE)</f>
        <v>-231</v>
      </c>
      <c r="W170" s="66">
        <f>'114+320'!S171</f>
        <v>0</v>
      </c>
      <c r="X170" s="65">
        <f t="shared" si="35"/>
        <v>111</v>
      </c>
      <c r="Y170" s="64">
        <f t="shared" si="36"/>
        <v>0</v>
      </c>
      <c r="Z170" s="63">
        <f t="shared" si="37"/>
        <v>0</v>
      </c>
      <c r="AA170" s="62">
        <f t="shared" si="38"/>
        <v>0.89900000000000002</v>
      </c>
      <c r="AB170" s="62">
        <f t="shared" si="39"/>
        <v>0.73399999999999999</v>
      </c>
    </row>
    <row r="171" spans="2:28">
      <c r="B171" s="106">
        <f>'114+320'!B172</f>
        <v>45201</v>
      </c>
      <c r="C171" s="75">
        <f t="shared" si="31"/>
        <v>1</v>
      </c>
      <c r="D171" s="74">
        <f t="shared" si="32"/>
        <v>842</v>
      </c>
      <c r="E171" s="73">
        <f>VLOOKUP(B171,'114+320'!B172:AB273,3,FALSE)</f>
        <v>1542</v>
      </c>
      <c r="F171" s="69">
        <f t="shared" si="27"/>
        <v>2384</v>
      </c>
      <c r="G171" s="72">
        <f>VLOOKUP(B171,'114+320'!$B$15:$AB$785,20,FALSE)</f>
        <v>694</v>
      </c>
      <c r="H171" s="72">
        <f>VLOOKUP(B171,'114+320'!$B$15:$AB$785,4,FALSE)</f>
        <v>670</v>
      </c>
      <c r="I171" s="68">
        <f t="shared" si="28"/>
        <v>1714</v>
      </c>
      <c r="J171" s="68">
        <f>VLOOKUP(B171,'114+320'!$B$15:$AB$785,13,FALSE)</f>
        <v>-286</v>
      </c>
      <c r="K171" s="66">
        <f>'114+320'!Q172</f>
        <v>0</v>
      </c>
      <c r="L171" s="65">
        <f t="shared" si="33"/>
        <v>106</v>
      </c>
      <c r="M171" s="70">
        <f>VLOOKUP(B171,'114+320'!$B$14:$AB$785,21,FALSE)</f>
        <v>677</v>
      </c>
      <c r="N171" s="69">
        <f>VLOOKUP(B171,'114+320'!$B$15:$AB$785,5,FALSE)</f>
        <v>687</v>
      </c>
      <c r="O171" s="68">
        <f t="shared" si="29"/>
        <v>1697</v>
      </c>
      <c r="P171" s="68">
        <f>VLOOKUP(B171,'114+320'!$B$15:$AB$785,14,FALSE)</f>
        <v>-303</v>
      </c>
      <c r="Q171" s="66">
        <f>'114+320'!R172</f>
        <v>0</v>
      </c>
      <c r="R171" s="65">
        <f t="shared" si="34"/>
        <v>123</v>
      </c>
      <c r="S171" s="70">
        <f>VLOOKUP(B171,'114+320'!$B$14:$AB$785,22,FALSE)</f>
        <v>689</v>
      </c>
      <c r="T171" s="69">
        <f>VLOOKUP(B171,'114+320'!$B$15:$AB$785,6,FALSE)</f>
        <v>615</v>
      </c>
      <c r="U171" s="68">
        <f t="shared" si="30"/>
        <v>1769</v>
      </c>
      <c r="V171" s="77">
        <f>VLOOKUP(B171,'114+320'!$B$15:$AB$785,15,FALSE)</f>
        <v>-231</v>
      </c>
      <c r="W171" s="66">
        <f>'114+320'!S172</f>
        <v>0</v>
      </c>
      <c r="X171" s="65">
        <f t="shared" si="35"/>
        <v>111</v>
      </c>
      <c r="Y171" s="64">
        <f t="shared" si="36"/>
        <v>0</v>
      </c>
      <c r="Z171" s="63">
        <f t="shared" si="37"/>
        <v>0</v>
      </c>
      <c r="AA171" s="62">
        <f t="shared" si="38"/>
        <v>0.89900000000000002</v>
      </c>
      <c r="AB171" s="62">
        <f t="shared" si="39"/>
        <v>0.73399999999999999</v>
      </c>
    </row>
    <row r="172" spans="2:28">
      <c r="B172" s="106">
        <f>'114+320'!B173</f>
        <v>45202</v>
      </c>
      <c r="C172" s="75">
        <f t="shared" si="31"/>
        <v>1</v>
      </c>
      <c r="D172" s="74">
        <f t="shared" si="32"/>
        <v>842</v>
      </c>
      <c r="E172" s="73">
        <f>VLOOKUP(B172,'114+320'!B173:AB274,3,FALSE)</f>
        <v>1544</v>
      </c>
      <c r="F172" s="69">
        <f t="shared" si="27"/>
        <v>2386</v>
      </c>
      <c r="G172" s="72">
        <f>VLOOKUP(B172,'114+320'!$B$15:$AB$785,20,FALSE)</f>
        <v>694</v>
      </c>
      <c r="H172" s="72">
        <f>VLOOKUP(B172,'114+320'!$B$15:$AB$785,4,FALSE)</f>
        <v>672</v>
      </c>
      <c r="I172" s="68">
        <f t="shared" si="28"/>
        <v>1714</v>
      </c>
      <c r="J172" s="68">
        <f>VLOOKUP(B172,'114+320'!$B$15:$AB$785,13,FALSE)</f>
        <v>-286</v>
      </c>
      <c r="K172" s="66">
        <f>'114+320'!Q173</f>
        <v>0</v>
      </c>
      <c r="L172" s="65">
        <f t="shared" si="33"/>
        <v>106</v>
      </c>
      <c r="M172" s="70">
        <f>VLOOKUP(B172,'114+320'!$B$14:$AB$785,21,FALSE)</f>
        <v>677</v>
      </c>
      <c r="N172" s="69">
        <f>VLOOKUP(B172,'114+320'!$B$15:$AB$785,5,FALSE)</f>
        <v>689</v>
      </c>
      <c r="O172" s="68">
        <f t="shared" si="29"/>
        <v>1697</v>
      </c>
      <c r="P172" s="68">
        <f>VLOOKUP(B172,'114+320'!$B$15:$AB$785,14,FALSE)</f>
        <v>-303</v>
      </c>
      <c r="Q172" s="66">
        <f>'114+320'!R173</f>
        <v>0</v>
      </c>
      <c r="R172" s="65">
        <f t="shared" si="34"/>
        <v>123</v>
      </c>
      <c r="S172" s="70">
        <f>VLOOKUP(B172,'114+320'!$B$14:$AB$785,22,FALSE)</f>
        <v>689</v>
      </c>
      <c r="T172" s="69">
        <f>VLOOKUP(B172,'114+320'!$B$15:$AB$785,6,FALSE)</f>
        <v>617</v>
      </c>
      <c r="U172" s="68">
        <f t="shared" si="30"/>
        <v>1769</v>
      </c>
      <c r="V172" s="77">
        <f>VLOOKUP(B172,'114+320'!$B$15:$AB$785,15,FALSE)</f>
        <v>-231</v>
      </c>
      <c r="W172" s="66">
        <f>'114+320'!S173</f>
        <v>0</v>
      </c>
      <c r="X172" s="65">
        <f t="shared" si="35"/>
        <v>111</v>
      </c>
      <c r="Y172" s="64">
        <f t="shared" si="36"/>
        <v>0</v>
      </c>
      <c r="Z172" s="63">
        <f t="shared" si="37"/>
        <v>0</v>
      </c>
      <c r="AA172" s="62">
        <f t="shared" si="38"/>
        <v>0.89900000000000002</v>
      </c>
      <c r="AB172" s="62">
        <f t="shared" si="39"/>
        <v>0.73399999999999999</v>
      </c>
    </row>
    <row r="173" spans="2:28">
      <c r="B173" s="106">
        <f>'114+320'!B174</f>
        <v>45203</v>
      </c>
      <c r="C173" s="75">
        <f t="shared" si="31"/>
        <v>1</v>
      </c>
      <c r="D173" s="74">
        <f t="shared" si="32"/>
        <v>842</v>
      </c>
      <c r="E173" s="73">
        <f>VLOOKUP(B173,'114+320'!B174:AB275,3,FALSE)</f>
        <v>1546</v>
      </c>
      <c r="F173" s="69">
        <f t="shared" si="27"/>
        <v>2388</v>
      </c>
      <c r="G173" s="72">
        <f>VLOOKUP(B173,'114+320'!$B$15:$AB$785,20,FALSE)</f>
        <v>694</v>
      </c>
      <c r="H173" s="72">
        <f>VLOOKUP(B173,'114+320'!$B$15:$AB$785,4,FALSE)</f>
        <v>674</v>
      </c>
      <c r="I173" s="68">
        <f t="shared" si="28"/>
        <v>1714</v>
      </c>
      <c r="J173" s="68">
        <f>VLOOKUP(B173,'114+320'!$B$15:$AB$785,13,FALSE)</f>
        <v>-286</v>
      </c>
      <c r="K173" s="66">
        <f>'114+320'!Q174</f>
        <v>0</v>
      </c>
      <c r="L173" s="65">
        <f t="shared" si="33"/>
        <v>106</v>
      </c>
      <c r="M173" s="70">
        <f>VLOOKUP(B173,'114+320'!$B$14:$AB$785,21,FALSE)</f>
        <v>677</v>
      </c>
      <c r="N173" s="69">
        <f>VLOOKUP(B173,'114+320'!$B$15:$AB$785,5,FALSE)</f>
        <v>691</v>
      </c>
      <c r="O173" s="68">
        <f t="shared" si="29"/>
        <v>1697</v>
      </c>
      <c r="P173" s="68">
        <f>VLOOKUP(B173,'114+320'!$B$15:$AB$785,14,FALSE)</f>
        <v>-303</v>
      </c>
      <c r="Q173" s="66">
        <f>'114+320'!R174</f>
        <v>0</v>
      </c>
      <c r="R173" s="65">
        <f t="shared" si="34"/>
        <v>123</v>
      </c>
      <c r="S173" s="70">
        <f>VLOOKUP(B173,'114+320'!$B$14:$AB$785,22,FALSE)</f>
        <v>689</v>
      </c>
      <c r="T173" s="69">
        <f>VLOOKUP(B173,'114+320'!$B$15:$AB$785,6,FALSE)</f>
        <v>619</v>
      </c>
      <c r="U173" s="68">
        <f t="shared" si="30"/>
        <v>1769</v>
      </c>
      <c r="V173" s="77">
        <f>VLOOKUP(B173,'114+320'!$B$15:$AB$785,15,FALSE)</f>
        <v>-231</v>
      </c>
      <c r="W173" s="66">
        <f>'114+320'!S174</f>
        <v>0</v>
      </c>
      <c r="X173" s="65">
        <f t="shared" si="35"/>
        <v>111</v>
      </c>
      <c r="Y173" s="64">
        <f t="shared" si="36"/>
        <v>0</v>
      </c>
      <c r="Z173" s="63">
        <f t="shared" si="37"/>
        <v>0</v>
      </c>
      <c r="AA173" s="62">
        <f t="shared" si="38"/>
        <v>0.89900000000000002</v>
      </c>
      <c r="AB173" s="62">
        <f t="shared" si="39"/>
        <v>0.73399999999999999</v>
      </c>
    </row>
    <row r="174" spans="2:28">
      <c r="B174" s="106">
        <f>'114+320'!B175</f>
        <v>45204</v>
      </c>
      <c r="C174" s="75">
        <f t="shared" si="31"/>
        <v>1</v>
      </c>
      <c r="D174" s="74">
        <f t="shared" si="32"/>
        <v>842</v>
      </c>
      <c r="E174" s="73">
        <f>VLOOKUP(B174,'114+320'!B175:AB276,3,FALSE)</f>
        <v>1548</v>
      </c>
      <c r="F174" s="69">
        <f t="shared" si="27"/>
        <v>2390</v>
      </c>
      <c r="G174" s="72">
        <f>VLOOKUP(B174,'114+320'!$B$15:$AB$785,20,FALSE)</f>
        <v>694</v>
      </c>
      <c r="H174" s="72">
        <f>VLOOKUP(B174,'114+320'!$B$15:$AB$785,4,FALSE)</f>
        <v>676</v>
      </c>
      <c r="I174" s="68">
        <f t="shared" si="28"/>
        <v>1714</v>
      </c>
      <c r="J174" s="68">
        <f>VLOOKUP(B174,'114+320'!$B$15:$AB$785,13,FALSE)</f>
        <v>-286</v>
      </c>
      <c r="K174" s="66">
        <f>'114+320'!Q175</f>
        <v>0</v>
      </c>
      <c r="L174" s="65">
        <f t="shared" si="33"/>
        <v>106</v>
      </c>
      <c r="M174" s="70">
        <f>VLOOKUP(B174,'114+320'!$B$14:$AB$785,21,FALSE)</f>
        <v>677</v>
      </c>
      <c r="N174" s="69">
        <f>VLOOKUP(B174,'114+320'!$B$15:$AB$785,5,FALSE)</f>
        <v>693</v>
      </c>
      <c r="O174" s="68">
        <f t="shared" si="29"/>
        <v>1697</v>
      </c>
      <c r="P174" s="68">
        <f>VLOOKUP(B174,'114+320'!$B$15:$AB$785,14,FALSE)</f>
        <v>-303</v>
      </c>
      <c r="Q174" s="66">
        <f>'114+320'!R175</f>
        <v>0</v>
      </c>
      <c r="R174" s="65">
        <f t="shared" si="34"/>
        <v>123</v>
      </c>
      <c r="S174" s="70">
        <f>VLOOKUP(B174,'114+320'!$B$14:$AB$785,22,FALSE)</f>
        <v>689</v>
      </c>
      <c r="T174" s="69">
        <f>VLOOKUP(B174,'114+320'!$B$15:$AB$785,6,FALSE)</f>
        <v>621</v>
      </c>
      <c r="U174" s="68">
        <f t="shared" si="30"/>
        <v>1769</v>
      </c>
      <c r="V174" s="77">
        <f>VLOOKUP(B174,'114+320'!$B$15:$AB$785,15,FALSE)</f>
        <v>-231</v>
      </c>
      <c r="W174" s="66">
        <f>'114+320'!S175</f>
        <v>0</v>
      </c>
      <c r="X174" s="65">
        <f t="shared" si="35"/>
        <v>111</v>
      </c>
      <c r="Y174" s="64">
        <f t="shared" si="36"/>
        <v>0</v>
      </c>
      <c r="Z174" s="63">
        <f t="shared" si="37"/>
        <v>0</v>
      </c>
      <c r="AA174" s="62">
        <f t="shared" si="38"/>
        <v>0.89900000000000002</v>
      </c>
      <c r="AB174" s="62">
        <f t="shared" si="39"/>
        <v>0.73399999999999999</v>
      </c>
    </row>
    <row r="175" spans="2:28">
      <c r="B175" s="106">
        <f>'114+320'!B176</f>
        <v>45205</v>
      </c>
      <c r="C175" s="75">
        <f t="shared" si="31"/>
        <v>1</v>
      </c>
      <c r="D175" s="74">
        <f t="shared" si="32"/>
        <v>842</v>
      </c>
      <c r="E175" s="73">
        <f>VLOOKUP(B175,'114+320'!B176:AB277,3,FALSE)</f>
        <v>1550</v>
      </c>
      <c r="F175" s="69">
        <f t="shared" si="27"/>
        <v>2392</v>
      </c>
      <c r="G175" s="72">
        <f>VLOOKUP(B175,'114+320'!$B$15:$AB$785,20,FALSE)</f>
        <v>694</v>
      </c>
      <c r="H175" s="72">
        <f>VLOOKUP(B175,'114+320'!$B$15:$AB$785,4,FALSE)</f>
        <v>678</v>
      </c>
      <c r="I175" s="68">
        <f t="shared" si="28"/>
        <v>1714</v>
      </c>
      <c r="J175" s="68">
        <f>VLOOKUP(B175,'114+320'!$B$15:$AB$785,13,FALSE)</f>
        <v>-286</v>
      </c>
      <c r="K175" s="66">
        <f>'114+320'!Q176</f>
        <v>0</v>
      </c>
      <c r="L175" s="65">
        <f t="shared" si="33"/>
        <v>106</v>
      </c>
      <c r="M175" s="70">
        <f>VLOOKUP(B175,'114+320'!$B$14:$AB$785,21,FALSE)</f>
        <v>677</v>
      </c>
      <c r="N175" s="69">
        <f>VLOOKUP(B175,'114+320'!$B$15:$AB$785,5,FALSE)</f>
        <v>695</v>
      </c>
      <c r="O175" s="68">
        <f t="shared" si="29"/>
        <v>1697</v>
      </c>
      <c r="P175" s="68">
        <f>VLOOKUP(B175,'114+320'!$B$15:$AB$785,14,FALSE)</f>
        <v>-303</v>
      </c>
      <c r="Q175" s="66">
        <f>'114+320'!R176</f>
        <v>0</v>
      </c>
      <c r="R175" s="65">
        <f t="shared" si="34"/>
        <v>123</v>
      </c>
      <c r="S175" s="70">
        <f>VLOOKUP(B175,'114+320'!$B$14:$AB$785,22,FALSE)</f>
        <v>689</v>
      </c>
      <c r="T175" s="69">
        <f>VLOOKUP(B175,'114+320'!$B$15:$AB$785,6,FALSE)</f>
        <v>623</v>
      </c>
      <c r="U175" s="68">
        <f t="shared" si="30"/>
        <v>1769</v>
      </c>
      <c r="V175" s="77">
        <f>VLOOKUP(B175,'114+320'!$B$15:$AB$785,15,FALSE)</f>
        <v>-231</v>
      </c>
      <c r="W175" s="66">
        <f>'114+320'!S176</f>
        <v>0</v>
      </c>
      <c r="X175" s="65">
        <f t="shared" si="35"/>
        <v>111</v>
      </c>
      <c r="Y175" s="64">
        <f t="shared" si="36"/>
        <v>0</v>
      </c>
      <c r="Z175" s="63">
        <f t="shared" si="37"/>
        <v>0</v>
      </c>
      <c r="AA175" s="62">
        <f t="shared" si="38"/>
        <v>0.89900000000000002</v>
      </c>
      <c r="AB175" s="62">
        <f t="shared" si="39"/>
        <v>0.73399999999999999</v>
      </c>
    </row>
    <row r="176" spans="2:28">
      <c r="B176" s="106">
        <f>'114+320'!B177</f>
        <v>45206</v>
      </c>
      <c r="C176" s="75">
        <f t="shared" si="31"/>
        <v>1</v>
      </c>
      <c r="D176" s="74">
        <f t="shared" si="32"/>
        <v>842</v>
      </c>
      <c r="E176" s="73">
        <f>VLOOKUP(B176,'114+320'!B177:AB278,3,FALSE)</f>
        <v>1552</v>
      </c>
      <c r="F176" s="69">
        <f t="shared" si="27"/>
        <v>2394</v>
      </c>
      <c r="G176" s="72">
        <f>VLOOKUP(B176,'114+320'!$B$15:$AB$785,20,FALSE)</f>
        <v>694</v>
      </c>
      <c r="H176" s="72">
        <f>VLOOKUP(B176,'114+320'!$B$15:$AB$785,4,FALSE)</f>
        <v>680</v>
      </c>
      <c r="I176" s="68">
        <f t="shared" si="28"/>
        <v>1714</v>
      </c>
      <c r="J176" s="68">
        <f>VLOOKUP(B176,'114+320'!$B$15:$AB$785,13,FALSE)</f>
        <v>-286</v>
      </c>
      <c r="K176" s="66">
        <f>'114+320'!Q177</f>
        <v>0</v>
      </c>
      <c r="L176" s="65">
        <f t="shared" si="33"/>
        <v>106</v>
      </c>
      <c r="M176" s="70">
        <f>VLOOKUP(B176,'114+320'!$B$14:$AB$785,21,FALSE)</f>
        <v>677</v>
      </c>
      <c r="N176" s="69">
        <f>VLOOKUP(B176,'114+320'!$B$15:$AB$785,5,FALSE)</f>
        <v>697</v>
      </c>
      <c r="O176" s="68">
        <f t="shared" si="29"/>
        <v>1697</v>
      </c>
      <c r="P176" s="68">
        <f>VLOOKUP(B176,'114+320'!$B$15:$AB$785,14,FALSE)</f>
        <v>-303</v>
      </c>
      <c r="Q176" s="66">
        <f>'114+320'!R177</f>
        <v>0</v>
      </c>
      <c r="R176" s="65">
        <f t="shared" si="34"/>
        <v>123</v>
      </c>
      <c r="S176" s="70">
        <f>VLOOKUP(B176,'114+320'!$B$14:$AB$785,22,FALSE)</f>
        <v>689</v>
      </c>
      <c r="T176" s="69">
        <f>VLOOKUP(B176,'114+320'!$B$15:$AB$785,6,FALSE)</f>
        <v>625</v>
      </c>
      <c r="U176" s="68">
        <f t="shared" si="30"/>
        <v>1769</v>
      </c>
      <c r="V176" s="77">
        <f>VLOOKUP(B176,'114+320'!$B$15:$AB$785,15,FALSE)</f>
        <v>-231</v>
      </c>
      <c r="W176" s="66">
        <f>'114+320'!S177</f>
        <v>0</v>
      </c>
      <c r="X176" s="65">
        <f t="shared" si="35"/>
        <v>111</v>
      </c>
      <c r="Y176" s="64">
        <f t="shared" si="36"/>
        <v>0</v>
      </c>
      <c r="Z176" s="63">
        <f t="shared" si="37"/>
        <v>0</v>
      </c>
      <c r="AA176" s="62">
        <f t="shared" si="38"/>
        <v>0.89900000000000002</v>
      </c>
      <c r="AB176" s="62">
        <f t="shared" si="39"/>
        <v>0.73399999999999999</v>
      </c>
    </row>
    <row r="177" spans="2:28">
      <c r="B177" s="106">
        <f>'114+320'!B178</f>
        <v>45207</v>
      </c>
      <c r="C177" s="75">
        <f t="shared" si="31"/>
        <v>1</v>
      </c>
      <c r="D177" s="74">
        <f t="shared" si="32"/>
        <v>842</v>
      </c>
      <c r="E177" s="73">
        <f>VLOOKUP(B177,'114+320'!B178:AB279,3,FALSE)</f>
        <v>1554</v>
      </c>
      <c r="F177" s="69">
        <f t="shared" si="27"/>
        <v>2396</v>
      </c>
      <c r="G177" s="72">
        <f>VLOOKUP(B177,'114+320'!$B$15:$AB$785,20,FALSE)</f>
        <v>694</v>
      </c>
      <c r="H177" s="72">
        <f>VLOOKUP(B177,'114+320'!$B$15:$AB$785,4,FALSE)</f>
        <v>682</v>
      </c>
      <c r="I177" s="68">
        <f t="shared" si="28"/>
        <v>1714</v>
      </c>
      <c r="J177" s="68">
        <f>VLOOKUP(B177,'114+320'!$B$15:$AB$785,13,FALSE)</f>
        <v>-286</v>
      </c>
      <c r="K177" s="66">
        <f>'114+320'!Q178</f>
        <v>0</v>
      </c>
      <c r="L177" s="65">
        <f t="shared" si="33"/>
        <v>106</v>
      </c>
      <c r="M177" s="70">
        <f>VLOOKUP(B177,'114+320'!$B$14:$AB$785,21,FALSE)</f>
        <v>677</v>
      </c>
      <c r="N177" s="69">
        <f>VLOOKUP(B177,'114+320'!$B$15:$AB$785,5,FALSE)</f>
        <v>699</v>
      </c>
      <c r="O177" s="68">
        <f t="shared" si="29"/>
        <v>1697</v>
      </c>
      <c r="P177" s="68">
        <f>VLOOKUP(B177,'114+320'!$B$15:$AB$785,14,FALSE)</f>
        <v>-303</v>
      </c>
      <c r="Q177" s="66">
        <f>'114+320'!R178</f>
        <v>0</v>
      </c>
      <c r="R177" s="65">
        <f t="shared" si="34"/>
        <v>123</v>
      </c>
      <c r="S177" s="70">
        <f>VLOOKUP(B177,'114+320'!$B$14:$AB$785,22,FALSE)</f>
        <v>689</v>
      </c>
      <c r="T177" s="69">
        <f>VLOOKUP(B177,'114+320'!$B$15:$AB$785,6,FALSE)</f>
        <v>627</v>
      </c>
      <c r="U177" s="68">
        <f t="shared" si="30"/>
        <v>1769</v>
      </c>
      <c r="V177" s="77">
        <f>VLOOKUP(B177,'114+320'!$B$15:$AB$785,15,FALSE)</f>
        <v>-231</v>
      </c>
      <c r="W177" s="66">
        <f>'114+320'!S178</f>
        <v>0</v>
      </c>
      <c r="X177" s="65">
        <f t="shared" si="35"/>
        <v>111</v>
      </c>
      <c r="Y177" s="64">
        <f t="shared" si="36"/>
        <v>0</v>
      </c>
      <c r="Z177" s="63">
        <f t="shared" si="37"/>
        <v>0</v>
      </c>
      <c r="AA177" s="62">
        <f t="shared" si="38"/>
        <v>0.89900000000000002</v>
      </c>
      <c r="AB177" s="62">
        <f t="shared" si="39"/>
        <v>0.73399999999999999</v>
      </c>
    </row>
    <row r="178" spans="2:28">
      <c r="B178" s="106">
        <f>'114+320'!B179</f>
        <v>45208</v>
      </c>
      <c r="C178" s="75">
        <f t="shared" si="31"/>
        <v>1</v>
      </c>
      <c r="D178" s="74">
        <f t="shared" si="32"/>
        <v>842</v>
      </c>
      <c r="E178" s="73">
        <f>VLOOKUP(B178,'114+320'!B179:AB280,3,FALSE)</f>
        <v>1556</v>
      </c>
      <c r="F178" s="69">
        <f t="shared" si="27"/>
        <v>2398</v>
      </c>
      <c r="G178" s="72">
        <f>VLOOKUP(B178,'114+320'!$B$15:$AB$785,20,FALSE)</f>
        <v>694</v>
      </c>
      <c r="H178" s="72">
        <f>VLOOKUP(B178,'114+320'!$B$15:$AB$785,4,FALSE)</f>
        <v>684</v>
      </c>
      <c r="I178" s="68">
        <f t="shared" si="28"/>
        <v>1714</v>
      </c>
      <c r="J178" s="68">
        <f>VLOOKUP(B178,'114+320'!$B$15:$AB$785,13,FALSE)</f>
        <v>-286</v>
      </c>
      <c r="K178" s="66">
        <f>'114+320'!Q179</f>
        <v>0</v>
      </c>
      <c r="L178" s="65">
        <f t="shared" si="33"/>
        <v>106</v>
      </c>
      <c r="M178" s="70">
        <f>VLOOKUP(B178,'114+320'!$B$14:$AB$785,21,FALSE)</f>
        <v>677</v>
      </c>
      <c r="N178" s="69">
        <f>VLOOKUP(B178,'114+320'!$B$15:$AB$785,5,FALSE)</f>
        <v>701</v>
      </c>
      <c r="O178" s="68">
        <f t="shared" si="29"/>
        <v>1697</v>
      </c>
      <c r="P178" s="68">
        <f>VLOOKUP(B178,'114+320'!$B$15:$AB$785,14,FALSE)</f>
        <v>-303</v>
      </c>
      <c r="Q178" s="66">
        <f>'114+320'!R179</f>
        <v>0</v>
      </c>
      <c r="R178" s="65">
        <f t="shared" si="34"/>
        <v>123</v>
      </c>
      <c r="S178" s="70">
        <f>VLOOKUP(B178,'114+320'!$B$14:$AB$785,22,FALSE)</f>
        <v>689</v>
      </c>
      <c r="T178" s="69">
        <f>VLOOKUP(B178,'114+320'!$B$15:$AB$785,6,FALSE)</f>
        <v>629</v>
      </c>
      <c r="U178" s="68">
        <f t="shared" si="30"/>
        <v>1769</v>
      </c>
      <c r="V178" s="77">
        <f>VLOOKUP(B178,'114+320'!$B$15:$AB$785,15,FALSE)</f>
        <v>-231</v>
      </c>
      <c r="W178" s="66">
        <f>'114+320'!S179</f>
        <v>0</v>
      </c>
      <c r="X178" s="65">
        <f t="shared" si="35"/>
        <v>111</v>
      </c>
      <c r="Y178" s="64">
        <f t="shared" si="36"/>
        <v>0</v>
      </c>
      <c r="Z178" s="63">
        <f t="shared" si="37"/>
        <v>0</v>
      </c>
      <c r="AA178" s="62">
        <f t="shared" si="38"/>
        <v>0.89900000000000002</v>
      </c>
      <c r="AB178" s="62">
        <f t="shared" si="39"/>
        <v>0.73399999999999999</v>
      </c>
    </row>
    <row r="179" spans="2:28">
      <c r="B179" s="106">
        <f>'114+320'!B180</f>
        <v>45209</v>
      </c>
      <c r="C179" s="75">
        <f t="shared" si="31"/>
        <v>1</v>
      </c>
      <c r="D179" s="74">
        <f t="shared" si="32"/>
        <v>842</v>
      </c>
      <c r="E179" s="73">
        <f>VLOOKUP(B179,'114+320'!B180:AB281,3,FALSE)</f>
        <v>1558</v>
      </c>
      <c r="F179" s="69">
        <f t="shared" si="27"/>
        <v>2400</v>
      </c>
      <c r="G179" s="72">
        <f>VLOOKUP(B179,'114+320'!$B$15:$AB$785,20,FALSE)</f>
        <v>694</v>
      </c>
      <c r="H179" s="72">
        <f>VLOOKUP(B179,'114+320'!$B$15:$AB$785,4,FALSE)</f>
        <v>686</v>
      </c>
      <c r="I179" s="68">
        <f t="shared" si="28"/>
        <v>1714</v>
      </c>
      <c r="J179" s="68">
        <f>VLOOKUP(B179,'114+320'!$B$15:$AB$785,13,FALSE)</f>
        <v>-286</v>
      </c>
      <c r="K179" s="66">
        <f>'114+320'!Q180</f>
        <v>0</v>
      </c>
      <c r="L179" s="65">
        <f t="shared" si="33"/>
        <v>106</v>
      </c>
      <c r="M179" s="70">
        <f>VLOOKUP(B179,'114+320'!$B$14:$AB$785,21,FALSE)</f>
        <v>677</v>
      </c>
      <c r="N179" s="69">
        <f>VLOOKUP(B179,'114+320'!$B$15:$AB$785,5,FALSE)</f>
        <v>703</v>
      </c>
      <c r="O179" s="68">
        <f t="shared" si="29"/>
        <v>1697</v>
      </c>
      <c r="P179" s="68">
        <f>VLOOKUP(B179,'114+320'!$B$15:$AB$785,14,FALSE)</f>
        <v>-303</v>
      </c>
      <c r="Q179" s="66">
        <f>'114+320'!R180</f>
        <v>0</v>
      </c>
      <c r="R179" s="65">
        <f t="shared" si="34"/>
        <v>123</v>
      </c>
      <c r="S179" s="70">
        <f>VLOOKUP(B179,'114+320'!$B$14:$AB$785,22,FALSE)</f>
        <v>689</v>
      </c>
      <c r="T179" s="69">
        <f>VLOOKUP(B179,'114+320'!$B$15:$AB$785,6,FALSE)</f>
        <v>631</v>
      </c>
      <c r="U179" s="68">
        <f t="shared" si="30"/>
        <v>1769</v>
      </c>
      <c r="V179" s="77">
        <f>VLOOKUP(B179,'114+320'!$B$15:$AB$785,15,FALSE)</f>
        <v>-231</v>
      </c>
      <c r="W179" s="66">
        <f>'114+320'!S180</f>
        <v>0</v>
      </c>
      <c r="X179" s="65">
        <f t="shared" si="35"/>
        <v>111</v>
      </c>
      <c r="Y179" s="64">
        <f t="shared" si="36"/>
        <v>0</v>
      </c>
      <c r="Z179" s="63">
        <f t="shared" si="37"/>
        <v>0</v>
      </c>
      <c r="AA179" s="62">
        <f t="shared" si="38"/>
        <v>0.89900000000000002</v>
      </c>
      <c r="AB179" s="62">
        <f t="shared" si="39"/>
        <v>0.73399999999999999</v>
      </c>
    </row>
    <row r="180" spans="2:28">
      <c r="B180" s="106">
        <f>'114+320'!B181</f>
        <v>45210</v>
      </c>
      <c r="C180" s="75">
        <f t="shared" si="31"/>
        <v>1</v>
      </c>
      <c r="D180" s="74">
        <f t="shared" si="32"/>
        <v>842</v>
      </c>
      <c r="E180" s="73">
        <f>VLOOKUP(B180,'114+320'!B181:AB282,3,FALSE)</f>
        <v>1560</v>
      </c>
      <c r="F180" s="69">
        <f t="shared" si="27"/>
        <v>2402</v>
      </c>
      <c r="G180" s="72">
        <f>VLOOKUP(B180,'114+320'!$B$15:$AB$785,20,FALSE)</f>
        <v>694</v>
      </c>
      <c r="H180" s="72">
        <f>VLOOKUP(B180,'114+320'!$B$15:$AB$785,4,FALSE)</f>
        <v>688</v>
      </c>
      <c r="I180" s="68">
        <f t="shared" si="28"/>
        <v>1714</v>
      </c>
      <c r="J180" s="68">
        <f>VLOOKUP(B180,'114+320'!$B$15:$AB$785,13,FALSE)</f>
        <v>-286</v>
      </c>
      <c r="K180" s="66">
        <f>'114+320'!Q181</f>
        <v>0</v>
      </c>
      <c r="L180" s="65">
        <f t="shared" si="33"/>
        <v>106</v>
      </c>
      <c r="M180" s="70">
        <f>VLOOKUP(B180,'114+320'!$B$14:$AB$785,21,FALSE)</f>
        <v>677</v>
      </c>
      <c r="N180" s="69">
        <f>VLOOKUP(B180,'114+320'!$B$15:$AB$785,5,FALSE)</f>
        <v>705</v>
      </c>
      <c r="O180" s="68">
        <f t="shared" si="29"/>
        <v>1697</v>
      </c>
      <c r="P180" s="68">
        <f>VLOOKUP(B180,'114+320'!$B$15:$AB$785,14,FALSE)</f>
        <v>-303</v>
      </c>
      <c r="Q180" s="66">
        <f>'114+320'!R181</f>
        <v>0</v>
      </c>
      <c r="R180" s="65">
        <f t="shared" si="34"/>
        <v>123</v>
      </c>
      <c r="S180" s="70">
        <f>VLOOKUP(B180,'114+320'!$B$14:$AB$785,22,FALSE)</f>
        <v>689</v>
      </c>
      <c r="T180" s="69">
        <f>VLOOKUP(B180,'114+320'!$B$15:$AB$785,6,FALSE)</f>
        <v>633</v>
      </c>
      <c r="U180" s="68">
        <f t="shared" si="30"/>
        <v>1769</v>
      </c>
      <c r="V180" s="77">
        <f>VLOOKUP(B180,'114+320'!$B$15:$AB$785,15,FALSE)</f>
        <v>-231</v>
      </c>
      <c r="W180" s="66">
        <f>'114+320'!S181</f>
        <v>0</v>
      </c>
      <c r="X180" s="65">
        <f t="shared" si="35"/>
        <v>111</v>
      </c>
      <c r="Y180" s="64">
        <f t="shared" si="36"/>
        <v>0</v>
      </c>
      <c r="Z180" s="63">
        <f t="shared" si="37"/>
        <v>0</v>
      </c>
      <c r="AA180" s="62">
        <f t="shared" si="38"/>
        <v>0.89900000000000002</v>
      </c>
      <c r="AB180" s="62">
        <f t="shared" si="39"/>
        <v>0.73399999999999999</v>
      </c>
    </row>
    <row r="181" spans="2:28">
      <c r="B181" s="106">
        <f>'114+320'!B182</f>
        <v>45211</v>
      </c>
      <c r="C181" s="75">
        <f t="shared" si="31"/>
        <v>1</v>
      </c>
      <c r="D181" s="74">
        <f t="shared" si="32"/>
        <v>842</v>
      </c>
      <c r="E181" s="73">
        <f>VLOOKUP(B181,'114+320'!B182:AB283,3,FALSE)</f>
        <v>1562</v>
      </c>
      <c r="F181" s="69">
        <f t="shared" si="27"/>
        <v>2404</v>
      </c>
      <c r="G181" s="72">
        <f>VLOOKUP(B181,'114+320'!$B$15:$AB$785,20,FALSE)</f>
        <v>694</v>
      </c>
      <c r="H181" s="72">
        <f>VLOOKUP(B181,'114+320'!$B$15:$AB$785,4,FALSE)</f>
        <v>690</v>
      </c>
      <c r="I181" s="68">
        <f t="shared" si="28"/>
        <v>1714</v>
      </c>
      <c r="J181" s="68">
        <f>VLOOKUP(B181,'114+320'!$B$15:$AB$785,13,FALSE)</f>
        <v>-286</v>
      </c>
      <c r="K181" s="66">
        <f>'114+320'!Q182</f>
        <v>0</v>
      </c>
      <c r="L181" s="65">
        <f t="shared" si="33"/>
        <v>106</v>
      </c>
      <c r="M181" s="70">
        <f>VLOOKUP(B181,'114+320'!$B$14:$AB$785,21,FALSE)</f>
        <v>677</v>
      </c>
      <c r="N181" s="69">
        <f>VLOOKUP(B181,'114+320'!$B$15:$AB$785,5,FALSE)</f>
        <v>707</v>
      </c>
      <c r="O181" s="68">
        <f t="shared" si="29"/>
        <v>1697</v>
      </c>
      <c r="P181" s="68">
        <f>VLOOKUP(B181,'114+320'!$B$15:$AB$785,14,FALSE)</f>
        <v>-303</v>
      </c>
      <c r="Q181" s="66">
        <f>'114+320'!R182</f>
        <v>0</v>
      </c>
      <c r="R181" s="65">
        <f t="shared" si="34"/>
        <v>123</v>
      </c>
      <c r="S181" s="70">
        <f>VLOOKUP(B181,'114+320'!$B$14:$AB$785,22,FALSE)</f>
        <v>689</v>
      </c>
      <c r="T181" s="69">
        <f>VLOOKUP(B181,'114+320'!$B$15:$AB$785,6,FALSE)</f>
        <v>635</v>
      </c>
      <c r="U181" s="68">
        <f t="shared" si="30"/>
        <v>1769</v>
      </c>
      <c r="V181" s="77">
        <f>VLOOKUP(B181,'114+320'!$B$15:$AB$785,15,FALSE)</f>
        <v>-231</v>
      </c>
      <c r="W181" s="66">
        <f>'114+320'!S182</f>
        <v>0</v>
      </c>
      <c r="X181" s="65">
        <f t="shared" si="35"/>
        <v>111</v>
      </c>
      <c r="Y181" s="64">
        <f t="shared" si="36"/>
        <v>0</v>
      </c>
      <c r="Z181" s="63">
        <f t="shared" si="37"/>
        <v>0</v>
      </c>
      <c r="AA181" s="62">
        <f t="shared" si="38"/>
        <v>0.89900000000000002</v>
      </c>
      <c r="AB181" s="62">
        <f t="shared" si="39"/>
        <v>0.73399999999999999</v>
      </c>
    </row>
    <row r="182" spans="2:28">
      <c r="B182" s="106">
        <f>'114+320'!B183</f>
        <v>45212</v>
      </c>
      <c r="C182" s="75">
        <f t="shared" si="31"/>
        <v>1</v>
      </c>
      <c r="D182" s="74">
        <f t="shared" si="32"/>
        <v>842</v>
      </c>
      <c r="E182" s="73">
        <f>VLOOKUP(B182,'114+320'!B183:AB284,3,FALSE)</f>
        <v>1564</v>
      </c>
      <c r="F182" s="69">
        <f t="shared" si="27"/>
        <v>2406</v>
      </c>
      <c r="G182" s="72">
        <f>VLOOKUP(B182,'114+320'!$B$15:$AB$785,20,FALSE)</f>
        <v>694</v>
      </c>
      <c r="H182" s="72">
        <f>VLOOKUP(B182,'114+320'!$B$15:$AB$785,4,FALSE)</f>
        <v>692</v>
      </c>
      <c r="I182" s="68">
        <f t="shared" si="28"/>
        <v>1714</v>
      </c>
      <c r="J182" s="68">
        <f>VLOOKUP(B182,'114+320'!$B$15:$AB$785,13,FALSE)</f>
        <v>-286</v>
      </c>
      <c r="K182" s="66">
        <f>'114+320'!Q183</f>
        <v>0</v>
      </c>
      <c r="L182" s="65">
        <f t="shared" si="33"/>
        <v>106</v>
      </c>
      <c r="M182" s="70">
        <f>VLOOKUP(B182,'114+320'!$B$14:$AB$785,21,FALSE)</f>
        <v>677</v>
      </c>
      <c r="N182" s="69">
        <f>VLOOKUP(B182,'114+320'!$B$15:$AB$785,5,FALSE)</f>
        <v>709</v>
      </c>
      <c r="O182" s="68">
        <f t="shared" si="29"/>
        <v>1697</v>
      </c>
      <c r="P182" s="68">
        <f>VLOOKUP(B182,'114+320'!$B$15:$AB$785,14,FALSE)</f>
        <v>-303</v>
      </c>
      <c r="Q182" s="66">
        <f>'114+320'!R183</f>
        <v>0</v>
      </c>
      <c r="R182" s="65">
        <f t="shared" si="34"/>
        <v>123</v>
      </c>
      <c r="S182" s="70">
        <f>VLOOKUP(B182,'114+320'!$B$14:$AB$785,22,FALSE)</f>
        <v>689</v>
      </c>
      <c r="T182" s="69">
        <f>VLOOKUP(B182,'114+320'!$B$15:$AB$785,6,FALSE)</f>
        <v>637</v>
      </c>
      <c r="U182" s="68">
        <f t="shared" si="30"/>
        <v>1769</v>
      </c>
      <c r="V182" s="77">
        <f>VLOOKUP(B182,'114+320'!$B$15:$AB$785,15,FALSE)</f>
        <v>-231</v>
      </c>
      <c r="W182" s="66">
        <f>'114+320'!S183</f>
        <v>0</v>
      </c>
      <c r="X182" s="65">
        <f t="shared" si="35"/>
        <v>111</v>
      </c>
      <c r="Y182" s="64">
        <f t="shared" si="36"/>
        <v>0</v>
      </c>
      <c r="Z182" s="63">
        <f t="shared" si="37"/>
        <v>0</v>
      </c>
      <c r="AA182" s="62">
        <f t="shared" si="38"/>
        <v>0.89900000000000002</v>
      </c>
      <c r="AB182" s="62">
        <f t="shared" si="39"/>
        <v>0.73399999999999999</v>
      </c>
    </row>
    <row r="183" spans="2:28">
      <c r="B183" s="106">
        <f>'114+320'!B184</f>
        <v>45213</v>
      </c>
      <c r="C183" s="75">
        <f t="shared" si="31"/>
        <v>1</v>
      </c>
      <c r="D183" s="74">
        <f t="shared" si="32"/>
        <v>842</v>
      </c>
      <c r="E183" s="73">
        <f>VLOOKUP(B183,'114+320'!B184:AB285,3,FALSE)</f>
        <v>1566</v>
      </c>
      <c r="F183" s="69">
        <f t="shared" si="27"/>
        <v>2408</v>
      </c>
      <c r="G183" s="72">
        <f>VLOOKUP(B183,'114+320'!$B$15:$AB$785,20,FALSE)</f>
        <v>694</v>
      </c>
      <c r="H183" s="72">
        <f>VLOOKUP(B183,'114+320'!$B$15:$AB$785,4,FALSE)</f>
        <v>694</v>
      </c>
      <c r="I183" s="68">
        <f t="shared" si="28"/>
        <v>1714</v>
      </c>
      <c r="J183" s="68">
        <f>VLOOKUP(B183,'114+320'!$B$15:$AB$785,13,FALSE)</f>
        <v>-286</v>
      </c>
      <c r="K183" s="66">
        <f>'114+320'!Q184</f>
        <v>0</v>
      </c>
      <c r="L183" s="65">
        <f t="shared" si="33"/>
        <v>106</v>
      </c>
      <c r="M183" s="70">
        <f>VLOOKUP(B183,'114+320'!$B$14:$AB$785,21,FALSE)</f>
        <v>677</v>
      </c>
      <c r="N183" s="69">
        <f>VLOOKUP(B183,'114+320'!$B$15:$AB$785,5,FALSE)</f>
        <v>711</v>
      </c>
      <c r="O183" s="68">
        <f t="shared" si="29"/>
        <v>1697</v>
      </c>
      <c r="P183" s="68">
        <f>VLOOKUP(B183,'114+320'!$B$15:$AB$785,14,FALSE)</f>
        <v>-303</v>
      </c>
      <c r="Q183" s="66">
        <f>'114+320'!R184</f>
        <v>0</v>
      </c>
      <c r="R183" s="65">
        <f t="shared" si="34"/>
        <v>123</v>
      </c>
      <c r="S183" s="70">
        <f>VLOOKUP(B183,'114+320'!$B$14:$AB$785,22,FALSE)</f>
        <v>689</v>
      </c>
      <c r="T183" s="69">
        <f>VLOOKUP(B183,'114+320'!$B$15:$AB$785,6,FALSE)</f>
        <v>639</v>
      </c>
      <c r="U183" s="68">
        <f t="shared" si="30"/>
        <v>1769</v>
      </c>
      <c r="V183" s="77">
        <f>VLOOKUP(B183,'114+320'!$B$15:$AB$785,15,FALSE)</f>
        <v>-231</v>
      </c>
      <c r="W183" s="66">
        <f>'114+320'!S184</f>
        <v>0</v>
      </c>
      <c r="X183" s="65">
        <f t="shared" si="35"/>
        <v>111</v>
      </c>
      <c r="Y183" s="64">
        <f t="shared" si="36"/>
        <v>0</v>
      </c>
      <c r="Z183" s="63">
        <f t="shared" si="37"/>
        <v>0</v>
      </c>
      <c r="AA183" s="62">
        <f t="shared" si="38"/>
        <v>0.89900000000000002</v>
      </c>
      <c r="AB183" s="62">
        <f t="shared" si="39"/>
        <v>0.73399999999999999</v>
      </c>
    </row>
    <row r="184" spans="2:28">
      <c r="B184" s="106">
        <f>'114+320'!B185</f>
        <v>45214</v>
      </c>
      <c r="C184" s="75">
        <f t="shared" si="31"/>
        <v>1</v>
      </c>
      <c r="D184" s="74">
        <f t="shared" si="32"/>
        <v>842</v>
      </c>
      <c r="E184" s="73">
        <f>VLOOKUP(B184,'114+320'!B185:AB286,3,FALSE)</f>
        <v>1568</v>
      </c>
      <c r="F184" s="69">
        <f t="shared" si="27"/>
        <v>2410</v>
      </c>
      <c r="G184" s="72">
        <f>VLOOKUP(B184,'114+320'!$B$15:$AB$785,20,FALSE)</f>
        <v>694</v>
      </c>
      <c r="H184" s="72">
        <f>VLOOKUP(B184,'114+320'!$B$15:$AB$785,4,FALSE)</f>
        <v>696</v>
      </c>
      <c r="I184" s="68">
        <f t="shared" si="28"/>
        <v>1714</v>
      </c>
      <c r="J184" s="68">
        <f>VLOOKUP(B184,'114+320'!$B$15:$AB$785,13,FALSE)</f>
        <v>-286</v>
      </c>
      <c r="K184" s="66">
        <f>'114+320'!Q185</f>
        <v>0</v>
      </c>
      <c r="L184" s="65">
        <f t="shared" si="33"/>
        <v>106</v>
      </c>
      <c r="M184" s="70">
        <f>VLOOKUP(B184,'114+320'!$B$14:$AB$785,21,FALSE)</f>
        <v>677</v>
      </c>
      <c r="N184" s="69">
        <f>VLOOKUP(B184,'114+320'!$B$15:$AB$785,5,FALSE)</f>
        <v>713</v>
      </c>
      <c r="O184" s="68">
        <f t="shared" si="29"/>
        <v>1697</v>
      </c>
      <c r="P184" s="68">
        <f>VLOOKUP(B184,'114+320'!$B$15:$AB$785,14,FALSE)</f>
        <v>-303</v>
      </c>
      <c r="Q184" s="66">
        <f>'114+320'!R185</f>
        <v>0</v>
      </c>
      <c r="R184" s="65">
        <f t="shared" si="34"/>
        <v>123</v>
      </c>
      <c r="S184" s="70">
        <f>VLOOKUP(B184,'114+320'!$B$14:$AB$785,22,FALSE)</f>
        <v>689</v>
      </c>
      <c r="T184" s="69">
        <f>VLOOKUP(B184,'114+320'!$B$15:$AB$785,6,FALSE)</f>
        <v>641</v>
      </c>
      <c r="U184" s="68">
        <f t="shared" si="30"/>
        <v>1769</v>
      </c>
      <c r="V184" s="77">
        <f>VLOOKUP(B184,'114+320'!$B$15:$AB$785,15,FALSE)</f>
        <v>-231</v>
      </c>
      <c r="W184" s="66">
        <f>'114+320'!S185</f>
        <v>0</v>
      </c>
      <c r="X184" s="65">
        <f t="shared" si="35"/>
        <v>111</v>
      </c>
      <c r="Y184" s="64">
        <f t="shared" si="36"/>
        <v>0</v>
      </c>
      <c r="Z184" s="63">
        <f t="shared" si="37"/>
        <v>0</v>
      </c>
      <c r="AA184" s="62">
        <f t="shared" si="38"/>
        <v>0.89900000000000002</v>
      </c>
      <c r="AB184" s="62">
        <f t="shared" si="39"/>
        <v>0.73399999999999999</v>
      </c>
    </row>
    <row r="185" spans="2:28">
      <c r="B185" s="106">
        <f>'114+320'!B186</f>
        <v>45215</v>
      </c>
      <c r="C185" s="75">
        <f t="shared" si="31"/>
        <v>1</v>
      </c>
      <c r="D185" s="74">
        <f t="shared" si="32"/>
        <v>842</v>
      </c>
      <c r="E185" s="73">
        <f>VLOOKUP(B185,'114+320'!B186:AB287,3,FALSE)</f>
        <v>1570</v>
      </c>
      <c r="F185" s="69">
        <f t="shared" si="27"/>
        <v>2412</v>
      </c>
      <c r="G185" s="72">
        <f>VLOOKUP(B185,'114+320'!$B$15:$AB$785,20,FALSE)</f>
        <v>694</v>
      </c>
      <c r="H185" s="72">
        <f>VLOOKUP(B185,'114+320'!$B$15:$AB$785,4,FALSE)</f>
        <v>698</v>
      </c>
      <c r="I185" s="68">
        <f t="shared" si="28"/>
        <v>1714</v>
      </c>
      <c r="J185" s="68">
        <f>VLOOKUP(B185,'114+320'!$B$15:$AB$785,13,FALSE)</f>
        <v>-286</v>
      </c>
      <c r="K185" s="66">
        <f>'114+320'!Q186</f>
        <v>0</v>
      </c>
      <c r="L185" s="65">
        <f t="shared" si="33"/>
        <v>106</v>
      </c>
      <c r="M185" s="70">
        <f>VLOOKUP(B185,'114+320'!$B$14:$AB$785,21,FALSE)</f>
        <v>677</v>
      </c>
      <c r="N185" s="69">
        <f>VLOOKUP(B185,'114+320'!$B$15:$AB$785,5,FALSE)</f>
        <v>715</v>
      </c>
      <c r="O185" s="68">
        <f t="shared" si="29"/>
        <v>1697</v>
      </c>
      <c r="P185" s="68">
        <f>VLOOKUP(B185,'114+320'!$B$15:$AB$785,14,FALSE)</f>
        <v>-303</v>
      </c>
      <c r="Q185" s="66">
        <f>'114+320'!R186</f>
        <v>0</v>
      </c>
      <c r="R185" s="65">
        <f t="shared" si="34"/>
        <v>123</v>
      </c>
      <c r="S185" s="70">
        <f>VLOOKUP(B185,'114+320'!$B$14:$AB$785,22,FALSE)</f>
        <v>689</v>
      </c>
      <c r="T185" s="69">
        <f>VLOOKUP(B185,'114+320'!$B$15:$AB$785,6,FALSE)</f>
        <v>643</v>
      </c>
      <c r="U185" s="68">
        <f t="shared" si="30"/>
        <v>1769</v>
      </c>
      <c r="V185" s="77">
        <f>VLOOKUP(B185,'114+320'!$B$15:$AB$785,15,FALSE)</f>
        <v>-231</v>
      </c>
      <c r="W185" s="66">
        <f>'114+320'!S186</f>
        <v>0</v>
      </c>
      <c r="X185" s="65">
        <f t="shared" si="35"/>
        <v>111</v>
      </c>
      <c r="Y185" s="64">
        <f t="shared" si="36"/>
        <v>0</v>
      </c>
      <c r="Z185" s="63">
        <f t="shared" si="37"/>
        <v>0</v>
      </c>
      <c r="AA185" s="62">
        <f t="shared" si="38"/>
        <v>0.89900000000000002</v>
      </c>
      <c r="AB185" s="62">
        <f t="shared" si="39"/>
        <v>0.73399999999999999</v>
      </c>
    </row>
    <row r="186" spans="2:28">
      <c r="B186" s="106">
        <f>'114+320'!B187</f>
        <v>45216</v>
      </c>
      <c r="C186" s="75">
        <f t="shared" si="31"/>
        <v>1</v>
      </c>
      <c r="D186" s="74">
        <f t="shared" si="32"/>
        <v>842</v>
      </c>
      <c r="E186" s="73">
        <f>VLOOKUP(B186,'114+320'!B187:AB288,3,FALSE)</f>
        <v>1572</v>
      </c>
      <c r="F186" s="69">
        <f t="shared" si="27"/>
        <v>2414</v>
      </c>
      <c r="G186" s="72">
        <f>VLOOKUP(B186,'114+320'!$B$15:$AB$785,20,FALSE)</f>
        <v>694</v>
      </c>
      <c r="H186" s="72">
        <f>VLOOKUP(B186,'114+320'!$B$15:$AB$785,4,FALSE)</f>
        <v>700</v>
      </c>
      <c r="I186" s="68">
        <f t="shared" si="28"/>
        <v>1714</v>
      </c>
      <c r="J186" s="68">
        <f>VLOOKUP(B186,'114+320'!$B$15:$AB$785,13,FALSE)</f>
        <v>-286</v>
      </c>
      <c r="K186" s="66">
        <f>'114+320'!Q187</f>
        <v>0</v>
      </c>
      <c r="L186" s="65">
        <f t="shared" si="33"/>
        <v>106</v>
      </c>
      <c r="M186" s="70">
        <f>VLOOKUP(B186,'114+320'!$B$14:$AB$785,21,FALSE)</f>
        <v>677</v>
      </c>
      <c r="N186" s="69">
        <f>VLOOKUP(B186,'114+320'!$B$15:$AB$785,5,FALSE)</f>
        <v>717</v>
      </c>
      <c r="O186" s="68">
        <f t="shared" si="29"/>
        <v>1697</v>
      </c>
      <c r="P186" s="68">
        <f>VLOOKUP(B186,'114+320'!$B$15:$AB$785,14,FALSE)</f>
        <v>-303</v>
      </c>
      <c r="Q186" s="66">
        <f>'114+320'!R187</f>
        <v>0</v>
      </c>
      <c r="R186" s="65">
        <f t="shared" si="34"/>
        <v>123</v>
      </c>
      <c r="S186" s="70">
        <f>VLOOKUP(B186,'114+320'!$B$14:$AB$785,22,FALSE)</f>
        <v>689</v>
      </c>
      <c r="T186" s="69">
        <f>VLOOKUP(B186,'114+320'!$B$15:$AB$785,6,FALSE)</f>
        <v>645</v>
      </c>
      <c r="U186" s="68">
        <f t="shared" si="30"/>
        <v>1769</v>
      </c>
      <c r="V186" s="77">
        <f>VLOOKUP(B186,'114+320'!$B$15:$AB$785,15,FALSE)</f>
        <v>-231</v>
      </c>
      <c r="W186" s="66">
        <f>'114+320'!S187</f>
        <v>0</v>
      </c>
      <c r="X186" s="65">
        <f t="shared" si="35"/>
        <v>111</v>
      </c>
      <c r="Y186" s="64">
        <f t="shared" si="36"/>
        <v>0</v>
      </c>
      <c r="Z186" s="63">
        <f t="shared" si="37"/>
        <v>0</v>
      </c>
      <c r="AA186" s="62">
        <f t="shared" si="38"/>
        <v>0.89900000000000002</v>
      </c>
      <c r="AB186" s="62">
        <f t="shared" si="39"/>
        <v>0.73399999999999999</v>
      </c>
    </row>
    <row r="187" spans="2:28">
      <c r="B187" s="106">
        <f>'114+320'!B188</f>
        <v>45217</v>
      </c>
      <c r="C187" s="75">
        <f t="shared" si="31"/>
        <v>1</v>
      </c>
      <c r="D187" s="74">
        <f t="shared" si="32"/>
        <v>842</v>
      </c>
      <c r="E187" s="73">
        <f>VLOOKUP(B187,'114+320'!B188:AB289,3,FALSE)</f>
        <v>1574</v>
      </c>
      <c r="F187" s="69">
        <f t="shared" si="27"/>
        <v>2416</v>
      </c>
      <c r="G187" s="72">
        <f>VLOOKUP(B187,'114+320'!$B$15:$AB$785,20,FALSE)</f>
        <v>694</v>
      </c>
      <c r="H187" s="72">
        <f>VLOOKUP(B187,'114+320'!$B$15:$AB$785,4,FALSE)</f>
        <v>702</v>
      </c>
      <c r="I187" s="68">
        <f t="shared" si="28"/>
        <v>1714</v>
      </c>
      <c r="J187" s="68">
        <f>VLOOKUP(B187,'114+320'!$B$15:$AB$785,13,FALSE)</f>
        <v>-286</v>
      </c>
      <c r="K187" s="66">
        <f>'114+320'!Q188</f>
        <v>0</v>
      </c>
      <c r="L187" s="65">
        <f t="shared" si="33"/>
        <v>106</v>
      </c>
      <c r="M187" s="70">
        <f>VLOOKUP(B187,'114+320'!$B$14:$AB$785,21,FALSE)</f>
        <v>677</v>
      </c>
      <c r="N187" s="69">
        <f>VLOOKUP(B187,'114+320'!$B$15:$AB$785,5,FALSE)</f>
        <v>719</v>
      </c>
      <c r="O187" s="68">
        <f t="shared" si="29"/>
        <v>1697</v>
      </c>
      <c r="P187" s="68">
        <f>VLOOKUP(B187,'114+320'!$B$15:$AB$785,14,FALSE)</f>
        <v>-303</v>
      </c>
      <c r="Q187" s="66">
        <f>'114+320'!R188</f>
        <v>0</v>
      </c>
      <c r="R187" s="65">
        <f t="shared" si="34"/>
        <v>123</v>
      </c>
      <c r="S187" s="70">
        <f>VLOOKUP(B187,'114+320'!$B$14:$AB$785,22,FALSE)</f>
        <v>689</v>
      </c>
      <c r="T187" s="69">
        <f>VLOOKUP(B187,'114+320'!$B$15:$AB$785,6,FALSE)</f>
        <v>647</v>
      </c>
      <c r="U187" s="68">
        <f t="shared" si="30"/>
        <v>1769</v>
      </c>
      <c r="V187" s="77">
        <f>VLOOKUP(B187,'114+320'!$B$15:$AB$785,15,FALSE)</f>
        <v>-231</v>
      </c>
      <c r="W187" s="66">
        <f>'114+320'!S188</f>
        <v>0</v>
      </c>
      <c r="X187" s="65">
        <f t="shared" si="35"/>
        <v>111</v>
      </c>
      <c r="Y187" s="64">
        <f t="shared" si="36"/>
        <v>0</v>
      </c>
      <c r="Z187" s="63">
        <f t="shared" si="37"/>
        <v>0</v>
      </c>
      <c r="AA187" s="62">
        <f t="shared" si="38"/>
        <v>0.89900000000000002</v>
      </c>
      <c r="AB187" s="62">
        <f t="shared" si="39"/>
        <v>0.73399999999999999</v>
      </c>
    </row>
    <row r="188" spans="2:28">
      <c r="B188" s="106">
        <f>'114+320'!B189</f>
        <v>45218</v>
      </c>
      <c r="C188" s="75">
        <f t="shared" si="31"/>
        <v>1</v>
      </c>
      <c r="D188" s="74">
        <f t="shared" si="32"/>
        <v>842</v>
      </c>
      <c r="E188" s="73">
        <f>VLOOKUP(B188,'114+320'!B189:AB290,3,FALSE)</f>
        <v>1576</v>
      </c>
      <c r="F188" s="69">
        <f t="shared" si="27"/>
        <v>2418</v>
      </c>
      <c r="G188" s="72">
        <f>VLOOKUP(B188,'114+320'!$B$15:$AB$785,20,FALSE)</f>
        <v>694</v>
      </c>
      <c r="H188" s="72">
        <f>VLOOKUP(B188,'114+320'!$B$15:$AB$785,4,FALSE)</f>
        <v>704</v>
      </c>
      <c r="I188" s="68">
        <f t="shared" si="28"/>
        <v>1714</v>
      </c>
      <c r="J188" s="68">
        <f>VLOOKUP(B188,'114+320'!$B$15:$AB$785,13,FALSE)</f>
        <v>-286</v>
      </c>
      <c r="K188" s="66">
        <f>'114+320'!Q189</f>
        <v>0</v>
      </c>
      <c r="L188" s="65">
        <f t="shared" si="33"/>
        <v>106</v>
      </c>
      <c r="M188" s="70">
        <f>VLOOKUP(B188,'114+320'!$B$14:$AB$785,21,FALSE)</f>
        <v>677</v>
      </c>
      <c r="N188" s="69">
        <f>VLOOKUP(B188,'114+320'!$B$15:$AB$785,5,FALSE)</f>
        <v>721</v>
      </c>
      <c r="O188" s="68">
        <f t="shared" si="29"/>
        <v>1697</v>
      </c>
      <c r="P188" s="68">
        <f>VLOOKUP(B188,'114+320'!$B$15:$AB$785,14,FALSE)</f>
        <v>-303</v>
      </c>
      <c r="Q188" s="66">
        <f>'114+320'!R189</f>
        <v>0</v>
      </c>
      <c r="R188" s="65">
        <f t="shared" si="34"/>
        <v>123</v>
      </c>
      <c r="S188" s="70">
        <f>VLOOKUP(B188,'114+320'!$B$14:$AB$785,22,FALSE)</f>
        <v>689</v>
      </c>
      <c r="T188" s="69">
        <f>VLOOKUP(B188,'114+320'!$B$15:$AB$785,6,FALSE)</f>
        <v>649</v>
      </c>
      <c r="U188" s="68">
        <f t="shared" si="30"/>
        <v>1769</v>
      </c>
      <c r="V188" s="77">
        <f>VLOOKUP(B188,'114+320'!$B$15:$AB$785,15,FALSE)</f>
        <v>-231</v>
      </c>
      <c r="W188" s="66">
        <f>'114+320'!S189</f>
        <v>0</v>
      </c>
      <c r="X188" s="65">
        <f t="shared" si="35"/>
        <v>111</v>
      </c>
      <c r="Y188" s="64">
        <f t="shared" si="36"/>
        <v>0</v>
      </c>
      <c r="Z188" s="63">
        <f t="shared" si="37"/>
        <v>0</v>
      </c>
      <c r="AA188" s="62">
        <f t="shared" si="38"/>
        <v>0.89900000000000002</v>
      </c>
      <c r="AB188" s="62">
        <f t="shared" si="39"/>
        <v>0.73399999999999999</v>
      </c>
    </row>
    <row r="189" spans="2:28">
      <c r="B189" s="106">
        <f>'114+320'!B190</f>
        <v>45219</v>
      </c>
      <c r="C189" s="75">
        <f t="shared" si="31"/>
        <v>1</v>
      </c>
      <c r="D189" s="74">
        <f t="shared" si="32"/>
        <v>842</v>
      </c>
      <c r="E189" s="73">
        <f>VLOOKUP(B189,'114+320'!B190:AB291,3,FALSE)</f>
        <v>1578</v>
      </c>
      <c r="F189" s="69">
        <f t="shared" si="27"/>
        <v>2420</v>
      </c>
      <c r="G189" s="72">
        <f>VLOOKUP(B189,'114+320'!$B$15:$AB$785,20,FALSE)</f>
        <v>694</v>
      </c>
      <c r="H189" s="72">
        <f>VLOOKUP(B189,'114+320'!$B$15:$AB$785,4,FALSE)</f>
        <v>706</v>
      </c>
      <c r="I189" s="68">
        <f t="shared" si="28"/>
        <v>1714</v>
      </c>
      <c r="J189" s="68">
        <f>VLOOKUP(B189,'114+320'!$B$15:$AB$785,13,FALSE)</f>
        <v>-286</v>
      </c>
      <c r="K189" s="66">
        <f>'114+320'!Q190</f>
        <v>0</v>
      </c>
      <c r="L189" s="65">
        <f t="shared" si="33"/>
        <v>106</v>
      </c>
      <c r="M189" s="70">
        <f>VLOOKUP(B189,'114+320'!$B$14:$AB$785,21,FALSE)</f>
        <v>677</v>
      </c>
      <c r="N189" s="69">
        <f>VLOOKUP(B189,'114+320'!$B$15:$AB$785,5,FALSE)</f>
        <v>723</v>
      </c>
      <c r="O189" s="68">
        <f t="shared" si="29"/>
        <v>1697</v>
      </c>
      <c r="P189" s="68">
        <f>VLOOKUP(B189,'114+320'!$B$15:$AB$785,14,FALSE)</f>
        <v>-303</v>
      </c>
      <c r="Q189" s="66">
        <f>'114+320'!R190</f>
        <v>0</v>
      </c>
      <c r="R189" s="65">
        <f t="shared" si="34"/>
        <v>123</v>
      </c>
      <c r="S189" s="70">
        <f>VLOOKUP(B189,'114+320'!$B$14:$AB$785,22,FALSE)</f>
        <v>689</v>
      </c>
      <c r="T189" s="69">
        <f>VLOOKUP(B189,'114+320'!$B$15:$AB$785,6,FALSE)</f>
        <v>651</v>
      </c>
      <c r="U189" s="68">
        <f t="shared" si="30"/>
        <v>1769</v>
      </c>
      <c r="V189" s="77">
        <f>VLOOKUP(B189,'114+320'!$B$15:$AB$785,15,FALSE)</f>
        <v>-231</v>
      </c>
      <c r="W189" s="66">
        <f>'114+320'!S190</f>
        <v>0</v>
      </c>
      <c r="X189" s="65">
        <f t="shared" si="35"/>
        <v>111</v>
      </c>
      <c r="Y189" s="64">
        <f t="shared" si="36"/>
        <v>0</v>
      </c>
      <c r="Z189" s="63">
        <f t="shared" si="37"/>
        <v>0</v>
      </c>
      <c r="AA189" s="62">
        <f t="shared" si="38"/>
        <v>0.89900000000000002</v>
      </c>
      <c r="AB189" s="62">
        <f t="shared" si="39"/>
        <v>0.73399999999999999</v>
      </c>
    </row>
    <row r="190" spans="2:28">
      <c r="B190" s="106">
        <f>'114+320'!B191</f>
        <v>45220</v>
      </c>
      <c r="C190" s="75">
        <f t="shared" si="31"/>
        <v>1</v>
      </c>
      <c r="D190" s="74">
        <f t="shared" si="32"/>
        <v>842</v>
      </c>
      <c r="E190" s="73">
        <f>VLOOKUP(B190,'114+320'!B191:AB292,3,FALSE)</f>
        <v>1580</v>
      </c>
      <c r="F190" s="69">
        <f t="shared" si="27"/>
        <v>2422</v>
      </c>
      <c r="G190" s="72">
        <f>VLOOKUP(B190,'114+320'!$B$15:$AB$785,20,FALSE)</f>
        <v>694</v>
      </c>
      <c r="H190" s="72">
        <f>VLOOKUP(B190,'114+320'!$B$15:$AB$785,4,FALSE)</f>
        <v>708</v>
      </c>
      <c r="I190" s="68">
        <f t="shared" si="28"/>
        <v>1714</v>
      </c>
      <c r="J190" s="68">
        <f>VLOOKUP(B190,'114+320'!$B$15:$AB$785,13,FALSE)</f>
        <v>-286</v>
      </c>
      <c r="K190" s="66">
        <f>'114+320'!Q191</f>
        <v>0</v>
      </c>
      <c r="L190" s="65">
        <f t="shared" si="33"/>
        <v>106</v>
      </c>
      <c r="M190" s="70">
        <f>VLOOKUP(B190,'114+320'!$B$14:$AB$785,21,FALSE)</f>
        <v>677</v>
      </c>
      <c r="N190" s="69">
        <f>VLOOKUP(B190,'114+320'!$B$15:$AB$785,5,FALSE)</f>
        <v>725</v>
      </c>
      <c r="O190" s="68">
        <f t="shared" si="29"/>
        <v>1697</v>
      </c>
      <c r="P190" s="68">
        <f>VLOOKUP(B190,'114+320'!$B$15:$AB$785,14,FALSE)</f>
        <v>-303</v>
      </c>
      <c r="Q190" s="66">
        <f>'114+320'!R191</f>
        <v>0</v>
      </c>
      <c r="R190" s="65">
        <f t="shared" si="34"/>
        <v>123</v>
      </c>
      <c r="S190" s="70">
        <f>VLOOKUP(B190,'114+320'!$B$14:$AB$785,22,FALSE)</f>
        <v>689</v>
      </c>
      <c r="T190" s="69">
        <f>VLOOKUP(B190,'114+320'!$B$15:$AB$785,6,FALSE)</f>
        <v>653</v>
      </c>
      <c r="U190" s="68">
        <f t="shared" si="30"/>
        <v>1769</v>
      </c>
      <c r="V190" s="77">
        <f>VLOOKUP(B190,'114+320'!$B$15:$AB$785,15,FALSE)</f>
        <v>-231</v>
      </c>
      <c r="W190" s="66">
        <f>'114+320'!S191</f>
        <v>0</v>
      </c>
      <c r="X190" s="65">
        <f t="shared" si="35"/>
        <v>111</v>
      </c>
      <c r="Y190" s="64">
        <f t="shared" si="36"/>
        <v>0</v>
      </c>
      <c r="Z190" s="63">
        <f t="shared" si="37"/>
        <v>0</v>
      </c>
      <c r="AA190" s="62">
        <f t="shared" si="38"/>
        <v>0.89900000000000002</v>
      </c>
      <c r="AB190" s="62">
        <f t="shared" si="39"/>
        <v>0.73399999999999999</v>
      </c>
    </row>
    <row r="191" spans="2:28">
      <c r="B191" s="106">
        <f>'114+320'!B192</f>
        <v>45221</v>
      </c>
      <c r="C191" s="75">
        <f t="shared" si="31"/>
        <v>1</v>
      </c>
      <c r="D191" s="74">
        <f t="shared" si="32"/>
        <v>842</v>
      </c>
      <c r="E191" s="73">
        <f>VLOOKUP(B191,'114+320'!B192:AB293,3,FALSE)</f>
        <v>1582</v>
      </c>
      <c r="F191" s="69">
        <f t="shared" si="27"/>
        <v>2424</v>
      </c>
      <c r="G191" s="72">
        <f>VLOOKUP(B191,'114+320'!$B$15:$AB$785,20,FALSE)</f>
        <v>694</v>
      </c>
      <c r="H191" s="72">
        <f>VLOOKUP(B191,'114+320'!$B$15:$AB$785,4,FALSE)</f>
        <v>710</v>
      </c>
      <c r="I191" s="68">
        <f t="shared" si="28"/>
        <v>1714</v>
      </c>
      <c r="J191" s="68">
        <f>VLOOKUP(B191,'114+320'!$B$15:$AB$785,13,FALSE)</f>
        <v>-286</v>
      </c>
      <c r="K191" s="66">
        <f>'114+320'!Q192</f>
        <v>0</v>
      </c>
      <c r="L191" s="65">
        <f t="shared" si="33"/>
        <v>106</v>
      </c>
      <c r="M191" s="70">
        <f>VLOOKUP(B191,'114+320'!$B$14:$AB$785,21,FALSE)</f>
        <v>677</v>
      </c>
      <c r="N191" s="69">
        <f>VLOOKUP(B191,'114+320'!$B$15:$AB$785,5,FALSE)</f>
        <v>727</v>
      </c>
      <c r="O191" s="68">
        <f t="shared" si="29"/>
        <v>1697</v>
      </c>
      <c r="P191" s="68">
        <f>VLOOKUP(B191,'114+320'!$B$15:$AB$785,14,FALSE)</f>
        <v>-303</v>
      </c>
      <c r="Q191" s="66">
        <f>'114+320'!R192</f>
        <v>0</v>
      </c>
      <c r="R191" s="65">
        <f t="shared" si="34"/>
        <v>123</v>
      </c>
      <c r="S191" s="70">
        <f>VLOOKUP(B191,'114+320'!$B$14:$AB$785,22,FALSE)</f>
        <v>689</v>
      </c>
      <c r="T191" s="69">
        <f>VLOOKUP(B191,'114+320'!$B$15:$AB$785,6,FALSE)</f>
        <v>655</v>
      </c>
      <c r="U191" s="68">
        <f t="shared" si="30"/>
        <v>1769</v>
      </c>
      <c r="V191" s="77">
        <f>VLOOKUP(B191,'114+320'!$B$15:$AB$785,15,FALSE)</f>
        <v>-231</v>
      </c>
      <c r="W191" s="66">
        <f>'114+320'!S192</f>
        <v>0</v>
      </c>
      <c r="X191" s="65">
        <f t="shared" si="35"/>
        <v>111</v>
      </c>
      <c r="Y191" s="64">
        <f t="shared" si="36"/>
        <v>0</v>
      </c>
      <c r="Z191" s="63">
        <f t="shared" si="37"/>
        <v>0</v>
      </c>
      <c r="AA191" s="62">
        <f t="shared" si="38"/>
        <v>0.89900000000000002</v>
      </c>
      <c r="AB191" s="62">
        <f t="shared" si="39"/>
        <v>0.73399999999999999</v>
      </c>
    </row>
    <row r="192" spans="2:28">
      <c r="B192" s="106">
        <f>'114+320'!B193</f>
        <v>45222</v>
      </c>
      <c r="C192" s="75">
        <f t="shared" si="31"/>
        <v>1</v>
      </c>
      <c r="D192" s="74">
        <f t="shared" si="32"/>
        <v>842</v>
      </c>
      <c r="E192" s="73">
        <f>VLOOKUP(B192,'114+320'!B193:AB294,3,FALSE)</f>
        <v>1584</v>
      </c>
      <c r="F192" s="69">
        <f t="shared" si="27"/>
        <v>2426</v>
      </c>
      <c r="G192" s="72">
        <f>VLOOKUP(B192,'114+320'!$B$15:$AB$785,20,FALSE)</f>
        <v>694</v>
      </c>
      <c r="H192" s="72">
        <f>VLOOKUP(B192,'114+320'!$B$15:$AB$785,4,FALSE)</f>
        <v>712</v>
      </c>
      <c r="I192" s="68">
        <f t="shared" si="28"/>
        <v>1714</v>
      </c>
      <c r="J192" s="68">
        <f>VLOOKUP(B192,'114+320'!$B$15:$AB$785,13,FALSE)</f>
        <v>-286</v>
      </c>
      <c r="K192" s="66">
        <f>'114+320'!Q193</f>
        <v>0</v>
      </c>
      <c r="L192" s="65">
        <f t="shared" si="33"/>
        <v>106</v>
      </c>
      <c r="M192" s="70">
        <f>VLOOKUP(B192,'114+320'!$B$14:$AB$785,21,FALSE)</f>
        <v>677</v>
      </c>
      <c r="N192" s="69">
        <f>VLOOKUP(B192,'114+320'!$B$15:$AB$785,5,FALSE)</f>
        <v>729</v>
      </c>
      <c r="O192" s="68">
        <f t="shared" si="29"/>
        <v>1697</v>
      </c>
      <c r="P192" s="68">
        <f>VLOOKUP(B192,'114+320'!$B$15:$AB$785,14,FALSE)</f>
        <v>-303</v>
      </c>
      <c r="Q192" s="66">
        <f>'114+320'!R193</f>
        <v>0</v>
      </c>
      <c r="R192" s="65">
        <f t="shared" si="34"/>
        <v>123</v>
      </c>
      <c r="S192" s="70">
        <f>VLOOKUP(B192,'114+320'!$B$14:$AB$785,22,FALSE)</f>
        <v>689</v>
      </c>
      <c r="T192" s="69">
        <f>VLOOKUP(B192,'114+320'!$B$15:$AB$785,6,FALSE)</f>
        <v>657</v>
      </c>
      <c r="U192" s="68">
        <f t="shared" si="30"/>
        <v>1769</v>
      </c>
      <c r="V192" s="77">
        <f>VLOOKUP(B192,'114+320'!$B$15:$AB$785,15,FALSE)</f>
        <v>-231</v>
      </c>
      <c r="W192" s="66">
        <f>'114+320'!S193</f>
        <v>0</v>
      </c>
      <c r="X192" s="65">
        <f t="shared" si="35"/>
        <v>111</v>
      </c>
      <c r="Y192" s="64">
        <f t="shared" si="36"/>
        <v>0</v>
      </c>
      <c r="Z192" s="63">
        <f t="shared" si="37"/>
        <v>0</v>
      </c>
      <c r="AA192" s="62">
        <f t="shared" si="38"/>
        <v>0.89900000000000002</v>
      </c>
      <c r="AB192" s="62">
        <f t="shared" si="39"/>
        <v>0.73399999999999999</v>
      </c>
    </row>
    <row r="193" spans="2:28">
      <c r="B193" s="106">
        <f>'114+320'!B194</f>
        <v>45223</v>
      </c>
      <c r="C193" s="75">
        <f t="shared" si="31"/>
        <v>1</v>
      </c>
      <c r="D193" s="74">
        <f t="shared" si="32"/>
        <v>842</v>
      </c>
      <c r="E193" s="73">
        <f>VLOOKUP(B193,'114+320'!B194:AB295,3,FALSE)</f>
        <v>1586</v>
      </c>
      <c r="F193" s="69">
        <f t="shared" si="27"/>
        <v>2428</v>
      </c>
      <c r="G193" s="72">
        <f>VLOOKUP(B193,'114+320'!$B$15:$AB$785,20,FALSE)</f>
        <v>694</v>
      </c>
      <c r="H193" s="72">
        <f>VLOOKUP(B193,'114+320'!$B$15:$AB$785,4,FALSE)</f>
        <v>714</v>
      </c>
      <c r="I193" s="68">
        <f t="shared" si="28"/>
        <v>1714</v>
      </c>
      <c r="J193" s="68">
        <f>VLOOKUP(B193,'114+320'!$B$15:$AB$785,13,FALSE)</f>
        <v>-286</v>
      </c>
      <c r="K193" s="66">
        <f>'114+320'!Q194</f>
        <v>0</v>
      </c>
      <c r="L193" s="65">
        <f t="shared" si="33"/>
        <v>106</v>
      </c>
      <c r="M193" s="70">
        <f>VLOOKUP(B193,'114+320'!$B$14:$AB$785,21,FALSE)</f>
        <v>677</v>
      </c>
      <c r="N193" s="69">
        <f>VLOOKUP(B193,'114+320'!$B$15:$AB$785,5,FALSE)</f>
        <v>731</v>
      </c>
      <c r="O193" s="68">
        <f t="shared" si="29"/>
        <v>1697</v>
      </c>
      <c r="P193" s="68">
        <f>VLOOKUP(B193,'114+320'!$B$15:$AB$785,14,FALSE)</f>
        <v>-303</v>
      </c>
      <c r="Q193" s="66">
        <f>'114+320'!R194</f>
        <v>0</v>
      </c>
      <c r="R193" s="65">
        <f t="shared" si="34"/>
        <v>123</v>
      </c>
      <c r="S193" s="70">
        <f>VLOOKUP(B193,'114+320'!$B$14:$AB$785,22,FALSE)</f>
        <v>689</v>
      </c>
      <c r="T193" s="69">
        <f>VLOOKUP(B193,'114+320'!$B$15:$AB$785,6,FALSE)</f>
        <v>659</v>
      </c>
      <c r="U193" s="68">
        <f t="shared" si="30"/>
        <v>1769</v>
      </c>
      <c r="V193" s="77">
        <f>VLOOKUP(B193,'114+320'!$B$15:$AB$785,15,FALSE)</f>
        <v>-231</v>
      </c>
      <c r="W193" s="66">
        <f>'114+320'!S194</f>
        <v>0</v>
      </c>
      <c r="X193" s="65">
        <f t="shared" si="35"/>
        <v>111</v>
      </c>
      <c r="Y193" s="64">
        <f t="shared" si="36"/>
        <v>0</v>
      </c>
      <c r="Z193" s="63">
        <f t="shared" si="37"/>
        <v>0</v>
      </c>
      <c r="AA193" s="62">
        <f t="shared" si="38"/>
        <v>0.89900000000000002</v>
      </c>
      <c r="AB193" s="62">
        <f t="shared" si="39"/>
        <v>0.73399999999999999</v>
      </c>
    </row>
    <row r="194" spans="2:28">
      <c r="B194" s="106">
        <f>'114+320'!B195</f>
        <v>45224</v>
      </c>
      <c r="C194" s="75">
        <f t="shared" si="31"/>
        <v>1</v>
      </c>
      <c r="D194" s="74">
        <f t="shared" si="32"/>
        <v>842</v>
      </c>
      <c r="E194" s="73">
        <f>VLOOKUP(B194,'114+320'!B195:AB296,3,FALSE)</f>
        <v>1588</v>
      </c>
      <c r="F194" s="69">
        <f t="shared" si="27"/>
        <v>2430</v>
      </c>
      <c r="G194" s="72">
        <f>VLOOKUP(B194,'114+320'!$B$15:$AB$785,20,FALSE)</f>
        <v>694</v>
      </c>
      <c r="H194" s="72">
        <f>VLOOKUP(B194,'114+320'!$B$15:$AB$785,4,FALSE)</f>
        <v>716</v>
      </c>
      <c r="I194" s="68">
        <f t="shared" si="28"/>
        <v>1714</v>
      </c>
      <c r="J194" s="68">
        <f>VLOOKUP(B194,'114+320'!$B$15:$AB$785,13,FALSE)</f>
        <v>-286</v>
      </c>
      <c r="K194" s="66">
        <f>'114+320'!Q195</f>
        <v>0</v>
      </c>
      <c r="L194" s="65">
        <f t="shared" si="33"/>
        <v>106</v>
      </c>
      <c r="M194" s="70">
        <f>VLOOKUP(B194,'114+320'!$B$14:$AB$785,21,FALSE)</f>
        <v>677</v>
      </c>
      <c r="N194" s="69">
        <f>VLOOKUP(B194,'114+320'!$B$15:$AB$785,5,FALSE)</f>
        <v>733</v>
      </c>
      <c r="O194" s="68">
        <f t="shared" si="29"/>
        <v>1697</v>
      </c>
      <c r="P194" s="68">
        <f>VLOOKUP(B194,'114+320'!$B$15:$AB$785,14,FALSE)</f>
        <v>-303</v>
      </c>
      <c r="Q194" s="66">
        <f>'114+320'!R195</f>
        <v>0</v>
      </c>
      <c r="R194" s="65">
        <f t="shared" si="34"/>
        <v>123</v>
      </c>
      <c r="S194" s="70">
        <f>VLOOKUP(B194,'114+320'!$B$14:$AB$785,22,FALSE)</f>
        <v>689</v>
      </c>
      <c r="T194" s="69">
        <f>VLOOKUP(B194,'114+320'!$B$15:$AB$785,6,FALSE)</f>
        <v>661</v>
      </c>
      <c r="U194" s="68">
        <f t="shared" si="30"/>
        <v>1769</v>
      </c>
      <c r="V194" s="77">
        <f>VLOOKUP(B194,'114+320'!$B$15:$AB$785,15,FALSE)</f>
        <v>-231</v>
      </c>
      <c r="W194" s="66">
        <f>'114+320'!S195</f>
        <v>0</v>
      </c>
      <c r="X194" s="65">
        <f t="shared" si="35"/>
        <v>111</v>
      </c>
      <c r="Y194" s="64">
        <f t="shared" si="36"/>
        <v>0</v>
      </c>
      <c r="Z194" s="63">
        <f t="shared" si="37"/>
        <v>0</v>
      </c>
      <c r="AA194" s="62">
        <f t="shared" si="38"/>
        <v>0.89900000000000002</v>
      </c>
      <c r="AB194" s="62">
        <f t="shared" si="39"/>
        <v>0.73399999999999999</v>
      </c>
    </row>
    <row r="195" spans="2:28">
      <c r="B195" s="106">
        <f>'114+320'!B196</f>
        <v>45225</v>
      </c>
      <c r="C195" s="75">
        <f t="shared" si="31"/>
        <v>1</v>
      </c>
      <c r="D195" s="74">
        <f t="shared" si="32"/>
        <v>842</v>
      </c>
      <c r="E195" s="73">
        <f>VLOOKUP(B195,'114+320'!B196:AB297,3,FALSE)</f>
        <v>1590</v>
      </c>
      <c r="F195" s="69">
        <f t="shared" si="27"/>
        <v>2432</v>
      </c>
      <c r="G195" s="72">
        <f>VLOOKUP(B195,'114+320'!$B$15:$AB$785,20,FALSE)</f>
        <v>694</v>
      </c>
      <c r="H195" s="72">
        <f>VLOOKUP(B195,'114+320'!$B$15:$AB$785,4,FALSE)</f>
        <v>718</v>
      </c>
      <c r="I195" s="68">
        <f t="shared" si="28"/>
        <v>1714</v>
      </c>
      <c r="J195" s="68">
        <f>VLOOKUP(B195,'114+320'!$B$15:$AB$785,13,FALSE)</f>
        <v>-286</v>
      </c>
      <c r="K195" s="66">
        <f>'114+320'!Q196</f>
        <v>0</v>
      </c>
      <c r="L195" s="65">
        <f t="shared" si="33"/>
        <v>106</v>
      </c>
      <c r="M195" s="70">
        <f>VLOOKUP(B195,'114+320'!$B$14:$AB$785,21,FALSE)</f>
        <v>677</v>
      </c>
      <c r="N195" s="69">
        <f>VLOOKUP(B195,'114+320'!$B$15:$AB$785,5,FALSE)</f>
        <v>735</v>
      </c>
      <c r="O195" s="68">
        <f t="shared" si="29"/>
        <v>1697</v>
      </c>
      <c r="P195" s="68">
        <f>VLOOKUP(B195,'114+320'!$B$15:$AB$785,14,FALSE)</f>
        <v>-303</v>
      </c>
      <c r="Q195" s="66">
        <f>'114+320'!R196</f>
        <v>0</v>
      </c>
      <c r="R195" s="65">
        <f t="shared" si="34"/>
        <v>123</v>
      </c>
      <c r="S195" s="70">
        <f>VLOOKUP(B195,'114+320'!$B$14:$AB$785,22,FALSE)</f>
        <v>689</v>
      </c>
      <c r="T195" s="69">
        <f>VLOOKUP(B195,'114+320'!$B$15:$AB$785,6,FALSE)</f>
        <v>663</v>
      </c>
      <c r="U195" s="68">
        <f t="shared" si="30"/>
        <v>1769</v>
      </c>
      <c r="V195" s="77">
        <f>VLOOKUP(B195,'114+320'!$B$15:$AB$785,15,FALSE)</f>
        <v>-231</v>
      </c>
      <c r="W195" s="66">
        <f>'114+320'!S196</f>
        <v>0</v>
      </c>
      <c r="X195" s="65">
        <f t="shared" si="35"/>
        <v>111</v>
      </c>
      <c r="Y195" s="64">
        <f t="shared" si="36"/>
        <v>0</v>
      </c>
      <c r="Z195" s="63">
        <f t="shared" si="37"/>
        <v>0</v>
      </c>
      <c r="AA195" s="62">
        <f t="shared" si="38"/>
        <v>0.89900000000000002</v>
      </c>
      <c r="AB195" s="62">
        <f t="shared" si="39"/>
        <v>0.73399999999999999</v>
      </c>
    </row>
    <row r="196" spans="2:28">
      <c r="B196" s="106">
        <f>'114+320'!B197</f>
        <v>45226</v>
      </c>
      <c r="C196" s="75">
        <f t="shared" si="31"/>
        <v>1</v>
      </c>
      <c r="D196" s="74">
        <f t="shared" si="32"/>
        <v>842</v>
      </c>
      <c r="E196" s="73">
        <f>VLOOKUP(B196,'114+320'!B197:AB298,3,FALSE)</f>
        <v>1592</v>
      </c>
      <c r="F196" s="69">
        <f t="shared" si="27"/>
        <v>2434</v>
      </c>
      <c r="G196" s="72">
        <f>VLOOKUP(B196,'114+320'!$B$15:$AB$785,20,FALSE)</f>
        <v>694</v>
      </c>
      <c r="H196" s="72">
        <f>VLOOKUP(B196,'114+320'!$B$15:$AB$785,4,FALSE)</f>
        <v>720</v>
      </c>
      <c r="I196" s="68">
        <f t="shared" si="28"/>
        <v>1714</v>
      </c>
      <c r="J196" s="68">
        <f>VLOOKUP(B196,'114+320'!$B$15:$AB$785,13,FALSE)</f>
        <v>-286</v>
      </c>
      <c r="K196" s="66">
        <f>'114+320'!Q197</f>
        <v>0</v>
      </c>
      <c r="L196" s="65">
        <f t="shared" si="33"/>
        <v>106</v>
      </c>
      <c r="M196" s="70">
        <f>VLOOKUP(B196,'114+320'!$B$14:$AB$785,21,FALSE)</f>
        <v>677</v>
      </c>
      <c r="N196" s="69">
        <f>VLOOKUP(B196,'114+320'!$B$15:$AB$785,5,FALSE)</f>
        <v>737</v>
      </c>
      <c r="O196" s="68">
        <f t="shared" si="29"/>
        <v>1697</v>
      </c>
      <c r="P196" s="68">
        <f>VLOOKUP(B196,'114+320'!$B$15:$AB$785,14,FALSE)</f>
        <v>-303</v>
      </c>
      <c r="Q196" s="66">
        <f>'114+320'!R197</f>
        <v>0</v>
      </c>
      <c r="R196" s="65">
        <f t="shared" si="34"/>
        <v>123</v>
      </c>
      <c r="S196" s="70">
        <f>VLOOKUP(B196,'114+320'!$B$14:$AB$785,22,FALSE)</f>
        <v>689</v>
      </c>
      <c r="T196" s="69">
        <f>VLOOKUP(B196,'114+320'!$B$15:$AB$785,6,FALSE)</f>
        <v>665</v>
      </c>
      <c r="U196" s="68">
        <f t="shared" si="30"/>
        <v>1769</v>
      </c>
      <c r="V196" s="77">
        <f>VLOOKUP(B196,'114+320'!$B$15:$AB$785,15,FALSE)</f>
        <v>-231</v>
      </c>
      <c r="W196" s="66">
        <f>'114+320'!S197</f>
        <v>0</v>
      </c>
      <c r="X196" s="65">
        <f t="shared" si="35"/>
        <v>111</v>
      </c>
      <c r="Y196" s="64">
        <f t="shared" si="36"/>
        <v>0</v>
      </c>
      <c r="Z196" s="63">
        <f t="shared" si="37"/>
        <v>0</v>
      </c>
      <c r="AA196" s="62">
        <f t="shared" si="38"/>
        <v>0.89900000000000002</v>
      </c>
      <c r="AB196" s="62">
        <f t="shared" si="39"/>
        <v>0.73399999999999999</v>
      </c>
    </row>
    <row r="197" spans="2:28">
      <c r="B197" s="106">
        <f>'114+320'!B198</f>
        <v>45227</v>
      </c>
      <c r="C197" s="75">
        <f t="shared" si="31"/>
        <v>1</v>
      </c>
      <c r="D197" s="74">
        <f t="shared" si="32"/>
        <v>842</v>
      </c>
      <c r="E197" s="73">
        <f>VLOOKUP(B197,'114+320'!B198:AB299,3,FALSE)</f>
        <v>1594</v>
      </c>
      <c r="F197" s="69">
        <f t="shared" si="27"/>
        <v>2436</v>
      </c>
      <c r="G197" s="72">
        <f>VLOOKUP(B197,'114+320'!$B$15:$AB$785,20,FALSE)</f>
        <v>694</v>
      </c>
      <c r="H197" s="72">
        <f>VLOOKUP(B197,'114+320'!$B$15:$AB$785,4,FALSE)</f>
        <v>722</v>
      </c>
      <c r="I197" s="68">
        <f t="shared" si="28"/>
        <v>1714</v>
      </c>
      <c r="J197" s="68">
        <f>VLOOKUP(B197,'114+320'!$B$15:$AB$785,13,FALSE)</f>
        <v>-286</v>
      </c>
      <c r="K197" s="66">
        <f>'114+320'!Q198</f>
        <v>0</v>
      </c>
      <c r="L197" s="65">
        <f t="shared" si="33"/>
        <v>106</v>
      </c>
      <c r="M197" s="70">
        <f>VLOOKUP(B197,'114+320'!$B$14:$AB$785,21,FALSE)</f>
        <v>677</v>
      </c>
      <c r="N197" s="69">
        <f>VLOOKUP(B197,'114+320'!$B$15:$AB$785,5,FALSE)</f>
        <v>739</v>
      </c>
      <c r="O197" s="68">
        <f t="shared" si="29"/>
        <v>1697</v>
      </c>
      <c r="P197" s="68">
        <f>VLOOKUP(B197,'114+320'!$B$15:$AB$785,14,FALSE)</f>
        <v>-303</v>
      </c>
      <c r="Q197" s="66">
        <f>'114+320'!R198</f>
        <v>0</v>
      </c>
      <c r="R197" s="65">
        <f t="shared" si="34"/>
        <v>123</v>
      </c>
      <c r="S197" s="70">
        <f>VLOOKUP(B197,'114+320'!$B$14:$AB$785,22,FALSE)</f>
        <v>689</v>
      </c>
      <c r="T197" s="69">
        <f>VLOOKUP(B197,'114+320'!$B$15:$AB$785,6,FALSE)</f>
        <v>667</v>
      </c>
      <c r="U197" s="68">
        <f t="shared" si="30"/>
        <v>1769</v>
      </c>
      <c r="V197" s="77">
        <f>VLOOKUP(B197,'114+320'!$B$15:$AB$785,15,FALSE)</f>
        <v>-231</v>
      </c>
      <c r="W197" s="66">
        <f>'114+320'!S198</f>
        <v>0</v>
      </c>
      <c r="X197" s="65">
        <f t="shared" si="35"/>
        <v>111</v>
      </c>
      <c r="Y197" s="64">
        <f t="shared" si="36"/>
        <v>0</v>
      </c>
      <c r="Z197" s="63">
        <f t="shared" si="37"/>
        <v>0</v>
      </c>
      <c r="AA197" s="62">
        <f t="shared" si="38"/>
        <v>0.89900000000000002</v>
      </c>
      <c r="AB197" s="62">
        <f t="shared" si="39"/>
        <v>0.73399999999999999</v>
      </c>
    </row>
    <row r="198" spans="2:28">
      <c r="B198" s="106">
        <f>'114+320'!B199</f>
        <v>45228</v>
      </c>
      <c r="C198" s="75">
        <f t="shared" si="31"/>
        <v>1</v>
      </c>
      <c r="D198" s="74">
        <f t="shared" si="32"/>
        <v>842</v>
      </c>
      <c r="E198" s="73">
        <f>VLOOKUP(B198,'114+320'!B199:AB300,3,FALSE)</f>
        <v>1596</v>
      </c>
      <c r="F198" s="69">
        <f t="shared" si="27"/>
        <v>2438</v>
      </c>
      <c r="G198" s="72">
        <f>VLOOKUP(B198,'114+320'!$B$15:$AB$785,20,FALSE)</f>
        <v>694</v>
      </c>
      <c r="H198" s="72">
        <f>VLOOKUP(B198,'114+320'!$B$15:$AB$785,4,FALSE)</f>
        <v>724</v>
      </c>
      <c r="I198" s="68">
        <f t="shared" si="28"/>
        <v>1714</v>
      </c>
      <c r="J198" s="68">
        <f>VLOOKUP(B198,'114+320'!$B$15:$AB$785,13,FALSE)</f>
        <v>-286</v>
      </c>
      <c r="K198" s="66">
        <f>'114+320'!Q199</f>
        <v>0</v>
      </c>
      <c r="L198" s="65">
        <f t="shared" si="33"/>
        <v>106</v>
      </c>
      <c r="M198" s="70">
        <f>VLOOKUP(B198,'114+320'!$B$14:$AB$785,21,FALSE)</f>
        <v>677</v>
      </c>
      <c r="N198" s="69">
        <f>VLOOKUP(B198,'114+320'!$B$15:$AB$785,5,FALSE)</f>
        <v>741</v>
      </c>
      <c r="O198" s="68">
        <f t="shared" si="29"/>
        <v>1697</v>
      </c>
      <c r="P198" s="68">
        <f>VLOOKUP(B198,'114+320'!$B$15:$AB$785,14,FALSE)</f>
        <v>-303</v>
      </c>
      <c r="Q198" s="66">
        <f>'114+320'!R199</f>
        <v>0</v>
      </c>
      <c r="R198" s="65">
        <f t="shared" si="34"/>
        <v>123</v>
      </c>
      <c r="S198" s="70">
        <f>VLOOKUP(B198,'114+320'!$B$14:$AB$785,22,FALSE)</f>
        <v>689</v>
      </c>
      <c r="T198" s="69">
        <f>VLOOKUP(B198,'114+320'!$B$15:$AB$785,6,FALSE)</f>
        <v>669</v>
      </c>
      <c r="U198" s="68">
        <f t="shared" si="30"/>
        <v>1769</v>
      </c>
      <c r="V198" s="77">
        <f>VLOOKUP(B198,'114+320'!$B$15:$AB$785,15,FALSE)</f>
        <v>-231</v>
      </c>
      <c r="W198" s="66">
        <f>'114+320'!S199</f>
        <v>0</v>
      </c>
      <c r="X198" s="65">
        <f t="shared" si="35"/>
        <v>111</v>
      </c>
      <c r="Y198" s="64">
        <f t="shared" si="36"/>
        <v>0</v>
      </c>
      <c r="Z198" s="63">
        <f t="shared" si="37"/>
        <v>0</v>
      </c>
      <c r="AA198" s="62">
        <f t="shared" si="38"/>
        <v>0.89900000000000002</v>
      </c>
      <c r="AB198" s="62">
        <f t="shared" si="39"/>
        <v>0.73399999999999999</v>
      </c>
    </row>
    <row r="199" spans="2:28">
      <c r="B199" s="106">
        <f>'114+320'!B200</f>
        <v>45229</v>
      </c>
      <c r="C199" s="75">
        <f t="shared" si="31"/>
        <v>1</v>
      </c>
      <c r="D199" s="74">
        <f t="shared" si="32"/>
        <v>842</v>
      </c>
      <c r="E199" s="73">
        <f>VLOOKUP(B199,'114+320'!B200:AB301,3,FALSE)</f>
        <v>1598</v>
      </c>
      <c r="F199" s="69">
        <f t="shared" si="27"/>
        <v>2440</v>
      </c>
      <c r="G199" s="72">
        <f>VLOOKUP(B199,'114+320'!$B$15:$AB$785,20,FALSE)</f>
        <v>694</v>
      </c>
      <c r="H199" s="72">
        <f>VLOOKUP(B199,'114+320'!$B$15:$AB$785,4,FALSE)</f>
        <v>726</v>
      </c>
      <c r="I199" s="68">
        <f t="shared" si="28"/>
        <v>1714</v>
      </c>
      <c r="J199" s="68">
        <f>VLOOKUP(B199,'114+320'!$B$15:$AB$785,13,FALSE)</f>
        <v>-286</v>
      </c>
      <c r="K199" s="66">
        <f>'114+320'!Q200</f>
        <v>0</v>
      </c>
      <c r="L199" s="65">
        <f t="shared" si="33"/>
        <v>106</v>
      </c>
      <c r="M199" s="70">
        <f>VLOOKUP(B199,'114+320'!$B$14:$AB$785,21,FALSE)</f>
        <v>677</v>
      </c>
      <c r="N199" s="69">
        <f>VLOOKUP(B199,'114+320'!$B$15:$AB$785,5,FALSE)</f>
        <v>743</v>
      </c>
      <c r="O199" s="68">
        <f t="shared" si="29"/>
        <v>1697</v>
      </c>
      <c r="P199" s="68">
        <f>VLOOKUP(B199,'114+320'!$B$15:$AB$785,14,FALSE)</f>
        <v>-303</v>
      </c>
      <c r="Q199" s="66">
        <f>'114+320'!R200</f>
        <v>0</v>
      </c>
      <c r="R199" s="65">
        <f t="shared" si="34"/>
        <v>123</v>
      </c>
      <c r="S199" s="70">
        <f>VLOOKUP(B199,'114+320'!$B$14:$AB$785,22,FALSE)</f>
        <v>689</v>
      </c>
      <c r="T199" s="69">
        <f>VLOOKUP(B199,'114+320'!$B$15:$AB$785,6,FALSE)</f>
        <v>671</v>
      </c>
      <c r="U199" s="68">
        <f t="shared" si="30"/>
        <v>1769</v>
      </c>
      <c r="V199" s="77">
        <f>VLOOKUP(B199,'114+320'!$B$15:$AB$785,15,FALSE)</f>
        <v>-231</v>
      </c>
      <c r="W199" s="66">
        <f>'114+320'!S200</f>
        <v>0</v>
      </c>
      <c r="X199" s="65">
        <f t="shared" si="35"/>
        <v>111</v>
      </c>
      <c r="Y199" s="64">
        <f t="shared" si="36"/>
        <v>0</v>
      </c>
      <c r="Z199" s="63">
        <f t="shared" si="37"/>
        <v>0</v>
      </c>
      <c r="AA199" s="62">
        <f t="shared" si="38"/>
        <v>0.89900000000000002</v>
      </c>
      <c r="AB199" s="62">
        <f t="shared" si="39"/>
        <v>0.73399999999999999</v>
      </c>
    </row>
    <row r="200" spans="2:28">
      <c r="B200" s="106">
        <f>'114+320'!B201</f>
        <v>45230</v>
      </c>
      <c r="C200" s="75">
        <f t="shared" si="31"/>
        <v>1</v>
      </c>
      <c r="D200" s="74">
        <f t="shared" si="32"/>
        <v>842</v>
      </c>
      <c r="E200" s="73">
        <f>VLOOKUP(B200,'114+320'!B201:AB302,3,FALSE)</f>
        <v>1600</v>
      </c>
      <c r="F200" s="69">
        <f t="shared" si="27"/>
        <v>2442</v>
      </c>
      <c r="G200" s="72">
        <f>VLOOKUP(B200,'114+320'!$B$15:$AB$785,20,FALSE)</f>
        <v>694</v>
      </c>
      <c r="H200" s="72">
        <f>VLOOKUP(B200,'114+320'!$B$15:$AB$785,4,FALSE)</f>
        <v>728</v>
      </c>
      <c r="I200" s="68">
        <f t="shared" si="28"/>
        <v>1714</v>
      </c>
      <c r="J200" s="68">
        <f>VLOOKUP(B200,'114+320'!$B$15:$AB$785,13,FALSE)</f>
        <v>-286</v>
      </c>
      <c r="K200" s="66">
        <f>'114+320'!Q201</f>
        <v>0</v>
      </c>
      <c r="L200" s="65">
        <f t="shared" si="33"/>
        <v>106</v>
      </c>
      <c r="M200" s="70">
        <f>VLOOKUP(B200,'114+320'!$B$14:$AB$785,21,FALSE)</f>
        <v>677</v>
      </c>
      <c r="N200" s="69">
        <f>VLOOKUP(B200,'114+320'!$B$15:$AB$785,5,FALSE)</f>
        <v>745</v>
      </c>
      <c r="O200" s="68">
        <f t="shared" si="29"/>
        <v>1697</v>
      </c>
      <c r="P200" s="68">
        <f>VLOOKUP(B200,'114+320'!$B$15:$AB$785,14,FALSE)</f>
        <v>-303</v>
      </c>
      <c r="Q200" s="66">
        <f>'114+320'!R201</f>
        <v>0</v>
      </c>
      <c r="R200" s="65">
        <f t="shared" si="34"/>
        <v>123</v>
      </c>
      <c r="S200" s="70">
        <f>VLOOKUP(B200,'114+320'!$B$14:$AB$785,22,FALSE)</f>
        <v>689</v>
      </c>
      <c r="T200" s="69">
        <f>VLOOKUP(B200,'114+320'!$B$15:$AB$785,6,FALSE)</f>
        <v>673</v>
      </c>
      <c r="U200" s="68">
        <f t="shared" si="30"/>
        <v>1769</v>
      </c>
      <c r="V200" s="77">
        <f>VLOOKUP(B200,'114+320'!$B$15:$AB$785,15,FALSE)</f>
        <v>-231</v>
      </c>
      <c r="W200" s="66">
        <f>'114+320'!S201</f>
        <v>0</v>
      </c>
      <c r="X200" s="65">
        <f t="shared" si="35"/>
        <v>111</v>
      </c>
      <c r="Y200" s="64">
        <f t="shared" si="36"/>
        <v>0</v>
      </c>
      <c r="Z200" s="63">
        <f t="shared" si="37"/>
        <v>0</v>
      </c>
      <c r="AA200" s="62">
        <f t="shared" si="38"/>
        <v>0.89900000000000002</v>
      </c>
      <c r="AB200" s="62">
        <f t="shared" si="39"/>
        <v>0.73399999999999999</v>
      </c>
    </row>
    <row r="201" spans="2:28">
      <c r="B201" s="106">
        <f>'114+320'!B202</f>
        <v>45231</v>
      </c>
      <c r="C201" s="75">
        <f t="shared" si="31"/>
        <v>1</v>
      </c>
      <c r="D201" s="74">
        <f t="shared" si="32"/>
        <v>842</v>
      </c>
      <c r="E201" s="73">
        <f>VLOOKUP(B201,'114+320'!B202:AB303,3,FALSE)</f>
        <v>1602</v>
      </c>
      <c r="F201" s="69">
        <f t="shared" si="27"/>
        <v>2444</v>
      </c>
      <c r="G201" s="72">
        <f>VLOOKUP(B201,'114+320'!$B$15:$AB$785,20,FALSE)</f>
        <v>694</v>
      </c>
      <c r="H201" s="72">
        <f>VLOOKUP(B201,'114+320'!$B$15:$AB$785,4,FALSE)</f>
        <v>730</v>
      </c>
      <c r="I201" s="68">
        <f t="shared" si="28"/>
        <v>1714</v>
      </c>
      <c r="J201" s="68">
        <f>VLOOKUP(B201,'114+320'!$B$15:$AB$785,13,FALSE)</f>
        <v>-286</v>
      </c>
      <c r="K201" s="66">
        <f>'114+320'!Q202</f>
        <v>0</v>
      </c>
      <c r="L201" s="65">
        <f t="shared" si="33"/>
        <v>106</v>
      </c>
      <c r="M201" s="70">
        <f>VLOOKUP(B201,'114+320'!$B$14:$AB$785,21,FALSE)</f>
        <v>677</v>
      </c>
      <c r="N201" s="69">
        <f>VLOOKUP(B201,'114+320'!$B$15:$AB$785,5,FALSE)</f>
        <v>747</v>
      </c>
      <c r="O201" s="68">
        <f t="shared" si="29"/>
        <v>1697</v>
      </c>
      <c r="P201" s="68">
        <f>VLOOKUP(B201,'114+320'!$B$15:$AB$785,14,FALSE)</f>
        <v>-303</v>
      </c>
      <c r="Q201" s="66">
        <f>'114+320'!R202</f>
        <v>0</v>
      </c>
      <c r="R201" s="65">
        <f t="shared" si="34"/>
        <v>123</v>
      </c>
      <c r="S201" s="70">
        <f>VLOOKUP(B201,'114+320'!$B$14:$AB$785,22,FALSE)</f>
        <v>689</v>
      </c>
      <c r="T201" s="69">
        <f>VLOOKUP(B201,'114+320'!$B$15:$AB$785,6,FALSE)</f>
        <v>675</v>
      </c>
      <c r="U201" s="68">
        <f t="shared" si="30"/>
        <v>1769</v>
      </c>
      <c r="V201" s="77">
        <f>VLOOKUP(B201,'114+320'!$B$15:$AB$785,15,FALSE)</f>
        <v>-231</v>
      </c>
      <c r="W201" s="66">
        <f>'114+320'!S202</f>
        <v>0</v>
      </c>
      <c r="X201" s="65">
        <f t="shared" si="35"/>
        <v>111</v>
      </c>
      <c r="Y201" s="64">
        <f t="shared" si="36"/>
        <v>0</v>
      </c>
      <c r="Z201" s="63">
        <f t="shared" si="37"/>
        <v>0</v>
      </c>
      <c r="AA201" s="62">
        <f t="shared" si="38"/>
        <v>0.89900000000000002</v>
      </c>
      <c r="AB201" s="62">
        <f t="shared" si="39"/>
        <v>0.73399999999999999</v>
      </c>
    </row>
    <row r="202" spans="2:28">
      <c r="B202" s="106">
        <f>'114+320'!B203</f>
        <v>45232</v>
      </c>
      <c r="C202" s="75">
        <f t="shared" si="31"/>
        <v>1</v>
      </c>
      <c r="D202" s="74">
        <f t="shared" si="32"/>
        <v>842</v>
      </c>
      <c r="E202" s="73">
        <f>VLOOKUP(B202,'114+320'!B203:AB304,3,FALSE)</f>
        <v>1604</v>
      </c>
      <c r="F202" s="69">
        <f t="shared" si="27"/>
        <v>2446</v>
      </c>
      <c r="G202" s="72">
        <f>VLOOKUP(B202,'114+320'!$B$15:$AB$785,20,FALSE)</f>
        <v>694</v>
      </c>
      <c r="H202" s="72">
        <f>VLOOKUP(B202,'114+320'!$B$15:$AB$785,4,FALSE)</f>
        <v>732</v>
      </c>
      <c r="I202" s="68">
        <f t="shared" si="28"/>
        <v>1714</v>
      </c>
      <c r="J202" s="68">
        <f>VLOOKUP(B202,'114+320'!$B$15:$AB$785,13,FALSE)</f>
        <v>-286</v>
      </c>
      <c r="K202" s="66">
        <f>'114+320'!Q203</f>
        <v>0</v>
      </c>
      <c r="L202" s="65">
        <f t="shared" si="33"/>
        <v>106</v>
      </c>
      <c r="M202" s="70">
        <f>VLOOKUP(B202,'114+320'!$B$14:$AB$785,21,FALSE)</f>
        <v>677</v>
      </c>
      <c r="N202" s="69">
        <f>VLOOKUP(B202,'114+320'!$B$15:$AB$785,5,FALSE)</f>
        <v>749</v>
      </c>
      <c r="O202" s="68">
        <f t="shared" si="29"/>
        <v>1697</v>
      </c>
      <c r="P202" s="68">
        <f>VLOOKUP(B202,'114+320'!$B$15:$AB$785,14,FALSE)</f>
        <v>-303</v>
      </c>
      <c r="Q202" s="66">
        <f>'114+320'!R203</f>
        <v>0</v>
      </c>
      <c r="R202" s="65">
        <f t="shared" si="34"/>
        <v>123</v>
      </c>
      <c r="S202" s="70">
        <f>VLOOKUP(B202,'114+320'!$B$14:$AB$785,22,FALSE)</f>
        <v>689</v>
      </c>
      <c r="T202" s="69">
        <f>VLOOKUP(B202,'114+320'!$B$15:$AB$785,6,FALSE)</f>
        <v>677</v>
      </c>
      <c r="U202" s="68">
        <f t="shared" si="30"/>
        <v>1769</v>
      </c>
      <c r="V202" s="77">
        <f>VLOOKUP(B202,'114+320'!$B$15:$AB$785,15,FALSE)</f>
        <v>-231</v>
      </c>
      <c r="W202" s="66">
        <f>'114+320'!S203</f>
        <v>0</v>
      </c>
      <c r="X202" s="65">
        <f t="shared" si="35"/>
        <v>111</v>
      </c>
      <c r="Y202" s="64">
        <f t="shared" si="36"/>
        <v>0</v>
      </c>
      <c r="Z202" s="63">
        <f t="shared" si="37"/>
        <v>0</v>
      </c>
      <c r="AA202" s="62">
        <f t="shared" si="38"/>
        <v>0.89900000000000002</v>
      </c>
      <c r="AB202" s="62">
        <f t="shared" si="39"/>
        <v>0.73399999999999999</v>
      </c>
    </row>
    <row r="203" spans="2:28">
      <c r="B203" s="106">
        <f>'114+320'!B204</f>
        <v>45233</v>
      </c>
      <c r="C203" s="75">
        <f t="shared" si="31"/>
        <v>1</v>
      </c>
      <c r="D203" s="74">
        <f t="shared" si="32"/>
        <v>842</v>
      </c>
      <c r="E203" s="73">
        <f>VLOOKUP(B203,'114+320'!B204:AB305,3,FALSE)</f>
        <v>1606</v>
      </c>
      <c r="F203" s="69">
        <f t="shared" si="27"/>
        <v>2448</v>
      </c>
      <c r="G203" s="72">
        <f>VLOOKUP(B203,'114+320'!$B$15:$AB$785,20,FALSE)</f>
        <v>694</v>
      </c>
      <c r="H203" s="72">
        <f>VLOOKUP(B203,'114+320'!$B$15:$AB$785,4,FALSE)</f>
        <v>734</v>
      </c>
      <c r="I203" s="68">
        <f t="shared" si="28"/>
        <v>1714</v>
      </c>
      <c r="J203" s="68">
        <f>VLOOKUP(B203,'114+320'!$B$15:$AB$785,13,FALSE)</f>
        <v>-286</v>
      </c>
      <c r="K203" s="66">
        <f>'114+320'!Q204</f>
        <v>0</v>
      </c>
      <c r="L203" s="65">
        <f t="shared" si="33"/>
        <v>106</v>
      </c>
      <c r="M203" s="70">
        <f>VLOOKUP(B203,'114+320'!$B$14:$AB$785,21,FALSE)</f>
        <v>677</v>
      </c>
      <c r="N203" s="69">
        <f>VLOOKUP(B203,'114+320'!$B$15:$AB$785,5,FALSE)</f>
        <v>751</v>
      </c>
      <c r="O203" s="68">
        <f t="shared" si="29"/>
        <v>1697</v>
      </c>
      <c r="P203" s="68">
        <f>VLOOKUP(B203,'114+320'!$B$15:$AB$785,14,FALSE)</f>
        <v>-303</v>
      </c>
      <c r="Q203" s="66">
        <f>'114+320'!R204</f>
        <v>0</v>
      </c>
      <c r="R203" s="65">
        <f t="shared" si="34"/>
        <v>123</v>
      </c>
      <c r="S203" s="70">
        <f>VLOOKUP(B203,'114+320'!$B$14:$AB$785,22,FALSE)</f>
        <v>689</v>
      </c>
      <c r="T203" s="69">
        <f>VLOOKUP(B203,'114+320'!$B$15:$AB$785,6,FALSE)</f>
        <v>679</v>
      </c>
      <c r="U203" s="68">
        <f t="shared" si="30"/>
        <v>1769</v>
      </c>
      <c r="V203" s="77">
        <f>VLOOKUP(B203,'114+320'!$B$15:$AB$785,15,FALSE)</f>
        <v>-231</v>
      </c>
      <c r="W203" s="66">
        <f>'114+320'!S204</f>
        <v>0</v>
      </c>
      <c r="X203" s="65">
        <f t="shared" si="35"/>
        <v>111</v>
      </c>
      <c r="Y203" s="64">
        <f t="shared" si="36"/>
        <v>0</v>
      </c>
      <c r="Z203" s="63">
        <f t="shared" si="37"/>
        <v>0</v>
      </c>
      <c r="AA203" s="62">
        <f t="shared" si="38"/>
        <v>0.89900000000000002</v>
      </c>
      <c r="AB203" s="62">
        <f t="shared" si="39"/>
        <v>0.73399999999999999</v>
      </c>
    </row>
    <row r="204" spans="2:28">
      <c r="B204" s="106">
        <f>'114+320'!B205</f>
        <v>45234</v>
      </c>
      <c r="C204" s="75">
        <f t="shared" si="31"/>
        <v>1</v>
      </c>
      <c r="D204" s="74">
        <f t="shared" si="32"/>
        <v>842</v>
      </c>
      <c r="E204" s="73">
        <f>VLOOKUP(B204,'114+320'!B205:AB306,3,FALSE)</f>
        <v>1608</v>
      </c>
      <c r="F204" s="69">
        <f t="shared" si="27"/>
        <v>2450</v>
      </c>
      <c r="G204" s="72">
        <f>VLOOKUP(B204,'114+320'!$B$15:$AB$785,20,FALSE)</f>
        <v>694</v>
      </c>
      <c r="H204" s="72">
        <f>VLOOKUP(B204,'114+320'!$B$15:$AB$785,4,FALSE)</f>
        <v>736</v>
      </c>
      <c r="I204" s="68">
        <f t="shared" si="28"/>
        <v>1714</v>
      </c>
      <c r="J204" s="68">
        <f>VLOOKUP(B204,'114+320'!$B$15:$AB$785,13,FALSE)</f>
        <v>-286</v>
      </c>
      <c r="K204" s="66">
        <f>'114+320'!Q205</f>
        <v>0</v>
      </c>
      <c r="L204" s="65">
        <f t="shared" si="33"/>
        <v>106</v>
      </c>
      <c r="M204" s="70">
        <f>VLOOKUP(B204,'114+320'!$B$14:$AB$785,21,FALSE)</f>
        <v>677</v>
      </c>
      <c r="N204" s="69">
        <f>VLOOKUP(B204,'114+320'!$B$15:$AB$785,5,FALSE)</f>
        <v>753</v>
      </c>
      <c r="O204" s="68">
        <f t="shared" si="29"/>
        <v>1697</v>
      </c>
      <c r="P204" s="68">
        <f>VLOOKUP(B204,'114+320'!$B$15:$AB$785,14,FALSE)</f>
        <v>-303</v>
      </c>
      <c r="Q204" s="66">
        <f>'114+320'!R205</f>
        <v>0</v>
      </c>
      <c r="R204" s="65">
        <f t="shared" si="34"/>
        <v>123</v>
      </c>
      <c r="S204" s="70">
        <f>VLOOKUP(B204,'114+320'!$B$14:$AB$785,22,FALSE)</f>
        <v>689</v>
      </c>
      <c r="T204" s="69">
        <f>VLOOKUP(B204,'114+320'!$B$15:$AB$785,6,FALSE)</f>
        <v>681</v>
      </c>
      <c r="U204" s="68">
        <f t="shared" si="30"/>
        <v>1769</v>
      </c>
      <c r="V204" s="77">
        <f>VLOOKUP(B204,'114+320'!$B$15:$AB$785,15,FALSE)</f>
        <v>-231</v>
      </c>
      <c r="W204" s="66">
        <f>'114+320'!S205</f>
        <v>0</v>
      </c>
      <c r="X204" s="65">
        <f t="shared" si="35"/>
        <v>111</v>
      </c>
      <c r="Y204" s="64">
        <f t="shared" si="36"/>
        <v>0</v>
      </c>
      <c r="Z204" s="63">
        <f t="shared" si="37"/>
        <v>0</v>
      </c>
      <c r="AA204" s="62">
        <f t="shared" si="38"/>
        <v>0.89900000000000002</v>
      </c>
      <c r="AB204" s="62">
        <f t="shared" si="39"/>
        <v>0.73399999999999999</v>
      </c>
    </row>
    <row r="205" spans="2:28">
      <c r="B205" s="106">
        <f>'114+320'!B206</f>
        <v>45235</v>
      </c>
      <c r="C205" s="75">
        <f t="shared" si="31"/>
        <v>1</v>
      </c>
      <c r="D205" s="74">
        <f t="shared" si="32"/>
        <v>842</v>
      </c>
      <c r="E205" s="73">
        <f>VLOOKUP(B205,'114+320'!B206:AB307,3,FALSE)</f>
        <v>1610</v>
      </c>
      <c r="F205" s="69">
        <f t="shared" ref="F205:F268" si="40">D205+E205</f>
        <v>2452</v>
      </c>
      <c r="G205" s="72">
        <f>VLOOKUP(B205,'114+320'!$B$15:$AB$785,20,FALSE)</f>
        <v>694</v>
      </c>
      <c r="H205" s="72">
        <f>VLOOKUP(B205,'114+320'!$B$15:$AB$785,4,FALSE)</f>
        <v>738</v>
      </c>
      <c r="I205" s="68">
        <f t="shared" ref="I205:I268" si="41">F205-H205</f>
        <v>1714</v>
      </c>
      <c r="J205" s="68">
        <f>VLOOKUP(B205,'114+320'!$B$15:$AB$785,13,FALSE)</f>
        <v>-286</v>
      </c>
      <c r="K205" s="66">
        <f>'114+320'!Q206</f>
        <v>0</v>
      </c>
      <c r="L205" s="65">
        <f t="shared" si="33"/>
        <v>106</v>
      </c>
      <c r="M205" s="70">
        <f>VLOOKUP(B205,'114+320'!$B$14:$AB$785,21,FALSE)</f>
        <v>677</v>
      </c>
      <c r="N205" s="69">
        <f>VLOOKUP(B205,'114+320'!$B$15:$AB$785,5,FALSE)</f>
        <v>755</v>
      </c>
      <c r="O205" s="68">
        <f t="shared" ref="O205:O268" si="42">F205-N205</f>
        <v>1697</v>
      </c>
      <c r="P205" s="68">
        <f>VLOOKUP(B205,'114+320'!$B$15:$AB$785,14,FALSE)</f>
        <v>-303</v>
      </c>
      <c r="Q205" s="66">
        <f>'114+320'!R206</f>
        <v>0</v>
      </c>
      <c r="R205" s="65">
        <f t="shared" si="34"/>
        <v>123</v>
      </c>
      <c r="S205" s="70">
        <f>VLOOKUP(B205,'114+320'!$B$14:$AB$785,22,FALSE)</f>
        <v>689</v>
      </c>
      <c r="T205" s="69">
        <f>VLOOKUP(B205,'114+320'!$B$15:$AB$785,6,FALSE)</f>
        <v>683</v>
      </c>
      <c r="U205" s="68">
        <f t="shared" ref="U205:U268" si="43">F205-T205</f>
        <v>1769</v>
      </c>
      <c r="V205" s="77">
        <f>VLOOKUP(B205,'114+320'!$B$15:$AB$785,15,FALSE)</f>
        <v>-231</v>
      </c>
      <c r="W205" s="66">
        <f>'114+320'!S206</f>
        <v>0</v>
      </c>
      <c r="X205" s="65">
        <f t="shared" si="35"/>
        <v>111</v>
      </c>
      <c r="Y205" s="64">
        <f t="shared" si="36"/>
        <v>0</v>
      </c>
      <c r="Z205" s="63">
        <f t="shared" si="37"/>
        <v>0</v>
      </c>
      <c r="AA205" s="62">
        <f t="shared" si="38"/>
        <v>0.89900000000000002</v>
      </c>
      <c r="AB205" s="62">
        <f t="shared" si="39"/>
        <v>0.73399999999999999</v>
      </c>
    </row>
    <row r="206" spans="2:28">
      <c r="B206" s="106">
        <f>'114+320'!B207</f>
        <v>45236</v>
      </c>
      <c r="C206" s="75">
        <f t="shared" ref="C206:C269" si="44">B206-B205</f>
        <v>1</v>
      </c>
      <c r="D206" s="74">
        <f t="shared" ref="D206:D269" si="45">D205</f>
        <v>842</v>
      </c>
      <c r="E206" s="73">
        <f>VLOOKUP(B206,'114+320'!B207:AB308,3,FALSE)</f>
        <v>1612</v>
      </c>
      <c r="F206" s="69">
        <f t="shared" si="40"/>
        <v>2454</v>
      </c>
      <c r="G206" s="72">
        <f>VLOOKUP(B206,'114+320'!$B$15:$AB$785,20,FALSE)</f>
        <v>694</v>
      </c>
      <c r="H206" s="72">
        <f>VLOOKUP(B206,'114+320'!$B$15:$AB$785,4,FALSE)</f>
        <v>740</v>
      </c>
      <c r="I206" s="68">
        <f t="shared" si="41"/>
        <v>1714</v>
      </c>
      <c r="J206" s="68">
        <f>VLOOKUP(B206,'114+320'!$B$15:$AB$785,13,FALSE)</f>
        <v>-286</v>
      </c>
      <c r="K206" s="66">
        <f>'114+320'!Q207</f>
        <v>0</v>
      </c>
      <c r="L206" s="65">
        <f t="shared" ref="L206:L269" si="46">+K206+L205</f>
        <v>106</v>
      </c>
      <c r="M206" s="70">
        <f>VLOOKUP(B206,'114+320'!$B$14:$AB$785,21,FALSE)</f>
        <v>677</v>
      </c>
      <c r="N206" s="69">
        <f>VLOOKUP(B206,'114+320'!$B$15:$AB$785,5,FALSE)</f>
        <v>757</v>
      </c>
      <c r="O206" s="68">
        <f t="shared" si="42"/>
        <v>1697</v>
      </c>
      <c r="P206" s="68">
        <f>VLOOKUP(B206,'114+320'!$B$15:$AB$785,14,FALSE)</f>
        <v>-303</v>
      </c>
      <c r="Q206" s="66">
        <f>'114+320'!R207</f>
        <v>0</v>
      </c>
      <c r="R206" s="65">
        <f t="shared" ref="R206:R269" si="47">+Q206+R205</f>
        <v>123</v>
      </c>
      <c r="S206" s="70">
        <f>VLOOKUP(B206,'114+320'!$B$14:$AB$785,22,FALSE)</f>
        <v>689</v>
      </c>
      <c r="T206" s="69">
        <f>VLOOKUP(B206,'114+320'!$B$15:$AB$785,6,FALSE)</f>
        <v>685</v>
      </c>
      <c r="U206" s="68">
        <f t="shared" si="43"/>
        <v>1769</v>
      </c>
      <c r="V206" s="77">
        <f>VLOOKUP(B206,'114+320'!$B$15:$AB$785,15,FALSE)</f>
        <v>-231</v>
      </c>
      <c r="W206" s="66">
        <f>'114+320'!S207</f>
        <v>0</v>
      </c>
      <c r="X206" s="65">
        <f t="shared" ref="X206:X269" si="48">+W206+X205</f>
        <v>111</v>
      </c>
      <c r="Y206" s="64">
        <f t="shared" ref="Y206:Y269" si="49">S206-S205</f>
        <v>0</v>
      </c>
      <c r="Z206" s="63">
        <f t="shared" ref="Z206:Z269" si="50">IF(Y206&gt;0,Y206,0)/1000</f>
        <v>0</v>
      </c>
      <c r="AA206" s="62">
        <f t="shared" ref="AA206:AA269" si="51">AA205+Z206</f>
        <v>0.89900000000000002</v>
      </c>
      <c r="AB206" s="62">
        <f t="shared" ref="AB206:AB269" si="52">(M206-$M$13-R206)/1000</f>
        <v>0.73399999999999999</v>
      </c>
    </row>
    <row r="207" spans="2:28">
      <c r="B207" s="106">
        <f>'114+320'!B208</f>
        <v>45237</v>
      </c>
      <c r="C207" s="75">
        <f t="shared" si="44"/>
        <v>1</v>
      </c>
      <c r="D207" s="74">
        <f t="shared" si="45"/>
        <v>842</v>
      </c>
      <c r="E207" s="73">
        <f>VLOOKUP(B207,'114+320'!B208:AB309,3,FALSE)</f>
        <v>1614</v>
      </c>
      <c r="F207" s="69">
        <f t="shared" si="40"/>
        <v>2456</v>
      </c>
      <c r="G207" s="72">
        <f>VLOOKUP(B207,'114+320'!$B$15:$AB$785,20,FALSE)</f>
        <v>694</v>
      </c>
      <c r="H207" s="72">
        <f>VLOOKUP(B207,'114+320'!$B$15:$AB$785,4,FALSE)</f>
        <v>742</v>
      </c>
      <c r="I207" s="68">
        <f t="shared" si="41"/>
        <v>1714</v>
      </c>
      <c r="J207" s="68">
        <f>VLOOKUP(B207,'114+320'!$B$15:$AB$785,13,FALSE)</f>
        <v>-286</v>
      </c>
      <c r="K207" s="66">
        <f>'114+320'!Q208</f>
        <v>0</v>
      </c>
      <c r="L207" s="65">
        <f t="shared" si="46"/>
        <v>106</v>
      </c>
      <c r="M207" s="70">
        <f>VLOOKUP(B207,'114+320'!$B$14:$AB$785,21,FALSE)</f>
        <v>677</v>
      </c>
      <c r="N207" s="69">
        <f>VLOOKUP(B207,'114+320'!$B$15:$AB$785,5,FALSE)</f>
        <v>759</v>
      </c>
      <c r="O207" s="68">
        <f t="shared" si="42"/>
        <v>1697</v>
      </c>
      <c r="P207" s="68">
        <f>VLOOKUP(B207,'114+320'!$B$15:$AB$785,14,FALSE)</f>
        <v>-303</v>
      </c>
      <c r="Q207" s="66">
        <f>'114+320'!R208</f>
        <v>0</v>
      </c>
      <c r="R207" s="65">
        <f t="shared" si="47"/>
        <v>123</v>
      </c>
      <c r="S207" s="70">
        <f>VLOOKUP(B207,'114+320'!$B$14:$AB$785,22,FALSE)</f>
        <v>689</v>
      </c>
      <c r="T207" s="69">
        <f>VLOOKUP(B207,'114+320'!$B$15:$AB$785,6,FALSE)</f>
        <v>687</v>
      </c>
      <c r="U207" s="68">
        <f t="shared" si="43"/>
        <v>1769</v>
      </c>
      <c r="V207" s="77">
        <f>VLOOKUP(B207,'114+320'!$B$15:$AB$785,15,FALSE)</f>
        <v>-231</v>
      </c>
      <c r="W207" s="66">
        <f>'114+320'!S208</f>
        <v>0</v>
      </c>
      <c r="X207" s="65">
        <f t="shared" si="48"/>
        <v>111</v>
      </c>
      <c r="Y207" s="64">
        <f t="shared" si="49"/>
        <v>0</v>
      </c>
      <c r="Z207" s="63">
        <f t="shared" si="50"/>
        <v>0</v>
      </c>
      <c r="AA207" s="62">
        <f t="shared" si="51"/>
        <v>0.89900000000000002</v>
      </c>
      <c r="AB207" s="62">
        <f t="shared" si="52"/>
        <v>0.73399999999999999</v>
      </c>
    </row>
    <row r="208" spans="2:28">
      <c r="B208" s="106">
        <f>'114+320'!B209</f>
        <v>45238</v>
      </c>
      <c r="C208" s="75">
        <f t="shared" si="44"/>
        <v>1</v>
      </c>
      <c r="D208" s="74">
        <f t="shared" si="45"/>
        <v>842</v>
      </c>
      <c r="E208" s="73">
        <f>VLOOKUP(B208,'114+320'!B209:AB310,3,FALSE)</f>
        <v>1616</v>
      </c>
      <c r="F208" s="69">
        <f t="shared" si="40"/>
        <v>2458</v>
      </c>
      <c r="G208" s="72">
        <f>VLOOKUP(B208,'114+320'!$B$15:$AB$785,20,FALSE)</f>
        <v>694</v>
      </c>
      <c r="H208" s="72">
        <f>VLOOKUP(B208,'114+320'!$B$15:$AB$785,4,FALSE)</f>
        <v>744</v>
      </c>
      <c r="I208" s="68">
        <f t="shared" si="41"/>
        <v>1714</v>
      </c>
      <c r="J208" s="68">
        <f>VLOOKUP(B208,'114+320'!$B$15:$AB$785,13,FALSE)</f>
        <v>-286</v>
      </c>
      <c r="K208" s="66">
        <f>'114+320'!Q209</f>
        <v>0</v>
      </c>
      <c r="L208" s="65">
        <f t="shared" si="46"/>
        <v>106</v>
      </c>
      <c r="M208" s="70">
        <f>VLOOKUP(B208,'114+320'!$B$14:$AB$785,21,FALSE)</f>
        <v>677</v>
      </c>
      <c r="N208" s="69">
        <f>VLOOKUP(B208,'114+320'!$B$15:$AB$785,5,FALSE)</f>
        <v>761</v>
      </c>
      <c r="O208" s="68">
        <f t="shared" si="42"/>
        <v>1697</v>
      </c>
      <c r="P208" s="68">
        <f>VLOOKUP(B208,'114+320'!$B$15:$AB$785,14,FALSE)</f>
        <v>-303</v>
      </c>
      <c r="Q208" s="66">
        <f>'114+320'!R209</f>
        <v>0</v>
      </c>
      <c r="R208" s="65">
        <f t="shared" si="47"/>
        <v>123</v>
      </c>
      <c r="S208" s="70">
        <f>VLOOKUP(B208,'114+320'!$B$14:$AB$785,22,FALSE)</f>
        <v>689</v>
      </c>
      <c r="T208" s="69">
        <f>VLOOKUP(B208,'114+320'!$B$15:$AB$785,6,FALSE)</f>
        <v>689</v>
      </c>
      <c r="U208" s="68">
        <f t="shared" si="43"/>
        <v>1769</v>
      </c>
      <c r="V208" s="77">
        <f>VLOOKUP(B208,'114+320'!$B$15:$AB$785,15,FALSE)</f>
        <v>-231</v>
      </c>
      <c r="W208" s="66">
        <f>'114+320'!S209</f>
        <v>0</v>
      </c>
      <c r="X208" s="65">
        <f t="shared" si="48"/>
        <v>111</v>
      </c>
      <c r="Y208" s="64">
        <f t="shared" si="49"/>
        <v>0</v>
      </c>
      <c r="Z208" s="63">
        <f t="shared" si="50"/>
        <v>0</v>
      </c>
      <c r="AA208" s="62">
        <f t="shared" si="51"/>
        <v>0.89900000000000002</v>
      </c>
      <c r="AB208" s="62">
        <f t="shared" si="52"/>
        <v>0.73399999999999999</v>
      </c>
    </row>
    <row r="209" spans="2:28">
      <c r="B209" s="106">
        <f>'114+320'!B210</f>
        <v>45239</v>
      </c>
      <c r="C209" s="75">
        <f t="shared" si="44"/>
        <v>1</v>
      </c>
      <c r="D209" s="74">
        <f t="shared" si="45"/>
        <v>842</v>
      </c>
      <c r="E209" s="73">
        <f>VLOOKUP(B209,'114+320'!B210:AB311,3,FALSE)</f>
        <v>1618</v>
      </c>
      <c r="F209" s="69">
        <f t="shared" si="40"/>
        <v>2460</v>
      </c>
      <c r="G209" s="72">
        <f>VLOOKUP(B209,'114+320'!$B$15:$AB$785,20,FALSE)</f>
        <v>694</v>
      </c>
      <c r="H209" s="72">
        <f>VLOOKUP(B209,'114+320'!$B$15:$AB$785,4,FALSE)</f>
        <v>746</v>
      </c>
      <c r="I209" s="68">
        <f t="shared" si="41"/>
        <v>1714</v>
      </c>
      <c r="J209" s="68">
        <f>VLOOKUP(B209,'114+320'!$B$15:$AB$785,13,FALSE)</f>
        <v>-286</v>
      </c>
      <c r="K209" s="66">
        <f>'114+320'!Q210</f>
        <v>0</v>
      </c>
      <c r="L209" s="65">
        <f t="shared" si="46"/>
        <v>106</v>
      </c>
      <c r="M209" s="70">
        <f>VLOOKUP(B209,'114+320'!$B$14:$AB$785,21,FALSE)</f>
        <v>677</v>
      </c>
      <c r="N209" s="69">
        <f>VLOOKUP(B209,'114+320'!$B$15:$AB$785,5,FALSE)</f>
        <v>763</v>
      </c>
      <c r="O209" s="68">
        <f t="shared" si="42"/>
        <v>1697</v>
      </c>
      <c r="P209" s="68">
        <f>VLOOKUP(B209,'114+320'!$B$15:$AB$785,14,FALSE)</f>
        <v>-303</v>
      </c>
      <c r="Q209" s="66">
        <f>'114+320'!R210</f>
        <v>0</v>
      </c>
      <c r="R209" s="65">
        <f t="shared" si="47"/>
        <v>123</v>
      </c>
      <c r="S209" s="70">
        <f>VLOOKUP(B209,'114+320'!$B$14:$AB$785,22,FALSE)</f>
        <v>689</v>
      </c>
      <c r="T209" s="69">
        <f>VLOOKUP(B209,'114+320'!$B$15:$AB$785,6,FALSE)</f>
        <v>691</v>
      </c>
      <c r="U209" s="68">
        <f t="shared" si="43"/>
        <v>1769</v>
      </c>
      <c r="V209" s="77">
        <f>VLOOKUP(B209,'114+320'!$B$15:$AB$785,15,FALSE)</f>
        <v>-231</v>
      </c>
      <c r="W209" s="66">
        <f>'114+320'!S210</f>
        <v>0</v>
      </c>
      <c r="X209" s="65">
        <f t="shared" si="48"/>
        <v>111</v>
      </c>
      <c r="Y209" s="64">
        <f t="shared" si="49"/>
        <v>0</v>
      </c>
      <c r="Z209" s="63">
        <f t="shared" si="50"/>
        <v>0</v>
      </c>
      <c r="AA209" s="62">
        <f t="shared" si="51"/>
        <v>0.89900000000000002</v>
      </c>
      <c r="AB209" s="62">
        <f t="shared" si="52"/>
        <v>0.73399999999999999</v>
      </c>
    </row>
    <row r="210" spans="2:28">
      <c r="B210" s="106">
        <f>'114+320'!B211</f>
        <v>45240</v>
      </c>
      <c r="C210" s="75">
        <f t="shared" si="44"/>
        <v>1</v>
      </c>
      <c r="D210" s="74">
        <f t="shared" si="45"/>
        <v>842</v>
      </c>
      <c r="E210" s="73">
        <f>VLOOKUP(B210,'114+320'!B211:AB312,3,FALSE)</f>
        <v>1620</v>
      </c>
      <c r="F210" s="69">
        <f t="shared" si="40"/>
        <v>2462</v>
      </c>
      <c r="G210" s="72">
        <f>VLOOKUP(B210,'114+320'!$B$15:$AB$785,20,FALSE)</f>
        <v>694</v>
      </c>
      <c r="H210" s="72">
        <f>VLOOKUP(B210,'114+320'!$B$15:$AB$785,4,FALSE)</f>
        <v>748</v>
      </c>
      <c r="I210" s="68">
        <f t="shared" si="41"/>
        <v>1714</v>
      </c>
      <c r="J210" s="68">
        <f>VLOOKUP(B210,'114+320'!$B$15:$AB$785,13,FALSE)</f>
        <v>-286</v>
      </c>
      <c r="K210" s="66">
        <f>'114+320'!Q211</f>
        <v>0</v>
      </c>
      <c r="L210" s="65">
        <f t="shared" si="46"/>
        <v>106</v>
      </c>
      <c r="M210" s="70">
        <f>VLOOKUP(B210,'114+320'!$B$14:$AB$785,21,FALSE)</f>
        <v>677</v>
      </c>
      <c r="N210" s="69">
        <f>VLOOKUP(B210,'114+320'!$B$15:$AB$785,5,FALSE)</f>
        <v>765</v>
      </c>
      <c r="O210" s="68">
        <f t="shared" si="42"/>
        <v>1697</v>
      </c>
      <c r="P210" s="68">
        <f>VLOOKUP(B210,'114+320'!$B$15:$AB$785,14,FALSE)</f>
        <v>-303</v>
      </c>
      <c r="Q210" s="66">
        <f>'114+320'!R211</f>
        <v>0</v>
      </c>
      <c r="R210" s="65">
        <f t="shared" si="47"/>
        <v>123</v>
      </c>
      <c r="S210" s="70">
        <f>VLOOKUP(B210,'114+320'!$B$14:$AB$785,22,FALSE)</f>
        <v>689</v>
      </c>
      <c r="T210" s="69">
        <f>VLOOKUP(B210,'114+320'!$B$15:$AB$785,6,FALSE)</f>
        <v>693</v>
      </c>
      <c r="U210" s="68">
        <f t="shared" si="43"/>
        <v>1769</v>
      </c>
      <c r="V210" s="77">
        <f>VLOOKUP(B210,'114+320'!$B$15:$AB$785,15,FALSE)</f>
        <v>-231</v>
      </c>
      <c r="W210" s="66">
        <f>'114+320'!S211</f>
        <v>0</v>
      </c>
      <c r="X210" s="65">
        <f t="shared" si="48"/>
        <v>111</v>
      </c>
      <c r="Y210" s="64">
        <f t="shared" si="49"/>
        <v>0</v>
      </c>
      <c r="Z210" s="63">
        <f t="shared" si="50"/>
        <v>0</v>
      </c>
      <c r="AA210" s="62">
        <f t="shared" si="51"/>
        <v>0.89900000000000002</v>
      </c>
      <c r="AB210" s="62">
        <f t="shared" si="52"/>
        <v>0.73399999999999999</v>
      </c>
    </row>
    <row r="211" spans="2:28">
      <c r="B211" s="106">
        <f>'114+320'!B212</f>
        <v>45241</v>
      </c>
      <c r="C211" s="75">
        <f t="shared" si="44"/>
        <v>1</v>
      </c>
      <c r="D211" s="74">
        <f t="shared" si="45"/>
        <v>842</v>
      </c>
      <c r="E211" s="73">
        <f>VLOOKUP(B211,'114+320'!B212:AB313,3,FALSE)</f>
        <v>1622</v>
      </c>
      <c r="F211" s="69">
        <f t="shared" si="40"/>
        <v>2464</v>
      </c>
      <c r="G211" s="72">
        <f>VLOOKUP(B211,'114+320'!$B$15:$AB$785,20,FALSE)</f>
        <v>694</v>
      </c>
      <c r="H211" s="72">
        <f>VLOOKUP(B211,'114+320'!$B$15:$AB$785,4,FALSE)</f>
        <v>750</v>
      </c>
      <c r="I211" s="68">
        <f t="shared" si="41"/>
        <v>1714</v>
      </c>
      <c r="J211" s="68">
        <f>VLOOKUP(B211,'114+320'!$B$15:$AB$785,13,FALSE)</f>
        <v>-286</v>
      </c>
      <c r="K211" s="66">
        <f>'114+320'!Q212</f>
        <v>0</v>
      </c>
      <c r="L211" s="65">
        <f t="shared" si="46"/>
        <v>106</v>
      </c>
      <c r="M211" s="70">
        <f>VLOOKUP(B211,'114+320'!$B$14:$AB$785,21,FALSE)</f>
        <v>677</v>
      </c>
      <c r="N211" s="69">
        <f>VLOOKUP(B211,'114+320'!$B$15:$AB$785,5,FALSE)</f>
        <v>767</v>
      </c>
      <c r="O211" s="68">
        <f t="shared" si="42"/>
        <v>1697</v>
      </c>
      <c r="P211" s="68">
        <f>VLOOKUP(B211,'114+320'!$B$15:$AB$785,14,FALSE)</f>
        <v>-303</v>
      </c>
      <c r="Q211" s="66">
        <f>'114+320'!R212</f>
        <v>0</v>
      </c>
      <c r="R211" s="65">
        <f t="shared" si="47"/>
        <v>123</v>
      </c>
      <c r="S211" s="70">
        <f>VLOOKUP(B211,'114+320'!$B$14:$AB$785,22,FALSE)</f>
        <v>689</v>
      </c>
      <c r="T211" s="69">
        <f>VLOOKUP(B211,'114+320'!$B$15:$AB$785,6,FALSE)</f>
        <v>695</v>
      </c>
      <c r="U211" s="68">
        <f t="shared" si="43"/>
        <v>1769</v>
      </c>
      <c r="V211" s="77">
        <f>VLOOKUP(B211,'114+320'!$B$15:$AB$785,15,FALSE)</f>
        <v>-231</v>
      </c>
      <c r="W211" s="66">
        <f>'114+320'!S212</f>
        <v>0</v>
      </c>
      <c r="X211" s="65">
        <f t="shared" si="48"/>
        <v>111</v>
      </c>
      <c r="Y211" s="64">
        <f t="shared" si="49"/>
        <v>0</v>
      </c>
      <c r="Z211" s="63">
        <f t="shared" si="50"/>
        <v>0</v>
      </c>
      <c r="AA211" s="62">
        <f t="shared" si="51"/>
        <v>0.89900000000000002</v>
      </c>
      <c r="AB211" s="62">
        <f t="shared" si="52"/>
        <v>0.73399999999999999</v>
      </c>
    </row>
    <row r="212" spans="2:28">
      <c r="B212" s="106">
        <f>'114+320'!B213</f>
        <v>45242</v>
      </c>
      <c r="C212" s="75">
        <f t="shared" si="44"/>
        <v>1</v>
      </c>
      <c r="D212" s="74">
        <f t="shared" si="45"/>
        <v>842</v>
      </c>
      <c r="E212" s="73">
        <f>VLOOKUP(B212,'114+320'!B213:AB314,3,FALSE)</f>
        <v>1624</v>
      </c>
      <c r="F212" s="69">
        <f t="shared" si="40"/>
        <v>2466</v>
      </c>
      <c r="G212" s="72">
        <f>VLOOKUP(B212,'114+320'!$B$15:$AB$785,20,FALSE)</f>
        <v>694</v>
      </c>
      <c r="H212" s="72">
        <f>VLOOKUP(B212,'114+320'!$B$15:$AB$785,4,FALSE)</f>
        <v>752</v>
      </c>
      <c r="I212" s="68">
        <f t="shared" si="41"/>
        <v>1714</v>
      </c>
      <c r="J212" s="68">
        <f>VLOOKUP(B212,'114+320'!$B$15:$AB$785,13,FALSE)</f>
        <v>-286</v>
      </c>
      <c r="K212" s="66">
        <f>'114+320'!Q213</f>
        <v>0</v>
      </c>
      <c r="L212" s="65">
        <f t="shared" si="46"/>
        <v>106</v>
      </c>
      <c r="M212" s="70">
        <f>VLOOKUP(B212,'114+320'!$B$14:$AB$785,21,FALSE)</f>
        <v>677</v>
      </c>
      <c r="N212" s="69">
        <f>VLOOKUP(B212,'114+320'!$B$15:$AB$785,5,FALSE)</f>
        <v>769</v>
      </c>
      <c r="O212" s="68">
        <f t="shared" si="42"/>
        <v>1697</v>
      </c>
      <c r="P212" s="68">
        <f>VLOOKUP(B212,'114+320'!$B$15:$AB$785,14,FALSE)</f>
        <v>-303</v>
      </c>
      <c r="Q212" s="66">
        <f>'114+320'!R213</f>
        <v>0</v>
      </c>
      <c r="R212" s="65">
        <f t="shared" si="47"/>
        <v>123</v>
      </c>
      <c r="S212" s="70">
        <f>VLOOKUP(B212,'114+320'!$B$14:$AB$785,22,FALSE)</f>
        <v>689</v>
      </c>
      <c r="T212" s="69">
        <f>VLOOKUP(B212,'114+320'!$B$15:$AB$785,6,FALSE)</f>
        <v>697</v>
      </c>
      <c r="U212" s="68">
        <f t="shared" si="43"/>
        <v>1769</v>
      </c>
      <c r="V212" s="77">
        <f>VLOOKUP(B212,'114+320'!$B$15:$AB$785,15,FALSE)</f>
        <v>-231</v>
      </c>
      <c r="W212" s="66">
        <f>'114+320'!S213</f>
        <v>0</v>
      </c>
      <c r="X212" s="65">
        <f t="shared" si="48"/>
        <v>111</v>
      </c>
      <c r="Y212" s="64">
        <f t="shared" si="49"/>
        <v>0</v>
      </c>
      <c r="Z212" s="63">
        <f t="shared" si="50"/>
        <v>0</v>
      </c>
      <c r="AA212" s="62">
        <f t="shared" si="51"/>
        <v>0.89900000000000002</v>
      </c>
      <c r="AB212" s="62">
        <f t="shared" si="52"/>
        <v>0.73399999999999999</v>
      </c>
    </row>
    <row r="213" spans="2:28">
      <c r="B213" s="106">
        <f>'114+320'!B214</f>
        <v>45243</v>
      </c>
      <c r="C213" s="75">
        <f t="shared" si="44"/>
        <v>1</v>
      </c>
      <c r="D213" s="74">
        <f t="shared" si="45"/>
        <v>842</v>
      </c>
      <c r="E213" s="73">
        <f>VLOOKUP(B213,'114+320'!B214:AB315,3,FALSE)</f>
        <v>1626</v>
      </c>
      <c r="F213" s="69">
        <f t="shared" si="40"/>
        <v>2468</v>
      </c>
      <c r="G213" s="72">
        <f>VLOOKUP(B213,'114+320'!$B$15:$AB$785,20,FALSE)</f>
        <v>694</v>
      </c>
      <c r="H213" s="72">
        <f>VLOOKUP(B213,'114+320'!$B$15:$AB$785,4,FALSE)</f>
        <v>754</v>
      </c>
      <c r="I213" s="68">
        <f t="shared" si="41"/>
        <v>1714</v>
      </c>
      <c r="J213" s="68">
        <f>VLOOKUP(B213,'114+320'!$B$15:$AB$785,13,FALSE)</f>
        <v>-286</v>
      </c>
      <c r="K213" s="66">
        <f>'114+320'!Q214</f>
        <v>0</v>
      </c>
      <c r="L213" s="65">
        <f t="shared" si="46"/>
        <v>106</v>
      </c>
      <c r="M213" s="70">
        <f>VLOOKUP(B213,'114+320'!$B$14:$AB$785,21,FALSE)</f>
        <v>677</v>
      </c>
      <c r="N213" s="69">
        <f>VLOOKUP(B213,'114+320'!$B$15:$AB$785,5,FALSE)</f>
        <v>771</v>
      </c>
      <c r="O213" s="68">
        <f t="shared" si="42"/>
        <v>1697</v>
      </c>
      <c r="P213" s="68">
        <f>VLOOKUP(B213,'114+320'!$B$15:$AB$785,14,FALSE)</f>
        <v>-303</v>
      </c>
      <c r="Q213" s="66">
        <f>'114+320'!R214</f>
        <v>0</v>
      </c>
      <c r="R213" s="65">
        <f t="shared" si="47"/>
        <v>123</v>
      </c>
      <c r="S213" s="70">
        <f>VLOOKUP(B213,'114+320'!$B$14:$AB$785,22,FALSE)</f>
        <v>689</v>
      </c>
      <c r="T213" s="69">
        <f>VLOOKUP(B213,'114+320'!$B$15:$AB$785,6,FALSE)</f>
        <v>699</v>
      </c>
      <c r="U213" s="68">
        <f t="shared" si="43"/>
        <v>1769</v>
      </c>
      <c r="V213" s="77">
        <f>VLOOKUP(B213,'114+320'!$B$15:$AB$785,15,FALSE)</f>
        <v>-231</v>
      </c>
      <c r="W213" s="66">
        <f>'114+320'!S214</f>
        <v>0</v>
      </c>
      <c r="X213" s="65">
        <f t="shared" si="48"/>
        <v>111</v>
      </c>
      <c r="Y213" s="64">
        <f t="shared" si="49"/>
        <v>0</v>
      </c>
      <c r="Z213" s="63">
        <f t="shared" si="50"/>
        <v>0</v>
      </c>
      <c r="AA213" s="62">
        <f t="shared" si="51"/>
        <v>0.89900000000000002</v>
      </c>
      <c r="AB213" s="62">
        <f t="shared" si="52"/>
        <v>0.73399999999999999</v>
      </c>
    </row>
    <row r="214" spans="2:28">
      <c r="B214" s="106">
        <f>'114+320'!B215</f>
        <v>45244</v>
      </c>
      <c r="C214" s="75">
        <f t="shared" si="44"/>
        <v>1</v>
      </c>
      <c r="D214" s="74">
        <f t="shared" si="45"/>
        <v>842</v>
      </c>
      <c r="E214" s="73">
        <f>VLOOKUP(B214,'114+320'!B215:AB316,3,FALSE)</f>
        <v>1628</v>
      </c>
      <c r="F214" s="69">
        <f t="shared" si="40"/>
        <v>2470</v>
      </c>
      <c r="G214" s="72">
        <f>VLOOKUP(B214,'114+320'!$B$15:$AB$785,20,FALSE)</f>
        <v>694</v>
      </c>
      <c r="H214" s="72">
        <f>VLOOKUP(B214,'114+320'!$B$15:$AB$785,4,FALSE)</f>
        <v>756</v>
      </c>
      <c r="I214" s="68">
        <f t="shared" si="41"/>
        <v>1714</v>
      </c>
      <c r="J214" s="68">
        <f>VLOOKUP(B214,'114+320'!$B$15:$AB$785,13,FALSE)</f>
        <v>-286</v>
      </c>
      <c r="K214" s="66">
        <f>'114+320'!Q215</f>
        <v>0</v>
      </c>
      <c r="L214" s="65">
        <f t="shared" si="46"/>
        <v>106</v>
      </c>
      <c r="M214" s="70">
        <f>VLOOKUP(B214,'114+320'!$B$14:$AB$785,21,FALSE)</f>
        <v>677</v>
      </c>
      <c r="N214" s="69">
        <f>VLOOKUP(B214,'114+320'!$B$15:$AB$785,5,FALSE)</f>
        <v>773</v>
      </c>
      <c r="O214" s="68">
        <f t="shared" si="42"/>
        <v>1697</v>
      </c>
      <c r="P214" s="68">
        <f>VLOOKUP(B214,'114+320'!$B$15:$AB$785,14,FALSE)</f>
        <v>-303</v>
      </c>
      <c r="Q214" s="66">
        <f>'114+320'!R215</f>
        <v>0</v>
      </c>
      <c r="R214" s="65">
        <f t="shared" si="47"/>
        <v>123</v>
      </c>
      <c r="S214" s="70">
        <f>VLOOKUP(B214,'114+320'!$B$14:$AB$785,22,FALSE)</f>
        <v>689</v>
      </c>
      <c r="T214" s="69">
        <f>VLOOKUP(B214,'114+320'!$B$15:$AB$785,6,FALSE)</f>
        <v>701</v>
      </c>
      <c r="U214" s="68">
        <f t="shared" si="43"/>
        <v>1769</v>
      </c>
      <c r="V214" s="77">
        <f>VLOOKUP(B214,'114+320'!$B$15:$AB$785,15,FALSE)</f>
        <v>-231</v>
      </c>
      <c r="W214" s="66">
        <f>'114+320'!S215</f>
        <v>0</v>
      </c>
      <c r="X214" s="65">
        <f t="shared" si="48"/>
        <v>111</v>
      </c>
      <c r="Y214" s="64">
        <f t="shared" si="49"/>
        <v>0</v>
      </c>
      <c r="Z214" s="63">
        <f t="shared" si="50"/>
        <v>0</v>
      </c>
      <c r="AA214" s="62">
        <f t="shared" si="51"/>
        <v>0.89900000000000002</v>
      </c>
      <c r="AB214" s="62">
        <f t="shared" si="52"/>
        <v>0.73399999999999999</v>
      </c>
    </row>
    <row r="215" spans="2:28">
      <c r="B215" s="106">
        <f>'114+320'!B216</f>
        <v>45245</v>
      </c>
      <c r="C215" s="75">
        <f t="shared" si="44"/>
        <v>1</v>
      </c>
      <c r="D215" s="74">
        <f t="shared" si="45"/>
        <v>842</v>
      </c>
      <c r="E215" s="73">
        <f>VLOOKUP(B215,'114+320'!B216:AB317,3,FALSE)</f>
        <v>1630</v>
      </c>
      <c r="F215" s="69">
        <f t="shared" si="40"/>
        <v>2472</v>
      </c>
      <c r="G215" s="72">
        <f>VLOOKUP(B215,'114+320'!$B$15:$AB$785,20,FALSE)</f>
        <v>694</v>
      </c>
      <c r="H215" s="72">
        <f>VLOOKUP(B215,'114+320'!$B$15:$AB$785,4,FALSE)</f>
        <v>758</v>
      </c>
      <c r="I215" s="68">
        <f t="shared" si="41"/>
        <v>1714</v>
      </c>
      <c r="J215" s="68">
        <f>VLOOKUP(B215,'114+320'!$B$15:$AB$785,13,FALSE)</f>
        <v>-286</v>
      </c>
      <c r="K215" s="66">
        <f>'114+320'!Q216</f>
        <v>0</v>
      </c>
      <c r="L215" s="65">
        <f t="shared" si="46"/>
        <v>106</v>
      </c>
      <c r="M215" s="70">
        <f>VLOOKUP(B215,'114+320'!$B$14:$AB$785,21,FALSE)</f>
        <v>677</v>
      </c>
      <c r="N215" s="69">
        <f>VLOOKUP(B215,'114+320'!$B$15:$AB$785,5,FALSE)</f>
        <v>775</v>
      </c>
      <c r="O215" s="68">
        <f t="shared" si="42"/>
        <v>1697</v>
      </c>
      <c r="P215" s="68">
        <f>VLOOKUP(B215,'114+320'!$B$15:$AB$785,14,FALSE)</f>
        <v>-303</v>
      </c>
      <c r="Q215" s="66">
        <f>'114+320'!R216</f>
        <v>0</v>
      </c>
      <c r="R215" s="65">
        <f t="shared" si="47"/>
        <v>123</v>
      </c>
      <c r="S215" s="70">
        <f>VLOOKUP(B215,'114+320'!$B$14:$AB$785,22,FALSE)</f>
        <v>689</v>
      </c>
      <c r="T215" s="69">
        <f>VLOOKUP(B215,'114+320'!$B$15:$AB$785,6,FALSE)</f>
        <v>703</v>
      </c>
      <c r="U215" s="68">
        <f t="shared" si="43"/>
        <v>1769</v>
      </c>
      <c r="V215" s="77">
        <f>VLOOKUP(B215,'114+320'!$B$15:$AB$785,15,FALSE)</f>
        <v>-231</v>
      </c>
      <c r="W215" s="66">
        <f>'114+320'!S216</f>
        <v>0</v>
      </c>
      <c r="X215" s="65">
        <f t="shared" si="48"/>
        <v>111</v>
      </c>
      <c r="Y215" s="64">
        <f t="shared" si="49"/>
        <v>0</v>
      </c>
      <c r="Z215" s="63">
        <f t="shared" si="50"/>
        <v>0</v>
      </c>
      <c r="AA215" s="62">
        <f t="shared" si="51"/>
        <v>0.89900000000000002</v>
      </c>
      <c r="AB215" s="62">
        <f t="shared" si="52"/>
        <v>0.73399999999999999</v>
      </c>
    </row>
    <row r="216" spans="2:28">
      <c r="B216" s="106">
        <f>'114+320'!B217</f>
        <v>45246</v>
      </c>
      <c r="C216" s="75">
        <f t="shared" si="44"/>
        <v>1</v>
      </c>
      <c r="D216" s="74">
        <f t="shared" si="45"/>
        <v>842</v>
      </c>
      <c r="E216" s="73">
        <f>VLOOKUP(B216,'114+320'!B217:AB318,3,FALSE)</f>
        <v>1632</v>
      </c>
      <c r="F216" s="69">
        <f t="shared" si="40"/>
        <v>2474</v>
      </c>
      <c r="G216" s="72">
        <f>VLOOKUP(B216,'114+320'!$B$15:$AB$785,20,FALSE)</f>
        <v>694</v>
      </c>
      <c r="H216" s="72">
        <f>VLOOKUP(B216,'114+320'!$B$15:$AB$785,4,FALSE)</f>
        <v>760</v>
      </c>
      <c r="I216" s="68">
        <f t="shared" si="41"/>
        <v>1714</v>
      </c>
      <c r="J216" s="68">
        <f>VLOOKUP(B216,'114+320'!$B$15:$AB$785,13,FALSE)</f>
        <v>-286</v>
      </c>
      <c r="K216" s="66">
        <f>'114+320'!Q217</f>
        <v>0</v>
      </c>
      <c r="L216" s="65">
        <f t="shared" si="46"/>
        <v>106</v>
      </c>
      <c r="M216" s="70">
        <f>VLOOKUP(B216,'114+320'!$B$14:$AB$785,21,FALSE)</f>
        <v>677</v>
      </c>
      <c r="N216" s="69">
        <f>VLOOKUP(B216,'114+320'!$B$15:$AB$785,5,FALSE)</f>
        <v>777</v>
      </c>
      <c r="O216" s="68">
        <f t="shared" si="42"/>
        <v>1697</v>
      </c>
      <c r="P216" s="68">
        <f>VLOOKUP(B216,'114+320'!$B$15:$AB$785,14,FALSE)</f>
        <v>-303</v>
      </c>
      <c r="Q216" s="66">
        <f>'114+320'!R217</f>
        <v>0</v>
      </c>
      <c r="R216" s="65">
        <f t="shared" si="47"/>
        <v>123</v>
      </c>
      <c r="S216" s="70">
        <f>VLOOKUP(B216,'114+320'!$B$14:$AB$785,22,FALSE)</f>
        <v>689</v>
      </c>
      <c r="T216" s="69">
        <f>VLOOKUP(B216,'114+320'!$B$15:$AB$785,6,FALSE)</f>
        <v>705</v>
      </c>
      <c r="U216" s="68">
        <f t="shared" si="43"/>
        <v>1769</v>
      </c>
      <c r="V216" s="77">
        <f>VLOOKUP(B216,'114+320'!$B$15:$AB$785,15,FALSE)</f>
        <v>-231</v>
      </c>
      <c r="W216" s="66">
        <f>'114+320'!S217</f>
        <v>0</v>
      </c>
      <c r="X216" s="65">
        <f t="shared" si="48"/>
        <v>111</v>
      </c>
      <c r="Y216" s="64">
        <f t="shared" si="49"/>
        <v>0</v>
      </c>
      <c r="Z216" s="63">
        <f t="shared" si="50"/>
        <v>0</v>
      </c>
      <c r="AA216" s="62">
        <f t="shared" si="51"/>
        <v>0.89900000000000002</v>
      </c>
      <c r="AB216" s="62">
        <f t="shared" si="52"/>
        <v>0.73399999999999999</v>
      </c>
    </row>
    <row r="217" spans="2:28">
      <c r="B217" s="106">
        <f>'114+320'!B218</f>
        <v>45247</v>
      </c>
      <c r="C217" s="75">
        <f t="shared" si="44"/>
        <v>1</v>
      </c>
      <c r="D217" s="74">
        <f t="shared" si="45"/>
        <v>842</v>
      </c>
      <c r="E217" s="73">
        <f>VLOOKUP(B217,'114+320'!B218:AB319,3,FALSE)</f>
        <v>1634</v>
      </c>
      <c r="F217" s="69">
        <f t="shared" si="40"/>
        <v>2476</v>
      </c>
      <c r="G217" s="72">
        <f>VLOOKUP(B217,'114+320'!$B$15:$AB$785,20,FALSE)</f>
        <v>694</v>
      </c>
      <c r="H217" s="72">
        <f>VLOOKUP(B217,'114+320'!$B$15:$AB$785,4,FALSE)</f>
        <v>762</v>
      </c>
      <c r="I217" s="68">
        <f t="shared" si="41"/>
        <v>1714</v>
      </c>
      <c r="J217" s="68">
        <f>VLOOKUP(B217,'114+320'!$B$15:$AB$785,13,FALSE)</f>
        <v>-286</v>
      </c>
      <c r="K217" s="66">
        <f>'114+320'!Q218</f>
        <v>0</v>
      </c>
      <c r="L217" s="65">
        <f t="shared" si="46"/>
        <v>106</v>
      </c>
      <c r="M217" s="70">
        <f>VLOOKUP(B217,'114+320'!$B$14:$AB$785,21,FALSE)</f>
        <v>677</v>
      </c>
      <c r="N217" s="69">
        <f>VLOOKUP(B217,'114+320'!$B$15:$AB$785,5,FALSE)</f>
        <v>779</v>
      </c>
      <c r="O217" s="68">
        <f t="shared" si="42"/>
        <v>1697</v>
      </c>
      <c r="P217" s="68">
        <f>VLOOKUP(B217,'114+320'!$B$15:$AB$785,14,FALSE)</f>
        <v>-303</v>
      </c>
      <c r="Q217" s="66">
        <f>'114+320'!R218</f>
        <v>0</v>
      </c>
      <c r="R217" s="65">
        <f t="shared" si="47"/>
        <v>123</v>
      </c>
      <c r="S217" s="70">
        <f>VLOOKUP(B217,'114+320'!$B$14:$AB$785,22,FALSE)</f>
        <v>689</v>
      </c>
      <c r="T217" s="69">
        <f>VLOOKUP(B217,'114+320'!$B$15:$AB$785,6,FALSE)</f>
        <v>707</v>
      </c>
      <c r="U217" s="68">
        <f t="shared" si="43"/>
        <v>1769</v>
      </c>
      <c r="V217" s="77">
        <f>VLOOKUP(B217,'114+320'!$B$15:$AB$785,15,FALSE)</f>
        <v>-231</v>
      </c>
      <c r="W217" s="66">
        <f>'114+320'!S218</f>
        <v>0</v>
      </c>
      <c r="X217" s="65">
        <f t="shared" si="48"/>
        <v>111</v>
      </c>
      <c r="Y217" s="64">
        <f t="shared" si="49"/>
        <v>0</v>
      </c>
      <c r="Z217" s="63">
        <f t="shared" si="50"/>
        <v>0</v>
      </c>
      <c r="AA217" s="62">
        <f t="shared" si="51"/>
        <v>0.89900000000000002</v>
      </c>
      <c r="AB217" s="62">
        <f t="shared" si="52"/>
        <v>0.73399999999999999</v>
      </c>
    </row>
    <row r="218" spans="2:28">
      <c r="B218" s="106">
        <f>'114+320'!B219</f>
        <v>45248</v>
      </c>
      <c r="C218" s="75">
        <f t="shared" si="44"/>
        <v>1</v>
      </c>
      <c r="D218" s="74">
        <f t="shared" si="45"/>
        <v>842</v>
      </c>
      <c r="E218" s="73">
        <f>VLOOKUP(B218,'114+320'!B219:AB320,3,FALSE)</f>
        <v>1636</v>
      </c>
      <c r="F218" s="69">
        <f t="shared" si="40"/>
        <v>2478</v>
      </c>
      <c r="G218" s="72">
        <f>VLOOKUP(B218,'114+320'!$B$15:$AB$785,20,FALSE)</f>
        <v>694</v>
      </c>
      <c r="H218" s="72">
        <f>VLOOKUP(B218,'114+320'!$B$15:$AB$785,4,FALSE)</f>
        <v>764</v>
      </c>
      <c r="I218" s="68">
        <f t="shared" si="41"/>
        <v>1714</v>
      </c>
      <c r="J218" s="68">
        <f>VLOOKUP(B218,'114+320'!$B$15:$AB$785,13,FALSE)</f>
        <v>-286</v>
      </c>
      <c r="K218" s="66">
        <f>'114+320'!Q219</f>
        <v>0</v>
      </c>
      <c r="L218" s="65">
        <f t="shared" si="46"/>
        <v>106</v>
      </c>
      <c r="M218" s="70">
        <f>VLOOKUP(B218,'114+320'!$B$14:$AB$785,21,FALSE)</f>
        <v>677</v>
      </c>
      <c r="N218" s="69">
        <f>VLOOKUP(B218,'114+320'!$B$15:$AB$785,5,FALSE)</f>
        <v>781</v>
      </c>
      <c r="O218" s="68">
        <f t="shared" si="42"/>
        <v>1697</v>
      </c>
      <c r="P218" s="68">
        <f>VLOOKUP(B218,'114+320'!$B$15:$AB$785,14,FALSE)</f>
        <v>-303</v>
      </c>
      <c r="Q218" s="66">
        <f>'114+320'!R219</f>
        <v>0</v>
      </c>
      <c r="R218" s="65">
        <f t="shared" si="47"/>
        <v>123</v>
      </c>
      <c r="S218" s="70">
        <f>VLOOKUP(B218,'114+320'!$B$14:$AB$785,22,FALSE)</f>
        <v>689</v>
      </c>
      <c r="T218" s="69">
        <f>VLOOKUP(B218,'114+320'!$B$15:$AB$785,6,FALSE)</f>
        <v>709</v>
      </c>
      <c r="U218" s="68">
        <f t="shared" si="43"/>
        <v>1769</v>
      </c>
      <c r="V218" s="77">
        <f>VLOOKUP(B218,'114+320'!$B$15:$AB$785,15,FALSE)</f>
        <v>-231</v>
      </c>
      <c r="W218" s="66">
        <f>'114+320'!S219</f>
        <v>0</v>
      </c>
      <c r="X218" s="65">
        <f t="shared" si="48"/>
        <v>111</v>
      </c>
      <c r="Y218" s="64">
        <f t="shared" si="49"/>
        <v>0</v>
      </c>
      <c r="Z218" s="63">
        <f t="shared" si="50"/>
        <v>0</v>
      </c>
      <c r="AA218" s="62">
        <f t="shared" si="51"/>
        <v>0.89900000000000002</v>
      </c>
      <c r="AB218" s="62">
        <f t="shared" si="52"/>
        <v>0.73399999999999999</v>
      </c>
    </row>
    <row r="219" spans="2:28">
      <c r="B219" s="106">
        <f>'114+320'!B220</f>
        <v>45249</v>
      </c>
      <c r="C219" s="75">
        <f t="shared" si="44"/>
        <v>1</v>
      </c>
      <c r="D219" s="74">
        <f t="shared" si="45"/>
        <v>842</v>
      </c>
      <c r="E219" s="73">
        <f>VLOOKUP(B219,'114+320'!B220:AB321,3,FALSE)</f>
        <v>1638</v>
      </c>
      <c r="F219" s="69">
        <f t="shared" si="40"/>
        <v>2480</v>
      </c>
      <c r="G219" s="72">
        <f>VLOOKUP(B219,'114+320'!$B$15:$AB$785,20,FALSE)</f>
        <v>694</v>
      </c>
      <c r="H219" s="72">
        <f>VLOOKUP(B219,'114+320'!$B$15:$AB$785,4,FALSE)</f>
        <v>766</v>
      </c>
      <c r="I219" s="68">
        <f t="shared" si="41"/>
        <v>1714</v>
      </c>
      <c r="J219" s="68">
        <f>VLOOKUP(B219,'114+320'!$B$15:$AB$785,13,FALSE)</f>
        <v>-286</v>
      </c>
      <c r="K219" s="66">
        <f>'114+320'!Q220</f>
        <v>0</v>
      </c>
      <c r="L219" s="65">
        <f t="shared" si="46"/>
        <v>106</v>
      </c>
      <c r="M219" s="70">
        <f>VLOOKUP(B219,'114+320'!$B$14:$AB$785,21,FALSE)</f>
        <v>677</v>
      </c>
      <c r="N219" s="69">
        <f>VLOOKUP(B219,'114+320'!$B$15:$AB$785,5,FALSE)</f>
        <v>783</v>
      </c>
      <c r="O219" s="68">
        <f t="shared" si="42"/>
        <v>1697</v>
      </c>
      <c r="P219" s="68">
        <f>VLOOKUP(B219,'114+320'!$B$15:$AB$785,14,FALSE)</f>
        <v>-303</v>
      </c>
      <c r="Q219" s="66">
        <f>'114+320'!R220</f>
        <v>0</v>
      </c>
      <c r="R219" s="65">
        <f t="shared" si="47"/>
        <v>123</v>
      </c>
      <c r="S219" s="70">
        <f>VLOOKUP(B219,'114+320'!$B$14:$AB$785,22,FALSE)</f>
        <v>689</v>
      </c>
      <c r="T219" s="69">
        <f>VLOOKUP(B219,'114+320'!$B$15:$AB$785,6,FALSE)</f>
        <v>711</v>
      </c>
      <c r="U219" s="68">
        <f t="shared" si="43"/>
        <v>1769</v>
      </c>
      <c r="V219" s="77">
        <f>VLOOKUP(B219,'114+320'!$B$15:$AB$785,15,FALSE)</f>
        <v>-231</v>
      </c>
      <c r="W219" s="66">
        <f>'114+320'!S220</f>
        <v>0</v>
      </c>
      <c r="X219" s="65">
        <f t="shared" si="48"/>
        <v>111</v>
      </c>
      <c r="Y219" s="64">
        <f t="shared" si="49"/>
        <v>0</v>
      </c>
      <c r="Z219" s="63">
        <f t="shared" si="50"/>
        <v>0</v>
      </c>
      <c r="AA219" s="62">
        <f t="shared" si="51"/>
        <v>0.89900000000000002</v>
      </c>
      <c r="AB219" s="62">
        <f t="shared" si="52"/>
        <v>0.73399999999999999</v>
      </c>
    </row>
    <row r="220" spans="2:28">
      <c r="B220" s="106">
        <f>'114+320'!B221</f>
        <v>45250</v>
      </c>
      <c r="C220" s="75">
        <f t="shared" si="44"/>
        <v>1</v>
      </c>
      <c r="D220" s="74">
        <f t="shared" si="45"/>
        <v>842</v>
      </c>
      <c r="E220" s="73">
        <f>VLOOKUP(B220,'114+320'!B221:AB322,3,FALSE)</f>
        <v>1640</v>
      </c>
      <c r="F220" s="69">
        <f t="shared" si="40"/>
        <v>2482</v>
      </c>
      <c r="G220" s="72">
        <f>VLOOKUP(B220,'114+320'!$B$15:$AB$785,20,FALSE)</f>
        <v>694</v>
      </c>
      <c r="H220" s="72">
        <f>VLOOKUP(B220,'114+320'!$B$15:$AB$785,4,FALSE)</f>
        <v>768</v>
      </c>
      <c r="I220" s="68">
        <f t="shared" si="41"/>
        <v>1714</v>
      </c>
      <c r="J220" s="68">
        <f>VLOOKUP(B220,'114+320'!$B$15:$AB$785,13,FALSE)</f>
        <v>-286</v>
      </c>
      <c r="K220" s="66">
        <f>'114+320'!Q221</f>
        <v>0</v>
      </c>
      <c r="L220" s="65">
        <f t="shared" si="46"/>
        <v>106</v>
      </c>
      <c r="M220" s="70">
        <f>VLOOKUP(B220,'114+320'!$B$14:$AB$785,21,FALSE)</f>
        <v>677</v>
      </c>
      <c r="N220" s="69">
        <f>VLOOKUP(B220,'114+320'!$B$15:$AB$785,5,FALSE)</f>
        <v>785</v>
      </c>
      <c r="O220" s="68">
        <f t="shared" si="42"/>
        <v>1697</v>
      </c>
      <c r="P220" s="68">
        <f>VLOOKUP(B220,'114+320'!$B$15:$AB$785,14,FALSE)</f>
        <v>-303</v>
      </c>
      <c r="Q220" s="66">
        <f>'114+320'!R221</f>
        <v>0</v>
      </c>
      <c r="R220" s="65">
        <f t="shared" si="47"/>
        <v>123</v>
      </c>
      <c r="S220" s="70">
        <f>VLOOKUP(B220,'114+320'!$B$14:$AB$785,22,FALSE)</f>
        <v>689</v>
      </c>
      <c r="T220" s="69">
        <f>VLOOKUP(B220,'114+320'!$B$15:$AB$785,6,FALSE)</f>
        <v>713</v>
      </c>
      <c r="U220" s="68">
        <f t="shared" si="43"/>
        <v>1769</v>
      </c>
      <c r="V220" s="77">
        <f>VLOOKUP(B220,'114+320'!$B$15:$AB$785,15,FALSE)</f>
        <v>-231</v>
      </c>
      <c r="W220" s="66">
        <f>'114+320'!S221</f>
        <v>0</v>
      </c>
      <c r="X220" s="65">
        <f t="shared" si="48"/>
        <v>111</v>
      </c>
      <c r="Y220" s="64">
        <f t="shared" si="49"/>
        <v>0</v>
      </c>
      <c r="Z220" s="63">
        <f t="shared" si="50"/>
        <v>0</v>
      </c>
      <c r="AA220" s="62">
        <f t="shared" si="51"/>
        <v>0.89900000000000002</v>
      </c>
      <c r="AB220" s="62">
        <f t="shared" si="52"/>
        <v>0.73399999999999999</v>
      </c>
    </row>
    <row r="221" spans="2:28">
      <c r="B221" s="106">
        <f>'114+320'!B222</f>
        <v>45251</v>
      </c>
      <c r="C221" s="75">
        <f t="shared" si="44"/>
        <v>1</v>
      </c>
      <c r="D221" s="74">
        <f t="shared" si="45"/>
        <v>842</v>
      </c>
      <c r="E221" s="73">
        <f>VLOOKUP(B221,'114+320'!B222:AB323,3,FALSE)</f>
        <v>1642</v>
      </c>
      <c r="F221" s="69">
        <f t="shared" si="40"/>
        <v>2484</v>
      </c>
      <c r="G221" s="72">
        <f>VLOOKUP(B221,'114+320'!$B$15:$AB$785,20,FALSE)</f>
        <v>694</v>
      </c>
      <c r="H221" s="72">
        <f>VLOOKUP(B221,'114+320'!$B$15:$AB$785,4,FALSE)</f>
        <v>770</v>
      </c>
      <c r="I221" s="68">
        <f t="shared" si="41"/>
        <v>1714</v>
      </c>
      <c r="J221" s="68">
        <f>VLOOKUP(B221,'114+320'!$B$15:$AB$785,13,FALSE)</f>
        <v>-286</v>
      </c>
      <c r="K221" s="66">
        <f>'114+320'!Q222</f>
        <v>0</v>
      </c>
      <c r="L221" s="65">
        <f t="shared" si="46"/>
        <v>106</v>
      </c>
      <c r="M221" s="70">
        <f>VLOOKUP(B221,'114+320'!$B$14:$AB$785,21,FALSE)</f>
        <v>677</v>
      </c>
      <c r="N221" s="69">
        <f>VLOOKUP(B221,'114+320'!$B$15:$AB$785,5,FALSE)</f>
        <v>787</v>
      </c>
      <c r="O221" s="68">
        <f t="shared" si="42"/>
        <v>1697</v>
      </c>
      <c r="P221" s="68">
        <f>VLOOKUP(B221,'114+320'!$B$15:$AB$785,14,FALSE)</f>
        <v>-303</v>
      </c>
      <c r="Q221" s="66">
        <f>'114+320'!R222</f>
        <v>0</v>
      </c>
      <c r="R221" s="65">
        <f t="shared" si="47"/>
        <v>123</v>
      </c>
      <c r="S221" s="70">
        <f>VLOOKUP(B221,'114+320'!$B$14:$AB$785,22,FALSE)</f>
        <v>689</v>
      </c>
      <c r="T221" s="69">
        <f>VLOOKUP(B221,'114+320'!$B$15:$AB$785,6,FALSE)</f>
        <v>715</v>
      </c>
      <c r="U221" s="68">
        <f t="shared" si="43"/>
        <v>1769</v>
      </c>
      <c r="V221" s="77">
        <f>VLOOKUP(B221,'114+320'!$B$15:$AB$785,15,FALSE)</f>
        <v>-231</v>
      </c>
      <c r="W221" s="66">
        <f>'114+320'!S222</f>
        <v>0</v>
      </c>
      <c r="X221" s="65">
        <f t="shared" si="48"/>
        <v>111</v>
      </c>
      <c r="Y221" s="64">
        <f t="shared" si="49"/>
        <v>0</v>
      </c>
      <c r="Z221" s="63">
        <f t="shared" si="50"/>
        <v>0</v>
      </c>
      <c r="AA221" s="62">
        <f t="shared" si="51"/>
        <v>0.89900000000000002</v>
      </c>
      <c r="AB221" s="62">
        <f t="shared" si="52"/>
        <v>0.73399999999999999</v>
      </c>
    </row>
    <row r="222" spans="2:28">
      <c r="B222" s="106">
        <f>'114+320'!B223</f>
        <v>45252</v>
      </c>
      <c r="C222" s="75">
        <f t="shared" si="44"/>
        <v>1</v>
      </c>
      <c r="D222" s="74">
        <f t="shared" si="45"/>
        <v>842</v>
      </c>
      <c r="E222" s="73">
        <f>VLOOKUP(B222,'114+320'!B223:AB324,3,FALSE)</f>
        <v>1644</v>
      </c>
      <c r="F222" s="69">
        <f t="shared" si="40"/>
        <v>2486</v>
      </c>
      <c r="G222" s="72">
        <f>VLOOKUP(B222,'114+320'!$B$15:$AB$785,20,FALSE)</f>
        <v>694</v>
      </c>
      <c r="H222" s="72">
        <f>VLOOKUP(B222,'114+320'!$B$15:$AB$785,4,FALSE)</f>
        <v>772</v>
      </c>
      <c r="I222" s="68">
        <f t="shared" si="41"/>
        <v>1714</v>
      </c>
      <c r="J222" s="68">
        <f>VLOOKUP(B222,'114+320'!$B$15:$AB$785,13,FALSE)</f>
        <v>-286</v>
      </c>
      <c r="K222" s="66">
        <f>'114+320'!Q223</f>
        <v>0</v>
      </c>
      <c r="L222" s="65">
        <f t="shared" si="46"/>
        <v>106</v>
      </c>
      <c r="M222" s="70">
        <f>VLOOKUP(B222,'114+320'!$B$14:$AB$785,21,FALSE)</f>
        <v>677</v>
      </c>
      <c r="N222" s="69">
        <f>VLOOKUP(B222,'114+320'!$B$15:$AB$785,5,FALSE)</f>
        <v>789</v>
      </c>
      <c r="O222" s="68">
        <f t="shared" si="42"/>
        <v>1697</v>
      </c>
      <c r="P222" s="68">
        <f>VLOOKUP(B222,'114+320'!$B$15:$AB$785,14,FALSE)</f>
        <v>-303</v>
      </c>
      <c r="Q222" s="66">
        <f>'114+320'!R223</f>
        <v>0</v>
      </c>
      <c r="R222" s="65">
        <f t="shared" si="47"/>
        <v>123</v>
      </c>
      <c r="S222" s="70">
        <f>VLOOKUP(B222,'114+320'!$B$14:$AB$785,22,FALSE)</f>
        <v>689</v>
      </c>
      <c r="T222" s="69">
        <f>VLOOKUP(B222,'114+320'!$B$15:$AB$785,6,FALSE)</f>
        <v>717</v>
      </c>
      <c r="U222" s="68">
        <f t="shared" si="43"/>
        <v>1769</v>
      </c>
      <c r="V222" s="77">
        <f>VLOOKUP(B222,'114+320'!$B$15:$AB$785,15,FALSE)</f>
        <v>-231</v>
      </c>
      <c r="W222" s="66">
        <f>'114+320'!S223</f>
        <v>0</v>
      </c>
      <c r="X222" s="65">
        <f t="shared" si="48"/>
        <v>111</v>
      </c>
      <c r="Y222" s="64">
        <f t="shared" si="49"/>
        <v>0</v>
      </c>
      <c r="Z222" s="63">
        <f t="shared" si="50"/>
        <v>0</v>
      </c>
      <c r="AA222" s="62">
        <f t="shared" si="51"/>
        <v>0.89900000000000002</v>
      </c>
      <c r="AB222" s="62">
        <f t="shared" si="52"/>
        <v>0.73399999999999999</v>
      </c>
    </row>
    <row r="223" spans="2:28">
      <c r="B223" s="106">
        <f>'114+320'!B224</f>
        <v>45253</v>
      </c>
      <c r="C223" s="75">
        <f t="shared" si="44"/>
        <v>1</v>
      </c>
      <c r="D223" s="74">
        <f t="shared" si="45"/>
        <v>842</v>
      </c>
      <c r="E223" s="73">
        <f>VLOOKUP(B223,'114+320'!B224:AB325,3,FALSE)</f>
        <v>1646</v>
      </c>
      <c r="F223" s="69">
        <f t="shared" si="40"/>
        <v>2488</v>
      </c>
      <c r="G223" s="72">
        <f>VLOOKUP(B223,'114+320'!$B$15:$AB$785,20,FALSE)</f>
        <v>694</v>
      </c>
      <c r="H223" s="72">
        <f>VLOOKUP(B223,'114+320'!$B$15:$AB$785,4,FALSE)</f>
        <v>774</v>
      </c>
      <c r="I223" s="68">
        <f t="shared" si="41"/>
        <v>1714</v>
      </c>
      <c r="J223" s="68">
        <f>VLOOKUP(B223,'114+320'!$B$15:$AB$785,13,FALSE)</f>
        <v>-286</v>
      </c>
      <c r="K223" s="66">
        <f>'114+320'!Q224</f>
        <v>0</v>
      </c>
      <c r="L223" s="65">
        <f t="shared" si="46"/>
        <v>106</v>
      </c>
      <c r="M223" s="70">
        <f>VLOOKUP(B223,'114+320'!$B$14:$AB$785,21,FALSE)</f>
        <v>677</v>
      </c>
      <c r="N223" s="69">
        <f>VLOOKUP(B223,'114+320'!$B$15:$AB$785,5,FALSE)</f>
        <v>791</v>
      </c>
      <c r="O223" s="68">
        <f t="shared" si="42"/>
        <v>1697</v>
      </c>
      <c r="P223" s="68">
        <f>VLOOKUP(B223,'114+320'!$B$15:$AB$785,14,FALSE)</f>
        <v>-303</v>
      </c>
      <c r="Q223" s="66">
        <f>'114+320'!R224</f>
        <v>0</v>
      </c>
      <c r="R223" s="65">
        <f t="shared" si="47"/>
        <v>123</v>
      </c>
      <c r="S223" s="70">
        <f>VLOOKUP(B223,'114+320'!$B$14:$AB$785,22,FALSE)</f>
        <v>689</v>
      </c>
      <c r="T223" s="69">
        <f>VLOOKUP(B223,'114+320'!$B$15:$AB$785,6,FALSE)</f>
        <v>719</v>
      </c>
      <c r="U223" s="68">
        <f t="shared" si="43"/>
        <v>1769</v>
      </c>
      <c r="V223" s="77">
        <f>VLOOKUP(B223,'114+320'!$B$15:$AB$785,15,FALSE)</f>
        <v>-231</v>
      </c>
      <c r="W223" s="66">
        <f>'114+320'!S224</f>
        <v>0</v>
      </c>
      <c r="X223" s="65">
        <f t="shared" si="48"/>
        <v>111</v>
      </c>
      <c r="Y223" s="64">
        <f t="shared" si="49"/>
        <v>0</v>
      </c>
      <c r="Z223" s="63">
        <f t="shared" si="50"/>
        <v>0</v>
      </c>
      <c r="AA223" s="62">
        <f t="shared" si="51"/>
        <v>0.89900000000000002</v>
      </c>
      <c r="AB223" s="62">
        <f t="shared" si="52"/>
        <v>0.73399999999999999</v>
      </c>
    </row>
    <row r="224" spans="2:28">
      <c r="B224" s="106">
        <f>'114+320'!B225</f>
        <v>45254</v>
      </c>
      <c r="C224" s="75">
        <f t="shared" si="44"/>
        <v>1</v>
      </c>
      <c r="D224" s="74">
        <f t="shared" si="45"/>
        <v>842</v>
      </c>
      <c r="E224" s="73">
        <f>VLOOKUP(B224,'114+320'!B225:AB326,3,FALSE)</f>
        <v>1648</v>
      </c>
      <c r="F224" s="69">
        <f t="shared" si="40"/>
        <v>2490</v>
      </c>
      <c r="G224" s="72">
        <f>VLOOKUP(B224,'114+320'!$B$15:$AB$785,20,FALSE)</f>
        <v>694</v>
      </c>
      <c r="H224" s="72">
        <f>VLOOKUP(B224,'114+320'!$B$15:$AB$785,4,FALSE)</f>
        <v>776</v>
      </c>
      <c r="I224" s="68">
        <f t="shared" si="41"/>
        <v>1714</v>
      </c>
      <c r="J224" s="68">
        <f>VLOOKUP(B224,'114+320'!$B$15:$AB$785,13,FALSE)</f>
        <v>-286</v>
      </c>
      <c r="K224" s="66">
        <f>'114+320'!Q225</f>
        <v>0</v>
      </c>
      <c r="L224" s="65">
        <f t="shared" si="46"/>
        <v>106</v>
      </c>
      <c r="M224" s="70">
        <f>VLOOKUP(B224,'114+320'!$B$14:$AB$785,21,FALSE)</f>
        <v>677</v>
      </c>
      <c r="N224" s="69">
        <f>VLOOKUP(B224,'114+320'!$B$15:$AB$785,5,FALSE)</f>
        <v>793</v>
      </c>
      <c r="O224" s="68">
        <f t="shared" si="42"/>
        <v>1697</v>
      </c>
      <c r="P224" s="68">
        <f>VLOOKUP(B224,'114+320'!$B$15:$AB$785,14,FALSE)</f>
        <v>-303</v>
      </c>
      <c r="Q224" s="66">
        <f>'114+320'!R225</f>
        <v>0</v>
      </c>
      <c r="R224" s="65">
        <f t="shared" si="47"/>
        <v>123</v>
      </c>
      <c r="S224" s="70">
        <f>VLOOKUP(B224,'114+320'!$B$14:$AB$785,22,FALSE)</f>
        <v>689</v>
      </c>
      <c r="T224" s="69">
        <f>VLOOKUP(B224,'114+320'!$B$15:$AB$785,6,FALSE)</f>
        <v>721</v>
      </c>
      <c r="U224" s="68">
        <f t="shared" si="43"/>
        <v>1769</v>
      </c>
      <c r="V224" s="77">
        <f>VLOOKUP(B224,'114+320'!$B$15:$AB$785,15,FALSE)</f>
        <v>-231</v>
      </c>
      <c r="W224" s="66">
        <f>'114+320'!S225</f>
        <v>0</v>
      </c>
      <c r="X224" s="65">
        <f t="shared" si="48"/>
        <v>111</v>
      </c>
      <c r="Y224" s="64">
        <f t="shared" si="49"/>
        <v>0</v>
      </c>
      <c r="Z224" s="63">
        <f t="shared" si="50"/>
        <v>0</v>
      </c>
      <c r="AA224" s="62">
        <f t="shared" si="51"/>
        <v>0.89900000000000002</v>
      </c>
      <c r="AB224" s="62">
        <f t="shared" si="52"/>
        <v>0.73399999999999999</v>
      </c>
    </row>
    <row r="225" spans="2:28">
      <c r="B225" s="106">
        <f>'114+320'!B226</f>
        <v>45255</v>
      </c>
      <c r="C225" s="75">
        <f t="shared" si="44"/>
        <v>1</v>
      </c>
      <c r="D225" s="74">
        <f t="shared" si="45"/>
        <v>842</v>
      </c>
      <c r="E225" s="73">
        <f>VLOOKUP(B225,'114+320'!B226:AB327,3,FALSE)</f>
        <v>1650</v>
      </c>
      <c r="F225" s="69">
        <f t="shared" si="40"/>
        <v>2492</v>
      </c>
      <c r="G225" s="72">
        <f>VLOOKUP(B225,'114+320'!$B$15:$AB$785,20,FALSE)</f>
        <v>694</v>
      </c>
      <c r="H225" s="72">
        <f>VLOOKUP(B225,'114+320'!$B$15:$AB$785,4,FALSE)</f>
        <v>778</v>
      </c>
      <c r="I225" s="68">
        <f t="shared" si="41"/>
        <v>1714</v>
      </c>
      <c r="J225" s="68">
        <f>VLOOKUP(B225,'114+320'!$B$15:$AB$785,13,FALSE)</f>
        <v>-286</v>
      </c>
      <c r="K225" s="66">
        <f>'114+320'!Q226</f>
        <v>0</v>
      </c>
      <c r="L225" s="65">
        <f t="shared" si="46"/>
        <v>106</v>
      </c>
      <c r="M225" s="70">
        <f>VLOOKUP(B225,'114+320'!$B$14:$AB$785,21,FALSE)</f>
        <v>677</v>
      </c>
      <c r="N225" s="69">
        <f>VLOOKUP(B225,'114+320'!$B$15:$AB$785,5,FALSE)</f>
        <v>795</v>
      </c>
      <c r="O225" s="68">
        <f t="shared" si="42"/>
        <v>1697</v>
      </c>
      <c r="P225" s="68">
        <f>VLOOKUP(B225,'114+320'!$B$15:$AB$785,14,FALSE)</f>
        <v>-303</v>
      </c>
      <c r="Q225" s="66">
        <f>'114+320'!R226</f>
        <v>0</v>
      </c>
      <c r="R225" s="65">
        <f t="shared" si="47"/>
        <v>123</v>
      </c>
      <c r="S225" s="70">
        <f>VLOOKUP(B225,'114+320'!$B$14:$AB$785,22,FALSE)</f>
        <v>689</v>
      </c>
      <c r="T225" s="69">
        <f>VLOOKUP(B225,'114+320'!$B$15:$AB$785,6,FALSE)</f>
        <v>723</v>
      </c>
      <c r="U225" s="68">
        <f t="shared" si="43"/>
        <v>1769</v>
      </c>
      <c r="V225" s="77">
        <f>VLOOKUP(B225,'114+320'!$B$15:$AB$785,15,FALSE)</f>
        <v>-231</v>
      </c>
      <c r="W225" s="66">
        <f>'114+320'!S226</f>
        <v>0</v>
      </c>
      <c r="X225" s="65">
        <f t="shared" si="48"/>
        <v>111</v>
      </c>
      <c r="Y225" s="64">
        <f t="shared" si="49"/>
        <v>0</v>
      </c>
      <c r="Z225" s="63">
        <f t="shared" si="50"/>
        <v>0</v>
      </c>
      <c r="AA225" s="62">
        <f t="shared" si="51"/>
        <v>0.89900000000000002</v>
      </c>
      <c r="AB225" s="62">
        <f t="shared" si="52"/>
        <v>0.73399999999999999</v>
      </c>
    </row>
    <row r="226" spans="2:28">
      <c r="B226" s="106">
        <f>'114+320'!B227</f>
        <v>45256</v>
      </c>
      <c r="C226" s="75">
        <f t="shared" si="44"/>
        <v>1</v>
      </c>
      <c r="D226" s="74">
        <f t="shared" si="45"/>
        <v>842</v>
      </c>
      <c r="E226" s="73">
        <f>VLOOKUP(B226,'114+320'!B227:AB328,3,FALSE)</f>
        <v>1652</v>
      </c>
      <c r="F226" s="69">
        <f t="shared" si="40"/>
        <v>2494</v>
      </c>
      <c r="G226" s="72">
        <f>VLOOKUP(B226,'114+320'!$B$15:$AB$785,20,FALSE)</f>
        <v>694</v>
      </c>
      <c r="H226" s="72">
        <f>VLOOKUP(B226,'114+320'!$B$15:$AB$785,4,FALSE)</f>
        <v>780</v>
      </c>
      <c r="I226" s="68">
        <f t="shared" si="41"/>
        <v>1714</v>
      </c>
      <c r="J226" s="68">
        <f>VLOOKUP(B226,'114+320'!$B$15:$AB$785,13,FALSE)</f>
        <v>-286</v>
      </c>
      <c r="K226" s="66">
        <f>'114+320'!Q227</f>
        <v>0</v>
      </c>
      <c r="L226" s="65">
        <f t="shared" si="46"/>
        <v>106</v>
      </c>
      <c r="M226" s="70">
        <f>VLOOKUP(B226,'114+320'!$B$14:$AB$785,21,FALSE)</f>
        <v>677</v>
      </c>
      <c r="N226" s="69">
        <f>VLOOKUP(B226,'114+320'!$B$15:$AB$785,5,FALSE)</f>
        <v>797</v>
      </c>
      <c r="O226" s="68">
        <f t="shared" si="42"/>
        <v>1697</v>
      </c>
      <c r="P226" s="68">
        <f>VLOOKUP(B226,'114+320'!$B$15:$AB$785,14,FALSE)</f>
        <v>-303</v>
      </c>
      <c r="Q226" s="66">
        <f>'114+320'!R227</f>
        <v>0</v>
      </c>
      <c r="R226" s="65">
        <f t="shared" si="47"/>
        <v>123</v>
      </c>
      <c r="S226" s="70">
        <f>VLOOKUP(B226,'114+320'!$B$14:$AB$785,22,FALSE)</f>
        <v>689</v>
      </c>
      <c r="T226" s="69">
        <f>VLOOKUP(B226,'114+320'!$B$15:$AB$785,6,FALSE)</f>
        <v>725</v>
      </c>
      <c r="U226" s="68">
        <f t="shared" si="43"/>
        <v>1769</v>
      </c>
      <c r="V226" s="77">
        <f>VLOOKUP(B226,'114+320'!$B$15:$AB$785,15,FALSE)</f>
        <v>-231</v>
      </c>
      <c r="W226" s="66">
        <f>'114+320'!S227</f>
        <v>0</v>
      </c>
      <c r="X226" s="65">
        <f t="shared" si="48"/>
        <v>111</v>
      </c>
      <c r="Y226" s="64">
        <f t="shared" si="49"/>
        <v>0</v>
      </c>
      <c r="Z226" s="63">
        <f t="shared" si="50"/>
        <v>0</v>
      </c>
      <c r="AA226" s="62">
        <f t="shared" si="51"/>
        <v>0.89900000000000002</v>
      </c>
      <c r="AB226" s="62">
        <f t="shared" si="52"/>
        <v>0.73399999999999999</v>
      </c>
    </row>
    <row r="227" spans="2:28">
      <c r="B227" s="106">
        <f>'114+320'!B228</f>
        <v>45257</v>
      </c>
      <c r="C227" s="75">
        <f t="shared" si="44"/>
        <v>1</v>
      </c>
      <c r="D227" s="74">
        <f t="shared" si="45"/>
        <v>842</v>
      </c>
      <c r="E227" s="73">
        <f>VLOOKUP(B227,'114+320'!B228:AB329,3,FALSE)</f>
        <v>1654</v>
      </c>
      <c r="F227" s="69">
        <f t="shared" si="40"/>
        <v>2496</v>
      </c>
      <c r="G227" s="72">
        <f>VLOOKUP(B227,'114+320'!$B$15:$AB$785,20,FALSE)</f>
        <v>694</v>
      </c>
      <c r="H227" s="72">
        <f>VLOOKUP(B227,'114+320'!$B$15:$AB$785,4,FALSE)</f>
        <v>782</v>
      </c>
      <c r="I227" s="68">
        <f t="shared" si="41"/>
        <v>1714</v>
      </c>
      <c r="J227" s="68">
        <f>VLOOKUP(B227,'114+320'!$B$15:$AB$785,13,FALSE)</f>
        <v>-286</v>
      </c>
      <c r="K227" s="66">
        <f>'114+320'!Q228</f>
        <v>0</v>
      </c>
      <c r="L227" s="65">
        <f t="shared" si="46"/>
        <v>106</v>
      </c>
      <c r="M227" s="70">
        <f>VLOOKUP(B227,'114+320'!$B$14:$AB$785,21,FALSE)</f>
        <v>677</v>
      </c>
      <c r="N227" s="69">
        <f>VLOOKUP(B227,'114+320'!$B$15:$AB$785,5,FALSE)</f>
        <v>799</v>
      </c>
      <c r="O227" s="68">
        <f t="shared" si="42"/>
        <v>1697</v>
      </c>
      <c r="P227" s="68">
        <f>VLOOKUP(B227,'114+320'!$B$15:$AB$785,14,FALSE)</f>
        <v>-303</v>
      </c>
      <c r="Q227" s="66">
        <f>'114+320'!R228</f>
        <v>0</v>
      </c>
      <c r="R227" s="65">
        <f t="shared" si="47"/>
        <v>123</v>
      </c>
      <c r="S227" s="70">
        <f>VLOOKUP(B227,'114+320'!$B$14:$AB$785,22,FALSE)</f>
        <v>689</v>
      </c>
      <c r="T227" s="69">
        <f>VLOOKUP(B227,'114+320'!$B$15:$AB$785,6,FALSE)</f>
        <v>727</v>
      </c>
      <c r="U227" s="68">
        <f t="shared" si="43"/>
        <v>1769</v>
      </c>
      <c r="V227" s="77">
        <f>VLOOKUP(B227,'114+320'!$B$15:$AB$785,15,FALSE)</f>
        <v>-231</v>
      </c>
      <c r="W227" s="66">
        <f>'114+320'!S228</f>
        <v>0</v>
      </c>
      <c r="X227" s="65">
        <f t="shared" si="48"/>
        <v>111</v>
      </c>
      <c r="Y227" s="64">
        <f t="shared" si="49"/>
        <v>0</v>
      </c>
      <c r="Z227" s="63">
        <f t="shared" si="50"/>
        <v>0</v>
      </c>
      <c r="AA227" s="62">
        <f t="shared" si="51"/>
        <v>0.89900000000000002</v>
      </c>
      <c r="AB227" s="62">
        <f t="shared" si="52"/>
        <v>0.73399999999999999</v>
      </c>
    </row>
    <row r="228" spans="2:28">
      <c r="B228" s="106">
        <f>'114+320'!B229</f>
        <v>45258</v>
      </c>
      <c r="C228" s="75">
        <f t="shared" si="44"/>
        <v>1</v>
      </c>
      <c r="D228" s="74">
        <f t="shared" si="45"/>
        <v>842</v>
      </c>
      <c r="E228" s="73">
        <f>VLOOKUP(B228,'114+320'!B229:AB330,3,FALSE)</f>
        <v>1656</v>
      </c>
      <c r="F228" s="69">
        <f t="shared" si="40"/>
        <v>2498</v>
      </c>
      <c r="G228" s="72">
        <f>VLOOKUP(B228,'114+320'!$B$15:$AB$785,20,FALSE)</f>
        <v>694</v>
      </c>
      <c r="H228" s="72">
        <f>VLOOKUP(B228,'114+320'!$B$15:$AB$785,4,FALSE)</f>
        <v>784</v>
      </c>
      <c r="I228" s="68">
        <f t="shared" si="41"/>
        <v>1714</v>
      </c>
      <c r="J228" s="68">
        <f>VLOOKUP(B228,'114+320'!$B$15:$AB$785,13,FALSE)</f>
        <v>-286</v>
      </c>
      <c r="K228" s="66">
        <f>'114+320'!Q229</f>
        <v>0</v>
      </c>
      <c r="L228" s="65">
        <f t="shared" si="46"/>
        <v>106</v>
      </c>
      <c r="M228" s="70">
        <f>VLOOKUP(B228,'114+320'!$B$14:$AB$785,21,FALSE)</f>
        <v>677</v>
      </c>
      <c r="N228" s="69">
        <f>VLOOKUP(B228,'114+320'!$B$15:$AB$785,5,FALSE)</f>
        <v>801</v>
      </c>
      <c r="O228" s="68">
        <f t="shared" si="42"/>
        <v>1697</v>
      </c>
      <c r="P228" s="68">
        <f>VLOOKUP(B228,'114+320'!$B$15:$AB$785,14,FALSE)</f>
        <v>-303</v>
      </c>
      <c r="Q228" s="66">
        <f>'114+320'!R229</f>
        <v>0</v>
      </c>
      <c r="R228" s="65">
        <f t="shared" si="47"/>
        <v>123</v>
      </c>
      <c r="S228" s="70">
        <f>VLOOKUP(B228,'114+320'!$B$14:$AB$785,22,FALSE)</f>
        <v>689</v>
      </c>
      <c r="T228" s="69">
        <f>VLOOKUP(B228,'114+320'!$B$15:$AB$785,6,FALSE)</f>
        <v>729</v>
      </c>
      <c r="U228" s="68">
        <f t="shared" si="43"/>
        <v>1769</v>
      </c>
      <c r="V228" s="77">
        <f>VLOOKUP(B228,'114+320'!$B$15:$AB$785,15,FALSE)</f>
        <v>-231</v>
      </c>
      <c r="W228" s="66">
        <f>'114+320'!S229</f>
        <v>0</v>
      </c>
      <c r="X228" s="65">
        <f t="shared" si="48"/>
        <v>111</v>
      </c>
      <c r="Y228" s="64">
        <f t="shared" si="49"/>
        <v>0</v>
      </c>
      <c r="Z228" s="63">
        <f t="shared" si="50"/>
        <v>0</v>
      </c>
      <c r="AA228" s="62">
        <f t="shared" si="51"/>
        <v>0.89900000000000002</v>
      </c>
      <c r="AB228" s="62">
        <f t="shared" si="52"/>
        <v>0.73399999999999999</v>
      </c>
    </row>
    <row r="229" spans="2:28">
      <c r="B229" s="106">
        <f>'114+320'!B230</f>
        <v>45259</v>
      </c>
      <c r="C229" s="75">
        <f t="shared" si="44"/>
        <v>1</v>
      </c>
      <c r="D229" s="74">
        <f t="shared" si="45"/>
        <v>842</v>
      </c>
      <c r="E229" s="73">
        <f>VLOOKUP(B229,'114+320'!B230:AB331,3,FALSE)</f>
        <v>1658</v>
      </c>
      <c r="F229" s="69">
        <f t="shared" si="40"/>
        <v>2500</v>
      </c>
      <c r="G229" s="72">
        <f>VLOOKUP(B229,'114+320'!$B$15:$AB$785,20,FALSE)</f>
        <v>694</v>
      </c>
      <c r="H229" s="72">
        <f>VLOOKUP(B229,'114+320'!$B$15:$AB$785,4,FALSE)</f>
        <v>786</v>
      </c>
      <c r="I229" s="68">
        <f t="shared" si="41"/>
        <v>1714</v>
      </c>
      <c r="J229" s="68">
        <f>VLOOKUP(B229,'114+320'!$B$15:$AB$785,13,FALSE)</f>
        <v>-286</v>
      </c>
      <c r="K229" s="66">
        <f>'114+320'!Q230</f>
        <v>0</v>
      </c>
      <c r="L229" s="65">
        <f t="shared" si="46"/>
        <v>106</v>
      </c>
      <c r="M229" s="70">
        <f>VLOOKUP(B229,'114+320'!$B$14:$AB$785,21,FALSE)</f>
        <v>677</v>
      </c>
      <c r="N229" s="69">
        <f>VLOOKUP(B229,'114+320'!$B$15:$AB$785,5,FALSE)</f>
        <v>803</v>
      </c>
      <c r="O229" s="68">
        <f t="shared" si="42"/>
        <v>1697</v>
      </c>
      <c r="P229" s="68">
        <f>VLOOKUP(B229,'114+320'!$B$15:$AB$785,14,FALSE)</f>
        <v>-303</v>
      </c>
      <c r="Q229" s="66">
        <f>'114+320'!R230</f>
        <v>0</v>
      </c>
      <c r="R229" s="65">
        <f t="shared" si="47"/>
        <v>123</v>
      </c>
      <c r="S229" s="70">
        <f>VLOOKUP(B229,'114+320'!$B$14:$AB$785,22,FALSE)</f>
        <v>689</v>
      </c>
      <c r="T229" s="69">
        <f>VLOOKUP(B229,'114+320'!$B$15:$AB$785,6,FALSE)</f>
        <v>731</v>
      </c>
      <c r="U229" s="68">
        <f t="shared" si="43"/>
        <v>1769</v>
      </c>
      <c r="V229" s="77">
        <f>VLOOKUP(B229,'114+320'!$B$15:$AB$785,15,FALSE)</f>
        <v>-231</v>
      </c>
      <c r="W229" s="66">
        <f>'114+320'!S230</f>
        <v>0</v>
      </c>
      <c r="X229" s="65">
        <f t="shared" si="48"/>
        <v>111</v>
      </c>
      <c r="Y229" s="64">
        <f t="shared" si="49"/>
        <v>0</v>
      </c>
      <c r="Z229" s="63">
        <f t="shared" si="50"/>
        <v>0</v>
      </c>
      <c r="AA229" s="62">
        <f t="shared" si="51"/>
        <v>0.89900000000000002</v>
      </c>
      <c r="AB229" s="62">
        <f t="shared" si="52"/>
        <v>0.73399999999999999</v>
      </c>
    </row>
    <row r="230" spans="2:28">
      <c r="B230" s="106">
        <f>'114+320'!B231</f>
        <v>45260</v>
      </c>
      <c r="C230" s="75">
        <f t="shared" si="44"/>
        <v>1</v>
      </c>
      <c r="D230" s="74">
        <f t="shared" si="45"/>
        <v>842</v>
      </c>
      <c r="E230" s="73">
        <f>VLOOKUP(B230,'114+320'!B231:AB332,3,FALSE)</f>
        <v>1660</v>
      </c>
      <c r="F230" s="69">
        <f t="shared" si="40"/>
        <v>2502</v>
      </c>
      <c r="G230" s="72">
        <f>VLOOKUP(B230,'114+320'!$B$15:$AB$785,20,FALSE)</f>
        <v>694</v>
      </c>
      <c r="H230" s="72">
        <f>VLOOKUP(B230,'114+320'!$B$15:$AB$785,4,FALSE)</f>
        <v>788</v>
      </c>
      <c r="I230" s="68">
        <f t="shared" si="41"/>
        <v>1714</v>
      </c>
      <c r="J230" s="68">
        <f>VLOOKUP(B230,'114+320'!$B$15:$AB$785,13,FALSE)</f>
        <v>-286</v>
      </c>
      <c r="K230" s="66">
        <f>'114+320'!Q231</f>
        <v>0</v>
      </c>
      <c r="L230" s="65">
        <f t="shared" si="46"/>
        <v>106</v>
      </c>
      <c r="M230" s="70">
        <f>VLOOKUP(B230,'114+320'!$B$14:$AB$785,21,FALSE)</f>
        <v>677</v>
      </c>
      <c r="N230" s="69">
        <f>VLOOKUP(B230,'114+320'!$B$15:$AB$785,5,FALSE)</f>
        <v>805</v>
      </c>
      <c r="O230" s="68">
        <f t="shared" si="42"/>
        <v>1697</v>
      </c>
      <c r="P230" s="68">
        <f>VLOOKUP(B230,'114+320'!$B$15:$AB$785,14,FALSE)</f>
        <v>-303</v>
      </c>
      <c r="Q230" s="66">
        <f>'114+320'!R231</f>
        <v>0</v>
      </c>
      <c r="R230" s="65">
        <f t="shared" si="47"/>
        <v>123</v>
      </c>
      <c r="S230" s="70">
        <f>VLOOKUP(B230,'114+320'!$B$14:$AB$785,22,FALSE)</f>
        <v>689</v>
      </c>
      <c r="T230" s="69">
        <f>VLOOKUP(B230,'114+320'!$B$15:$AB$785,6,FALSE)</f>
        <v>733</v>
      </c>
      <c r="U230" s="68">
        <f t="shared" si="43"/>
        <v>1769</v>
      </c>
      <c r="V230" s="77">
        <f>VLOOKUP(B230,'114+320'!$B$15:$AB$785,15,FALSE)</f>
        <v>-231</v>
      </c>
      <c r="W230" s="66">
        <f>'114+320'!S231</f>
        <v>0</v>
      </c>
      <c r="X230" s="65">
        <f t="shared" si="48"/>
        <v>111</v>
      </c>
      <c r="Y230" s="64">
        <f t="shared" si="49"/>
        <v>0</v>
      </c>
      <c r="Z230" s="63">
        <f t="shared" si="50"/>
        <v>0</v>
      </c>
      <c r="AA230" s="62">
        <f t="shared" si="51"/>
        <v>0.89900000000000002</v>
      </c>
      <c r="AB230" s="62">
        <f t="shared" si="52"/>
        <v>0.73399999999999999</v>
      </c>
    </row>
    <row r="231" spans="2:28">
      <c r="B231" s="106">
        <f>'114+320'!B232</f>
        <v>45261</v>
      </c>
      <c r="C231" s="75">
        <f t="shared" si="44"/>
        <v>1</v>
      </c>
      <c r="D231" s="74">
        <f t="shared" si="45"/>
        <v>842</v>
      </c>
      <c r="E231" s="73">
        <f>VLOOKUP(B231,'114+320'!B232:AB333,3,FALSE)</f>
        <v>1662</v>
      </c>
      <c r="F231" s="69">
        <f t="shared" si="40"/>
        <v>2504</v>
      </c>
      <c r="G231" s="72">
        <f>VLOOKUP(B231,'114+320'!$B$15:$AB$785,20,FALSE)</f>
        <v>694</v>
      </c>
      <c r="H231" s="72">
        <f>VLOOKUP(B231,'114+320'!$B$15:$AB$785,4,FALSE)</f>
        <v>790</v>
      </c>
      <c r="I231" s="68">
        <f t="shared" si="41"/>
        <v>1714</v>
      </c>
      <c r="J231" s="68">
        <f>VLOOKUP(B231,'114+320'!$B$15:$AB$785,13,FALSE)</f>
        <v>-286</v>
      </c>
      <c r="K231" s="66">
        <f>'114+320'!Q232</f>
        <v>0</v>
      </c>
      <c r="L231" s="65">
        <f t="shared" si="46"/>
        <v>106</v>
      </c>
      <c r="M231" s="70">
        <f>VLOOKUP(B231,'114+320'!$B$14:$AB$785,21,FALSE)</f>
        <v>677</v>
      </c>
      <c r="N231" s="69">
        <f>VLOOKUP(B231,'114+320'!$B$15:$AB$785,5,FALSE)</f>
        <v>807</v>
      </c>
      <c r="O231" s="68">
        <f t="shared" si="42"/>
        <v>1697</v>
      </c>
      <c r="P231" s="68">
        <f>VLOOKUP(B231,'114+320'!$B$15:$AB$785,14,FALSE)</f>
        <v>-303</v>
      </c>
      <c r="Q231" s="66">
        <f>'114+320'!R232</f>
        <v>0</v>
      </c>
      <c r="R231" s="65">
        <f t="shared" si="47"/>
        <v>123</v>
      </c>
      <c r="S231" s="70">
        <f>VLOOKUP(B231,'114+320'!$B$14:$AB$785,22,FALSE)</f>
        <v>689</v>
      </c>
      <c r="T231" s="69">
        <f>VLOOKUP(B231,'114+320'!$B$15:$AB$785,6,FALSE)</f>
        <v>735</v>
      </c>
      <c r="U231" s="68">
        <f t="shared" si="43"/>
        <v>1769</v>
      </c>
      <c r="V231" s="77">
        <f>VLOOKUP(B231,'114+320'!$B$15:$AB$785,15,FALSE)</f>
        <v>-231</v>
      </c>
      <c r="W231" s="66">
        <f>'114+320'!S232</f>
        <v>0</v>
      </c>
      <c r="X231" s="65">
        <f t="shared" si="48"/>
        <v>111</v>
      </c>
      <c r="Y231" s="64">
        <f t="shared" si="49"/>
        <v>0</v>
      </c>
      <c r="Z231" s="63">
        <f t="shared" si="50"/>
        <v>0</v>
      </c>
      <c r="AA231" s="62">
        <f t="shared" si="51"/>
        <v>0.89900000000000002</v>
      </c>
      <c r="AB231" s="62">
        <f t="shared" si="52"/>
        <v>0.73399999999999999</v>
      </c>
    </row>
    <row r="232" spans="2:28">
      <c r="B232" s="106">
        <f>'114+320'!B233</f>
        <v>45262</v>
      </c>
      <c r="C232" s="75">
        <f t="shared" si="44"/>
        <v>1</v>
      </c>
      <c r="D232" s="74">
        <f t="shared" si="45"/>
        <v>842</v>
      </c>
      <c r="E232" s="73">
        <f>VLOOKUP(B232,'114+320'!B233:AB334,3,FALSE)</f>
        <v>1664</v>
      </c>
      <c r="F232" s="69">
        <f t="shared" si="40"/>
        <v>2506</v>
      </c>
      <c r="G232" s="72">
        <f>VLOOKUP(B232,'114+320'!$B$15:$AB$785,20,FALSE)</f>
        <v>694</v>
      </c>
      <c r="H232" s="72">
        <f>VLOOKUP(B232,'114+320'!$B$15:$AB$785,4,FALSE)</f>
        <v>792</v>
      </c>
      <c r="I232" s="68">
        <f t="shared" si="41"/>
        <v>1714</v>
      </c>
      <c r="J232" s="68">
        <f>VLOOKUP(B232,'114+320'!$B$15:$AB$785,13,FALSE)</f>
        <v>-286</v>
      </c>
      <c r="K232" s="66">
        <f>'114+320'!Q233</f>
        <v>0</v>
      </c>
      <c r="L232" s="65">
        <f t="shared" si="46"/>
        <v>106</v>
      </c>
      <c r="M232" s="70">
        <f>VLOOKUP(B232,'114+320'!$B$14:$AB$785,21,FALSE)</f>
        <v>677</v>
      </c>
      <c r="N232" s="69">
        <f>VLOOKUP(B232,'114+320'!$B$15:$AB$785,5,FALSE)</f>
        <v>809</v>
      </c>
      <c r="O232" s="68">
        <f t="shared" si="42"/>
        <v>1697</v>
      </c>
      <c r="P232" s="68">
        <f>VLOOKUP(B232,'114+320'!$B$15:$AB$785,14,FALSE)</f>
        <v>-303</v>
      </c>
      <c r="Q232" s="66">
        <f>'114+320'!R233</f>
        <v>0</v>
      </c>
      <c r="R232" s="65">
        <f t="shared" si="47"/>
        <v>123</v>
      </c>
      <c r="S232" s="70">
        <f>VLOOKUP(B232,'114+320'!$B$14:$AB$785,22,FALSE)</f>
        <v>689</v>
      </c>
      <c r="T232" s="69">
        <f>VLOOKUP(B232,'114+320'!$B$15:$AB$785,6,FALSE)</f>
        <v>737</v>
      </c>
      <c r="U232" s="68">
        <f t="shared" si="43"/>
        <v>1769</v>
      </c>
      <c r="V232" s="77">
        <f>VLOOKUP(B232,'114+320'!$B$15:$AB$785,15,FALSE)</f>
        <v>-231</v>
      </c>
      <c r="W232" s="66">
        <f>'114+320'!S233</f>
        <v>0</v>
      </c>
      <c r="X232" s="65">
        <f t="shared" si="48"/>
        <v>111</v>
      </c>
      <c r="Y232" s="64">
        <f t="shared" si="49"/>
        <v>0</v>
      </c>
      <c r="Z232" s="63">
        <f t="shared" si="50"/>
        <v>0</v>
      </c>
      <c r="AA232" s="62">
        <f t="shared" si="51"/>
        <v>0.89900000000000002</v>
      </c>
      <c r="AB232" s="62">
        <f t="shared" si="52"/>
        <v>0.73399999999999999</v>
      </c>
    </row>
    <row r="233" spans="2:28">
      <c r="B233" s="106">
        <f>'114+320'!B234</f>
        <v>45263</v>
      </c>
      <c r="C233" s="75">
        <f t="shared" si="44"/>
        <v>1</v>
      </c>
      <c r="D233" s="74">
        <f t="shared" si="45"/>
        <v>842</v>
      </c>
      <c r="E233" s="73">
        <f>VLOOKUP(B233,'114+320'!B234:AB335,3,FALSE)</f>
        <v>1666</v>
      </c>
      <c r="F233" s="69">
        <f t="shared" si="40"/>
        <v>2508</v>
      </c>
      <c r="G233" s="72">
        <f>VLOOKUP(B233,'114+320'!$B$15:$AB$785,20,FALSE)</f>
        <v>694</v>
      </c>
      <c r="H233" s="72">
        <f>VLOOKUP(B233,'114+320'!$B$15:$AB$785,4,FALSE)</f>
        <v>794</v>
      </c>
      <c r="I233" s="68">
        <f t="shared" si="41"/>
        <v>1714</v>
      </c>
      <c r="J233" s="68">
        <f>VLOOKUP(B233,'114+320'!$B$15:$AB$785,13,FALSE)</f>
        <v>-286</v>
      </c>
      <c r="K233" s="66">
        <f>'114+320'!Q234</f>
        <v>0</v>
      </c>
      <c r="L233" s="65">
        <f t="shared" si="46"/>
        <v>106</v>
      </c>
      <c r="M233" s="70">
        <f>VLOOKUP(B233,'114+320'!$B$14:$AB$785,21,FALSE)</f>
        <v>677</v>
      </c>
      <c r="N233" s="69">
        <f>VLOOKUP(B233,'114+320'!$B$15:$AB$785,5,FALSE)</f>
        <v>811</v>
      </c>
      <c r="O233" s="68">
        <f t="shared" si="42"/>
        <v>1697</v>
      </c>
      <c r="P233" s="68">
        <f>VLOOKUP(B233,'114+320'!$B$15:$AB$785,14,FALSE)</f>
        <v>-303</v>
      </c>
      <c r="Q233" s="66">
        <f>'114+320'!R234</f>
        <v>0</v>
      </c>
      <c r="R233" s="65">
        <f t="shared" si="47"/>
        <v>123</v>
      </c>
      <c r="S233" s="70">
        <f>VLOOKUP(B233,'114+320'!$B$14:$AB$785,22,FALSE)</f>
        <v>689</v>
      </c>
      <c r="T233" s="69">
        <f>VLOOKUP(B233,'114+320'!$B$15:$AB$785,6,FALSE)</f>
        <v>739</v>
      </c>
      <c r="U233" s="68">
        <f t="shared" si="43"/>
        <v>1769</v>
      </c>
      <c r="V233" s="77">
        <f>VLOOKUP(B233,'114+320'!$B$15:$AB$785,15,FALSE)</f>
        <v>-231</v>
      </c>
      <c r="W233" s="66">
        <f>'114+320'!S234</f>
        <v>0</v>
      </c>
      <c r="X233" s="65">
        <f t="shared" si="48"/>
        <v>111</v>
      </c>
      <c r="Y233" s="64">
        <f t="shared" si="49"/>
        <v>0</v>
      </c>
      <c r="Z233" s="63">
        <f t="shared" si="50"/>
        <v>0</v>
      </c>
      <c r="AA233" s="62">
        <f t="shared" si="51"/>
        <v>0.89900000000000002</v>
      </c>
      <c r="AB233" s="62">
        <f t="shared" si="52"/>
        <v>0.73399999999999999</v>
      </c>
    </row>
    <row r="234" spans="2:28">
      <c r="B234" s="106">
        <f>'114+320'!B235</f>
        <v>45264</v>
      </c>
      <c r="C234" s="75">
        <f t="shared" si="44"/>
        <v>1</v>
      </c>
      <c r="D234" s="74">
        <f t="shared" si="45"/>
        <v>842</v>
      </c>
      <c r="E234" s="73">
        <f>VLOOKUP(B234,'114+320'!B235:AB336,3,FALSE)</f>
        <v>1668</v>
      </c>
      <c r="F234" s="69">
        <f t="shared" si="40"/>
        <v>2510</v>
      </c>
      <c r="G234" s="72">
        <f>VLOOKUP(B234,'114+320'!$B$15:$AB$785,20,FALSE)</f>
        <v>694</v>
      </c>
      <c r="H234" s="72">
        <f>VLOOKUP(B234,'114+320'!$B$15:$AB$785,4,FALSE)</f>
        <v>796</v>
      </c>
      <c r="I234" s="68">
        <f t="shared" si="41"/>
        <v>1714</v>
      </c>
      <c r="J234" s="68">
        <f>VLOOKUP(B234,'114+320'!$B$15:$AB$785,13,FALSE)</f>
        <v>-286</v>
      </c>
      <c r="K234" s="66">
        <f>'114+320'!Q235</f>
        <v>0</v>
      </c>
      <c r="L234" s="65">
        <f t="shared" si="46"/>
        <v>106</v>
      </c>
      <c r="M234" s="70">
        <f>VLOOKUP(B234,'114+320'!$B$14:$AB$785,21,FALSE)</f>
        <v>677</v>
      </c>
      <c r="N234" s="69">
        <f>VLOOKUP(B234,'114+320'!$B$15:$AB$785,5,FALSE)</f>
        <v>813</v>
      </c>
      <c r="O234" s="68">
        <f t="shared" si="42"/>
        <v>1697</v>
      </c>
      <c r="P234" s="68">
        <f>VLOOKUP(B234,'114+320'!$B$15:$AB$785,14,FALSE)</f>
        <v>-303</v>
      </c>
      <c r="Q234" s="66">
        <f>'114+320'!R235</f>
        <v>0</v>
      </c>
      <c r="R234" s="65">
        <f t="shared" si="47"/>
        <v>123</v>
      </c>
      <c r="S234" s="70">
        <f>VLOOKUP(B234,'114+320'!$B$14:$AB$785,22,FALSE)</f>
        <v>689</v>
      </c>
      <c r="T234" s="69">
        <f>VLOOKUP(B234,'114+320'!$B$15:$AB$785,6,FALSE)</f>
        <v>741</v>
      </c>
      <c r="U234" s="68">
        <f t="shared" si="43"/>
        <v>1769</v>
      </c>
      <c r="V234" s="77">
        <f>VLOOKUP(B234,'114+320'!$B$15:$AB$785,15,FALSE)</f>
        <v>-231</v>
      </c>
      <c r="W234" s="66">
        <f>'114+320'!S235</f>
        <v>0</v>
      </c>
      <c r="X234" s="65">
        <f t="shared" si="48"/>
        <v>111</v>
      </c>
      <c r="Y234" s="64">
        <f t="shared" si="49"/>
        <v>0</v>
      </c>
      <c r="Z234" s="63">
        <f t="shared" si="50"/>
        <v>0</v>
      </c>
      <c r="AA234" s="62">
        <f t="shared" si="51"/>
        <v>0.89900000000000002</v>
      </c>
      <c r="AB234" s="62">
        <f t="shared" si="52"/>
        <v>0.73399999999999999</v>
      </c>
    </row>
    <row r="235" spans="2:28">
      <c r="B235" s="106">
        <f>'114+320'!B236</f>
        <v>45265</v>
      </c>
      <c r="C235" s="75">
        <f t="shared" si="44"/>
        <v>1</v>
      </c>
      <c r="D235" s="74">
        <f t="shared" si="45"/>
        <v>842</v>
      </c>
      <c r="E235" s="73">
        <f>VLOOKUP(B235,'114+320'!B236:AB337,3,FALSE)</f>
        <v>1670</v>
      </c>
      <c r="F235" s="69">
        <f t="shared" si="40"/>
        <v>2512</v>
      </c>
      <c r="G235" s="72">
        <f>VLOOKUP(B235,'114+320'!$B$15:$AB$785,20,FALSE)</f>
        <v>694</v>
      </c>
      <c r="H235" s="72">
        <f>VLOOKUP(B235,'114+320'!$B$15:$AB$785,4,FALSE)</f>
        <v>798</v>
      </c>
      <c r="I235" s="68">
        <f t="shared" si="41"/>
        <v>1714</v>
      </c>
      <c r="J235" s="68">
        <f>VLOOKUP(B235,'114+320'!$B$15:$AB$785,13,FALSE)</f>
        <v>-286</v>
      </c>
      <c r="K235" s="66">
        <f>'114+320'!Q236</f>
        <v>0</v>
      </c>
      <c r="L235" s="65">
        <f t="shared" si="46"/>
        <v>106</v>
      </c>
      <c r="M235" s="70">
        <f>VLOOKUP(B235,'114+320'!$B$14:$AB$785,21,FALSE)</f>
        <v>677</v>
      </c>
      <c r="N235" s="69">
        <f>VLOOKUP(B235,'114+320'!$B$15:$AB$785,5,FALSE)</f>
        <v>815</v>
      </c>
      <c r="O235" s="68">
        <f t="shared" si="42"/>
        <v>1697</v>
      </c>
      <c r="P235" s="68">
        <f>VLOOKUP(B235,'114+320'!$B$15:$AB$785,14,FALSE)</f>
        <v>-303</v>
      </c>
      <c r="Q235" s="66">
        <f>'114+320'!R236</f>
        <v>0</v>
      </c>
      <c r="R235" s="65">
        <f t="shared" si="47"/>
        <v>123</v>
      </c>
      <c r="S235" s="70">
        <f>VLOOKUP(B235,'114+320'!$B$14:$AB$785,22,FALSE)</f>
        <v>689</v>
      </c>
      <c r="T235" s="69">
        <f>VLOOKUP(B235,'114+320'!$B$15:$AB$785,6,FALSE)</f>
        <v>743</v>
      </c>
      <c r="U235" s="68">
        <f t="shared" si="43"/>
        <v>1769</v>
      </c>
      <c r="V235" s="77">
        <f>VLOOKUP(B235,'114+320'!$B$15:$AB$785,15,FALSE)</f>
        <v>-231</v>
      </c>
      <c r="W235" s="66">
        <f>'114+320'!S236</f>
        <v>0</v>
      </c>
      <c r="X235" s="65">
        <f t="shared" si="48"/>
        <v>111</v>
      </c>
      <c r="Y235" s="64">
        <f t="shared" si="49"/>
        <v>0</v>
      </c>
      <c r="Z235" s="63">
        <f t="shared" si="50"/>
        <v>0</v>
      </c>
      <c r="AA235" s="62">
        <f t="shared" si="51"/>
        <v>0.89900000000000002</v>
      </c>
      <c r="AB235" s="62">
        <f t="shared" si="52"/>
        <v>0.73399999999999999</v>
      </c>
    </row>
    <row r="236" spans="2:28">
      <c r="B236" s="106">
        <f>'114+320'!B237</f>
        <v>45266</v>
      </c>
      <c r="C236" s="75">
        <f t="shared" si="44"/>
        <v>1</v>
      </c>
      <c r="D236" s="74">
        <f t="shared" si="45"/>
        <v>842</v>
      </c>
      <c r="E236" s="73">
        <f>VLOOKUP(B236,'114+320'!B237:AB338,3,FALSE)</f>
        <v>1672</v>
      </c>
      <c r="F236" s="69">
        <f t="shared" si="40"/>
        <v>2514</v>
      </c>
      <c r="G236" s="72">
        <f>VLOOKUP(B236,'114+320'!$B$15:$AB$785,20,FALSE)</f>
        <v>694</v>
      </c>
      <c r="H236" s="72">
        <f>VLOOKUP(B236,'114+320'!$B$15:$AB$785,4,FALSE)</f>
        <v>800</v>
      </c>
      <c r="I236" s="68">
        <f t="shared" si="41"/>
        <v>1714</v>
      </c>
      <c r="J236" s="68">
        <f>VLOOKUP(B236,'114+320'!$B$15:$AB$785,13,FALSE)</f>
        <v>-286</v>
      </c>
      <c r="K236" s="66">
        <f>'114+320'!Q237</f>
        <v>0</v>
      </c>
      <c r="L236" s="65">
        <f t="shared" si="46"/>
        <v>106</v>
      </c>
      <c r="M236" s="70">
        <f>VLOOKUP(B236,'114+320'!$B$14:$AB$785,21,FALSE)</f>
        <v>677</v>
      </c>
      <c r="N236" s="69">
        <f>VLOOKUP(B236,'114+320'!$B$15:$AB$785,5,FALSE)</f>
        <v>817</v>
      </c>
      <c r="O236" s="68">
        <f t="shared" si="42"/>
        <v>1697</v>
      </c>
      <c r="P236" s="68">
        <f>VLOOKUP(B236,'114+320'!$B$15:$AB$785,14,FALSE)</f>
        <v>-303</v>
      </c>
      <c r="Q236" s="66">
        <f>'114+320'!R237</f>
        <v>0</v>
      </c>
      <c r="R236" s="65">
        <f t="shared" si="47"/>
        <v>123</v>
      </c>
      <c r="S236" s="70">
        <f>VLOOKUP(B236,'114+320'!$B$14:$AB$785,22,FALSE)</f>
        <v>689</v>
      </c>
      <c r="T236" s="69">
        <f>VLOOKUP(B236,'114+320'!$B$15:$AB$785,6,FALSE)</f>
        <v>745</v>
      </c>
      <c r="U236" s="68">
        <f t="shared" si="43"/>
        <v>1769</v>
      </c>
      <c r="V236" s="77">
        <f>VLOOKUP(B236,'114+320'!$B$15:$AB$785,15,FALSE)</f>
        <v>-231</v>
      </c>
      <c r="W236" s="66">
        <f>'114+320'!S237</f>
        <v>0</v>
      </c>
      <c r="X236" s="65">
        <f t="shared" si="48"/>
        <v>111</v>
      </c>
      <c r="Y236" s="64">
        <f t="shared" si="49"/>
        <v>0</v>
      </c>
      <c r="Z236" s="63">
        <f t="shared" si="50"/>
        <v>0</v>
      </c>
      <c r="AA236" s="62">
        <f t="shared" si="51"/>
        <v>0.89900000000000002</v>
      </c>
      <c r="AB236" s="62">
        <f t="shared" si="52"/>
        <v>0.73399999999999999</v>
      </c>
    </row>
    <row r="237" spans="2:28">
      <c r="B237" s="106">
        <f>'114+320'!B238</f>
        <v>45267</v>
      </c>
      <c r="C237" s="75">
        <f t="shared" si="44"/>
        <v>1</v>
      </c>
      <c r="D237" s="74">
        <f t="shared" si="45"/>
        <v>842</v>
      </c>
      <c r="E237" s="73">
        <f>VLOOKUP(B237,'114+320'!B238:AB339,3,FALSE)</f>
        <v>1674</v>
      </c>
      <c r="F237" s="69">
        <f t="shared" si="40"/>
        <v>2516</v>
      </c>
      <c r="G237" s="72">
        <f>VLOOKUP(B237,'114+320'!$B$15:$AB$785,20,FALSE)</f>
        <v>694</v>
      </c>
      <c r="H237" s="72">
        <f>VLOOKUP(B237,'114+320'!$B$15:$AB$785,4,FALSE)</f>
        <v>802</v>
      </c>
      <c r="I237" s="68">
        <f t="shared" si="41"/>
        <v>1714</v>
      </c>
      <c r="J237" s="68">
        <f>VLOOKUP(B237,'114+320'!$B$15:$AB$785,13,FALSE)</f>
        <v>-286</v>
      </c>
      <c r="K237" s="66">
        <f>'114+320'!Q238</f>
        <v>0</v>
      </c>
      <c r="L237" s="65">
        <f t="shared" si="46"/>
        <v>106</v>
      </c>
      <c r="M237" s="70">
        <f>VLOOKUP(B237,'114+320'!$B$14:$AB$785,21,FALSE)</f>
        <v>677</v>
      </c>
      <c r="N237" s="69">
        <f>VLOOKUP(B237,'114+320'!$B$15:$AB$785,5,FALSE)</f>
        <v>819</v>
      </c>
      <c r="O237" s="68">
        <f t="shared" si="42"/>
        <v>1697</v>
      </c>
      <c r="P237" s="68">
        <f>VLOOKUP(B237,'114+320'!$B$15:$AB$785,14,FALSE)</f>
        <v>-303</v>
      </c>
      <c r="Q237" s="66">
        <f>'114+320'!R238</f>
        <v>0</v>
      </c>
      <c r="R237" s="65">
        <f t="shared" si="47"/>
        <v>123</v>
      </c>
      <c r="S237" s="70">
        <f>VLOOKUP(B237,'114+320'!$B$14:$AB$785,22,FALSE)</f>
        <v>689</v>
      </c>
      <c r="T237" s="69">
        <f>VLOOKUP(B237,'114+320'!$B$15:$AB$785,6,FALSE)</f>
        <v>747</v>
      </c>
      <c r="U237" s="68">
        <f t="shared" si="43"/>
        <v>1769</v>
      </c>
      <c r="V237" s="77">
        <f>VLOOKUP(B237,'114+320'!$B$15:$AB$785,15,FALSE)</f>
        <v>-231</v>
      </c>
      <c r="W237" s="66">
        <f>'114+320'!S238</f>
        <v>0</v>
      </c>
      <c r="X237" s="65">
        <f t="shared" si="48"/>
        <v>111</v>
      </c>
      <c r="Y237" s="64">
        <f t="shared" si="49"/>
        <v>0</v>
      </c>
      <c r="Z237" s="63">
        <f t="shared" si="50"/>
        <v>0</v>
      </c>
      <c r="AA237" s="62">
        <f t="shared" si="51"/>
        <v>0.89900000000000002</v>
      </c>
      <c r="AB237" s="62">
        <f t="shared" si="52"/>
        <v>0.73399999999999999</v>
      </c>
    </row>
    <row r="238" spans="2:28">
      <c r="B238" s="106">
        <f>'114+320'!B239</f>
        <v>45268</v>
      </c>
      <c r="C238" s="75">
        <f t="shared" si="44"/>
        <v>1</v>
      </c>
      <c r="D238" s="74">
        <f t="shared" si="45"/>
        <v>842</v>
      </c>
      <c r="E238" s="73">
        <f>VLOOKUP(B238,'114+320'!B239:AB340,3,FALSE)</f>
        <v>1676</v>
      </c>
      <c r="F238" s="69">
        <f t="shared" si="40"/>
        <v>2518</v>
      </c>
      <c r="G238" s="72">
        <f>VLOOKUP(B238,'114+320'!$B$15:$AB$785,20,FALSE)</f>
        <v>694</v>
      </c>
      <c r="H238" s="72">
        <f>VLOOKUP(B238,'114+320'!$B$15:$AB$785,4,FALSE)</f>
        <v>804</v>
      </c>
      <c r="I238" s="68">
        <f t="shared" si="41"/>
        <v>1714</v>
      </c>
      <c r="J238" s="68">
        <f>VLOOKUP(B238,'114+320'!$B$15:$AB$785,13,FALSE)</f>
        <v>-286</v>
      </c>
      <c r="K238" s="66">
        <f>'114+320'!Q239</f>
        <v>0</v>
      </c>
      <c r="L238" s="65">
        <f t="shared" si="46"/>
        <v>106</v>
      </c>
      <c r="M238" s="70">
        <f>VLOOKUP(B238,'114+320'!$B$14:$AB$785,21,FALSE)</f>
        <v>677</v>
      </c>
      <c r="N238" s="69">
        <f>VLOOKUP(B238,'114+320'!$B$15:$AB$785,5,FALSE)</f>
        <v>821</v>
      </c>
      <c r="O238" s="68">
        <f t="shared" si="42"/>
        <v>1697</v>
      </c>
      <c r="P238" s="68">
        <f>VLOOKUP(B238,'114+320'!$B$15:$AB$785,14,FALSE)</f>
        <v>-303</v>
      </c>
      <c r="Q238" s="66">
        <f>'114+320'!R239</f>
        <v>0</v>
      </c>
      <c r="R238" s="65">
        <f t="shared" si="47"/>
        <v>123</v>
      </c>
      <c r="S238" s="70">
        <f>VLOOKUP(B238,'114+320'!$B$14:$AB$785,22,FALSE)</f>
        <v>689</v>
      </c>
      <c r="T238" s="69">
        <f>VLOOKUP(B238,'114+320'!$B$15:$AB$785,6,FALSE)</f>
        <v>749</v>
      </c>
      <c r="U238" s="68">
        <f t="shared" si="43"/>
        <v>1769</v>
      </c>
      <c r="V238" s="77">
        <f>VLOOKUP(B238,'114+320'!$B$15:$AB$785,15,FALSE)</f>
        <v>-231</v>
      </c>
      <c r="W238" s="66">
        <f>'114+320'!S239</f>
        <v>0</v>
      </c>
      <c r="X238" s="65">
        <f t="shared" si="48"/>
        <v>111</v>
      </c>
      <c r="Y238" s="64">
        <f t="shared" si="49"/>
        <v>0</v>
      </c>
      <c r="Z238" s="63">
        <f t="shared" si="50"/>
        <v>0</v>
      </c>
      <c r="AA238" s="62">
        <f t="shared" si="51"/>
        <v>0.89900000000000002</v>
      </c>
      <c r="AB238" s="62">
        <f t="shared" si="52"/>
        <v>0.73399999999999999</v>
      </c>
    </row>
    <row r="239" spans="2:28">
      <c r="B239" s="106">
        <f>'114+320'!B240</f>
        <v>45269</v>
      </c>
      <c r="C239" s="75">
        <f t="shared" si="44"/>
        <v>1</v>
      </c>
      <c r="D239" s="74">
        <f t="shared" si="45"/>
        <v>842</v>
      </c>
      <c r="E239" s="73">
        <f>VLOOKUP(B239,'114+320'!B240:AB341,3,FALSE)</f>
        <v>1678</v>
      </c>
      <c r="F239" s="69">
        <f t="shared" si="40"/>
        <v>2520</v>
      </c>
      <c r="G239" s="72">
        <f>VLOOKUP(B239,'114+320'!$B$15:$AB$785,20,FALSE)</f>
        <v>694</v>
      </c>
      <c r="H239" s="72">
        <f>VLOOKUP(B239,'114+320'!$B$15:$AB$785,4,FALSE)</f>
        <v>806</v>
      </c>
      <c r="I239" s="68">
        <f t="shared" si="41"/>
        <v>1714</v>
      </c>
      <c r="J239" s="68">
        <f>VLOOKUP(B239,'114+320'!$B$15:$AB$785,13,FALSE)</f>
        <v>-286</v>
      </c>
      <c r="K239" s="66">
        <f>'114+320'!Q240</f>
        <v>0</v>
      </c>
      <c r="L239" s="65">
        <f t="shared" si="46"/>
        <v>106</v>
      </c>
      <c r="M239" s="70">
        <f>VLOOKUP(B239,'114+320'!$B$14:$AB$785,21,FALSE)</f>
        <v>677</v>
      </c>
      <c r="N239" s="69">
        <f>VLOOKUP(B239,'114+320'!$B$15:$AB$785,5,FALSE)</f>
        <v>823</v>
      </c>
      <c r="O239" s="68">
        <f t="shared" si="42"/>
        <v>1697</v>
      </c>
      <c r="P239" s="68">
        <f>VLOOKUP(B239,'114+320'!$B$15:$AB$785,14,FALSE)</f>
        <v>-303</v>
      </c>
      <c r="Q239" s="66">
        <f>'114+320'!R240</f>
        <v>0</v>
      </c>
      <c r="R239" s="65">
        <f t="shared" si="47"/>
        <v>123</v>
      </c>
      <c r="S239" s="70">
        <f>VLOOKUP(B239,'114+320'!$B$14:$AB$785,22,FALSE)</f>
        <v>689</v>
      </c>
      <c r="T239" s="69">
        <f>VLOOKUP(B239,'114+320'!$B$15:$AB$785,6,FALSE)</f>
        <v>751</v>
      </c>
      <c r="U239" s="68">
        <f t="shared" si="43"/>
        <v>1769</v>
      </c>
      <c r="V239" s="77">
        <f>VLOOKUP(B239,'114+320'!$B$15:$AB$785,15,FALSE)</f>
        <v>-231</v>
      </c>
      <c r="W239" s="66">
        <f>'114+320'!S240</f>
        <v>0</v>
      </c>
      <c r="X239" s="65">
        <f t="shared" si="48"/>
        <v>111</v>
      </c>
      <c r="Y239" s="64">
        <f t="shared" si="49"/>
        <v>0</v>
      </c>
      <c r="Z239" s="63">
        <f t="shared" si="50"/>
        <v>0</v>
      </c>
      <c r="AA239" s="62">
        <f t="shared" si="51"/>
        <v>0.89900000000000002</v>
      </c>
      <c r="AB239" s="62">
        <f t="shared" si="52"/>
        <v>0.73399999999999999</v>
      </c>
    </row>
    <row r="240" spans="2:28">
      <c r="B240" s="106">
        <f>'114+320'!B241</f>
        <v>45270</v>
      </c>
      <c r="C240" s="75">
        <f t="shared" si="44"/>
        <v>1</v>
      </c>
      <c r="D240" s="74">
        <f t="shared" si="45"/>
        <v>842</v>
      </c>
      <c r="E240" s="73">
        <f>VLOOKUP(B240,'114+320'!B241:AB342,3,FALSE)</f>
        <v>1680</v>
      </c>
      <c r="F240" s="69">
        <f t="shared" si="40"/>
        <v>2522</v>
      </c>
      <c r="G240" s="72">
        <f>VLOOKUP(B240,'114+320'!$B$15:$AB$785,20,FALSE)</f>
        <v>694</v>
      </c>
      <c r="H240" s="72">
        <f>VLOOKUP(B240,'114+320'!$B$15:$AB$785,4,FALSE)</f>
        <v>808</v>
      </c>
      <c r="I240" s="68">
        <f t="shared" si="41"/>
        <v>1714</v>
      </c>
      <c r="J240" s="68">
        <f>VLOOKUP(B240,'114+320'!$B$15:$AB$785,13,FALSE)</f>
        <v>-286</v>
      </c>
      <c r="K240" s="66">
        <f>'114+320'!Q241</f>
        <v>0</v>
      </c>
      <c r="L240" s="65">
        <f t="shared" si="46"/>
        <v>106</v>
      </c>
      <c r="M240" s="70">
        <f>VLOOKUP(B240,'114+320'!$B$14:$AB$785,21,FALSE)</f>
        <v>677</v>
      </c>
      <c r="N240" s="69">
        <f>VLOOKUP(B240,'114+320'!$B$15:$AB$785,5,FALSE)</f>
        <v>825</v>
      </c>
      <c r="O240" s="68">
        <f t="shared" si="42"/>
        <v>1697</v>
      </c>
      <c r="P240" s="68">
        <f>VLOOKUP(B240,'114+320'!$B$15:$AB$785,14,FALSE)</f>
        <v>-303</v>
      </c>
      <c r="Q240" s="66">
        <f>'114+320'!R241</f>
        <v>0</v>
      </c>
      <c r="R240" s="65">
        <f t="shared" si="47"/>
        <v>123</v>
      </c>
      <c r="S240" s="70">
        <f>VLOOKUP(B240,'114+320'!$B$14:$AB$785,22,FALSE)</f>
        <v>689</v>
      </c>
      <c r="T240" s="69">
        <f>VLOOKUP(B240,'114+320'!$B$15:$AB$785,6,FALSE)</f>
        <v>753</v>
      </c>
      <c r="U240" s="68">
        <f t="shared" si="43"/>
        <v>1769</v>
      </c>
      <c r="V240" s="77">
        <f>VLOOKUP(B240,'114+320'!$B$15:$AB$785,15,FALSE)</f>
        <v>-231</v>
      </c>
      <c r="W240" s="66">
        <f>'114+320'!S241</f>
        <v>0</v>
      </c>
      <c r="X240" s="65">
        <f t="shared" si="48"/>
        <v>111</v>
      </c>
      <c r="Y240" s="64">
        <f t="shared" si="49"/>
        <v>0</v>
      </c>
      <c r="Z240" s="63">
        <f t="shared" si="50"/>
        <v>0</v>
      </c>
      <c r="AA240" s="62">
        <f t="shared" si="51"/>
        <v>0.89900000000000002</v>
      </c>
      <c r="AB240" s="62">
        <f t="shared" si="52"/>
        <v>0.73399999999999999</v>
      </c>
    </row>
    <row r="241" spans="2:28">
      <c r="B241" s="106">
        <f>'114+320'!B242</f>
        <v>45271</v>
      </c>
      <c r="C241" s="75">
        <f t="shared" si="44"/>
        <v>1</v>
      </c>
      <c r="D241" s="74">
        <f t="shared" si="45"/>
        <v>842</v>
      </c>
      <c r="E241" s="73">
        <f>VLOOKUP(B241,'114+320'!B242:AB343,3,FALSE)</f>
        <v>1682</v>
      </c>
      <c r="F241" s="69">
        <f t="shared" si="40"/>
        <v>2524</v>
      </c>
      <c r="G241" s="72">
        <f>VLOOKUP(B241,'114+320'!$B$15:$AB$785,20,FALSE)</f>
        <v>694</v>
      </c>
      <c r="H241" s="72">
        <f>VLOOKUP(B241,'114+320'!$B$15:$AB$785,4,FALSE)</f>
        <v>810</v>
      </c>
      <c r="I241" s="68">
        <f t="shared" si="41"/>
        <v>1714</v>
      </c>
      <c r="J241" s="68">
        <f>VLOOKUP(B241,'114+320'!$B$15:$AB$785,13,FALSE)</f>
        <v>-286</v>
      </c>
      <c r="K241" s="66">
        <f>'114+320'!Q242</f>
        <v>0</v>
      </c>
      <c r="L241" s="65">
        <f t="shared" si="46"/>
        <v>106</v>
      </c>
      <c r="M241" s="70">
        <f>VLOOKUP(B241,'114+320'!$B$14:$AB$785,21,FALSE)</f>
        <v>677</v>
      </c>
      <c r="N241" s="69">
        <f>VLOOKUP(B241,'114+320'!$B$15:$AB$785,5,FALSE)</f>
        <v>827</v>
      </c>
      <c r="O241" s="68">
        <f t="shared" si="42"/>
        <v>1697</v>
      </c>
      <c r="P241" s="68">
        <f>VLOOKUP(B241,'114+320'!$B$15:$AB$785,14,FALSE)</f>
        <v>-303</v>
      </c>
      <c r="Q241" s="66">
        <f>'114+320'!R242</f>
        <v>0</v>
      </c>
      <c r="R241" s="65">
        <f t="shared" si="47"/>
        <v>123</v>
      </c>
      <c r="S241" s="70">
        <f>VLOOKUP(B241,'114+320'!$B$14:$AB$785,22,FALSE)</f>
        <v>689</v>
      </c>
      <c r="T241" s="69">
        <f>VLOOKUP(B241,'114+320'!$B$15:$AB$785,6,FALSE)</f>
        <v>755</v>
      </c>
      <c r="U241" s="68">
        <f t="shared" si="43"/>
        <v>1769</v>
      </c>
      <c r="V241" s="77">
        <f>VLOOKUP(B241,'114+320'!$B$15:$AB$785,15,FALSE)</f>
        <v>-231</v>
      </c>
      <c r="W241" s="66">
        <f>'114+320'!S242</f>
        <v>0</v>
      </c>
      <c r="X241" s="65">
        <f t="shared" si="48"/>
        <v>111</v>
      </c>
      <c r="Y241" s="64">
        <f t="shared" si="49"/>
        <v>0</v>
      </c>
      <c r="Z241" s="63">
        <f t="shared" si="50"/>
        <v>0</v>
      </c>
      <c r="AA241" s="62">
        <f t="shared" si="51"/>
        <v>0.89900000000000002</v>
      </c>
      <c r="AB241" s="62">
        <f t="shared" si="52"/>
        <v>0.73399999999999999</v>
      </c>
    </row>
    <row r="242" spans="2:28">
      <c r="B242" s="106">
        <f>'114+320'!B243</f>
        <v>45272</v>
      </c>
      <c r="C242" s="75">
        <f t="shared" si="44"/>
        <v>1</v>
      </c>
      <c r="D242" s="74">
        <f t="shared" si="45"/>
        <v>842</v>
      </c>
      <c r="E242" s="73">
        <f>VLOOKUP(B242,'114+320'!B243:AB344,3,FALSE)</f>
        <v>1684</v>
      </c>
      <c r="F242" s="69">
        <f t="shared" si="40"/>
        <v>2526</v>
      </c>
      <c r="G242" s="72">
        <f>VLOOKUP(B242,'114+320'!$B$15:$AB$785,20,FALSE)</f>
        <v>694</v>
      </c>
      <c r="H242" s="72">
        <f>VLOOKUP(B242,'114+320'!$B$15:$AB$785,4,FALSE)</f>
        <v>812</v>
      </c>
      <c r="I242" s="68">
        <f t="shared" si="41"/>
        <v>1714</v>
      </c>
      <c r="J242" s="68">
        <f>VLOOKUP(B242,'114+320'!$B$15:$AB$785,13,FALSE)</f>
        <v>-286</v>
      </c>
      <c r="K242" s="66">
        <f>'114+320'!Q243</f>
        <v>0</v>
      </c>
      <c r="L242" s="65">
        <f t="shared" si="46"/>
        <v>106</v>
      </c>
      <c r="M242" s="70">
        <f>VLOOKUP(B242,'114+320'!$B$14:$AB$785,21,FALSE)</f>
        <v>677</v>
      </c>
      <c r="N242" s="69">
        <f>VLOOKUP(B242,'114+320'!$B$15:$AB$785,5,FALSE)</f>
        <v>829</v>
      </c>
      <c r="O242" s="68">
        <f t="shared" si="42"/>
        <v>1697</v>
      </c>
      <c r="P242" s="68">
        <f>VLOOKUP(B242,'114+320'!$B$15:$AB$785,14,FALSE)</f>
        <v>-303</v>
      </c>
      <c r="Q242" s="66">
        <f>'114+320'!R243</f>
        <v>0</v>
      </c>
      <c r="R242" s="65">
        <f t="shared" si="47"/>
        <v>123</v>
      </c>
      <c r="S242" s="70">
        <f>VLOOKUP(B242,'114+320'!$B$14:$AB$785,22,FALSE)</f>
        <v>689</v>
      </c>
      <c r="T242" s="69">
        <f>VLOOKUP(B242,'114+320'!$B$15:$AB$785,6,FALSE)</f>
        <v>757</v>
      </c>
      <c r="U242" s="68">
        <f t="shared" si="43"/>
        <v>1769</v>
      </c>
      <c r="V242" s="77">
        <f>VLOOKUP(B242,'114+320'!$B$15:$AB$785,15,FALSE)</f>
        <v>-231</v>
      </c>
      <c r="W242" s="66">
        <f>'114+320'!S243</f>
        <v>0</v>
      </c>
      <c r="X242" s="65">
        <f t="shared" si="48"/>
        <v>111</v>
      </c>
      <c r="Y242" s="64">
        <f t="shared" si="49"/>
        <v>0</v>
      </c>
      <c r="Z242" s="63">
        <f t="shared" si="50"/>
        <v>0</v>
      </c>
      <c r="AA242" s="62">
        <f t="shared" si="51"/>
        <v>0.89900000000000002</v>
      </c>
      <c r="AB242" s="62">
        <f t="shared" si="52"/>
        <v>0.73399999999999999</v>
      </c>
    </row>
    <row r="243" spans="2:28">
      <c r="B243" s="106">
        <f>'114+320'!B244</f>
        <v>45273</v>
      </c>
      <c r="C243" s="75">
        <f t="shared" si="44"/>
        <v>1</v>
      </c>
      <c r="D243" s="74">
        <f t="shared" si="45"/>
        <v>842</v>
      </c>
      <c r="E243" s="73">
        <f>VLOOKUP(B243,'114+320'!B244:AB345,3,FALSE)</f>
        <v>1686</v>
      </c>
      <c r="F243" s="69">
        <f t="shared" si="40"/>
        <v>2528</v>
      </c>
      <c r="G243" s="72">
        <f>VLOOKUP(B243,'114+320'!$B$15:$AB$785,20,FALSE)</f>
        <v>694</v>
      </c>
      <c r="H243" s="72">
        <f>VLOOKUP(B243,'114+320'!$B$15:$AB$785,4,FALSE)</f>
        <v>814</v>
      </c>
      <c r="I243" s="68">
        <f t="shared" si="41"/>
        <v>1714</v>
      </c>
      <c r="J243" s="68">
        <f>VLOOKUP(B243,'114+320'!$B$15:$AB$785,13,FALSE)</f>
        <v>-286</v>
      </c>
      <c r="K243" s="66">
        <f>'114+320'!Q244</f>
        <v>0</v>
      </c>
      <c r="L243" s="65">
        <f t="shared" si="46"/>
        <v>106</v>
      </c>
      <c r="M243" s="70">
        <f>VLOOKUP(B243,'114+320'!$B$14:$AB$785,21,FALSE)</f>
        <v>677</v>
      </c>
      <c r="N243" s="69">
        <f>VLOOKUP(B243,'114+320'!$B$15:$AB$785,5,FALSE)</f>
        <v>831</v>
      </c>
      <c r="O243" s="68">
        <f t="shared" si="42"/>
        <v>1697</v>
      </c>
      <c r="P243" s="68">
        <f>VLOOKUP(B243,'114+320'!$B$15:$AB$785,14,FALSE)</f>
        <v>-303</v>
      </c>
      <c r="Q243" s="66">
        <f>'114+320'!R244</f>
        <v>0</v>
      </c>
      <c r="R243" s="65">
        <f t="shared" si="47"/>
        <v>123</v>
      </c>
      <c r="S243" s="70">
        <f>VLOOKUP(B243,'114+320'!$B$14:$AB$785,22,FALSE)</f>
        <v>689</v>
      </c>
      <c r="T243" s="69">
        <f>VLOOKUP(B243,'114+320'!$B$15:$AB$785,6,FALSE)</f>
        <v>759</v>
      </c>
      <c r="U243" s="68">
        <f t="shared" si="43"/>
        <v>1769</v>
      </c>
      <c r="V243" s="77">
        <f>VLOOKUP(B243,'114+320'!$B$15:$AB$785,15,FALSE)</f>
        <v>-231</v>
      </c>
      <c r="W243" s="66">
        <f>'114+320'!S244</f>
        <v>0</v>
      </c>
      <c r="X243" s="65">
        <f t="shared" si="48"/>
        <v>111</v>
      </c>
      <c r="Y243" s="64">
        <f t="shared" si="49"/>
        <v>0</v>
      </c>
      <c r="Z243" s="63">
        <f t="shared" si="50"/>
        <v>0</v>
      </c>
      <c r="AA243" s="62">
        <f t="shared" si="51"/>
        <v>0.89900000000000002</v>
      </c>
      <c r="AB243" s="62">
        <f t="shared" si="52"/>
        <v>0.73399999999999999</v>
      </c>
    </row>
    <row r="244" spans="2:28">
      <c r="B244" s="106">
        <f>'114+320'!B245</f>
        <v>45274</v>
      </c>
      <c r="C244" s="75">
        <f t="shared" si="44"/>
        <v>1</v>
      </c>
      <c r="D244" s="74">
        <f t="shared" si="45"/>
        <v>842</v>
      </c>
      <c r="E244" s="73">
        <f>VLOOKUP(B244,'114+320'!B245:AB346,3,FALSE)</f>
        <v>1688</v>
      </c>
      <c r="F244" s="69">
        <f t="shared" si="40"/>
        <v>2530</v>
      </c>
      <c r="G244" s="72">
        <f>VLOOKUP(B244,'114+320'!$B$15:$AB$785,20,FALSE)</f>
        <v>694</v>
      </c>
      <c r="H244" s="72">
        <f>VLOOKUP(B244,'114+320'!$B$15:$AB$785,4,FALSE)</f>
        <v>816</v>
      </c>
      <c r="I244" s="68">
        <f t="shared" si="41"/>
        <v>1714</v>
      </c>
      <c r="J244" s="68">
        <f>VLOOKUP(B244,'114+320'!$B$15:$AB$785,13,FALSE)</f>
        <v>-286</v>
      </c>
      <c r="K244" s="66">
        <f>'114+320'!Q245</f>
        <v>0</v>
      </c>
      <c r="L244" s="65">
        <f t="shared" si="46"/>
        <v>106</v>
      </c>
      <c r="M244" s="70">
        <f>VLOOKUP(B244,'114+320'!$B$14:$AB$785,21,FALSE)</f>
        <v>677</v>
      </c>
      <c r="N244" s="69">
        <f>VLOOKUP(B244,'114+320'!$B$15:$AB$785,5,FALSE)</f>
        <v>833</v>
      </c>
      <c r="O244" s="68">
        <f t="shared" si="42"/>
        <v>1697</v>
      </c>
      <c r="P244" s="68">
        <f>VLOOKUP(B244,'114+320'!$B$15:$AB$785,14,FALSE)</f>
        <v>-303</v>
      </c>
      <c r="Q244" s="66">
        <f>'114+320'!R245</f>
        <v>0</v>
      </c>
      <c r="R244" s="65">
        <f t="shared" si="47"/>
        <v>123</v>
      </c>
      <c r="S244" s="70">
        <f>VLOOKUP(B244,'114+320'!$B$14:$AB$785,22,FALSE)</f>
        <v>689</v>
      </c>
      <c r="T244" s="69">
        <f>VLOOKUP(B244,'114+320'!$B$15:$AB$785,6,FALSE)</f>
        <v>761</v>
      </c>
      <c r="U244" s="68">
        <f t="shared" si="43"/>
        <v>1769</v>
      </c>
      <c r="V244" s="77">
        <f>VLOOKUP(B244,'114+320'!$B$15:$AB$785,15,FALSE)</f>
        <v>-231</v>
      </c>
      <c r="W244" s="66">
        <f>'114+320'!S245</f>
        <v>0</v>
      </c>
      <c r="X244" s="65">
        <f t="shared" si="48"/>
        <v>111</v>
      </c>
      <c r="Y244" s="64">
        <f t="shared" si="49"/>
        <v>0</v>
      </c>
      <c r="Z244" s="63">
        <f t="shared" si="50"/>
        <v>0</v>
      </c>
      <c r="AA244" s="62">
        <f t="shared" si="51"/>
        <v>0.89900000000000002</v>
      </c>
      <c r="AB244" s="62">
        <f t="shared" si="52"/>
        <v>0.73399999999999999</v>
      </c>
    </row>
    <row r="245" spans="2:28">
      <c r="B245" s="106">
        <f>'114+320'!B246</f>
        <v>45275</v>
      </c>
      <c r="C245" s="75">
        <f t="shared" si="44"/>
        <v>1</v>
      </c>
      <c r="D245" s="74">
        <f t="shared" si="45"/>
        <v>842</v>
      </c>
      <c r="E245" s="73">
        <f>VLOOKUP(B245,'114+320'!B246:AB347,3,FALSE)</f>
        <v>1690</v>
      </c>
      <c r="F245" s="69">
        <f t="shared" si="40"/>
        <v>2532</v>
      </c>
      <c r="G245" s="72">
        <f>VLOOKUP(B245,'114+320'!$B$15:$AB$785,20,FALSE)</f>
        <v>694</v>
      </c>
      <c r="H245" s="72">
        <f>VLOOKUP(B245,'114+320'!$B$15:$AB$785,4,FALSE)</f>
        <v>818</v>
      </c>
      <c r="I245" s="68">
        <f t="shared" si="41"/>
        <v>1714</v>
      </c>
      <c r="J245" s="68">
        <f>VLOOKUP(B245,'114+320'!$B$15:$AB$785,13,FALSE)</f>
        <v>-286</v>
      </c>
      <c r="K245" s="66">
        <f>'114+320'!Q246</f>
        <v>0</v>
      </c>
      <c r="L245" s="65">
        <f t="shared" si="46"/>
        <v>106</v>
      </c>
      <c r="M245" s="70">
        <f>VLOOKUP(B245,'114+320'!$B$14:$AB$785,21,FALSE)</f>
        <v>677</v>
      </c>
      <c r="N245" s="69">
        <f>VLOOKUP(B245,'114+320'!$B$15:$AB$785,5,FALSE)</f>
        <v>835</v>
      </c>
      <c r="O245" s="68">
        <f t="shared" si="42"/>
        <v>1697</v>
      </c>
      <c r="P245" s="68">
        <f>VLOOKUP(B245,'114+320'!$B$15:$AB$785,14,FALSE)</f>
        <v>-303</v>
      </c>
      <c r="Q245" s="66">
        <f>'114+320'!R246</f>
        <v>0</v>
      </c>
      <c r="R245" s="65">
        <f t="shared" si="47"/>
        <v>123</v>
      </c>
      <c r="S245" s="70">
        <f>VLOOKUP(B245,'114+320'!$B$14:$AB$785,22,FALSE)</f>
        <v>689</v>
      </c>
      <c r="T245" s="69">
        <f>VLOOKUP(B245,'114+320'!$B$15:$AB$785,6,FALSE)</f>
        <v>763</v>
      </c>
      <c r="U245" s="68">
        <f t="shared" si="43"/>
        <v>1769</v>
      </c>
      <c r="V245" s="77">
        <f>VLOOKUP(B245,'114+320'!$B$15:$AB$785,15,FALSE)</f>
        <v>-231</v>
      </c>
      <c r="W245" s="66">
        <f>'114+320'!S246</f>
        <v>0</v>
      </c>
      <c r="X245" s="65">
        <f t="shared" si="48"/>
        <v>111</v>
      </c>
      <c r="Y245" s="64">
        <f t="shared" si="49"/>
        <v>0</v>
      </c>
      <c r="Z245" s="63">
        <f t="shared" si="50"/>
        <v>0</v>
      </c>
      <c r="AA245" s="62">
        <f t="shared" si="51"/>
        <v>0.89900000000000002</v>
      </c>
      <c r="AB245" s="62">
        <f t="shared" si="52"/>
        <v>0.73399999999999999</v>
      </c>
    </row>
    <row r="246" spans="2:28">
      <c r="B246" s="106">
        <f>'114+320'!B247</f>
        <v>45276</v>
      </c>
      <c r="C246" s="75">
        <f t="shared" si="44"/>
        <v>1</v>
      </c>
      <c r="D246" s="74">
        <f t="shared" si="45"/>
        <v>842</v>
      </c>
      <c r="E246" s="73">
        <f>VLOOKUP(B246,'114+320'!B247:AB348,3,FALSE)</f>
        <v>1692</v>
      </c>
      <c r="F246" s="69">
        <f t="shared" si="40"/>
        <v>2534</v>
      </c>
      <c r="G246" s="72">
        <f>VLOOKUP(B246,'114+320'!$B$15:$AB$785,20,FALSE)</f>
        <v>694</v>
      </c>
      <c r="H246" s="72">
        <f>VLOOKUP(B246,'114+320'!$B$15:$AB$785,4,FALSE)</f>
        <v>820</v>
      </c>
      <c r="I246" s="68">
        <f t="shared" si="41"/>
        <v>1714</v>
      </c>
      <c r="J246" s="68">
        <f>VLOOKUP(B246,'114+320'!$B$15:$AB$785,13,FALSE)</f>
        <v>-286</v>
      </c>
      <c r="K246" s="66">
        <f>'114+320'!Q247</f>
        <v>0</v>
      </c>
      <c r="L246" s="65">
        <f t="shared" si="46"/>
        <v>106</v>
      </c>
      <c r="M246" s="70">
        <f>VLOOKUP(B246,'114+320'!$B$14:$AB$785,21,FALSE)</f>
        <v>677</v>
      </c>
      <c r="N246" s="69">
        <f>VLOOKUP(B246,'114+320'!$B$15:$AB$785,5,FALSE)</f>
        <v>837</v>
      </c>
      <c r="O246" s="68">
        <f t="shared" si="42"/>
        <v>1697</v>
      </c>
      <c r="P246" s="68">
        <f>VLOOKUP(B246,'114+320'!$B$15:$AB$785,14,FALSE)</f>
        <v>-303</v>
      </c>
      <c r="Q246" s="66">
        <f>'114+320'!R247</f>
        <v>0</v>
      </c>
      <c r="R246" s="65">
        <f t="shared" si="47"/>
        <v>123</v>
      </c>
      <c r="S246" s="70">
        <f>VLOOKUP(B246,'114+320'!$B$14:$AB$785,22,FALSE)</f>
        <v>689</v>
      </c>
      <c r="T246" s="69">
        <f>VLOOKUP(B246,'114+320'!$B$15:$AB$785,6,FALSE)</f>
        <v>765</v>
      </c>
      <c r="U246" s="68">
        <f t="shared" si="43"/>
        <v>1769</v>
      </c>
      <c r="V246" s="77">
        <f>VLOOKUP(B246,'114+320'!$B$15:$AB$785,15,FALSE)</f>
        <v>-231</v>
      </c>
      <c r="W246" s="66">
        <f>'114+320'!S247</f>
        <v>0</v>
      </c>
      <c r="X246" s="65">
        <f t="shared" si="48"/>
        <v>111</v>
      </c>
      <c r="Y246" s="64">
        <f t="shared" si="49"/>
        <v>0</v>
      </c>
      <c r="Z246" s="63">
        <f t="shared" si="50"/>
        <v>0</v>
      </c>
      <c r="AA246" s="62">
        <f t="shared" si="51"/>
        <v>0.89900000000000002</v>
      </c>
      <c r="AB246" s="62">
        <f t="shared" si="52"/>
        <v>0.73399999999999999</v>
      </c>
    </row>
    <row r="247" spans="2:28">
      <c r="B247" s="106">
        <f>'114+320'!B248</f>
        <v>45277</v>
      </c>
      <c r="C247" s="75">
        <f t="shared" si="44"/>
        <v>1</v>
      </c>
      <c r="D247" s="74">
        <f t="shared" si="45"/>
        <v>842</v>
      </c>
      <c r="E247" s="73">
        <f>VLOOKUP(B247,'114+320'!B248:AB349,3,FALSE)</f>
        <v>1694</v>
      </c>
      <c r="F247" s="69">
        <f t="shared" si="40"/>
        <v>2536</v>
      </c>
      <c r="G247" s="72">
        <f>VLOOKUP(B247,'114+320'!$B$15:$AB$785,20,FALSE)</f>
        <v>694</v>
      </c>
      <c r="H247" s="72">
        <f>VLOOKUP(B247,'114+320'!$B$15:$AB$785,4,FALSE)</f>
        <v>822</v>
      </c>
      <c r="I247" s="68">
        <f t="shared" si="41"/>
        <v>1714</v>
      </c>
      <c r="J247" s="68">
        <f>VLOOKUP(B247,'114+320'!$B$15:$AB$785,13,FALSE)</f>
        <v>-286</v>
      </c>
      <c r="K247" s="66">
        <f>'114+320'!Q248</f>
        <v>0</v>
      </c>
      <c r="L247" s="65">
        <f t="shared" si="46"/>
        <v>106</v>
      </c>
      <c r="M247" s="70">
        <f>VLOOKUP(B247,'114+320'!$B$14:$AB$785,21,FALSE)</f>
        <v>677</v>
      </c>
      <c r="N247" s="69">
        <f>VLOOKUP(B247,'114+320'!$B$15:$AB$785,5,FALSE)</f>
        <v>839</v>
      </c>
      <c r="O247" s="68">
        <f t="shared" si="42"/>
        <v>1697</v>
      </c>
      <c r="P247" s="68">
        <f>VLOOKUP(B247,'114+320'!$B$15:$AB$785,14,FALSE)</f>
        <v>-303</v>
      </c>
      <c r="Q247" s="66">
        <f>'114+320'!R248</f>
        <v>0</v>
      </c>
      <c r="R247" s="65">
        <f t="shared" si="47"/>
        <v>123</v>
      </c>
      <c r="S247" s="70">
        <f>VLOOKUP(B247,'114+320'!$B$14:$AB$785,22,FALSE)</f>
        <v>689</v>
      </c>
      <c r="T247" s="69">
        <f>VLOOKUP(B247,'114+320'!$B$15:$AB$785,6,FALSE)</f>
        <v>767</v>
      </c>
      <c r="U247" s="68">
        <f t="shared" si="43"/>
        <v>1769</v>
      </c>
      <c r="V247" s="77">
        <f>VLOOKUP(B247,'114+320'!$B$15:$AB$785,15,FALSE)</f>
        <v>-231</v>
      </c>
      <c r="W247" s="66">
        <f>'114+320'!S248</f>
        <v>0</v>
      </c>
      <c r="X247" s="65">
        <f t="shared" si="48"/>
        <v>111</v>
      </c>
      <c r="Y247" s="64">
        <f t="shared" si="49"/>
        <v>0</v>
      </c>
      <c r="Z247" s="63">
        <f t="shared" si="50"/>
        <v>0</v>
      </c>
      <c r="AA247" s="62">
        <f t="shared" si="51"/>
        <v>0.89900000000000002</v>
      </c>
      <c r="AB247" s="62">
        <f t="shared" si="52"/>
        <v>0.73399999999999999</v>
      </c>
    </row>
    <row r="248" spans="2:28">
      <c r="B248" s="106">
        <f>'114+320'!B249</f>
        <v>45278</v>
      </c>
      <c r="C248" s="75">
        <f t="shared" si="44"/>
        <v>1</v>
      </c>
      <c r="D248" s="74">
        <f t="shared" si="45"/>
        <v>842</v>
      </c>
      <c r="E248" s="73">
        <f>VLOOKUP(B248,'114+320'!B249:AB350,3,FALSE)</f>
        <v>1696</v>
      </c>
      <c r="F248" s="69">
        <f t="shared" si="40"/>
        <v>2538</v>
      </c>
      <c r="G248" s="72">
        <f>VLOOKUP(B248,'114+320'!$B$15:$AB$785,20,FALSE)</f>
        <v>694</v>
      </c>
      <c r="H248" s="72">
        <f>VLOOKUP(B248,'114+320'!$B$15:$AB$785,4,FALSE)</f>
        <v>824</v>
      </c>
      <c r="I248" s="68">
        <f t="shared" si="41"/>
        <v>1714</v>
      </c>
      <c r="J248" s="68">
        <f>VLOOKUP(B248,'114+320'!$B$15:$AB$785,13,FALSE)</f>
        <v>-286</v>
      </c>
      <c r="K248" s="66">
        <f>'114+320'!Q249</f>
        <v>0</v>
      </c>
      <c r="L248" s="65">
        <f t="shared" si="46"/>
        <v>106</v>
      </c>
      <c r="M248" s="70">
        <f>VLOOKUP(B248,'114+320'!$B$14:$AB$785,21,FALSE)</f>
        <v>677</v>
      </c>
      <c r="N248" s="69">
        <f>VLOOKUP(B248,'114+320'!$B$15:$AB$785,5,FALSE)</f>
        <v>841</v>
      </c>
      <c r="O248" s="68">
        <f t="shared" si="42"/>
        <v>1697</v>
      </c>
      <c r="P248" s="68">
        <f>VLOOKUP(B248,'114+320'!$B$15:$AB$785,14,FALSE)</f>
        <v>-303</v>
      </c>
      <c r="Q248" s="66">
        <f>'114+320'!R249</f>
        <v>0</v>
      </c>
      <c r="R248" s="65">
        <f t="shared" si="47"/>
        <v>123</v>
      </c>
      <c r="S248" s="70">
        <f>VLOOKUP(B248,'114+320'!$B$14:$AB$785,22,FALSE)</f>
        <v>689</v>
      </c>
      <c r="T248" s="69">
        <f>VLOOKUP(B248,'114+320'!$B$15:$AB$785,6,FALSE)</f>
        <v>769</v>
      </c>
      <c r="U248" s="68">
        <f t="shared" si="43"/>
        <v>1769</v>
      </c>
      <c r="V248" s="77">
        <f>VLOOKUP(B248,'114+320'!$B$15:$AB$785,15,FALSE)</f>
        <v>-231</v>
      </c>
      <c r="W248" s="66">
        <f>'114+320'!S249</f>
        <v>0</v>
      </c>
      <c r="X248" s="65">
        <f t="shared" si="48"/>
        <v>111</v>
      </c>
      <c r="Y248" s="64">
        <f t="shared" si="49"/>
        <v>0</v>
      </c>
      <c r="Z248" s="63">
        <f t="shared" si="50"/>
        <v>0</v>
      </c>
      <c r="AA248" s="62">
        <f t="shared" si="51"/>
        <v>0.89900000000000002</v>
      </c>
      <c r="AB248" s="62">
        <f t="shared" si="52"/>
        <v>0.73399999999999999</v>
      </c>
    </row>
    <row r="249" spans="2:28">
      <c r="B249" s="106">
        <f>'114+320'!B250</f>
        <v>45279</v>
      </c>
      <c r="C249" s="75">
        <f t="shared" si="44"/>
        <v>1</v>
      </c>
      <c r="D249" s="74">
        <f t="shared" si="45"/>
        <v>842</v>
      </c>
      <c r="E249" s="73">
        <f>VLOOKUP(B249,'114+320'!B250:AB351,3,FALSE)</f>
        <v>1698</v>
      </c>
      <c r="F249" s="69">
        <f t="shared" si="40"/>
        <v>2540</v>
      </c>
      <c r="G249" s="72">
        <f>VLOOKUP(B249,'114+320'!$B$15:$AB$785,20,FALSE)</f>
        <v>694</v>
      </c>
      <c r="H249" s="72">
        <f>VLOOKUP(B249,'114+320'!$B$15:$AB$785,4,FALSE)</f>
        <v>826</v>
      </c>
      <c r="I249" s="68">
        <f t="shared" si="41"/>
        <v>1714</v>
      </c>
      <c r="J249" s="68">
        <f>VLOOKUP(B249,'114+320'!$B$15:$AB$785,13,FALSE)</f>
        <v>-286</v>
      </c>
      <c r="K249" s="66">
        <f>'114+320'!Q250</f>
        <v>0</v>
      </c>
      <c r="L249" s="65">
        <f t="shared" si="46"/>
        <v>106</v>
      </c>
      <c r="M249" s="70">
        <f>VLOOKUP(B249,'114+320'!$B$14:$AB$785,21,FALSE)</f>
        <v>677</v>
      </c>
      <c r="N249" s="69">
        <f>VLOOKUP(B249,'114+320'!$B$15:$AB$785,5,FALSE)</f>
        <v>843</v>
      </c>
      <c r="O249" s="68">
        <f t="shared" si="42"/>
        <v>1697</v>
      </c>
      <c r="P249" s="68">
        <f>VLOOKUP(B249,'114+320'!$B$15:$AB$785,14,FALSE)</f>
        <v>-303</v>
      </c>
      <c r="Q249" s="66">
        <f>'114+320'!R250</f>
        <v>0</v>
      </c>
      <c r="R249" s="65">
        <f t="shared" si="47"/>
        <v>123</v>
      </c>
      <c r="S249" s="70">
        <f>VLOOKUP(B249,'114+320'!$B$14:$AB$785,22,FALSE)</f>
        <v>689</v>
      </c>
      <c r="T249" s="69">
        <f>VLOOKUP(B249,'114+320'!$B$15:$AB$785,6,FALSE)</f>
        <v>771</v>
      </c>
      <c r="U249" s="68">
        <f t="shared" si="43"/>
        <v>1769</v>
      </c>
      <c r="V249" s="77">
        <f>VLOOKUP(B249,'114+320'!$B$15:$AB$785,15,FALSE)</f>
        <v>-231</v>
      </c>
      <c r="W249" s="66">
        <f>'114+320'!S250</f>
        <v>0</v>
      </c>
      <c r="X249" s="65">
        <f t="shared" si="48"/>
        <v>111</v>
      </c>
      <c r="Y249" s="64">
        <f t="shared" si="49"/>
        <v>0</v>
      </c>
      <c r="Z249" s="63">
        <f t="shared" si="50"/>
        <v>0</v>
      </c>
      <c r="AA249" s="62">
        <f t="shared" si="51"/>
        <v>0.89900000000000002</v>
      </c>
      <c r="AB249" s="62">
        <f t="shared" si="52"/>
        <v>0.73399999999999999</v>
      </c>
    </row>
    <row r="250" spans="2:28">
      <c r="B250" s="106">
        <f>'114+320'!B251</f>
        <v>45280</v>
      </c>
      <c r="C250" s="75">
        <f t="shared" si="44"/>
        <v>1</v>
      </c>
      <c r="D250" s="74">
        <f t="shared" si="45"/>
        <v>842</v>
      </c>
      <c r="E250" s="73">
        <f>VLOOKUP(B250,'114+320'!B251:AB352,3,FALSE)</f>
        <v>1700</v>
      </c>
      <c r="F250" s="69">
        <f t="shared" si="40"/>
        <v>2542</v>
      </c>
      <c r="G250" s="72">
        <f>VLOOKUP(B250,'114+320'!$B$15:$AB$785,20,FALSE)</f>
        <v>694</v>
      </c>
      <c r="H250" s="72">
        <f>VLOOKUP(B250,'114+320'!$B$15:$AB$785,4,FALSE)</f>
        <v>828</v>
      </c>
      <c r="I250" s="68">
        <f t="shared" si="41"/>
        <v>1714</v>
      </c>
      <c r="J250" s="68">
        <f>VLOOKUP(B250,'114+320'!$B$15:$AB$785,13,FALSE)</f>
        <v>-286</v>
      </c>
      <c r="K250" s="66">
        <f>'114+320'!Q251</f>
        <v>0</v>
      </c>
      <c r="L250" s="65">
        <f t="shared" si="46"/>
        <v>106</v>
      </c>
      <c r="M250" s="70">
        <f>VLOOKUP(B250,'114+320'!$B$14:$AB$785,21,FALSE)</f>
        <v>677</v>
      </c>
      <c r="N250" s="69">
        <f>VLOOKUP(B250,'114+320'!$B$15:$AB$785,5,FALSE)</f>
        <v>845</v>
      </c>
      <c r="O250" s="68">
        <f t="shared" si="42"/>
        <v>1697</v>
      </c>
      <c r="P250" s="68">
        <f>VLOOKUP(B250,'114+320'!$B$15:$AB$785,14,FALSE)</f>
        <v>-303</v>
      </c>
      <c r="Q250" s="66">
        <f>'114+320'!R251</f>
        <v>0</v>
      </c>
      <c r="R250" s="65">
        <f t="shared" si="47"/>
        <v>123</v>
      </c>
      <c r="S250" s="70">
        <f>VLOOKUP(B250,'114+320'!$B$14:$AB$785,22,FALSE)</f>
        <v>689</v>
      </c>
      <c r="T250" s="69">
        <f>VLOOKUP(B250,'114+320'!$B$15:$AB$785,6,FALSE)</f>
        <v>773</v>
      </c>
      <c r="U250" s="68">
        <f t="shared" si="43"/>
        <v>1769</v>
      </c>
      <c r="V250" s="77">
        <f>VLOOKUP(B250,'114+320'!$B$15:$AB$785,15,FALSE)</f>
        <v>-231</v>
      </c>
      <c r="W250" s="66">
        <f>'114+320'!S251</f>
        <v>0</v>
      </c>
      <c r="X250" s="65">
        <f t="shared" si="48"/>
        <v>111</v>
      </c>
      <c r="Y250" s="64">
        <f t="shared" si="49"/>
        <v>0</v>
      </c>
      <c r="Z250" s="63">
        <f t="shared" si="50"/>
        <v>0</v>
      </c>
      <c r="AA250" s="62">
        <f t="shared" si="51"/>
        <v>0.89900000000000002</v>
      </c>
      <c r="AB250" s="62">
        <f t="shared" si="52"/>
        <v>0.73399999999999999</v>
      </c>
    </row>
    <row r="251" spans="2:28">
      <c r="B251" s="106">
        <f>'114+320'!B252</f>
        <v>45281</v>
      </c>
      <c r="C251" s="75">
        <f t="shared" si="44"/>
        <v>1</v>
      </c>
      <c r="D251" s="74">
        <f t="shared" si="45"/>
        <v>842</v>
      </c>
      <c r="E251" s="73">
        <f>VLOOKUP(B251,'114+320'!B252:AB353,3,FALSE)</f>
        <v>1702</v>
      </c>
      <c r="F251" s="69">
        <f t="shared" si="40"/>
        <v>2544</v>
      </c>
      <c r="G251" s="72">
        <f>VLOOKUP(B251,'114+320'!$B$15:$AB$785,20,FALSE)</f>
        <v>694</v>
      </c>
      <c r="H251" s="72">
        <f>VLOOKUP(B251,'114+320'!$B$15:$AB$785,4,FALSE)</f>
        <v>830</v>
      </c>
      <c r="I251" s="68">
        <f t="shared" si="41"/>
        <v>1714</v>
      </c>
      <c r="J251" s="68">
        <f>VLOOKUP(B251,'114+320'!$B$15:$AB$785,13,FALSE)</f>
        <v>-286</v>
      </c>
      <c r="K251" s="66">
        <f>'114+320'!Q252</f>
        <v>0</v>
      </c>
      <c r="L251" s="65">
        <f t="shared" si="46"/>
        <v>106</v>
      </c>
      <c r="M251" s="70">
        <f>VLOOKUP(B251,'114+320'!$B$14:$AB$785,21,FALSE)</f>
        <v>677</v>
      </c>
      <c r="N251" s="69">
        <f>VLOOKUP(B251,'114+320'!$B$15:$AB$785,5,FALSE)</f>
        <v>847</v>
      </c>
      <c r="O251" s="68">
        <f t="shared" si="42"/>
        <v>1697</v>
      </c>
      <c r="P251" s="68">
        <f>VLOOKUP(B251,'114+320'!$B$15:$AB$785,14,FALSE)</f>
        <v>-303</v>
      </c>
      <c r="Q251" s="66">
        <f>'114+320'!R252</f>
        <v>0</v>
      </c>
      <c r="R251" s="65">
        <f t="shared" si="47"/>
        <v>123</v>
      </c>
      <c r="S251" s="70">
        <f>VLOOKUP(B251,'114+320'!$B$14:$AB$785,22,FALSE)</f>
        <v>689</v>
      </c>
      <c r="T251" s="69">
        <f>VLOOKUP(B251,'114+320'!$B$15:$AB$785,6,FALSE)</f>
        <v>775</v>
      </c>
      <c r="U251" s="68">
        <f t="shared" si="43"/>
        <v>1769</v>
      </c>
      <c r="V251" s="77">
        <f>VLOOKUP(B251,'114+320'!$B$15:$AB$785,15,FALSE)</f>
        <v>-231</v>
      </c>
      <c r="W251" s="66">
        <f>'114+320'!S252</f>
        <v>0</v>
      </c>
      <c r="X251" s="65">
        <f t="shared" si="48"/>
        <v>111</v>
      </c>
      <c r="Y251" s="64">
        <f t="shared" si="49"/>
        <v>0</v>
      </c>
      <c r="Z251" s="63">
        <f t="shared" si="50"/>
        <v>0</v>
      </c>
      <c r="AA251" s="62">
        <f t="shared" si="51"/>
        <v>0.89900000000000002</v>
      </c>
      <c r="AB251" s="62">
        <f t="shared" si="52"/>
        <v>0.73399999999999999</v>
      </c>
    </row>
    <row r="252" spans="2:28">
      <c r="B252" s="106">
        <f>'114+320'!B253</f>
        <v>45282</v>
      </c>
      <c r="C252" s="75">
        <f t="shared" si="44"/>
        <v>1</v>
      </c>
      <c r="D252" s="74">
        <f t="shared" si="45"/>
        <v>842</v>
      </c>
      <c r="E252" s="73">
        <f>VLOOKUP(B252,'114+320'!B253:AB354,3,FALSE)</f>
        <v>1704</v>
      </c>
      <c r="F252" s="69">
        <f t="shared" si="40"/>
        <v>2546</v>
      </c>
      <c r="G252" s="72">
        <f>VLOOKUP(B252,'114+320'!$B$15:$AB$785,20,FALSE)</f>
        <v>694</v>
      </c>
      <c r="H252" s="72">
        <f>VLOOKUP(B252,'114+320'!$B$15:$AB$785,4,FALSE)</f>
        <v>832</v>
      </c>
      <c r="I252" s="68">
        <f t="shared" si="41"/>
        <v>1714</v>
      </c>
      <c r="J252" s="68">
        <f>VLOOKUP(B252,'114+320'!$B$15:$AB$785,13,FALSE)</f>
        <v>-286</v>
      </c>
      <c r="K252" s="66">
        <f>'114+320'!Q253</f>
        <v>0</v>
      </c>
      <c r="L252" s="65">
        <f t="shared" si="46"/>
        <v>106</v>
      </c>
      <c r="M252" s="70">
        <f>VLOOKUP(B252,'114+320'!$B$14:$AB$785,21,FALSE)</f>
        <v>677</v>
      </c>
      <c r="N252" s="69">
        <f>VLOOKUP(B252,'114+320'!$B$15:$AB$785,5,FALSE)</f>
        <v>849</v>
      </c>
      <c r="O252" s="68">
        <f t="shared" si="42"/>
        <v>1697</v>
      </c>
      <c r="P252" s="68">
        <f>VLOOKUP(B252,'114+320'!$B$15:$AB$785,14,FALSE)</f>
        <v>-303</v>
      </c>
      <c r="Q252" s="66">
        <f>'114+320'!R253</f>
        <v>0</v>
      </c>
      <c r="R252" s="65">
        <f t="shared" si="47"/>
        <v>123</v>
      </c>
      <c r="S252" s="70">
        <f>VLOOKUP(B252,'114+320'!$B$14:$AB$785,22,FALSE)</f>
        <v>689</v>
      </c>
      <c r="T252" s="69">
        <f>VLOOKUP(B252,'114+320'!$B$15:$AB$785,6,FALSE)</f>
        <v>777</v>
      </c>
      <c r="U252" s="68">
        <f t="shared" si="43"/>
        <v>1769</v>
      </c>
      <c r="V252" s="77">
        <f>VLOOKUP(B252,'114+320'!$B$15:$AB$785,15,FALSE)</f>
        <v>-231</v>
      </c>
      <c r="W252" s="66">
        <f>'114+320'!S253</f>
        <v>0</v>
      </c>
      <c r="X252" s="65">
        <f t="shared" si="48"/>
        <v>111</v>
      </c>
      <c r="Y252" s="64">
        <f t="shared" si="49"/>
        <v>0</v>
      </c>
      <c r="Z252" s="63">
        <f t="shared" si="50"/>
        <v>0</v>
      </c>
      <c r="AA252" s="62">
        <f t="shared" si="51"/>
        <v>0.89900000000000002</v>
      </c>
      <c r="AB252" s="62">
        <f t="shared" si="52"/>
        <v>0.73399999999999999</v>
      </c>
    </row>
    <row r="253" spans="2:28">
      <c r="B253" s="106">
        <f>'114+320'!B254</f>
        <v>45283</v>
      </c>
      <c r="C253" s="75">
        <f t="shared" si="44"/>
        <v>1</v>
      </c>
      <c r="D253" s="74">
        <f t="shared" si="45"/>
        <v>842</v>
      </c>
      <c r="E253" s="73">
        <f>VLOOKUP(B253,'114+320'!B254:AB355,3,FALSE)</f>
        <v>1706</v>
      </c>
      <c r="F253" s="69">
        <f t="shared" si="40"/>
        <v>2548</v>
      </c>
      <c r="G253" s="72">
        <f>VLOOKUP(B253,'114+320'!$B$15:$AB$785,20,FALSE)</f>
        <v>694</v>
      </c>
      <c r="H253" s="72">
        <f>VLOOKUP(B253,'114+320'!$B$15:$AB$785,4,FALSE)</f>
        <v>834</v>
      </c>
      <c r="I253" s="68">
        <f t="shared" si="41"/>
        <v>1714</v>
      </c>
      <c r="J253" s="68">
        <f>VLOOKUP(B253,'114+320'!$B$15:$AB$785,13,FALSE)</f>
        <v>-286</v>
      </c>
      <c r="K253" s="66">
        <f>'114+320'!Q254</f>
        <v>0</v>
      </c>
      <c r="L253" s="65">
        <f t="shared" si="46"/>
        <v>106</v>
      </c>
      <c r="M253" s="70">
        <f>VLOOKUP(B253,'114+320'!$B$14:$AB$785,21,FALSE)</f>
        <v>677</v>
      </c>
      <c r="N253" s="69">
        <f>VLOOKUP(B253,'114+320'!$B$15:$AB$785,5,FALSE)</f>
        <v>851</v>
      </c>
      <c r="O253" s="68">
        <f t="shared" si="42"/>
        <v>1697</v>
      </c>
      <c r="P253" s="68">
        <f>VLOOKUP(B253,'114+320'!$B$15:$AB$785,14,FALSE)</f>
        <v>-303</v>
      </c>
      <c r="Q253" s="66">
        <f>'114+320'!R254</f>
        <v>0</v>
      </c>
      <c r="R253" s="65">
        <f t="shared" si="47"/>
        <v>123</v>
      </c>
      <c r="S253" s="70">
        <f>VLOOKUP(B253,'114+320'!$B$14:$AB$785,22,FALSE)</f>
        <v>689</v>
      </c>
      <c r="T253" s="69">
        <f>VLOOKUP(B253,'114+320'!$B$15:$AB$785,6,FALSE)</f>
        <v>779</v>
      </c>
      <c r="U253" s="68">
        <f t="shared" si="43"/>
        <v>1769</v>
      </c>
      <c r="V253" s="77">
        <f>VLOOKUP(B253,'114+320'!$B$15:$AB$785,15,FALSE)</f>
        <v>-231</v>
      </c>
      <c r="W253" s="66">
        <f>'114+320'!S254</f>
        <v>0</v>
      </c>
      <c r="X253" s="65">
        <f t="shared" si="48"/>
        <v>111</v>
      </c>
      <c r="Y253" s="64">
        <f t="shared" si="49"/>
        <v>0</v>
      </c>
      <c r="Z253" s="63">
        <f t="shared" si="50"/>
        <v>0</v>
      </c>
      <c r="AA253" s="62">
        <f t="shared" si="51"/>
        <v>0.89900000000000002</v>
      </c>
      <c r="AB253" s="62">
        <f t="shared" si="52"/>
        <v>0.73399999999999999</v>
      </c>
    </row>
    <row r="254" spans="2:28">
      <c r="B254" s="106">
        <f>'114+320'!B255</f>
        <v>45284</v>
      </c>
      <c r="C254" s="75">
        <f t="shared" si="44"/>
        <v>1</v>
      </c>
      <c r="D254" s="74">
        <f t="shared" si="45"/>
        <v>842</v>
      </c>
      <c r="E254" s="73">
        <f>VLOOKUP(B254,'114+320'!B255:AB356,3,FALSE)</f>
        <v>1708</v>
      </c>
      <c r="F254" s="69">
        <f t="shared" si="40"/>
        <v>2550</v>
      </c>
      <c r="G254" s="72">
        <f>VLOOKUP(B254,'114+320'!$B$15:$AB$785,20,FALSE)</f>
        <v>694</v>
      </c>
      <c r="H254" s="72">
        <f>VLOOKUP(B254,'114+320'!$B$15:$AB$785,4,FALSE)</f>
        <v>836</v>
      </c>
      <c r="I254" s="68">
        <f t="shared" si="41"/>
        <v>1714</v>
      </c>
      <c r="J254" s="68">
        <f>VLOOKUP(B254,'114+320'!$B$15:$AB$785,13,FALSE)</f>
        <v>-286</v>
      </c>
      <c r="K254" s="66">
        <f>'114+320'!Q255</f>
        <v>0</v>
      </c>
      <c r="L254" s="65">
        <f t="shared" si="46"/>
        <v>106</v>
      </c>
      <c r="M254" s="70">
        <f>VLOOKUP(B254,'114+320'!$B$14:$AB$785,21,FALSE)</f>
        <v>677</v>
      </c>
      <c r="N254" s="69">
        <f>VLOOKUP(B254,'114+320'!$B$15:$AB$785,5,FALSE)</f>
        <v>853</v>
      </c>
      <c r="O254" s="68">
        <f t="shared" si="42"/>
        <v>1697</v>
      </c>
      <c r="P254" s="68">
        <f>VLOOKUP(B254,'114+320'!$B$15:$AB$785,14,FALSE)</f>
        <v>-303</v>
      </c>
      <c r="Q254" s="66">
        <f>'114+320'!R255</f>
        <v>0</v>
      </c>
      <c r="R254" s="65">
        <f t="shared" si="47"/>
        <v>123</v>
      </c>
      <c r="S254" s="70">
        <f>VLOOKUP(B254,'114+320'!$B$14:$AB$785,22,FALSE)</f>
        <v>689</v>
      </c>
      <c r="T254" s="69">
        <f>VLOOKUP(B254,'114+320'!$B$15:$AB$785,6,FALSE)</f>
        <v>781</v>
      </c>
      <c r="U254" s="68">
        <f t="shared" si="43"/>
        <v>1769</v>
      </c>
      <c r="V254" s="77">
        <f>VLOOKUP(B254,'114+320'!$B$15:$AB$785,15,FALSE)</f>
        <v>-231</v>
      </c>
      <c r="W254" s="66">
        <f>'114+320'!S255</f>
        <v>0</v>
      </c>
      <c r="X254" s="65">
        <f t="shared" si="48"/>
        <v>111</v>
      </c>
      <c r="Y254" s="64">
        <f t="shared" si="49"/>
        <v>0</v>
      </c>
      <c r="Z254" s="63">
        <f t="shared" si="50"/>
        <v>0</v>
      </c>
      <c r="AA254" s="62">
        <f t="shared" si="51"/>
        <v>0.89900000000000002</v>
      </c>
      <c r="AB254" s="62">
        <f t="shared" si="52"/>
        <v>0.73399999999999999</v>
      </c>
    </row>
    <row r="255" spans="2:28">
      <c r="B255" s="106">
        <f>'114+320'!B256</f>
        <v>45285</v>
      </c>
      <c r="C255" s="75">
        <f t="shared" si="44"/>
        <v>1</v>
      </c>
      <c r="D255" s="74">
        <f t="shared" si="45"/>
        <v>842</v>
      </c>
      <c r="E255" s="73">
        <f>VLOOKUP(B255,'114+320'!B256:AB357,3,FALSE)</f>
        <v>1710</v>
      </c>
      <c r="F255" s="69">
        <f t="shared" si="40"/>
        <v>2552</v>
      </c>
      <c r="G255" s="72">
        <f>VLOOKUP(B255,'114+320'!$B$15:$AB$785,20,FALSE)</f>
        <v>694</v>
      </c>
      <c r="H255" s="72">
        <f>VLOOKUP(B255,'114+320'!$B$15:$AB$785,4,FALSE)</f>
        <v>838</v>
      </c>
      <c r="I255" s="68">
        <f t="shared" si="41"/>
        <v>1714</v>
      </c>
      <c r="J255" s="68">
        <f>VLOOKUP(B255,'114+320'!$B$15:$AB$785,13,FALSE)</f>
        <v>-286</v>
      </c>
      <c r="K255" s="66">
        <f>'114+320'!Q256</f>
        <v>0</v>
      </c>
      <c r="L255" s="65">
        <f t="shared" si="46"/>
        <v>106</v>
      </c>
      <c r="M255" s="70">
        <f>VLOOKUP(B255,'114+320'!$B$14:$AB$785,21,FALSE)</f>
        <v>677</v>
      </c>
      <c r="N255" s="69">
        <f>VLOOKUP(B255,'114+320'!$B$15:$AB$785,5,FALSE)</f>
        <v>855</v>
      </c>
      <c r="O255" s="68">
        <f t="shared" si="42"/>
        <v>1697</v>
      </c>
      <c r="P255" s="68">
        <f>VLOOKUP(B255,'114+320'!$B$15:$AB$785,14,FALSE)</f>
        <v>-303</v>
      </c>
      <c r="Q255" s="66">
        <f>'114+320'!R256</f>
        <v>0</v>
      </c>
      <c r="R255" s="65">
        <f t="shared" si="47"/>
        <v>123</v>
      </c>
      <c r="S255" s="70">
        <f>VLOOKUP(B255,'114+320'!$B$14:$AB$785,22,FALSE)</f>
        <v>689</v>
      </c>
      <c r="T255" s="69">
        <f>VLOOKUP(B255,'114+320'!$B$15:$AB$785,6,FALSE)</f>
        <v>783</v>
      </c>
      <c r="U255" s="68">
        <f t="shared" si="43"/>
        <v>1769</v>
      </c>
      <c r="V255" s="77">
        <f>VLOOKUP(B255,'114+320'!$B$15:$AB$785,15,FALSE)</f>
        <v>-231</v>
      </c>
      <c r="W255" s="66">
        <f>'114+320'!S256</f>
        <v>0</v>
      </c>
      <c r="X255" s="65">
        <f t="shared" si="48"/>
        <v>111</v>
      </c>
      <c r="Y255" s="64">
        <f t="shared" si="49"/>
        <v>0</v>
      </c>
      <c r="Z255" s="63">
        <f t="shared" si="50"/>
        <v>0</v>
      </c>
      <c r="AA255" s="62">
        <f t="shared" si="51"/>
        <v>0.89900000000000002</v>
      </c>
      <c r="AB255" s="62">
        <f t="shared" si="52"/>
        <v>0.73399999999999999</v>
      </c>
    </row>
    <row r="256" spans="2:28">
      <c r="B256" s="106">
        <f>'114+320'!B257</f>
        <v>45286</v>
      </c>
      <c r="C256" s="75">
        <f t="shared" si="44"/>
        <v>1</v>
      </c>
      <c r="D256" s="74">
        <f t="shared" si="45"/>
        <v>842</v>
      </c>
      <c r="E256" s="73">
        <f>VLOOKUP(B256,'114+320'!B257:AB358,3,FALSE)</f>
        <v>1712</v>
      </c>
      <c r="F256" s="69">
        <f t="shared" si="40"/>
        <v>2554</v>
      </c>
      <c r="G256" s="72">
        <f>VLOOKUP(B256,'114+320'!$B$15:$AB$785,20,FALSE)</f>
        <v>694</v>
      </c>
      <c r="H256" s="72">
        <f>VLOOKUP(B256,'114+320'!$B$15:$AB$785,4,FALSE)</f>
        <v>840</v>
      </c>
      <c r="I256" s="68">
        <f t="shared" si="41"/>
        <v>1714</v>
      </c>
      <c r="J256" s="68">
        <f>VLOOKUP(B256,'114+320'!$B$15:$AB$785,13,FALSE)</f>
        <v>-286</v>
      </c>
      <c r="K256" s="66">
        <f>'114+320'!Q257</f>
        <v>0</v>
      </c>
      <c r="L256" s="65">
        <f t="shared" si="46"/>
        <v>106</v>
      </c>
      <c r="M256" s="70">
        <f>VLOOKUP(B256,'114+320'!$B$14:$AB$785,21,FALSE)</f>
        <v>677</v>
      </c>
      <c r="N256" s="69">
        <f>VLOOKUP(B256,'114+320'!$B$15:$AB$785,5,FALSE)</f>
        <v>857</v>
      </c>
      <c r="O256" s="68">
        <f t="shared" si="42"/>
        <v>1697</v>
      </c>
      <c r="P256" s="68">
        <f>VLOOKUP(B256,'114+320'!$B$15:$AB$785,14,FALSE)</f>
        <v>-303</v>
      </c>
      <c r="Q256" s="66">
        <f>'114+320'!R257</f>
        <v>0</v>
      </c>
      <c r="R256" s="65">
        <f t="shared" si="47"/>
        <v>123</v>
      </c>
      <c r="S256" s="70">
        <f>VLOOKUP(B256,'114+320'!$B$14:$AB$785,22,FALSE)</f>
        <v>689</v>
      </c>
      <c r="T256" s="69">
        <f>VLOOKUP(B256,'114+320'!$B$15:$AB$785,6,FALSE)</f>
        <v>785</v>
      </c>
      <c r="U256" s="68">
        <f t="shared" si="43"/>
        <v>1769</v>
      </c>
      <c r="V256" s="77">
        <f>VLOOKUP(B256,'114+320'!$B$15:$AB$785,15,FALSE)</f>
        <v>-231</v>
      </c>
      <c r="W256" s="66">
        <f>'114+320'!S257</f>
        <v>0</v>
      </c>
      <c r="X256" s="65">
        <f t="shared" si="48"/>
        <v>111</v>
      </c>
      <c r="Y256" s="64">
        <f t="shared" si="49"/>
        <v>0</v>
      </c>
      <c r="Z256" s="63">
        <f t="shared" si="50"/>
        <v>0</v>
      </c>
      <c r="AA256" s="62">
        <f t="shared" si="51"/>
        <v>0.89900000000000002</v>
      </c>
      <c r="AB256" s="62">
        <f t="shared" si="52"/>
        <v>0.73399999999999999</v>
      </c>
    </row>
    <row r="257" spans="2:28">
      <c r="B257" s="106">
        <f>'114+320'!B258</f>
        <v>45287</v>
      </c>
      <c r="C257" s="75">
        <f t="shared" si="44"/>
        <v>1</v>
      </c>
      <c r="D257" s="74">
        <f t="shared" si="45"/>
        <v>842</v>
      </c>
      <c r="E257" s="73">
        <f>VLOOKUP(B257,'114+320'!B258:AB359,3,FALSE)</f>
        <v>1714</v>
      </c>
      <c r="F257" s="69">
        <f t="shared" si="40"/>
        <v>2556</v>
      </c>
      <c r="G257" s="72">
        <f>VLOOKUP(B257,'114+320'!$B$15:$AB$785,20,FALSE)</f>
        <v>694</v>
      </c>
      <c r="H257" s="72">
        <f>VLOOKUP(B257,'114+320'!$B$15:$AB$785,4,FALSE)</f>
        <v>842</v>
      </c>
      <c r="I257" s="68">
        <f t="shared" si="41"/>
        <v>1714</v>
      </c>
      <c r="J257" s="68">
        <f>VLOOKUP(B257,'114+320'!$B$15:$AB$785,13,FALSE)</f>
        <v>-286</v>
      </c>
      <c r="K257" s="66">
        <f>'114+320'!Q258</f>
        <v>0</v>
      </c>
      <c r="L257" s="65">
        <f t="shared" si="46"/>
        <v>106</v>
      </c>
      <c r="M257" s="70">
        <f>VLOOKUP(B257,'114+320'!$B$14:$AB$785,21,FALSE)</f>
        <v>677</v>
      </c>
      <c r="N257" s="69">
        <f>VLOOKUP(B257,'114+320'!$B$15:$AB$785,5,FALSE)</f>
        <v>859</v>
      </c>
      <c r="O257" s="68">
        <f t="shared" si="42"/>
        <v>1697</v>
      </c>
      <c r="P257" s="68">
        <f>VLOOKUP(B257,'114+320'!$B$15:$AB$785,14,FALSE)</f>
        <v>-303</v>
      </c>
      <c r="Q257" s="66">
        <f>'114+320'!R258</f>
        <v>0</v>
      </c>
      <c r="R257" s="65">
        <f t="shared" si="47"/>
        <v>123</v>
      </c>
      <c r="S257" s="70">
        <f>VLOOKUP(B257,'114+320'!$B$14:$AB$785,22,FALSE)</f>
        <v>689</v>
      </c>
      <c r="T257" s="69">
        <f>VLOOKUP(B257,'114+320'!$B$15:$AB$785,6,FALSE)</f>
        <v>787</v>
      </c>
      <c r="U257" s="68">
        <f t="shared" si="43"/>
        <v>1769</v>
      </c>
      <c r="V257" s="77">
        <f>VLOOKUP(B257,'114+320'!$B$15:$AB$785,15,FALSE)</f>
        <v>-231</v>
      </c>
      <c r="W257" s="66">
        <f>'114+320'!S258</f>
        <v>0</v>
      </c>
      <c r="X257" s="65">
        <f t="shared" si="48"/>
        <v>111</v>
      </c>
      <c r="Y257" s="64">
        <f t="shared" si="49"/>
        <v>0</v>
      </c>
      <c r="Z257" s="63">
        <f t="shared" si="50"/>
        <v>0</v>
      </c>
      <c r="AA257" s="62">
        <f t="shared" si="51"/>
        <v>0.89900000000000002</v>
      </c>
      <c r="AB257" s="62">
        <f t="shared" si="52"/>
        <v>0.73399999999999999</v>
      </c>
    </row>
    <row r="258" spans="2:28">
      <c r="B258" s="106">
        <f>'114+320'!B259</f>
        <v>45288</v>
      </c>
      <c r="C258" s="75">
        <f t="shared" si="44"/>
        <v>1</v>
      </c>
      <c r="D258" s="74">
        <f t="shared" si="45"/>
        <v>842</v>
      </c>
      <c r="E258" s="73">
        <f>VLOOKUP(B258,'114+320'!B259:AB360,3,FALSE)</f>
        <v>1716</v>
      </c>
      <c r="F258" s="69">
        <f t="shared" si="40"/>
        <v>2558</v>
      </c>
      <c r="G258" s="72">
        <f>VLOOKUP(B258,'114+320'!$B$15:$AB$785,20,FALSE)</f>
        <v>694</v>
      </c>
      <c r="H258" s="72">
        <f>VLOOKUP(B258,'114+320'!$B$15:$AB$785,4,FALSE)</f>
        <v>844</v>
      </c>
      <c r="I258" s="68">
        <f t="shared" si="41"/>
        <v>1714</v>
      </c>
      <c r="J258" s="68">
        <f>VLOOKUP(B258,'114+320'!$B$15:$AB$785,13,FALSE)</f>
        <v>-286</v>
      </c>
      <c r="K258" s="66">
        <f>'114+320'!Q259</f>
        <v>0</v>
      </c>
      <c r="L258" s="65">
        <f t="shared" si="46"/>
        <v>106</v>
      </c>
      <c r="M258" s="70">
        <f>VLOOKUP(B258,'114+320'!$B$14:$AB$785,21,FALSE)</f>
        <v>677</v>
      </c>
      <c r="N258" s="69">
        <f>VLOOKUP(B258,'114+320'!$B$15:$AB$785,5,FALSE)</f>
        <v>861</v>
      </c>
      <c r="O258" s="68">
        <f t="shared" si="42"/>
        <v>1697</v>
      </c>
      <c r="P258" s="68">
        <f>VLOOKUP(B258,'114+320'!$B$15:$AB$785,14,FALSE)</f>
        <v>-303</v>
      </c>
      <c r="Q258" s="66">
        <f>'114+320'!R259</f>
        <v>0</v>
      </c>
      <c r="R258" s="65">
        <f t="shared" si="47"/>
        <v>123</v>
      </c>
      <c r="S258" s="70">
        <f>VLOOKUP(B258,'114+320'!$B$14:$AB$785,22,FALSE)</f>
        <v>689</v>
      </c>
      <c r="T258" s="69">
        <f>VLOOKUP(B258,'114+320'!$B$15:$AB$785,6,FALSE)</f>
        <v>789</v>
      </c>
      <c r="U258" s="68">
        <f t="shared" si="43"/>
        <v>1769</v>
      </c>
      <c r="V258" s="77">
        <f>VLOOKUP(B258,'114+320'!$B$15:$AB$785,15,FALSE)</f>
        <v>-231</v>
      </c>
      <c r="W258" s="66">
        <f>'114+320'!S259</f>
        <v>0</v>
      </c>
      <c r="X258" s="65">
        <f t="shared" si="48"/>
        <v>111</v>
      </c>
      <c r="Y258" s="64">
        <f t="shared" si="49"/>
        <v>0</v>
      </c>
      <c r="Z258" s="63">
        <f t="shared" si="50"/>
        <v>0</v>
      </c>
      <c r="AA258" s="62">
        <f t="shared" si="51"/>
        <v>0.89900000000000002</v>
      </c>
      <c r="AB258" s="62">
        <f t="shared" si="52"/>
        <v>0.73399999999999999</v>
      </c>
    </row>
    <row r="259" spans="2:28">
      <c r="B259" s="106">
        <f>'114+320'!B260</f>
        <v>45289</v>
      </c>
      <c r="C259" s="75">
        <f t="shared" si="44"/>
        <v>1</v>
      </c>
      <c r="D259" s="74">
        <f t="shared" si="45"/>
        <v>842</v>
      </c>
      <c r="E259" s="73">
        <f>VLOOKUP(B259,'114+320'!B260:AB361,3,FALSE)</f>
        <v>1718</v>
      </c>
      <c r="F259" s="69">
        <f t="shared" si="40"/>
        <v>2560</v>
      </c>
      <c r="G259" s="72">
        <f>VLOOKUP(B259,'114+320'!$B$15:$AB$785,20,FALSE)</f>
        <v>694</v>
      </c>
      <c r="H259" s="72">
        <f>VLOOKUP(B259,'114+320'!$B$15:$AB$785,4,FALSE)</f>
        <v>846</v>
      </c>
      <c r="I259" s="68">
        <f t="shared" si="41"/>
        <v>1714</v>
      </c>
      <c r="J259" s="68">
        <f>VLOOKUP(B259,'114+320'!$B$15:$AB$785,13,FALSE)</f>
        <v>-286</v>
      </c>
      <c r="K259" s="66">
        <f>'114+320'!Q260</f>
        <v>0</v>
      </c>
      <c r="L259" s="65">
        <f t="shared" si="46"/>
        <v>106</v>
      </c>
      <c r="M259" s="70">
        <f>VLOOKUP(B259,'114+320'!$B$14:$AB$785,21,FALSE)</f>
        <v>677</v>
      </c>
      <c r="N259" s="69">
        <f>VLOOKUP(B259,'114+320'!$B$15:$AB$785,5,FALSE)</f>
        <v>863</v>
      </c>
      <c r="O259" s="68">
        <f t="shared" si="42"/>
        <v>1697</v>
      </c>
      <c r="P259" s="68">
        <f>VLOOKUP(B259,'114+320'!$B$15:$AB$785,14,FALSE)</f>
        <v>-303</v>
      </c>
      <c r="Q259" s="66">
        <f>'114+320'!R260</f>
        <v>0</v>
      </c>
      <c r="R259" s="65">
        <f t="shared" si="47"/>
        <v>123</v>
      </c>
      <c r="S259" s="70">
        <f>VLOOKUP(B259,'114+320'!$B$14:$AB$785,22,FALSE)</f>
        <v>689</v>
      </c>
      <c r="T259" s="69">
        <f>VLOOKUP(B259,'114+320'!$B$15:$AB$785,6,FALSE)</f>
        <v>791</v>
      </c>
      <c r="U259" s="68">
        <f t="shared" si="43"/>
        <v>1769</v>
      </c>
      <c r="V259" s="77">
        <f>VLOOKUP(B259,'114+320'!$B$15:$AB$785,15,FALSE)</f>
        <v>-231</v>
      </c>
      <c r="W259" s="66">
        <f>'114+320'!S260</f>
        <v>0</v>
      </c>
      <c r="X259" s="65">
        <f t="shared" si="48"/>
        <v>111</v>
      </c>
      <c r="Y259" s="64">
        <f t="shared" si="49"/>
        <v>0</v>
      </c>
      <c r="Z259" s="63">
        <f t="shared" si="50"/>
        <v>0</v>
      </c>
      <c r="AA259" s="62">
        <f t="shared" si="51"/>
        <v>0.89900000000000002</v>
      </c>
      <c r="AB259" s="62">
        <f t="shared" si="52"/>
        <v>0.73399999999999999</v>
      </c>
    </row>
    <row r="260" spans="2:28">
      <c r="B260" s="106">
        <f>'114+320'!B261</f>
        <v>45290</v>
      </c>
      <c r="C260" s="75">
        <f t="shared" si="44"/>
        <v>1</v>
      </c>
      <c r="D260" s="74">
        <f t="shared" si="45"/>
        <v>842</v>
      </c>
      <c r="E260" s="73">
        <f>VLOOKUP(B260,'114+320'!B261:AB362,3,FALSE)</f>
        <v>1720</v>
      </c>
      <c r="F260" s="69">
        <f t="shared" si="40"/>
        <v>2562</v>
      </c>
      <c r="G260" s="72">
        <f>VLOOKUP(B260,'114+320'!$B$15:$AB$785,20,FALSE)</f>
        <v>694</v>
      </c>
      <c r="H260" s="72">
        <f>VLOOKUP(B260,'114+320'!$B$15:$AB$785,4,FALSE)</f>
        <v>848</v>
      </c>
      <c r="I260" s="68">
        <f t="shared" si="41"/>
        <v>1714</v>
      </c>
      <c r="J260" s="68">
        <f>VLOOKUP(B260,'114+320'!$B$15:$AB$785,13,FALSE)</f>
        <v>-286</v>
      </c>
      <c r="K260" s="66">
        <f>'114+320'!Q261</f>
        <v>0</v>
      </c>
      <c r="L260" s="65">
        <f t="shared" si="46"/>
        <v>106</v>
      </c>
      <c r="M260" s="70">
        <f>VLOOKUP(B260,'114+320'!$B$14:$AB$785,21,FALSE)</f>
        <v>677</v>
      </c>
      <c r="N260" s="69">
        <f>VLOOKUP(B260,'114+320'!$B$15:$AB$785,5,FALSE)</f>
        <v>865</v>
      </c>
      <c r="O260" s="68">
        <f t="shared" si="42"/>
        <v>1697</v>
      </c>
      <c r="P260" s="68">
        <f>VLOOKUP(B260,'114+320'!$B$15:$AB$785,14,FALSE)</f>
        <v>-303</v>
      </c>
      <c r="Q260" s="66">
        <f>'114+320'!R261</f>
        <v>0</v>
      </c>
      <c r="R260" s="65">
        <f t="shared" si="47"/>
        <v>123</v>
      </c>
      <c r="S260" s="70">
        <f>VLOOKUP(B260,'114+320'!$B$14:$AB$785,22,FALSE)</f>
        <v>689</v>
      </c>
      <c r="T260" s="69">
        <f>VLOOKUP(B260,'114+320'!$B$15:$AB$785,6,FALSE)</f>
        <v>793</v>
      </c>
      <c r="U260" s="68">
        <f t="shared" si="43"/>
        <v>1769</v>
      </c>
      <c r="V260" s="77">
        <f>VLOOKUP(B260,'114+320'!$B$15:$AB$785,15,FALSE)</f>
        <v>-231</v>
      </c>
      <c r="W260" s="66">
        <f>'114+320'!S261</f>
        <v>0</v>
      </c>
      <c r="X260" s="65">
        <f t="shared" si="48"/>
        <v>111</v>
      </c>
      <c r="Y260" s="64">
        <f t="shared" si="49"/>
        <v>0</v>
      </c>
      <c r="Z260" s="63">
        <f t="shared" si="50"/>
        <v>0</v>
      </c>
      <c r="AA260" s="62">
        <f t="shared" si="51"/>
        <v>0.89900000000000002</v>
      </c>
      <c r="AB260" s="62">
        <f t="shared" si="52"/>
        <v>0.73399999999999999</v>
      </c>
    </row>
    <row r="261" spans="2:28">
      <c r="B261" s="106">
        <f>'114+320'!B262</f>
        <v>45291</v>
      </c>
      <c r="C261" s="75">
        <f t="shared" si="44"/>
        <v>1</v>
      </c>
      <c r="D261" s="74">
        <f t="shared" si="45"/>
        <v>842</v>
      </c>
      <c r="E261" s="73">
        <f>VLOOKUP(B261,'114+320'!B262:AB363,3,FALSE)</f>
        <v>1722</v>
      </c>
      <c r="F261" s="69">
        <f t="shared" si="40"/>
        <v>2564</v>
      </c>
      <c r="G261" s="72">
        <f>VLOOKUP(B261,'114+320'!$B$15:$AB$785,20,FALSE)</f>
        <v>694</v>
      </c>
      <c r="H261" s="72">
        <f>VLOOKUP(B261,'114+320'!$B$15:$AB$785,4,FALSE)</f>
        <v>850</v>
      </c>
      <c r="I261" s="68">
        <f t="shared" si="41"/>
        <v>1714</v>
      </c>
      <c r="J261" s="68">
        <f>VLOOKUP(B261,'114+320'!$B$15:$AB$785,13,FALSE)</f>
        <v>-286</v>
      </c>
      <c r="K261" s="66">
        <f>'114+320'!Q262</f>
        <v>0</v>
      </c>
      <c r="L261" s="65">
        <f t="shared" si="46"/>
        <v>106</v>
      </c>
      <c r="M261" s="70">
        <f>VLOOKUP(B261,'114+320'!$B$14:$AB$785,21,FALSE)</f>
        <v>677</v>
      </c>
      <c r="N261" s="69">
        <f>VLOOKUP(B261,'114+320'!$B$15:$AB$785,5,FALSE)</f>
        <v>867</v>
      </c>
      <c r="O261" s="68">
        <f t="shared" si="42"/>
        <v>1697</v>
      </c>
      <c r="P261" s="68">
        <f>VLOOKUP(B261,'114+320'!$B$15:$AB$785,14,FALSE)</f>
        <v>-303</v>
      </c>
      <c r="Q261" s="66">
        <f>'114+320'!R262</f>
        <v>0</v>
      </c>
      <c r="R261" s="65">
        <f t="shared" si="47"/>
        <v>123</v>
      </c>
      <c r="S261" s="70">
        <f>VLOOKUP(B261,'114+320'!$B$14:$AB$785,22,FALSE)</f>
        <v>689</v>
      </c>
      <c r="T261" s="69">
        <f>VLOOKUP(B261,'114+320'!$B$15:$AB$785,6,FALSE)</f>
        <v>795</v>
      </c>
      <c r="U261" s="68">
        <f t="shared" si="43"/>
        <v>1769</v>
      </c>
      <c r="V261" s="77">
        <f>VLOOKUP(B261,'114+320'!$B$15:$AB$785,15,FALSE)</f>
        <v>-231</v>
      </c>
      <c r="W261" s="66">
        <f>'114+320'!S262</f>
        <v>0</v>
      </c>
      <c r="X261" s="65">
        <f t="shared" si="48"/>
        <v>111</v>
      </c>
      <c r="Y261" s="64">
        <f t="shared" si="49"/>
        <v>0</v>
      </c>
      <c r="Z261" s="63">
        <f t="shared" si="50"/>
        <v>0</v>
      </c>
      <c r="AA261" s="62">
        <f t="shared" si="51"/>
        <v>0.89900000000000002</v>
      </c>
      <c r="AB261" s="62">
        <f t="shared" si="52"/>
        <v>0.73399999999999999</v>
      </c>
    </row>
    <row r="262" spans="2:28">
      <c r="B262" s="106">
        <f>'114+320'!B263</f>
        <v>45292</v>
      </c>
      <c r="C262" s="75">
        <f t="shared" si="44"/>
        <v>1</v>
      </c>
      <c r="D262" s="74">
        <f t="shared" si="45"/>
        <v>842</v>
      </c>
      <c r="E262" s="73">
        <f>VLOOKUP(B262,'114+320'!B263:AB364,3,FALSE)</f>
        <v>1724</v>
      </c>
      <c r="F262" s="69">
        <f t="shared" si="40"/>
        <v>2566</v>
      </c>
      <c r="G262" s="72">
        <f>VLOOKUP(B262,'114+320'!$B$15:$AB$785,20,FALSE)</f>
        <v>694</v>
      </c>
      <c r="H262" s="72">
        <f>VLOOKUP(B262,'114+320'!$B$15:$AB$785,4,FALSE)</f>
        <v>852</v>
      </c>
      <c r="I262" s="68">
        <f t="shared" si="41"/>
        <v>1714</v>
      </c>
      <c r="J262" s="68">
        <f>VLOOKUP(B262,'114+320'!$B$15:$AB$785,13,FALSE)</f>
        <v>-286</v>
      </c>
      <c r="K262" s="66">
        <f>'114+320'!Q263</f>
        <v>0</v>
      </c>
      <c r="L262" s="65">
        <f t="shared" si="46"/>
        <v>106</v>
      </c>
      <c r="M262" s="70">
        <f>VLOOKUP(B262,'114+320'!$B$14:$AB$785,21,FALSE)</f>
        <v>677</v>
      </c>
      <c r="N262" s="69">
        <f>VLOOKUP(B262,'114+320'!$B$15:$AB$785,5,FALSE)</f>
        <v>869</v>
      </c>
      <c r="O262" s="68">
        <f t="shared" si="42"/>
        <v>1697</v>
      </c>
      <c r="P262" s="68">
        <f>VLOOKUP(B262,'114+320'!$B$15:$AB$785,14,FALSE)</f>
        <v>-303</v>
      </c>
      <c r="Q262" s="66">
        <f>'114+320'!R263</f>
        <v>0</v>
      </c>
      <c r="R262" s="65">
        <f t="shared" si="47"/>
        <v>123</v>
      </c>
      <c r="S262" s="70">
        <f>VLOOKUP(B262,'114+320'!$B$14:$AB$785,22,FALSE)</f>
        <v>689</v>
      </c>
      <c r="T262" s="69">
        <f>VLOOKUP(B262,'114+320'!$B$15:$AB$785,6,FALSE)</f>
        <v>797</v>
      </c>
      <c r="U262" s="68">
        <f t="shared" si="43"/>
        <v>1769</v>
      </c>
      <c r="V262" s="77">
        <f>VLOOKUP(B262,'114+320'!$B$15:$AB$785,15,FALSE)</f>
        <v>-231</v>
      </c>
      <c r="W262" s="66">
        <f>'114+320'!S263</f>
        <v>0</v>
      </c>
      <c r="X262" s="65">
        <f t="shared" si="48"/>
        <v>111</v>
      </c>
      <c r="Y262" s="64">
        <f t="shared" si="49"/>
        <v>0</v>
      </c>
      <c r="Z262" s="63">
        <f t="shared" si="50"/>
        <v>0</v>
      </c>
      <c r="AA262" s="62">
        <f t="shared" si="51"/>
        <v>0.89900000000000002</v>
      </c>
      <c r="AB262" s="62">
        <f t="shared" si="52"/>
        <v>0.73399999999999999</v>
      </c>
    </row>
    <row r="263" spans="2:28">
      <c r="B263" s="106">
        <f>'114+320'!B264</f>
        <v>45293</v>
      </c>
      <c r="C263" s="75">
        <f t="shared" si="44"/>
        <v>1</v>
      </c>
      <c r="D263" s="74">
        <f t="shared" si="45"/>
        <v>842</v>
      </c>
      <c r="E263" s="73">
        <f>VLOOKUP(B263,'114+320'!B264:AB365,3,FALSE)</f>
        <v>1726</v>
      </c>
      <c r="F263" s="69">
        <f t="shared" si="40"/>
        <v>2568</v>
      </c>
      <c r="G263" s="72">
        <f>VLOOKUP(B263,'114+320'!$B$15:$AB$785,20,FALSE)</f>
        <v>694</v>
      </c>
      <c r="H263" s="72">
        <f>VLOOKUP(B263,'114+320'!$B$15:$AB$785,4,FALSE)</f>
        <v>854</v>
      </c>
      <c r="I263" s="68">
        <f t="shared" si="41"/>
        <v>1714</v>
      </c>
      <c r="J263" s="68">
        <f>VLOOKUP(B263,'114+320'!$B$15:$AB$785,13,FALSE)</f>
        <v>-286</v>
      </c>
      <c r="K263" s="66">
        <f>'114+320'!Q264</f>
        <v>0</v>
      </c>
      <c r="L263" s="65">
        <f t="shared" si="46"/>
        <v>106</v>
      </c>
      <c r="M263" s="70">
        <f>VLOOKUP(B263,'114+320'!$B$14:$AB$785,21,FALSE)</f>
        <v>677</v>
      </c>
      <c r="N263" s="69">
        <f>VLOOKUP(B263,'114+320'!$B$15:$AB$785,5,FALSE)</f>
        <v>871</v>
      </c>
      <c r="O263" s="68">
        <f t="shared" si="42"/>
        <v>1697</v>
      </c>
      <c r="P263" s="68">
        <f>VLOOKUP(B263,'114+320'!$B$15:$AB$785,14,FALSE)</f>
        <v>-303</v>
      </c>
      <c r="Q263" s="66">
        <f>'114+320'!R264</f>
        <v>0</v>
      </c>
      <c r="R263" s="65">
        <f t="shared" si="47"/>
        <v>123</v>
      </c>
      <c r="S263" s="70">
        <f>VLOOKUP(B263,'114+320'!$B$14:$AB$785,22,FALSE)</f>
        <v>689</v>
      </c>
      <c r="T263" s="69">
        <f>VLOOKUP(B263,'114+320'!$B$15:$AB$785,6,FALSE)</f>
        <v>799</v>
      </c>
      <c r="U263" s="68">
        <f t="shared" si="43"/>
        <v>1769</v>
      </c>
      <c r="V263" s="77">
        <f>VLOOKUP(B263,'114+320'!$B$15:$AB$785,15,FALSE)</f>
        <v>-231</v>
      </c>
      <c r="W263" s="66">
        <f>'114+320'!S264</f>
        <v>0</v>
      </c>
      <c r="X263" s="65">
        <f t="shared" si="48"/>
        <v>111</v>
      </c>
      <c r="Y263" s="64">
        <f t="shared" si="49"/>
        <v>0</v>
      </c>
      <c r="Z263" s="63">
        <f t="shared" si="50"/>
        <v>0</v>
      </c>
      <c r="AA263" s="62">
        <f t="shared" si="51"/>
        <v>0.89900000000000002</v>
      </c>
      <c r="AB263" s="62">
        <f t="shared" si="52"/>
        <v>0.73399999999999999</v>
      </c>
    </row>
    <row r="264" spans="2:28">
      <c r="B264" s="106">
        <f>'114+320'!B265</f>
        <v>45294</v>
      </c>
      <c r="C264" s="75">
        <f t="shared" si="44"/>
        <v>1</v>
      </c>
      <c r="D264" s="74">
        <f t="shared" si="45"/>
        <v>842</v>
      </c>
      <c r="E264" s="73">
        <f>VLOOKUP(B264,'114+320'!B265:AB366,3,FALSE)</f>
        <v>1728</v>
      </c>
      <c r="F264" s="69">
        <f t="shared" si="40"/>
        <v>2570</v>
      </c>
      <c r="G264" s="72">
        <f>VLOOKUP(B264,'114+320'!$B$15:$AB$785,20,FALSE)</f>
        <v>694</v>
      </c>
      <c r="H264" s="72">
        <f>VLOOKUP(B264,'114+320'!$B$15:$AB$785,4,FALSE)</f>
        <v>856</v>
      </c>
      <c r="I264" s="68">
        <f t="shared" si="41"/>
        <v>1714</v>
      </c>
      <c r="J264" s="68">
        <f>VLOOKUP(B264,'114+320'!$B$15:$AB$785,13,FALSE)</f>
        <v>-286</v>
      </c>
      <c r="K264" s="66">
        <f>'114+320'!Q265</f>
        <v>0</v>
      </c>
      <c r="L264" s="65">
        <f t="shared" si="46"/>
        <v>106</v>
      </c>
      <c r="M264" s="70">
        <f>VLOOKUP(B264,'114+320'!$B$14:$AB$785,21,FALSE)</f>
        <v>677</v>
      </c>
      <c r="N264" s="69">
        <f>VLOOKUP(B264,'114+320'!$B$15:$AB$785,5,FALSE)</f>
        <v>873</v>
      </c>
      <c r="O264" s="68">
        <f t="shared" si="42"/>
        <v>1697</v>
      </c>
      <c r="P264" s="68">
        <f>VLOOKUP(B264,'114+320'!$B$15:$AB$785,14,FALSE)</f>
        <v>-303</v>
      </c>
      <c r="Q264" s="66">
        <f>'114+320'!R265</f>
        <v>0</v>
      </c>
      <c r="R264" s="65">
        <f t="shared" si="47"/>
        <v>123</v>
      </c>
      <c r="S264" s="70">
        <f>VLOOKUP(B264,'114+320'!$B$14:$AB$785,22,FALSE)</f>
        <v>689</v>
      </c>
      <c r="T264" s="69">
        <f>VLOOKUP(B264,'114+320'!$B$15:$AB$785,6,FALSE)</f>
        <v>801</v>
      </c>
      <c r="U264" s="68">
        <f t="shared" si="43"/>
        <v>1769</v>
      </c>
      <c r="V264" s="77">
        <f>VLOOKUP(B264,'114+320'!$B$15:$AB$785,15,FALSE)</f>
        <v>-231</v>
      </c>
      <c r="W264" s="66">
        <f>'114+320'!S265</f>
        <v>0</v>
      </c>
      <c r="X264" s="65">
        <f t="shared" si="48"/>
        <v>111</v>
      </c>
      <c r="Y264" s="64">
        <f t="shared" si="49"/>
        <v>0</v>
      </c>
      <c r="Z264" s="63">
        <f t="shared" si="50"/>
        <v>0</v>
      </c>
      <c r="AA264" s="62">
        <f t="shared" si="51"/>
        <v>0.89900000000000002</v>
      </c>
      <c r="AB264" s="62">
        <f t="shared" si="52"/>
        <v>0.73399999999999999</v>
      </c>
    </row>
    <row r="265" spans="2:28">
      <c r="B265" s="106">
        <f>'114+320'!B266</f>
        <v>45295</v>
      </c>
      <c r="C265" s="75">
        <f t="shared" si="44"/>
        <v>1</v>
      </c>
      <c r="D265" s="74">
        <f t="shared" si="45"/>
        <v>842</v>
      </c>
      <c r="E265" s="73">
        <f>VLOOKUP(B265,'114+320'!B266:AB367,3,FALSE)</f>
        <v>1730</v>
      </c>
      <c r="F265" s="69">
        <f t="shared" si="40"/>
        <v>2572</v>
      </c>
      <c r="G265" s="72">
        <f>VLOOKUP(B265,'114+320'!$B$15:$AB$785,20,FALSE)</f>
        <v>694</v>
      </c>
      <c r="H265" s="72">
        <f>VLOOKUP(B265,'114+320'!$B$15:$AB$785,4,FALSE)</f>
        <v>858</v>
      </c>
      <c r="I265" s="68">
        <f t="shared" si="41"/>
        <v>1714</v>
      </c>
      <c r="J265" s="68">
        <f>VLOOKUP(B265,'114+320'!$B$15:$AB$785,13,FALSE)</f>
        <v>-286</v>
      </c>
      <c r="K265" s="66">
        <f>'114+320'!Q266</f>
        <v>0</v>
      </c>
      <c r="L265" s="65">
        <f t="shared" si="46"/>
        <v>106</v>
      </c>
      <c r="M265" s="70">
        <f>VLOOKUP(B265,'114+320'!$B$14:$AB$785,21,FALSE)</f>
        <v>677</v>
      </c>
      <c r="N265" s="69">
        <f>VLOOKUP(B265,'114+320'!$B$15:$AB$785,5,FALSE)</f>
        <v>875</v>
      </c>
      <c r="O265" s="68">
        <f t="shared" si="42"/>
        <v>1697</v>
      </c>
      <c r="P265" s="68">
        <f>VLOOKUP(B265,'114+320'!$B$15:$AB$785,14,FALSE)</f>
        <v>-303</v>
      </c>
      <c r="Q265" s="66">
        <f>'114+320'!R266</f>
        <v>0</v>
      </c>
      <c r="R265" s="65">
        <f t="shared" si="47"/>
        <v>123</v>
      </c>
      <c r="S265" s="70">
        <f>VLOOKUP(B265,'114+320'!$B$14:$AB$785,22,FALSE)</f>
        <v>689</v>
      </c>
      <c r="T265" s="69">
        <f>VLOOKUP(B265,'114+320'!$B$15:$AB$785,6,FALSE)</f>
        <v>803</v>
      </c>
      <c r="U265" s="68">
        <f t="shared" si="43"/>
        <v>1769</v>
      </c>
      <c r="V265" s="77">
        <f>VLOOKUP(B265,'114+320'!$B$15:$AB$785,15,FALSE)</f>
        <v>-231</v>
      </c>
      <c r="W265" s="66">
        <f>'114+320'!S266</f>
        <v>0</v>
      </c>
      <c r="X265" s="65">
        <f t="shared" si="48"/>
        <v>111</v>
      </c>
      <c r="Y265" s="64">
        <f t="shared" si="49"/>
        <v>0</v>
      </c>
      <c r="Z265" s="63">
        <f t="shared" si="50"/>
        <v>0</v>
      </c>
      <c r="AA265" s="62">
        <f t="shared" si="51"/>
        <v>0.89900000000000002</v>
      </c>
      <c r="AB265" s="62">
        <f t="shared" si="52"/>
        <v>0.73399999999999999</v>
      </c>
    </row>
    <row r="266" spans="2:28">
      <c r="B266" s="106">
        <f>'114+320'!B267</f>
        <v>45296</v>
      </c>
      <c r="C266" s="75">
        <f t="shared" si="44"/>
        <v>1</v>
      </c>
      <c r="D266" s="74">
        <f t="shared" si="45"/>
        <v>842</v>
      </c>
      <c r="E266" s="73">
        <f>VLOOKUP(B266,'114+320'!B267:AB368,3,FALSE)</f>
        <v>1732</v>
      </c>
      <c r="F266" s="69">
        <f t="shared" si="40"/>
        <v>2574</v>
      </c>
      <c r="G266" s="72">
        <f>VLOOKUP(B266,'114+320'!$B$15:$AB$785,20,FALSE)</f>
        <v>694</v>
      </c>
      <c r="H266" s="72">
        <f>VLOOKUP(B266,'114+320'!$B$15:$AB$785,4,FALSE)</f>
        <v>860</v>
      </c>
      <c r="I266" s="68">
        <f t="shared" si="41"/>
        <v>1714</v>
      </c>
      <c r="J266" s="68">
        <f>VLOOKUP(B266,'114+320'!$B$15:$AB$785,13,FALSE)</f>
        <v>-286</v>
      </c>
      <c r="K266" s="66">
        <f>'114+320'!Q267</f>
        <v>0</v>
      </c>
      <c r="L266" s="65">
        <f t="shared" si="46"/>
        <v>106</v>
      </c>
      <c r="M266" s="70">
        <f>VLOOKUP(B266,'114+320'!$B$14:$AB$785,21,FALSE)</f>
        <v>677</v>
      </c>
      <c r="N266" s="69">
        <f>VLOOKUP(B266,'114+320'!$B$15:$AB$785,5,FALSE)</f>
        <v>877</v>
      </c>
      <c r="O266" s="68">
        <f t="shared" si="42"/>
        <v>1697</v>
      </c>
      <c r="P266" s="68">
        <f>VLOOKUP(B266,'114+320'!$B$15:$AB$785,14,FALSE)</f>
        <v>-303</v>
      </c>
      <c r="Q266" s="66">
        <f>'114+320'!R267</f>
        <v>0</v>
      </c>
      <c r="R266" s="65">
        <f t="shared" si="47"/>
        <v>123</v>
      </c>
      <c r="S266" s="70">
        <f>VLOOKUP(B266,'114+320'!$B$14:$AB$785,22,FALSE)</f>
        <v>689</v>
      </c>
      <c r="T266" s="69">
        <f>VLOOKUP(B266,'114+320'!$B$15:$AB$785,6,FALSE)</f>
        <v>805</v>
      </c>
      <c r="U266" s="68">
        <f t="shared" si="43"/>
        <v>1769</v>
      </c>
      <c r="V266" s="77">
        <f>VLOOKUP(B266,'114+320'!$B$15:$AB$785,15,FALSE)</f>
        <v>-231</v>
      </c>
      <c r="W266" s="66">
        <f>'114+320'!S267</f>
        <v>0</v>
      </c>
      <c r="X266" s="65">
        <f t="shared" si="48"/>
        <v>111</v>
      </c>
      <c r="Y266" s="64">
        <f t="shared" si="49"/>
        <v>0</v>
      </c>
      <c r="Z266" s="63">
        <f t="shared" si="50"/>
        <v>0</v>
      </c>
      <c r="AA266" s="62">
        <f t="shared" si="51"/>
        <v>0.89900000000000002</v>
      </c>
      <c r="AB266" s="62">
        <f t="shared" si="52"/>
        <v>0.73399999999999999</v>
      </c>
    </row>
    <row r="267" spans="2:28">
      <c r="B267" s="106">
        <f>'114+320'!B268</f>
        <v>45297</v>
      </c>
      <c r="C267" s="75">
        <f t="shared" si="44"/>
        <v>1</v>
      </c>
      <c r="D267" s="74">
        <f t="shared" si="45"/>
        <v>842</v>
      </c>
      <c r="E267" s="73">
        <f>VLOOKUP(B267,'114+320'!B268:AB369,3,FALSE)</f>
        <v>1734</v>
      </c>
      <c r="F267" s="69">
        <f t="shared" si="40"/>
        <v>2576</v>
      </c>
      <c r="G267" s="72">
        <f>VLOOKUP(B267,'114+320'!$B$15:$AB$785,20,FALSE)</f>
        <v>694</v>
      </c>
      <c r="H267" s="72">
        <f>VLOOKUP(B267,'114+320'!$B$15:$AB$785,4,FALSE)</f>
        <v>862</v>
      </c>
      <c r="I267" s="68">
        <f t="shared" si="41"/>
        <v>1714</v>
      </c>
      <c r="J267" s="68">
        <f>VLOOKUP(B267,'114+320'!$B$15:$AB$785,13,FALSE)</f>
        <v>-286</v>
      </c>
      <c r="K267" s="66">
        <f>'114+320'!Q268</f>
        <v>0</v>
      </c>
      <c r="L267" s="65">
        <f t="shared" si="46"/>
        <v>106</v>
      </c>
      <c r="M267" s="70">
        <f>VLOOKUP(B267,'114+320'!$B$14:$AB$785,21,FALSE)</f>
        <v>677</v>
      </c>
      <c r="N267" s="69">
        <f>VLOOKUP(B267,'114+320'!$B$15:$AB$785,5,FALSE)</f>
        <v>879</v>
      </c>
      <c r="O267" s="68">
        <f t="shared" si="42"/>
        <v>1697</v>
      </c>
      <c r="P267" s="68">
        <f>VLOOKUP(B267,'114+320'!$B$15:$AB$785,14,FALSE)</f>
        <v>-303</v>
      </c>
      <c r="Q267" s="66">
        <f>'114+320'!R268</f>
        <v>0</v>
      </c>
      <c r="R267" s="65">
        <f t="shared" si="47"/>
        <v>123</v>
      </c>
      <c r="S267" s="70">
        <f>VLOOKUP(B267,'114+320'!$B$14:$AB$785,22,FALSE)</f>
        <v>689</v>
      </c>
      <c r="T267" s="69">
        <f>VLOOKUP(B267,'114+320'!$B$15:$AB$785,6,FALSE)</f>
        <v>807</v>
      </c>
      <c r="U267" s="68">
        <f t="shared" si="43"/>
        <v>1769</v>
      </c>
      <c r="V267" s="77">
        <f>VLOOKUP(B267,'114+320'!$B$15:$AB$785,15,FALSE)</f>
        <v>-231</v>
      </c>
      <c r="W267" s="66">
        <f>'114+320'!S268</f>
        <v>0</v>
      </c>
      <c r="X267" s="65">
        <f t="shared" si="48"/>
        <v>111</v>
      </c>
      <c r="Y267" s="64">
        <f t="shared" si="49"/>
        <v>0</v>
      </c>
      <c r="Z267" s="63">
        <f t="shared" si="50"/>
        <v>0</v>
      </c>
      <c r="AA267" s="62">
        <f t="shared" si="51"/>
        <v>0.89900000000000002</v>
      </c>
      <c r="AB267" s="62">
        <f t="shared" si="52"/>
        <v>0.73399999999999999</v>
      </c>
    </row>
    <row r="268" spans="2:28">
      <c r="B268" s="106">
        <f>'114+320'!B269</f>
        <v>45298</v>
      </c>
      <c r="C268" s="75">
        <f t="shared" si="44"/>
        <v>1</v>
      </c>
      <c r="D268" s="74">
        <f t="shared" si="45"/>
        <v>842</v>
      </c>
      <c r="E268" s="73">
        <f>VLOOKUP(B268,'114+320'!B269:AB370,3,FALSE)</f>
        <v>1736</v>
      </c>
      <c r="F268" s="69">
        <f t="shared" si="40"/>
        <v>2578</v>
      </c>
      <c r="G268" s="72">
        <f>VLOOKUP(B268,'114+320'!$B$15:$AB$785,20,FALSE)</f>
        <v>694</v>
      </c>
      <c r="H268" s="72">
        <f>VLOOKUP(B268,'114+320'!$B$15:$AB$785,4,FALSE)</f>
        <v>864</v>
      </c>
      <c r="I268" s="68">
        <f t="shared" si="41"/>
        <v>1714</v>
      </c>
      <c r="J268" s="68">
        <f>VLOOKUP(B268,'114+320'!$B$15:$AB$785,13,FALSE)</f>
        <v>-286</v>
      </c>
      <c r="K268" s="66">
        <f>'114+320'!Q269</f>
        <v>0</v>
      </c>
      <c r="L268" s="65">
        <f t="shared" si="46"/>
        <v>106</v>
      </c>
      <c r="M268" s="70">
        <f>VLOOKUP(B268,'114+320'!$B$14:$AB$785,21,FALSE)</f>
        <v>677</v>
      </c>
      <c r="N268" s="69">
        <f>VLOOKUP(B268,'114+320'!$B$15:$AB$785,5,FALSE)</f>
        <v>881</v>
      </c>
      <c r="O268" s="68">
        <f t="shared" si="42"/>
        <v>1697</v>
      </c>
      <c r="P268" s="68">
        <f>VLOOKUP(B268,'114+320'!$B$15:$AB$785,14,FALSE)</f>
        <v>-303</v>
      </c>
      <c r="Q268" s="66">
        <f>'114+320'!R269</f>
        <v>0</v>
      </c>
      <c r="R268" s="65">
        <f t="shared" si="47"/>
        <v>123</v>
      </c>
      <c r="S268" s="70">
        <f>VLOOKUP(B268,'114+320'!$B$14:$AB$785,22,FALSE)</f>
        <v>689</v>
      </c>
      <c r="T268" s="69">
        <f>VLOOKUP(B268,'114+320'!$B$15:$AB$785,6,FALSE)</f>
        <v>809</v>
      </c>
      <c r="U268" s="68">
        <f t="shared" si="43"/>
        <v>1769</v>
      </c>
      <c r="V268" s="77">
        <f>VLOOKUP(B268,'114+320'!$B$15:$AB$785,15,FALSE)</f>
        <v>-231</v>
      </c>
      <c r="W268" s="66">
        <f>'114+320'!S269</f>
        <v>0</v>
      </c>
      <c r="X268" s="65">
        <f t="shared" si="48"/>
        <v>111</v>
      </c>
      <c r="Y268" s="64">
        <f t="shared" si="49"/>
        <v>0</v>
      </c>
      <c r="Z268" s="63">
        <f t="shared" si="50"/>
        <v>0</v>
      </c>
      <c r="AA268" s="62">
        <f t="shared" si="51"/>
        <v>0.89900000000000002</v>
      </c>
      <c r="AB268" s="62">
        <f t="shared" si="52"/>
        <v>0.73399999999999999</v>
      </c>
    </row>
    <row r="269" spans="2:28">
      <c r="B269" s="106">
        <f>'114+320'!B270</f>
        <v>45299</v>
      </c>
      <c r="C269" s="75">
        <f t="shared" si="44"/>
        <v>1</v>
      </c>
      <c r="D269" s="74">
        <f t="shared" si="45"/>
        <v>842</v>
      </c>
      <c r="E269" s="73">
        <f>VLOOKUP(B269,'114+320'!B270:AB371,3,FALSE)</f>
        <v>1738</v>
      </c>
      <c r="F269" s="69">
        <f t="shared" ref="F269:F332" si="53">D269+E269</f>
        <v>2580</v>
      </c>
      <c r="G269" s="72">
        <f>VLOOKUP(B269,'114+320'!$B$15:$AB$785,20,FALSE)</f>
        <v>694</v>
      </c>
      <c r="H269" s="72">
        <f>VLOOKUP(B269,'114+320'!$B$15:$AB$785,4,FALSE)</f>
        <v>866</v>
      </c>
      <c r="I269" s="68">
        <f t="shared" ref="I269:I332" si="54">F269-H269</f>
        <v>1714</v>
      </c>
      <c r="J269" s="68">
        <f>VLOOKUP(B269,'114+320'!$B$15:$AB$785,13,FALSE)</f>
        <v>-286</v>
      </c>
      <c r="K269" s="66">
        <f>'114+320'!Q270</f>
        <v>0</v>
      </c>
      <c r="L269" s="65">
        <f t="shared" si="46"/>
        <v>106</v>
      </c>
      <c r="M269" s="70">
        <f>VLOOKUP(B269,'114+320'!$B$14:$AB$785,21,FALSE)</f>
        <v>677</v>
      </c>
      <c r="N269" s="69">
        <f>VLOOKUP(B269,'114+320'!$B$15:$AB$785,5,FALSE)</f>
        <v>883</v>
      </c>
      <c r="O269" s="68">
        <f t="shared" ref="O269:O332" si="55">F269-N269</f>
        <v>1697</v>
      </c>
      <c r="P269" s="68">
        <f>VLOOKUP(B269,'114+320'!$B$15:$AB$785,14,FALSE)</f>
        <v>-303</v>
      </c>
      <c r="Q269" s="66">
        <f>'114+320'!R270</f>
        <v>0</v>
      </c>
      <c r="R269" s="65">
        <f t="shared" si="47"/>
        <v>123</v>
      </c>
      <c r="S269" s="70">
        <f>VLOOKUP(B269,'114+320'!$B$14:$AB$785,22,FALSE)</f>
        <v>689</v>
      </c>
      <c r="T269" s="69">
        <f>VLOOKUP(B269,'114+320'!$B$15:$AB$785,6,FALSE)</f>
        <v>811</v>
      </c>
      <c r="U269" s="68">
        <f t="shared" ref="U269:U332" si="56">F269-T269</f>
        <v>1769</v>
      </c>
      <c r="V269" s="77">
        <f>VLOOKUP(B269,'114+320'!$B$15:$AB$785,15,FALSE)</f>
        <v>-231</v>
      </c>
      <c r="W269" s="66">
        <f>'114+320'!S270</f>
        <v>0</v>
      </c>
      <c r="X269" s="65">
        <f t="shared" si="48"/>
        <v>111</v>
      </c>
      <c r="Y269" s="64">
        <f t="shared" si="49"/>
        <v>0</v>
      </c>
      <c r="Z269" s="63">
        <f t="shared" si="50"/>
        <v>0</v>
      </c>
      <c r="AA269" s="62">
        <f t="shared" si="51"/>
        <v>0.89900000000000002</v>
      </c>
      <c r="AB269" s="62">
        <f t="shared" si="52"/>
        <v>0.73399999999999999</v>
      </c>
    </row>
    <row r="270" spans="2:28">
      <c r="B270" s="106">
        <f>'114+320'!B271</f>
        <v>45300</v>
      </c>
      <c r="C270" s="75">
        <f t="shared" ref="C270:C333" si="57">B270-B269</f>
        <v>1</v>
      </c>
      <c r="D270" s="74">
        <f t="shared" ref="D270:D333" si="58">D269</f>
        <v>842</v>
      </c>
      <c r="E270" s="73">
        <f>VLOOKUP(B270,'114+320'!B271:AB372,3,FALSE)</f>
        <v>1740</v>
      </c>
      <c r="F270" s="69">
        <f t="shared" si="53"/>
        <v>2582</v>
      </c>
      <c r="G270" s="72">
        <f>VLOOKUP(B270,'114+320'!$B$15:$AB$785,20,FALSE)</f>
        <v>694</v>
      </c>
      <c r="H270" s="72">
        <f>VLOOKUP(B270,'114+320'!$B$15:$AB$785,4,FALSE)</f>
        <v>868</v>
      </c>
      <c r="I270" s="68">
        <f t="shared" si="54"/>
        <v>1714</v>
      </c>
      <c r="J270" s="68">
        <f>VLOOKUP(B270,'114+320'!$B$15:$AB$785,13,FALSE)</f>
        <v>-286</v>
      </c>
      <c r="K270" s="66">
        <f>'114+320'!Q271</f>
        <v>0</v>
      </c>
      <c r="L270" s="65">
        <f t="shared" ref="L270:L333" si="59">+K270+L269</f>
        <v>106</v>
      </c>
      <c r="M270" s="70">
        <f>VLOOKUP(B270,'114+320'!$B$14:$AB$785,21,FALSE)</f>
        <v>677</v>
      </c>
      <c r="N270" s="69">
        <f>VLOOKUP(B270,'114+320'!$B$15:$AB$785,5,FALSE)</f>
        <v>885</v>
      </c>
      <c r="O270" s="68">
        <f t="shared" si="55"/>
        <v>1697</v>
      </c>
      <c r="P270" s="68">
        <f>VLOOKUP(B270,'114+320'!$B$15:$AB$785,14,FALSE)</f>
        <v>-303</v>
      </c>
      <c r="Q270" s="66">
        <f>'114+320'!R271</f>
        <v>0</v>
      </c>
      <c r="R270" s="65">
        <f t="shared" ref="R270:R333" si="60">+Q270+R269</f>
        <v>123</v>
      </c>
      <c r="S270" s="70">
        <f>VLOOKUP(B270,'114+320'!$B$14:$AB$785,22,FALSE)</f>
        <v>689</v>
      </c>
      <c r="T270" s="69">
        <f>VLOOKUP(B270,'114+320'!$B$15:$AB$785,6,FALSE)</f>
        <v>813</v>
      </c>
      <c r="U270" s="68">
        <f t="shared" si="56"/>
        <v>1769</v>
      </c>
      <c r="V270" s="77">
        <f>VLOOKUP(B270,'114+320'!$B$15:$AB$785,15,FALSE)</f>
        <v>-231</v>
      </c>
      <c r="W270" s="66">
        <f>'114+320'!S271</f>
        <v>0</v>
      </c>
      <c r="X270" s="65">
        <f t="shared" ref="X270:X333" si="61">+W270+X269</f>
        <v>111</v>
      </c>
      <c r="Y270" s="64">
        <f t="shared" ref="Y270:Y333" si="62">S270-S269</f>
        <v>0</v>
      </c>
      <c r="Z270" s="63">
        <f t="shared" ref="Z270:Z333" si="63">IF(Y270&gt;0,Y270,0)/1000</f>
        <v>0</v>
      </c>
      <c r="AA270" s="62">
        <f t="shared" ref="AA270:AA333" si="64">AA269+Z270</f>
        <v>0.89900000000000002</v>
      </c>
      <c r="AB270" s="62">
        <f t="shared" ref="AB270:AB333" si="65">(M270-$M$13-R270)/1000</f>
        <v>0.73399999999999999</v>
      </c>
    </row>
    <row r="271" spans="2:28">
      <c r="B271" s="106">
        <f>'114+320'!B272</f>
        <v>45301</v>
      </c>
      <c r="C271" s="75">
        <f t="shared" si="57"/>
        <v>1</v>
      </c>
      <c r="D271" s="74">
        <f t="shared" si="58"/>
        <v>842</v>
      </c>
      <c r="E271" s="73">
        <f>VLOOKUP(B271,'114+320'!B272:AB373,3,FALSE)</f>
        <v>1742</v>
      </c>
      <c r="F271" s="69">
        <f t="shared" si="53"/>
        <v>2584</v>
      </c>
      <c r="G271" s="72">
        <f>VLOOKUP(B271,'114+320'!$B$15:$AB$785,20,FALSE)</f>
        <v>694</v>
      </c>
      <c r="H271" s="72">
        <f>VLOOKUP(B271,'114+320'!$B$15:$AB$785,4,FALSE)</f>
        <v>870</v>
      </c>
      <c r="I271" s="68">
        <f t="shared" si="54"/>
        <v>1714</v>
      </c>
      <c r="J271" s="68">
        <f>VLOOKUP(B271,'114+320'!$B$15:$AB$785,13,FALSE)</f>
        <v>-286</v>
      </c>
      <c r="K271" s="66">
        <f>'114+320'!Q272</f>
        <v>0</v>
      </c>
      <c r="L271" s="65">
        <f t="shared" si="59"/>
        <v>106</v>
      </c>
      <c r="M271" s="70">
        <f>VLOOKUP(B271,'114+320'!$B$14:$AB$785,21,FALSE)</f>
        <v>677</v>
      </c>
      <c r="N271" s="69">
        <f>VLOOKUP(B271,'114+320'!$B$15:$AB$785,5,FALSE)</f>
        <v>887</v>
      </c>
      <c r="O271" s="68">
        <f t="shared" si="55"/>
        <v>1697</v>
      </c>
      <c r="P271" s="68">
        <f>VLOOKUP(B271,'114+320'!$B$15:$AB$785,14,FALSE)</f>
        <v>-303</v>
      </c>
      <c r="Q271" s="66">
        <f>'114+320'!R272</f>
        <v>0</v>
      </c>
      <c r="R271" s="65">
        <f t="shared" si="60"/>
        <v>123</v>
      </c>
      <c r="S271" s="70">
        <f>VLOOKUP(B271,'114+320'!$B$14:$AB$785,22,FALSE)</f>
        <v>689</v>
      </c>
      <c r="T271" s="69">
        <f>VLOOKUP(B271,'114+320'!$B$15:$AB$785,6,FALSE)</f>
        <v>815</v>
      </c>
      <c r="U271" s="68">
        <f t="shared" si="56"/>
        <v>1769</v>
      </c>
      <c r="V271" s="77">
        <f>VLOOKUP(B271,'114+320'!$B$15:$AB$785,15,FALSE)</f>
        <v>-231</v>
      </c>
      <c r="W271" s="66">
        <f>'114+320'!S272</f>
        <v>0</v>
      </c>
      <c r="X271" s="65">
        <f t="shared" si="61"/>
        <v>111</v>
      </c>
      <c r="Y271" s="64">
        <f t="shared" si="62"/>
        <v>0</v>
      </c>
      <c r="Z271" s="63">
        <f t="shared" si="63"/>
        <v>0</v>
      </c>
      <c r="AA271" s="62">
        <f t="shared" si="64"/>
        <v>0.89900000000000002</v>
      </c>
      <c r="AB271" s="62">
        <f t="shared" si="65"/>
        <v>0.73399999999999999</v>
      </c>
    </row>
    <row r="272" spans="2:28">
      <c r="B272" s="106">
        <f>'114+320'!B273</f>
        <v>45302</v>
      </c>
      <c r="C272" s="75">
        <f t="shared" si="57"/>
        <v>1</v>
      </c>
      <c r="D272" s="74">
        <f t="shared" si="58"/>
        <v>842</v>
      </c>
      <c r="E272" s="73">
        <f>VLOOKUP(B272,'114+320'!B273:AB374,3,FALSE)</f>
        <v>1744</v>
      </c>
      <c r="F272" s="69">
        <f t="shared" si="53"/>
        <v>2586</v>
      </c>
      <c r="G272" s="72">
        <f>VLOOKUP(B272,'114+320'!$B$15:$AB$785,20,FALSE)</f>
        <v>694</v>
      </c>
      <c r="H272" s="72">
        <f>VLOOKUP(B272,'114+320'!$B$15:$AB$785,4,FALSE)</f>
        <v>872</v>
      </c>
      <c r="I272" s="68">
        <f t="shared" si="54"/>
        <v>1714</v>
      </c>
      <c r="J272" s="68">
        <f>VLOOKUP(B272,'114+320'!$B$15:$AB$785,13,FALSE)</f>
        <v>-286</v>
      </c>
      <c r="K272" s="66">
        <f>'114+320'!Q273</f>
        <v>0</v>
      </c>
      <c r="L272" s="65">
        <f t="shared" si="59"/>
        <v>106</v>
      </c>
      <c r="M272" s="70">
        <f>VLOOKUP(B272,'114+320'!$B$14:$AB$785,21,FALSE)</f>
        <v>677</v>
      </c>
      <c r="N272" s="69">
        <f>VLOOKUP(B272,'114+320'!$B$15:$AB$785,5,FALSE)</f>
        <v>889</v>
      </c>
      <c r="O272" s="68">
        <f t="shared" si="55"/>
        <v>1697</v>
      </c>
      <c r="P272" s="68">
        <f>VLOOKUP(B272,'114+320'!$B$15:$AB$785,14,FALSE)</f>
        <v>-303</v>
      </c>
      <c r="Q272" s="66">
        <f>'114+320'!R273</f>
        <v>0</v>
      </c>
      <c r="R272" s="65">
        <f t="shared" si="60"/>
        <v>123</v>
      </c>
      <c r="S272" s="70">
        <f>VLOOKUP(B272,'114+320'!$B$14:$AB$785,22,FALSE)</f>
        <v>689</v>
      </c>
      <c r="T272" s="69">
        <f>VLOOKUP(B272,'114+320'!$B$15:$AB$785,6,FALSE)</f>
        <v>817</v>
      </c>
      <c r="U272" s="68">
        <f t="shared" si="56"/>
        <v>1769</v>
      </c>
      <c r="V272" s="77">
        <f>VLOOKUP(B272,'114+320'!$B$15:$AB$785,15,FALSE)</f>
        <v>-231</v>
      </c>
      <c r="W272" s="66">
        <f>'114+320'!S273</f>
        <v>0</v>
      </c>
      <c r="X272" s="65">
        <f t="shared" si="61"/>
        <v>111</v>
      </c>
      <c r="Y272" s="64">
        <f t="shared" si="62"/>
        <v>0</v>
      </c>
      <c r="Z272" s="63">
        <f t="shared" si="63"/>
        <v>0</v>
      </c>
      <c r="AA272" s="62">
        <f t="shared" si="64"/>
        <v>0.89900000000000002</v>
      </c>
      <c r="AB272" s="62">
        <f t="shared" si="65"/>
        <v>0.73399999999999999</v>
      </c>
    </row>
    <row r="273" spans="2:28">
      <c r="B273" s="106">
        <f>'114+320'!B274</f>
        <v>45303</v>
      </c>
      <c r="C273" s="75">
        <f t="shared" si="57"/>
        <v>1</v>
      </c>
      <c r="D273" s="74">
        <f t="shared" si="58"/>
        <v>842</v>
      </c>
      <c r="E273" s="73">
        <f>VLOOKUP(B273,'114+320'!B274:AB375,3,FALSE)</f>
        <v>1746</v>
      </c>
      <c r="F273" s="69">
        <f t="shared" si="53"/>
        <v>2588</v>
      </c>
      <c r="G273" s="72">
        <f>VLOOKUP(B273,'114+320'!$B$15:$AB$785,20,FALSE)</f>
        <v>694</v>
      </c>
      <c r="H273" s="72">
        <f>VLOOKUP(B273,'114+320'!$B$15:$AB$785,4,FALSE)</f>
        <v>874</v>
      </c>
      <c r="I273" s="68">
        <f t="shared" si="54"/>
        <v>1714</v>
      </c>
      <c r="J273" s="68">
        <f>VLOOKUP(B273,'114+320'!$B$15:$AB$785,13,FALSE)</f>
        <v>-286</v>
      </c>
      <c r="K273" s="66">
        <f>'114+320'!Q274</f>
        <v>0</v>
      </c>
      <c r="L273" s="65">
        <f t="shared" si="59"/>
        <v>106</v>
      </c>
      <c r="M273" s="70">
        <f>VLOOKUP(B273,'114+320'!$B$14:$AB$785,21,FALSE)</f>
        <v>677</v>
      </c>
      <c r="N273" s="69">
        <f>VLOOKUP(B273,'114+320'!$B$15:$AB$785,5,FALSE)</f>
        <v>891</v>
      </c>
      <c r="O273" s="68">
        <f t="shared" si="55"/>
        <v>1697</v>
      </c>
      <c r="P273" s="68">
        <f>VLOOKUP(B273,'114+320'!$B$15:$AB$785,14,FALSE)</f>
        <v>-303</v>
      </c>
      <c r="Q273" s="66">
        <f>'114+320'!R274</f>
        <v>0</v>
      </c>
      <c r="R273" s="65">
        <f t="shared" si="60"/>
        <v>123</v>
      </c>
      <c r="S273" s="70">
        <f>VLOOKUP(B273,'114+320'!$B$14:$AB$785,22,FALSE)</f>
        <v>689</v>
      </c>
      <c r="T273" s="69">
        <f>VLOOKUP(B273,'114+320'!$B$15:$AB$785,6,FALSE)</f>
        <v>819</v>
      </c>
      <c r="U273" s="68">
        <f t="shared" si="56"/>
        <v>1769</v>
      </c>
      <c r="V273" s="77">
        <f>VLOOKUP(B273,'114+320'!$B$15:$AB$785,15,FALSE)</f>
        <v>-231</v>
      </c>
      <c r="W273" s="66">
        <f>'114+320'!S274</f>
        <v>0</v>
      </c>
      <c r="X273" s="65">
        <f t="shared" si="61"/>
        <v>111</v>
      </c>
      <c r="Y273" s="64">
        <f t="shared" si="62"/>
        <v>0</v>
      </c>
      <c r="Z273" s="63">
        <f t="shared" si="63"/>
        <v>0</v>
      </c>
      <c r="AA273" s="62">
        <f t="shared" si="64"/>
        <v>0.89900000000000002</v>
      </c>
      <c r="AB273" s="62">
        <f t="shared" si="65"/>
        <v>0.73399999999999999</v>
      </c>
    </row>
    <row r="274" spans="2:28">
      <c r="B274" s="106">
        <f>'114+320'!B275</f>
        <v>45304</v>
      </c>
      <c r="C274" s="75">
        <f t="shared" si="57"/>
        <v>1</v>
      </c>
      <c r="D274" s="74">
        <f t="shared" si="58"/>
        <v>842</v>
      </c>
      <c r="E274" s="73">
        <f>VLOOKUP(B274,'114+320'!B275:AB376,3,FALSE)</f>
        <v>1748</v>
      </c>
      <c r="F274" s="69">
        <f t="shared" si="53"/>
        <v>2590</v>
      </c>
      <c r="G274" s="72">
        <f>VLOOKUP(B274,'114+320'!$B$15:$AB$785,20,FALSE)</f>
        <v>694</v>
      </c>
      <c r="H274" s="72">
        <f>VLOOKUP(B274,'114+320'!$B$15:$AB$785,4,FALSE)</f>
        <v>876</v>
      </c>
      <c r="I274" s="68">
        <f t="shared" si="54"/>
        <v>1714</v>
      </c>
      <c r="J274" s="68">
        <f>VLOOKUP(B274,'114+320'!$B$15:$AB$785,13,FALSE)</f>
        <v>-286</v>
      </c>
      <c r="K274" s="66">
        <f>'114+320'!Q275</f>
        <v>0</v>
      </c>
      <c r="L274" s="65">
        <f t="shared" si="59"/>
        <v>106</v>
      </c>
      <c r="M274" s="70">
        <f>VLOOKUP(B274,'114+320'!$B$14:$AB$785,21,FALSE)</f>
        <v>677</v>
      </c>
      <c r="N274" s="69">
        <f>VLOOKUP(B274,'114+320'!$B$15:$AB$785,5,FALSE)</f>
        <v>893</v>
      </c>
      <c r="O274" s="68">
        <f t="shared" si="55"/>
        <v>1697</v>
      </c>
      <c r="P274" s="68">
        <f>VLOOKUP(B274,'114+320'!$B$15:$AB$785,14,FALSE)</f>
        <v>-303</v>
      </c>
      <c r="Q274" s="66">
        <f>'114+320'!R275</f>
        <v>0</v>
      </c>
      <c r="R274" s="65">
        <f t="shared" si="60"/>
        <v>123</v>
      </c>
      <c r="S274" s="70">
        <f>VLOOKUP(B274,'114+320'!$B$14:$AB$785,22,FALSE)</f>
        <v>689</v>
      </c>
      <c r="T274" s="69">
        <f>VLOOKUP(B274,'114+320'!$B$15:$AB$785,6,FALSE)</f>
        <v>821</v>
      </c>
      <c r="U274" s="68">
        <f t="shared" si="56"/>
        <v>1769</v>
      </c>
      <c r="V274" s="77">
        <f>VLOOKUP(B274,'114+320'!$B$15:$AB$785,15,FALSE)</f>
        <v>-231</v>
      </c>
      <c r="W274" s="66">
        <f>'114+320'!S275</f>
        <v>0</v>
      </c>
      <c r="X274" s="65">
        <f t="shared" si="61"/>
        <v>111</v>
      </c>
      <c r="Y274" s="64">
        <f t="shared" si="62"/>
        <v>0</v>
      </c>
      <c r="Z274" s="63">
        <f t="shared" si="63"/>
        <v>0</v>
      </c>
      <c r="AA274" s="62">
        <f t="shared" si="64"/>
        <v>0.89900000000000002</v>
      </c>
      <c r="AB274" s="62">
        <f t="shared" si="65"/>
        <v>0.73399999999999999</v>
      </c>
    </row>
    <row r="275" spans="2:28">
      <c r="B275" s="106">
        <f>'114+320'!B276</f>
        <v>45305</v>
      </c>
      <c r="C275" s="75">
        <f t="shared" si="57"/>
        <v>1</v>
      </c>
      <c r="D275" s="74">
        <f t="shared" si="58"/>
        <v>842</v>
      </c>
      <c r="E275" s="73">
        <f>VLOOKUP(B275,'114+320'!B276:AB377,3,FALSE)</f>
        <v>1750</v>
      </c>
      <c r="F275" s="69">
        <f t="shared" si="53"/>
        <v>2592</v>
      </c>
      <c r="G275" s="72">
        <f>VLOOKUP(B275,'114+320'!$B$15:$AB$785,20,FALSE)</f>
        <v>694</v>
      </c>
      <c r="H275" s="72">
        <f>VLOOKUP(B275,'114+320'!$B$15:$AB$785,4,FALSE)</f>
        <v>878</v>
      </c>
      <c r="I275" s="68">
        <f t="shared" si="54"/>
        <v>1714</v>
      </c>
      <c r="J275" s="68">
        <f>VLOOKUP(B275,'114+320'!$B$15:$AB$785,13,FALSE)</f>
        <v>-286</v>
      </c>
      <c r="K275" s="66">
        <f>'114+320'!Q276</f>
        <v>0</v>
      </c>
      <c r="L275" s="65">
        <f t="shared" si="59"/>
        <v>106</v>
      </c>
      <c r="M275" s="70">
        <f>VLOOKUP(B275,'114+320'!$B$14:$AB$785,21,FALSE)</f>
        <v>677</v>
      </c>
      <c r="N275" s="69">
        <f>VLOOKUP(B275,'114+320'!$B$15:$AB$785,5,FALSE)</f>
        <v>895</v>
      </c>
      <c r="O275" s="68">
        <f t="shared" si="55"/>
        <v>1697</v>
      </c>
      <c r="P275" s="68">
        <f>VLOOKUP(B275,'114+320'!$B$15:$AB$785,14,FALSE)</f>
        <v>-303</v>
      </c>
      <c r="Q275" s="66">
        <f>'114+320'!R276</f>
        <v>0</v>
      </c>
      <c r="R275" s="65">
        <f t="shared" si="60"/>
        <v>123</v>
      </c>
      <c r="S275" s="70">
        <f>VLOOKUP(B275,'114+320'!$B$14:$AB$785,22,FALSE)</f>
        <v>689</v>
      </c>
      <c r="T275" s="69">
        <f>VLOOKUP(B275,'114+320'!$B$15:$AB$785,6,FALSE)</f>
        <v>823</v>
      </c>
      <c r="U275" s="68">
        <f t="shared" si="56"/>
        <v>1769</v>
      </c>
      <c r="V275" s="77">
        <f>VLOOKUP(B275,'114+320'!$B$15:$AB$785,15,FALSE)</f>
        <v>-231</v>
      </c>
      <c r="W275" s="66">
        <f>'114+320'!S276</f>
        <v>0</v>
      </c>
      <c r="X275" s="65">
        <f t="shared" si="61"/>
        <v>111</v>
      </c>
      <c r="Y275" s="64">
        <f t="shared" si="62"/>
        <v>0</v>
      </c>
      <c r="Z275" s="63">
        <f t="shared" si="63"/>
        <v>0</v>
      </c>
      <c r="AA275" s="62">
        <f t="shared" si="64"/>
        <v>0.89900000000000002</v>
      </c>
      <c r="AB275" s="62">
        <f t="shared" si="65"/>
        <v>0.73399999999999999</v>
      </c>
    </row>
    <row r="276" spans="2:28">
      <c r="B276" s="106">
        <f>'114+320'!B277</f>
        <v>45306</v>
      </c>
      <c r="C276" s="75">
        <f t="shared" si="57"/>
        <v>1</v>
      </c>
      <c r="D276" s="74">
        <f t="shared" si="58"/>
        <v>842</v>
      </c>
      <c r="E276" s="73">
        <f>VLOOKUP(B276,'114+320'!B277:AB378,3,FALSE)</f>
        <v>1752</v>
      </c>
      <c r="F276" s="69">
        <f t="shared" si="53"/>
        <v>2594</v>
      </c>
      <c r="G276" s="72">
        <f>VLOOKUP(B276,'114+320'!$B$15:$AB$785,20,FALSE)</f>
        <v>694</v>
      </c>
      <c r="H276" s="72">
        <f>VLOOKUP(B276,'114+320'!$B$15:$AB$785,4,FALSE)</f>
        <v>880</v>
      </c>
      <c r="I276" s="68">
        <f t="shared" si="54"/>
        <v>1714</v>
      </c>
      <c r="J276" s="68">
        <f>VLOOKUP(B276,'114+320'!$B$15:$AB$785,13,FALSE)</f>
        <v>-286</v>
      </c>
      <c r="K276" s="66">
        <f>'114+320'!Q277</f>
        <v>0</v>
      </c>
      <c r="L276" s="65">
        <f t="shared" si="59"/>
        <v>106</v>
      </c>
      <c r="M276" s="70">
        <f>VLOOKUP(B276,'114+320'!$B$14:$AB$785,21,FALSE)</f>
        <v>677</v>
      </c>
      <c r="N276" s="69">
        <f>VLOOKUP(B276,'114+320'!$B$15:$AB$785,5,FALSE)</f>
        <v>897</v>
      </c>
      <c r="O276" s="68">
        <f t="shared" si="55"/>
        <v>1697</v>
      </c>
      <c r="P276" s="68">
        <f>VLOOKUP(B276,'114+320'!$B$15:$AB$785,14,FALSE)</f>
        <v>-303</v>
      </c>
      <c r="Q276" s="66">
        <f>'114+320'!R277</f>
        <v>0</v>
      </c>
      <c r="R276" s="65">
        <f t="shared" si="60"/>
        <v>123</v>
      </c>
      <c r="S276" s="70">
        <f>VLOOKUP(B276,'114+320'!$B$14:$AB$785,22,FALSE)</f>
        <v>689</v>
      </c>
      <c r="T276" s="69">
        <f>VLOOKUP(B276,'114+320'!$B$15:$AB$785,6,FALSE)</f>
        <v>825</v>
      </c>
      <c r="U276" s="68">
        <f t="shared" si="56"/>
        <v>1769</v>
      </c>
      <c r="V276" s="77">
        <f>VLOOKUP(B276,'114+320'!$B$15:$AB$785,15,FALSE)</f>
        <v>-231</v>
      </c>
      <c r="W276" s="66">
        <f>'114+320'!S277</f>
        <v>0</v>
      </c>
      <c r="X276" s="65">
        <f t="shared" si="61"/>
        <v>111</v>
      </c>
      <c r="Y276" s="64">
        <f t="shared" si="62"/>
        <v>0</v>
      </c>
      <c r="Z276" s="63">
        <f t="shared" si="63"/>
        <v>0</v>
      </c>
      <c r="AA276" s="62">
        <f t="shared" si="64"/>
        <v>0.89900000000000002</v>
      </c>
      <c r="AB276" s="62">
        <f t="shared" si="65"/>
        <v>0.73399999999999999</v>
      </c>
    </row>
    <row r="277" spans="2:28">
      <c r="B277" s="106">
        <f>'114+320'!B278</f>
        <v>45307</v>
      </c>
      <c r="C277" s="75">
        <f t="shared" si="57"/>
        <v>1</v>
      </c>
      <c r="D277" s="74">
        <f t="shared" si="58"/>
        <v>842</v>
      </c>
      <c r="E277" s="73">
        <f>VLOOKUP(B277,'114+320'!B278:AB379,3,FALSE)</f>
        <v>1754</v>
      </c>
      <c r="F277" s="69">
        <f t="shared" si="53"/>
        <v>2596</v>
      </c>
      <c r="G277" s="72">
        <f>VLOOKUP(B277,'114+320'!$B$15:$AB$785,20,FALSE)</f>
        <v>694</v>
      </c>
      <c r="H277" s="72">
        <f>VLOOKUP(B277,'114+320'!$B$15:$AB$785,4,FALSE)</f>
        <v>882</v>
      </c>
      <c r="I277" s="68">
        <f t="shared" si="54"/>
        <v>1714</v>
      </c>
      <c r="J277" s="68">
        <f>VLOOKUP(B277,'114+320'!$B$15:$AB$785,13,FALSE)</f>
        <v>-286</v>
      </c>
      <c r="K277" s="66">
        <f>'114+320'!Q278</f>
        <v>0</v>
      </c>
      <c r="L277" s="65">
        <f t="shared" si="59"/>
        <v>106</v>
      </c>
      <c r="M277" s="70">
        <f>VLOOKUP(B277,'114+320'!$B$14:$AB$785,21,FALSE)</f>
        <v>677</v>
      </c>
      <c r="N277" s="69">
        <f>VLOOKUP(B277,'114+320'!$B$15:$AB$785,5,FALSE)</f>
        <v>899</v>
      </c>
      <c r="O277" s="68">
        <f t="shared" si="55"/>
        <v>1697</v>
      </c>
      <c r="P277" s="68">
        <f>VLOOKUP(B277,'114+320'!$B$15:$AB$785,14,FALSE)</f>
        <v>-303</v>
      </c>
      <c r="Q277" s="66">
        <f>'114+320'!R278</f>
        <v>0</v>
      </c>
      <c r="R277" s="65">
        <f t="shared" si="60"/>
        <v>123</v>
      </c>
      <c r="S277" s="70">
        <f>VLOOKUP(B277,'114+320'!$B$14:$AB$785,22,FALSE)</f>
        <v>689</v>
      </c>
      <c r="T277" s="69">
        <f>VLOOKUP(B277,'114+320'!$B$15:$AB$785,6,FALSE)</f>
        <v>827</v>
      </c>
      <c r="U277" s="68">
        <f t="shared" si="56"/>
        <v>1769</v>
      </c>
      <c r="V277" s="77">
        <f>VLOOKUP(B277,'114+320'!$B$15:$AB$785,15,FALSE)</f>
        <v>-231</v>
      </c>
      <c r="W277" s="66">
        <f>'114+320'!S278</f>
        <v>0</v>
      </c>
      <c r="X277" s="65">
        <f t="shared" si="61"/>
        <v>111</v>
      </c>
      <c r="Y277" s="64">
        <f t="shared" si="62"/>
        <v>0</v>
      </c>
      <c r="Z277" s="63">
        <f t="shared" si="63"/>
        <v>0</v>
      </c>
      <c r="AA277" s="62">
        <f t="shared" si="64"/>
        <v>0.89900000000000002</v>
      </c>
      <c r="AB277" s="62">
        <f t="shared" si="65"/>
        <v>0.73399999999999999</v>
      </c>
    </row>
    <row r="278" spans="2:28">
      <c r="B278" s="106">
        <f>'114+320'!B279</f>
        <v>45308</v>
      </c>
      <c r="C278" s="75">
        <f t="shared" si="57"/>
        <v>1</v>
      </c>
      <c r="D278" s="74">
        <f t="shared" si="58"/>
        <v>842</v>
      </c>
      <c r="E278" s="73">
        <f>VLOOKUP(B278,'114+320'!B279:AB380,3,FALSE)</f>
        <v>1756</v>
      </c>
      <c r="F278" s="69">
        <f t="shared" si="53"/>
        <v>2598</v>
      </c>
      <c r="G278" s="72">
        <f>VLOOKUP(B278,'114+320'!$B$15:$AB$785,20,FALSE)</f>
        <v>694</v>
      </c>
      <c r="H278" s="72">
        <f>VLOOKUP(B278,'114+320'!$B$15:$AB$785,4,FALSE)</f>
        <v>884</v>
      </c>
      <c r="I278" s="68">
        <f t="shared" si="54"/>
        <v>1714</v>
      </c>
      <c r="J278" s="68">
        <f>VLOOKUP(B278,'114+320'!$B$15:$AB$785,13,FALSE)</f>
        <v>-286</v>
      </c>
      <c r="K278" s="66">
        <f>'114+320'!Q279</f>
        <v>0</v>
      </c>
      <c r="L278" s="65">
        <f t="shared" si="59"/>
        <v>106</v>
      </c>
      <c r="M278" s="70">
        <f>VLOOKUP(B278,'114+320'!$B$14:$AB$785,21,FALSE)</f>
        <v>677</v>
      </c>
      <c r="N278" s="69">
        <f>VLOOKUP(B278,'114+320'!$B$15:$AB$785,5,FALSE)</f>
        <v>901</v>
      </c>
      <c r="O278" s="68">
        <f t="shared" si="55"/>
        <v>1697</v>
      </c>
      <c r="P278" s="68">
        <f>VLOOKUP(B278,'114+320'!$B$15:$AB$785,14,FALSE)</f>
        <v>-303</v>
      </c>
      <c r="Q278" s="66">
        <f>'114+320'!R279</f>
        <v>0</v>
      </c>
      <c r="R278" s="65">
        <f t="shared" si="60"/>
        <v>123</v>
      </c>
      <c r="S278" s="70">
        <f>VLOOKUP(B278,'114+320'!$B$14:$AB$785,22,FALSE)</f>
        <v>689</v>
      </c>
      <c r="T278" s="69">
        <f>VLOOKUP(B278,'114+320'!$B$15:$AB$785,6,FALSE)</f>
        <v>829</v>
      </c>
      <c r="U278" s="68">
        <f t="shared" si="56"/>
        <v>1769</v>
      </c>
      <c r="V278" s="77">
        <f>VLOOKUP(B278,'114+320'!$B$15:$AB$785,15,FALSE)</f>
        <v>-231</v>
      </c>
      <c r="W278" s="66">
        <f>'114+320'!S279</f>
        <v>0</v>
      </c>
      <c r="X278" s="65">
        <f t="shared" si="61"/>
        <v>111</v>
      </c>
      <c r="Y278" s="64">
        <f t="shared" si="62"/>
        <v>0</v>
      </c>
      <c r="Z278" s="63">
        <f t="shared" si="63"/>
        <v>0</v>
      </c>
      <c r="AA278" s="62">
        <f t="shared" si="64"/>
        <v>0.89900000000000002</v>
      </c>
      <c r="AB278" s="62">
        <f t="shared" si="65"/>
        <v>0.73399999999999999</v>
      </c>
    </row>
    <row r="279" spans="2:28">
      <c r="B279" s="106">
        <f>'114+320'!B280</f>
        <v>45309</v>
      </c>
      <c r="C279" s="75">
        <f t="shared" si="57"/>
        <v>1</v>
      </c>
      <c r="D279" s="74">
        <f t="shared" si="58"/>
        <v>842</v>
      </c>
      <c r="E279" s="73">
        <f>VLOOKUP(B279,'114+320'!B280:AB381,3,FALSE)</f>
        <v>1758</v>
      </c>
      <c r="F279" s="69">
        <f t="shared" si="53"/>
        <v>2600</v>
      </c>
      <c r="G279" s="72">
        <f>VLOOKUP(B279,'114+320'!$B$15:$AB$785,20,FALSE)</f>
        <v>694</v>
      </c>
      <c r="H279" s="72">
        <f>VLOOKUP(B279,'114+320'!$B$15:$AB$785,4,FALSE)</f>
        <v>886</v>
      </c>
      <c r="I279" s="68">
        <f t="shared" si="54"/>
        <v>1714</v>
      </c>
      <c r="J279" s="68">
        <f>VLOOKUP(B279,'114+320'!$B$15:$AB$785,13,FALSE)</f>
        <v>-286</v>
      </c>
      <c r="K279" s="66">
        <f>'114+320'!Q280</f>
        <v>0</v>
      </c>
      <c r="L279" s="65">
        <f t="shared" si="59"/>
        <v>106</v>
      </c>
      <c r="M279" s="70">
        <f>VLOOKUP(B279,'114+320'!$B$14:$AB$785,21,FALSE)</f>
        <v>677</v>
      </c>
      <c r="N279" s="69">
        <f>VLOOKUP(B279,'114+320'!$B$15:$AB$785,5,FALSE)</f>
        <v>903</v>
      </c>
      <c r="O279" s="68">
        <f t="shared" si="55"/>
        <v>1697</v>
      </c>
      <c r="P279" s="68">
        <f>VLOOKUP(B279,'114+320'!$B$15:$AB$785,14,FALSE)</f>
        <v>-303</v>
      </c>
      <c r="Q279" s="66">
        <f>'114+320'!R280</f>
        <v>0</v>
      </c>
      <c r="R279" s="65">
        <f t="shared" si="60"/>
        <v>123</v>
      </c>
      <c r="S279" s="70">
        <f>VLOOKUP(B279,'114+320'!$B$14:$AB$785,22,FALSE)</f>
        <v>689</v>
      </c>
      <c r="T279" s="69">
        <f>VLOOKUP(B279,'114+320'!$B$15:$AB$785,6,FALSE)</f>
        <v>831</v>
      </c>
      <c r="U279" s="68">
        <f t="shared" si="56"/>
        <v>1769</v>
      </c>
      <c r="V279" s="77">
        <f>VLOOKUP(B279,'114+320'!$B$15:$AB$785,15,FALSE)</f>
        <v>-231</v>
      </c>
      <c r="W279" s="66">
        <f>'114+320'!S280</f>
        <v>0</v>
      </c>
      <c r="X279" s="65">
        <f t="shared" si="61"/>
        <v>111</v>
      </c>
      <c r="Y279" s="64">
        <f t="shared" si="62"/>
        <v>0</v>
      </c>
      <c r="Z279" s="63">
        <f t="shared" si="63"/>
        <v>0</v>
      </c>
      <c r="AA279" s="62">
        <f t="shared" si="64"/>
        <v>0.89900000000000002</v>
      </c>
      <c r="AB279" s="62">
        <f t="shared" si="65"/>
        <v>0.73399999999999999</v>
      </c>
    </row>
    <row r="280" spans="2:28">
      <c r="B280" s="106">
        <f>'114+320'!B281</f>
        <v>45310</v>
      </c>
      <c r="C280" s="75">
        <f t="shared" si="57"/>
        <v>1</v>
      </c>
      <c r="D280" s="74">
        <f t="shared" si="58"/>
        <v>842</v>
      </c>
      <c r="E280" s="73">
        <f>VLOOKUP(B280,'114+320'!B281:AB382,3,FALSE)</f>
        <v>1760</v>
      </c>
      <c r="F280" s="69">
        <f t="shared" si="53"/>
        <v>2602</v>
      </c>
      <c r="G280" s="72">
        <f>VLOOKUP(B280,'114+320'!$B$15:$AB$785,20,FALSE)</f>
        <v>694</v>
      </c>
      <c r="H280" s="72">
        <f>VLOOKUP(B280,'114+320'!$B$15:$AB$785,4,FALSE)</f>
        <v>888</v>
      </c>
      <c r="I280" s="68">
        <f t="shared" si="54"/>
        <v>1714</v>
      </c>
      <c r="J280" s="68">
        <f>VLOOKUP(B280,'114+320'!$B$15:$AB$785,13,FALSE)</f>
        <v>-286</v>
      </c>
      <c r="K280" s="66">
        <f>'114+320'!Q281</f>
        <v>0</v>
      </c>
      <c r="L280" s="65">
        <f t="shared" si="59"/>
        <v>106</v>
      </c>
      <c r="M280" s="70">
        <f>VLOOKUP(B280,'114+320'!$B$14:$AB$785,21,FALSE)</f>
        <v>677</v>
      </c>
      <c r="N280" s="69">
        <f>VLOOKUP(B280,'114+320'!$B$15:$AB$785,5,FALSE)</f>
        <v>905</v>
      </c>
      <c r="O280" s="68">
        <f t="shared" si="55"/>
        <v>1697</v>
      </c>
      <c r="P280" s="68">
        <f>VLOOKUP(B280,'114+320'!$B$15:$AB$785,14,FALSE)</f>
        <v>-303</v>
      </c>
      <c r="Q280" s="66">
        <f>'114+320'!R281</f>
        <v>0</v>
      </c>
      <c r="R280" s="65">
        <f t="shared" si="60"/>
        <v>123</v>
      </c>
      <c r="S280" s="70">
        <f>VLOOKUP(B280,'114+320'!$B$14:$AB$785,22,FALSE)</f>
        <v>689</v>
      </c>
      <c r="T280" s="69">
        <f>VLOOKUP(B280,'114+320'!$B$15:$AB$785,6,FALSE)</f>
        <v>833</v>
      </c>
      <c r="U280" s="68">
        <f t="shared" si="56"/>
        <v>1769</v>
      </c>
      <c r="V280" s="77">
        <f>VLOOKUP(B280,'114+320'!$B$15:$AB$785,15,FALSE)</f>
        <v>-231</v>
      </c>
      <c r="W280" s="66">
        <f>'114+320'!S281</f>
        <v>0</v>
      </c>
      <c r="X280" s="65">
        <f t="shared" si="61"/>
        <v>111</v>
      </c>
      <c r="Y280" s="64">
        <f t="shared" si="62"/>
        <v>0</v>
      </c>
      <c r="Z280" s="63">
        <f t="shared" si="63"/>
        <v>0</v>
      </c>
      <c r="AA280" s="62">
        <f t="shared" si="64"/>
        <v>0.89900000000000002</v>
      </c>
      <c r="AB280" s="62">
        <f t="shared" si="65"/>
        <v>0.73399999999999999</v>
      </c>
    </row>
    <row r="281" spans="2:28">
      <c r="B281" s="106">
        <f>'114+320'!B282</f>
        <v>45311</v>
      </c>
      <c r="C281" s="75">
        <f t="shared" si="57"/>
        <v>1</v>
      </c>
      <c r="D281" s="74">
        <f t="shared" si="58"/>
        <v>842</v>
      </c>
      <c r="E281" s="73">
        <f>VLOOKUP(B281,'114+320'!B282:AB383,3,FALSE)</f>
        <v>1762</v>
      </c>
      <c r="F281" s="69">
        <f t="shared" si="53"/>
        <v>2604</v>
      </c>
      <c r="G281" s="72">
        <f>VLOOKUP(B281,'114+320'!$B$15:$AB$785,20,FALSE)</f>
        <v>694</v>
      </c>
      <c r="H281" s="72">
        <f>VLOOKUP(B281,'114+320'!$B$15:$AB$785,4,FALSE)</f>
        <v>890</v>
      </c>
      <c r="I281" s="68">
        <f t="shared" si="54"/>
        <v>1714</v>
      </c>
      <c r="J281" s="68">
        <f>VLOOKUP(B281,'114+320'!$B$15:$AB$785,13,FALSE)</f>
        <v>-286</v>
      </c>
      <c r="K281" s="66">
        <f>'114+320'!Q282</f>
        <v>0</v>
      </c>
      <c r="L281" s="65">
        <f t="shared" si="59"/>
        <v>106</v>
      </c>
      <c r="M281" s="70">
        <f>VLOOKUP(B281,'114+320'!$B$14:$AB$785,21,FALSE)</f>
        <v>677</v>
      </c>
      <c r="N281" s="69">
        <f>VLOOKUP(B281,'114+320'!$B$15:$AB$785,5,FALSE)</f>
        <v>907</v>
      </c>
      <c r="O281" s="68">
        <f t="shared" si="55"/>
        <v>1697</v>
      </c>
      <c r="P281" s="68">
        <f>VLOOKUP(B281,'114+320'!$B$15:$AB$785,14,FALSE)</f>
        <v>-303</v>
      </c>
      <c r="Q281" s="66">
        <f>'114+320'!R282</f>
        <v>0</v>
      </c>
      <c r="R281" s="65">
        <f t="shared" si="60"/>
        <v>123</v>
      </c>
      <c r="S281" s="70">
        <f>VLOOKUP(B281,'114+320'!$B$14:$AB$785,22,FALSE)</f>
        <v>689</v>
      </c>
      <c r="T281" s="69">
        <f>VLOOKUP(B281,'114+320'!$B$15:$AB$785,6,FALSE)</f>
        <v>835</v>
      </c>
      <c r="U281" s="68">
        <f t="shared" si="56"/>
        <v>1769</v>
      </c>
      <c r="V281" s="77">
        <f>VLOOKUP(B281,'114+320'!$B$15:$AB$785,15,FALSE)</f>
        <v>-231</v>
      </c>
      <c r="W281" s="66">
        <f>'114+320'!S282</f>
        <v>0</v>
      </c>
      <c r="X281" s="65">
        <f t="shared" si="61"/>
        <v>111</v>
      </c>
      <c r="Y281" s="64">
        <f t="shared" si="62"/>
        <v>0</v>
      </c>
      <c r="Z281" s="63">
        <f t="shared" si="63"/>
        <v>0</v>
      </c>
      <c r="AA281" s="62">
        <f t="shared" si="64"/>
        <v>0.89900000000000002</v>
      </c>
      <c r="AB281" s="62">
        <f t="shared" si="65"/>
        <v>0.73399999999999999</v>
      </c>
    </row>
    <row r="282" spans="2:28">
      <c r="B282" s="106">
        <f>'114+320'!B283</f>
        <v>45312</v>
      </c>
      <c r="C282" s="75">
        <f t="shared" si="57"/>
        <v>1</v>
      </c>
      <c r="D282" s="74">
        <f t="shared" si="58"/>
        <v>842</v>
      </c>
      <c r="E282" s="73">
        <f>VLOOKUP(B282,'114+320'!B283:AB384,3,FALSE)</f>
        <v>1764</v>
      </c>
      <c r="F282" s="69">
        <f t="shared" si="53"/>
        <v>2606</v>
      </c>
      <c r="G282" s="72">
        <f>VLOOKUP(B282,'114+320'!$B$15:$AB$785,20,FALSE)</f>
        <v>694</v>
      </c>
      <c r="H282" s="72">
        <f>VLOOKUP(B282,'114+320'!$B$15:$AB$785,4,FALSE)</f>
        <v>892</v>
      </c>
      <c r="I282" s="68">
        <f t="shared" si="54"/>
        <v>1714</v>
      </c>
      <c r="J282" s="68">
        <f>VLOOKUP(B282,'114+320'!$B$15:$AB$785,13,FALSE)</f>
        <v>-286</v>
      </c>
      <c r="K282" s="66">
        <f>'114+320'!Q283</f>
        <v>0</v>
      </c>
      <c r="L282" s="65">
        <f t="shared" si="59"/>
        <v>106</v>
      </c>
      <c r="M282" s="70">
        <f>VLOOKUP(B282,'114+320'!$B$14:$AB$785,21,FALSE)</f>
        <v>677</v>
      </c>
      <c r="N282" s="69">
        <f>VLOOKUP(B282,'114+320'!$B$15:$AB$785,5,FALSE)</f>
        <v>909</v>
      </c>
      <c r="O282" s="68">
        <f t="shared" si="55"/>
        <v>1697</v>
      </c>
      <c r="P282" s="68">
        <f>VLOOKUP(B282,'114+320'!$B$15:$AB$785,14,FALSE)</f>
        <v>-303</v>
      </c>
      <c r="Q282" s="66">
        <f>'114+320'!R283</f>
        <v>0</v>
      </c>
      <c r="R282" s="65">
        <f t="shared" si="60"/>
        <v>123</v>
      </c>
      <c r="S282" s="70">
        <f>VLOOKUP(B282,'114+320'!$B$14:$AB$785,22,FALSE)</f>
        <v>689</v>
      </c>
      <c r="T282" s="69">
        <f>VLOOKUP(B282,'114+320'!$B$15:$AB$785,6,FALSE)</f>
        <v>837</v>
      </c>
      <c r="U282" s="68">
        <f t="shared" si="56"/>
        <v>1769</v>
      </c>
      <c r="V282" s="77">
        <f>VLOOKUP(B282,'114+320'!$B$15:$AB$785,15,FALSE)</f>
        <v>-231</v>
      </c>
      <c r="W282" s="66">
        <f>'114+320'!S283</f>
        <v>0</v>
      </c>
      <c r="X282" s="65">
        <f t="shared" si="61"/>
        <v>111</v>
      </c>
      <c r="Y282" s="64">
        <f t="shared" si="62"/>
        <v>0</v>
      </c>
      <c r="Z282" s="63">
        <f t="shared" si="63"/>
        <v>0</v>
      </c>
      <c r="AA282" s="62">
        <f t="shared" si="64"/>
        <v>0.89900000000000002</v>
      </c>
      <c r="AB282" s="62">
        <f t="shared" si="65"/>
        <v>0.73399999999999999</v>
      </c>
    </row>
    <row r="283" spans="2:28">
      <c r="B283" s="106">
        <f>'114+320'!B284</f>
        <v>45313</v>
      </c>
      <c r="C283" s="75">
        <f t="shared" si="57"/>
        <v>1</v>
      </c>
      <c r="D283" s="74">
        <f t="shared" si="58"/>
        <v>842</v>
      </c>
      <c r="E283" s="73">
        <f>VLOOKUP(B283,'114+320'!B284:AB385,3,FALSE)</f>
        <v>1766</v>
      </c>
      <c r="F283" s="69">
        <f t="shared" si="53"/>
        <v>2608</v>
      </c>
      <c r="G283" s="72">
        <f>VLOOKUP(B283,'114+320'!$B$15:$AB$785,20,FALSE)</f>
        <v>694</v>
      </c>
      <c r="H283" s="72">
        <f>VLOOKUP(B283,'114+320'!$B$15:$AB$785,4,FALSE)</f>
        <v>894</v>
      </c>
      <c r="I283" s="68">
        <f t="shared" si="54"/>
        <v>1714</v>
      </c>
      <c r="J283" s="68">
        <f>VLOOKUP(B283,'114+320'!$B$15:$AB$785,13,FALSE)</f>
        <v>-286</v>
      </c>
      <c r="K283" s="66">
        <f>'114+320'!Q284</f>
        <v>0</v>
      </c>
      <c r="L283" s="65">
        <f t="shared" si="59"/>
        <v>106</v>
      </c>
      <c r="M283" s="70">
        <f>VLOOKUP(B283,'114+320'!$B$14:$AB$785,21,FALSE)</f>
        <v>677</v>
      </c>
      <c r="N283" s="69">
        <f>VLOOKUP(B283,'114+320'!$B$15:$AB$785,5,FALSE)</f>
        <v>911</v>
      </c>
      <c r="O283" s="68">
        <f t="shared" si="55"/>
        <v>1697</v>
      </c>
      <c r="P283" s="68">
        <f>VLOOKUP(B283,'114+320'!$B$15:$AB$785,14,FALSE)</f>
        <v>-303</v>
      </c>
      <c r="Q283" s="66">
        <f>'114+320'!R284</f>
        <v>0</v>
      </c>
      <c r="R283" s="65">
        <f t="shared" si="60"/>
        <v>123</v>
      </c>
      <c r="S283" s="70">
        <f>VLOOKUP(B283,'114+320'!$B$14:$AB$785,22,FALSE)</f>
        <v>689</v>
      </c>
      <c r="T283" s="69">
        <f>VLOOKUP(B283,'114+320'!$B$15:$AB$785,6,FALSE)</f>
        <v>839</v>
      </c>
      <c r="U283" s="68">
        <f t="shared" si="56"/>
        <v>1769</v>
      </c>
      <c r="V283" s="77">
        <f>VLOOKUP(B283,'114+320'!$B$15:$AB$785,15,FALSE)</f>
        <v>-231</v>
      </c>
      <c r="W283" s="66">
        <f>'114+320'!S284</f>
        <v>0</v>
      </c>
      <c r="X283" s="65">
        <f t="shared" si="61"/>
        <v>111</v>
      </c>
      <c r="Y283" s="64">
        <f t="shared" si="62"/>
        <v>0</v>
      </c>
      <c r="Z283" s="63">
        <f t="shared" si="63"/>
        <v>0</v>
      </c>
      <c r="AA283" s="62">
        <f t="shared" si="64"/>
        <v>0.89900000000000002</v>
      </c>
      <c r="AB283" s="62">
        <f t="shared" si="65"/>
        <v>0.73399999999999999</v>
      </c>
    </row>
    <row r="284" spans="2:28">
      <c r="B284" s="106">
        <f>'114+320'!B285</f>
        <v>45314</v>
      </c>
      <c r="C284" s="75">
        <f t="shared" si="57"/>
        <v>1</v>
      </c>
      <c r="D284" s="74">
        <f t="shared" si="58"/>
        <v>842</v>
      </c>
      <c r="E284" s="73">
        <f>VLOOKUP(B284,'114+320'!B285:AB386,3,FALSE)</f>
        <v>1768</v>
      </c>
      <c r="F284" s="69">
        <f t="shared" si="53"/>
        <v>2610</v>
      </c>
      <c r="G284" s="72">
        <f>VLOOKUP(B284,'114+320'!$B$15:$AB$785,20,FALSE)</f>
        <v>694</v>
      </c>
      <c r="H284" s="72">
        <f>VLOOKUP(B284,'114+320'!$B$15:$AB$785,4,FALSE)</f>
        <v>896</v>
      </c>
      <c r="I284" s="68">
        <f t="shared" si="54"/>
        <v>1714</v>
      </c>
      <c r="J284" s="68">
        <f>VLOOKUP(B284,'114+320'!$B$15:$AB$785,13,FALSE)</f>
        <v>-286</v>
      </c>
      <c r="K284" s="66">
        <f>'114+320'!Q285</f>
        <v>0</v>
      </c>
      <c r="L284" s="65">
        <f t="shared" si="59"/>
        <v>106</v>
      </c>
      <c r="M284" s="70">
        <f>VLOOKUP(B284,'114+320'!$B$14:$AB$785,21,FALSE)</f>
        <v>677</v>
      </c>
      <c r="N284" s="69">
        <f>VLOOKUP(B284,'114+320'!$B$15:$AB$785,5,FALSE)</f>
        <v>913</v>
      </c>
      <c r="O284" s="68">
        <f t="shared" si="55"/>
        <v>1697</v>
      </c>
      <c r="P284" s="68">
        <f>VLOOKUP(B284,'114+320'!$B$15:$AB$785,14,FALSE)</f>
        <v>-303</v>
      </c>
      <c r="Q284" s="66">
        <f>'114+320'!R285</f>
        <v>0</v>
      </c>
      <c r="R284" s="65">
        <f t="shared" si="60"/>
        <v>123</v>
      </c>
      <c r="S284" s="70">
        <f>VLOOKUP(B284,'114+320'!$B$14:$AB$785,22,FALSE)</f>
        <v>689</v>
      </c>
      <c r="T284" s="69">
        <f>VLOOKUP(B284,'114+320'!$B$15:$AB$785,6,FALSE)</f>
        <v>841</v>
      </c>
      <c r="U284" s="68">
        <f t="shared" si="56"/>
        <v>1769</v>
      </c>
      <c r="V284" s="77">
        <f>VLOOKUP(B284,'114+320'!$B$15:$AB$785,15,FALSE)</f>
        <v>-231</v>
      </c>
      <c r="W284" s="66">
        <f>'114+320'!S285</f>
        <v>0</v>
      </c>
      <c r="X284" s="65">
        <f t="shared" si="61"/>
        <v>111</v>
      </c>
      <c r="Y284" s="64">
        <f t="shared" si="62"/>
        <v>0</v>
      </c>
      <c r="Z284" s="63">
        <f t="shared" si="63"/>
        <v>0</v>
      </c>
      <c r="AA284" s="62">
        <f t="shared" si="64"/>
        <v>0.89900000000000002</v>
      </c>
      <c r="AB284" s="62">
        <f t="shared" si="65"/>
        <v>0.73399999999999999</v>
      </c>
    </row>
    <row r="285" spans="2:28">
      <c r="B285" s="106">
        <f>'114+320'!B286</f>
        <v>45315</v>
      </c>
      <c r="C285" s="75">
        <f t="shared" si="57"/>
        <v>1</v>
      </c>
      <c r="D285" s="74">
        <f t="shared" si="58"/>
        <v>842</v>
      </c>
      <c r="E285" s="73">
        <f>VLOOKUP(B285,'114+320'!B286:AB387,3,FALSE)</f>
        <v>1770</v>
      </c>
      <c r="F285" s="69">
        <f t="shared" si="53"/>
        <v>2612</v>
      </c>
      <c r="G285" s="72">
        <f>VLOOKUP(B285,'114+320'!$B$15:$AB$785,20,FALSE)</f>
        <v>694</v>
      </c>
      <c r="H285" s="72">
        <f>VLOOKUP(B285,'114+320'!$B$15:$AB$785,4,FALSE)</f>
        <v>898</v>
      </c>
      <c r="I285" s="68">
        <f t="shared" si="54"/>
        <v>1714</v>
      </c>
      <c r="J285" s="68">
        <f>VLOOKUP(B285,'114+320'!$B$15:$AB$785,13,FALSE)</f>
        <v>-286</v>
      </c>
      <c r="K285" s="66">
        <f>'114+320'!Q286</f>
        <v>0</v>
      </c>
      <c r="L285" s="65">
        <f t="shared" si="59"/>
        <v>106</v>
      </c>
      <c r="M285" s="70">
        <f>VLOOKUP(B285,'114+320'!$B$14:$AB$785,21,FALSE)</f>
        <v>677</v>
      </c>
      <c r="N285" s="69">
        <f>VLOOKUP(B285,'114+320'!$B$15:$AB$785,5,FALSE)</f>
        <v>915</v>
      </c>
      <c r="O285" s="68">
        <f t="shared" si="55"/>
        <v>1697</v>
      </c>
      <c r="P285" s="68">
        <f>VLOOKUP(B285,'114+320'!$B$15:$AB$785,14,FALSE)</f>
        <v>-303</v>
      </c>
      <c r="Q285" s="66">
        <f>'114+320'!R286</f>
        <v>0</v>
      </c>
      <c r="R285" s="65">
        <f t="shared" si="60"/>
        <v>123</v>
      </c>
      <c r="S285" s="70">
        <f>VLOOKUP(B285,'114+320'!$B$14:$AB$785,22,FALSE)</f>
        <v>689</v>
      </c>
      <c r="T285" s="69">
        <f>VLOOKUP(B285,'114+320'!$B$15:$AB$785,6,FALSE)</f>
        <v>843</v>
      </c>
      <c r="U285" s="68">
        <f t="shared" si="56"/>
        <v>1769</v>
      </c>
      <c r="V285" s="77">
        <f>VLOOKUP(B285,'114+320'!$B$15:$AB$785,15,FALSE)</f>
        <v>-231</v>
      </c>
      <c r="W285" s="66">
        <f>'114+320'!S286</f>
        <v>0</v>
      </c>
      <c r="X285" s="65">
        <f t="shared" si="61"/>
        <v>111</v>
      </c>
      <c r="Y285" s="64">
        <f t="shared" si="62"/>
        <v>0</v>
      </c>
      <c r="Z285" s="63">
        <f t="shared" si="63"/>
        <v>0</v>
      </c>
      <c r="AA285" s="62">
        <f t="shared" si="64"/>
        <v>0.89900000000000002</v>
      </c>
      <c r="AB285" s="62">
        <f t="shared" si="65"/>
        <v>0.73399999999999999</v>
      </c>
    </row>
    <row r="286" spans="2:28">
      <c r="B286" s="106">
        <f>'114+320'!B287</f>
        <v>45316</v>
      </c>
      <c r="C286" s="75">
        <f t="shared" si="57"/>
        <v>1</v>
      </c>
      <c r="D286" s="74">
        <f t="shared" si="58"/>
        <v>842</v>
      </c>
      <c r="E286" s="73">
        <f>VLOOKUP(B286,'114+320'!B287:AB388,3,FALSE)</f>
        <v>1772</v>
      </c>
      <c r="F286" s="69">
        <f t="shared" si="53"/>
        <v>2614</v>
      </c>
      <c r="G286" s="72">
        <f>VLOOKUP(B286,'114+320'!$B$15:$AB$785,20,FALSE)</f>
        <v>694</v>
      </c>
      <c r="H286" s="72">
        <f>VLOOKUP(B286,'114+320'!$B$15:$AB$785,4,FALSE)</f>
        <v>900</v>
      </c>
      <c r="I286" s="68">
        <f t="shared" si="54"/>
        <v>1714</v>
      </c>
      <c r="J286" s="68">
        <f>VLOOKUP(B286,'114+320'!$B$15:$AB$785,13,FALSE)</f>
        <v>-286</v>
      </c>
      <c r="K286" s="66">
        <f>'114+320'!Q287</f>
        <v>0</v>
      </c>
      <c r="L286" s="65">
        <f t="shared" si="59"/>
        <v>106</v>
      </c>
      <c r="M286" s="70">
        <f>VLOOKUP(B286,'114+320'!$B$14:$AB$785,21,FALSE)</f>
        <v>677</v>
      </c>
      <c r="N286" s="69">
        <f>VLOOKUP(B286,'114+320'!$B$15:$AB$785,5,FALSE)</f>
        <v>917</v>
      </c>
      <c r="O286" s="68">
        <f t="shared" si="55"/>
        <v>1697</v>
      </c>
      <c r="P286" s="68">
        <f>VLOOKUP(B286,'114+320'!$B$15:$AB$785,14,FALSE)</f>
        <v>-303</v>
      </c>
      <c r="Q286" s="66">
        <f>'114+320'!R287</f>
        <v>0</v>
      </c>
      <c r="R286" s="65">
        <f t="shared" si="60"/>
        <v>123</v>
      </c>
      <c r="S286" s="70">
        <f>VLOOKUP(B286,'114+320'!$B$14:$AB$785,22,FALSE)</f>
        <v>689</v>
      </c>
      <c r="T286" s="69">
        <f>VLOOKUP(B286,'114+320'!$B$15:$AB$785,6,FALSE)</f>
        <v>845</v>
      </c>
      <c r="U286" s="68">
        <f t="shared" si="56"/>
        <v>1769</v>
      </c>
      <c r="V286" s="77">
        <f>VLOOKUP(B286,'114+320'!$B$15:$AB$785,15,FALSE)</f>
        <v>-231</v>
      </c>
      <c r="W286" s="66">
        <f>'114+320'!S287</f>
        <v>0</v>
      </c>
      <c r="X286" s="65">
        <f t="shared" si="61"/>
        <v>111</v>
      </c>
      <c r="Y286" s="64">
        <f t="shared" si="62"/>
        <v>0</v>
      </c>
      <c r="Z286" s="63">
        <f t="shared" si="63"/>
        <v>0</v>
      </c>
      <c r="AA286" s="62">
        <f t="shared" si="64"/>
        <v>0.89900000000000002</v>
      </c>
      <c r="AB286" s="62">
        <f t="shared" si="65"/>
        <v>0.73399999999999999</v>
      </c>
    </row>
    <row r="287" spans="2:28">
      <c r="B287" s="106">
        <f>'114+320'!B288</f>
        <v>45317</v>
      </c>
      <c r="C287" s="75">
        <f t="shared" si="57"/>
        <v>1</v>
      </c>
      <c r="D287" s="74">
        <f t="shared" si="58"/>
        <v>842</v>
      </c>
      <c r="E287" s="73">
        <f>VLOOKUP(B287,'114+320'!B288:AB389,3,FALSE)</f>
        <v>1774</v>
      </c>
      <c r="F287" s="69">
        <f t="shared" si="53"/>
        <v>2616</v>
      </c>
      <c r="G287" s="72">
        <f>VLOOKUP(B287,'114+320'!$B$15:$AB$785,20,FALSE)</f>
        <v>694</v>
      </c>
      <c r="H287" s="72">
        <f>VLOOKUP(B287,'114+320'!$B$15:$AB$785,4,FALSE)</f>
        <v>902</v>
      </c>
      <c r="I287" s="68">
        <f t="shared" si="54"/>
        <v>1714</v>
      </c>
      <c r="J287" s="68">
        <f>VLOOKUP(B287,'114+320'!$B$15:$AB$785,13,FALSE)</f>
        <v>-286</v>
      </c>
      <c r="K287" s="66">
        <f>'114+320'!Q288</f>
        <v>0</v>
      </c>
      <c r="L287" s="65">
        <f t="shared" si="59"/>
        <v>106</v>
      </c>
      <c r="M287" s="70">
        <f>VLOOKUP(B287,'114+320'!$B$14:$AB$785,21,FALSE)</f>
        <v>677</v>
      </c>
      <c r="N287" s="69">
        <f>VLOOKUP(B287,'114+320'!$B$15:$AB$785,5,FALSE)</f>
        <v>919</v>
      </c>
      <c r="O287" s="68">
        <f t="shared" si="55"/>
        <v>1697</v>
      </c>
      <c r="P287" s="68">
        <f>VLOOKUP(B287,'114+320'!$B$15:$AB$785,14,FALSE)</f>
        <v>-303</v>
      </c>
      <c r="Q287" s="66">
        <f>'114+320'!R288</f>
        <v>0</v>
      </c>
      <c r="R287" s="65">
        <f t="shared" si="60"/>
        <v>123</v>
      </c>
      <c r="S287" s="70">
        <f>VLOOKUP(B287,'114+320'!$B$14:$AB$785,22,FALSE)</f>
        <v>689</v>
      </c>
      <c r="T287" s="69">
        <f>VLOOKUP(B287,'114+320'!$B$15:$AB$785,6,FALSE)</f>
        <v>847</v>
      </c>
      <c r="U287" s="68">
        <f t="shared" si="56"/>
        <v>1769</v>
      </c>
      <c r="V287" s="77">
        <f>VLOOKUP(B287,'114+320'!$B$15:$AB$785,15,FALSE)</f>
        <v>-231</v>
      </c>
      <c r="W287" s="66">
        <f>'114+320'!S288</f>
        <v>0</v>
      </c>
      <c r="X287" s="65">
        <f t="shared" si="61"/>
        <v>111</v>
      </c>
      <c r="Y287" s="64">
        <f t="shared" si="62"/>
        <v>0</v>
      </c>
      <c r="Z287" s="63">
        <f t="shared" si="63"/>
        <v>0</v>
      </c>
      <c r="AA287" s="62">
        <f t="shared" si="64"/>
        <v>0.89900000000000002</v>
      </c>
      <c r="AB287" s="62">
        <f t="shared" si="65"/>
        <v>0.73399999999999999</v>
      </c>
    </row>
    <row r="288" spans="2:28">
      <c r="B288" s="106">
        <f>'114+320'!B289</f>
        <v>45318</v>
      </c>
      <c r="C288" s="75">
        <f t="shared" si="57"/>
        <v>1</v>
      </c>
      <c r="D288" s="74">
        <f t="shared" si="58"/>
        <v>842</v>
      </c>
      <c r="E288" s="73">
        <f>VLOOKUP(B288,'114+320'!B289:AB390,3,FALSE)</f>
        <v>1776</v>
      </c>
      <c r="F288" s="69">
        <f t="shared" si="53"/>
        <v>2618</v>
      </c>
      <c r="G288" s="72">
        <f>VLOOKUP(B288,'114+320'!$B$15:$AB$785,20,FALSE)</f>
        <v>694</v>
      </c>
      <c r="H288" s="72">
        <f>VLOOKUP(B288,'114+320'!$B$15:$AB$785,4,FALSE)</f>
        <v>904</v>
      </c>
      <c r="I288" s="68">
        <f t="shared" si="54"/>
        <v>1714</v>
      </c>
      <c r="J288" s="68">
        <f>VLOOKUP(B288,'114+320'!$B$15:$AB$785,13,FALSE)</f>
        <v>-286</v>
      </c>
      <c r="K288" s="66">
        <f>'114+320'!Q289</f>
        <v>0</v>
      </c>
      <c r="L288" s="65">
        <f t="shared" si="59"/>
        <v>106</v>
      </c>
      <c r="M288" s="70">
        <f>VLOOKUP(B288,'114+320'!$B$14:$AB$785,21,FALSE)</f>
        <v>677</v>
      </c>
      <c r="N288" s="69">
        <f>VLOOKUP(B288,'114+320'!$B$15:$AB$785,5,FALSE)</f>
        <v>921</v>
      </c>
      <c r="O288" s="68">
        <f t="shared" si="55"/>
        <v>1697</v>
      </c>
      <c r="P288" s="68">
        <f>VLOOKUP(B288,'114+320'!$B$15:$AB$785,14,FALSE)</f>
        <v>-303</v>
      </c>
      <c r="Q288" s="66">
        <f>'114+320'!R289</f>
        <v>0</v>
      </c>
      <c r="R288" s="65">
        <f t="shared" si="60"/>
        <v>123</v>
      </c>
      <c r="S288" s="70">
        <f>VLOOKUP(B288,'114+320'!$B$14:$AB$785,22,FALSE)</f>
        <v>689</v>
      </c>
      <c r="T288" s="69">
        <f>VLOOKUP(B288,'114+320'!$B$15:$AB$785,6,FALSE)</f>
        <v>849</v>
      </c>
      <c r="U288" s="68">
        <f t="shared" si="56"/>
        <v>1769</v>
      </c>
      <c r="V288" s="77">
        <f>VLOOKUP(B288,'114+320'!$B$15:$AB$785,15,FALSE)</f>
        <v>-231</v>
      </c>
      <c r="W288" s="66">
        <f>'114+320'!S289</f>
        <v>0</v>
      </c>
      <c r="X288" s="65">
        <f t="shared" si="61"/>
        <v>111</v>
      </c>
      <c r="Y288" s="64">
        <f t="shared" si="62"/>
        <v>0</v>
      </c>
      <c r="Z288" s="63">
        <f t="shared" si="63"/>
        <v>0</v>
      </c>
      <c r="AA288" s="62">
        <f t="shared" si="64"/>
        <v>0.89900000000000002</v>
      </c>
      <c r="AB288" s="62">
        <f t="shared" si="65"/>
        <v>0.73399999999999999</v>
      </c>
    </row>
    <row r="289" spans="2:28">
      <c r="B289" s="106">
        <f>'114+320'!B290</f>
        <v>45319</v>
      </c>
      <c r="C289" s="75">
        <f t="shared" si="57"/>
        <v>1</v>
      </c>
      <c r="D289" s="74">
        <f t="shared" si="58"/>
        <v>842</v>
      </c>
      <c r="E289" s="73">
        <f>VLOOKUP(B289,'114+320'!B290:AB391,3,FALSE)</f>
        <v>1778</v>
      </c>
      <c r="F289" s="69">
        <f t="shared" si="53"/>
        <v>2620</v>
      </c>
      <c r="G289" s="72">
        <f>VLOOKUP(B289,'114+320'!$B$15:$AB$785,20,FALSE)</f>
        <v>694</v>
      </c>
      <c r="H289" s="72">
        <f>VLOOKUP(B289,'114+320'!$B$15:$AB$785,4,FALSE)</f>
        <v>906</v>
      </c>
      <c r="I289" s="68">
        <f t="shared" si="54"/>
        <v>1714</v>
      </c>
      <c r="J289" s="68">
        <f>VLOOKUP(B289,'114+320'!$B$15:$AB$785,13,FALSE)</f>
        <v>-286</v>
      </c>
      <c r="K289" s="66">
        <f>'114+320'!Q290</f>
        <v>0</v>
      </c>
      <c r="L289" s="65">
        <f t="shared" si="59"/>
        <v>106</v>
      </c>
      <c r="M289" s="70">
        <f>VLOOKUP(B289,'114+320'!$B$14:$AB$785,21,FALSE)</f>
        <v>677</v>
      </c>
      <c r="N289" s="69">
        <f>VLOOKUP(B289,'114+320'!$B$15:$AB$785,5,FALSE)</f>
        <v>923</v>
      </c>
      <c r="O289" s="68">
        <f t="shared" si="55"/>
        <v>1697</v>
      </c>
      <c r="P289" s="68">
        <f>VLOOKUP(B289,'114+320'!$B$15:$AB$785,14,FALSE)</f>
        <v>-303</v>
      </c>
      <c r="Q289" s="66">
        <f>'114+320'!R290</f>
        <v>0</v>
      </c>
      <c r="R289" s="65">
        <f t="shared" si="60"/>
        <v>123</v>
      </c>
      <c r="S289" s="70">
        <f>VLOOKUP(B289,'114+320'!$B$14:$AB$785,22,FALSE)</f>
        <v>689</v>
      </c>
      <c r="T289" s="69">
        <f>VLOOKUP(B289,'114+320'!$B$15:$AB$785,6,FALSE)</f>
        <v>851</v>
      </c>
      <c r="U289" s="68">
        <f t="shared" si="56"/>
        <v>1769</v>
      </c>
      <c r="V289" s="77">
        <f>VLOOKUP(B289,'114+320'!$B$15:$AB$785,15,FALSE)</f>
        <v>-231</v>
      </c>
      <c r="W289" s="66">
        <f>'114+320'!S290</f>
        <v>0</v>
      </c>
      <c r="X289" s="65">
        <f t="shared" si="61"/>
        <v>111</v>
      </c>
      <c r="Y289" s="64">
        <f t="shared" si="62"/>
        <v>0</v>
      </c>
      <c r="Z289" s="63">
        <f t="shared" si="63"/>
        <v>0</v>
      </c>
      <c r="AA289" s="62">
        <f t="shared" si="64"/>
        <v>0.89900000000000002</v>
      </c>
      <c r="AB289" s="62">
        <f t="shared" si="65"/>
        <v>0.73399999999999999</v>
      </c>
    </row>
    <row r="290" spans="2:28">
      <c r="B290" s="106">
        <f>'114+320'!B291</f>
        <v>45320</v>
      </c>
      <c r="C290" s="75">
        <f t="shared" si="57"/>
        <v>1</v>
      </c>
      <c r="D290" s="74">
        <f t="shared" si="58"/>
        <v>842</v>
      </c>
      <c r="E290" s="73">
        <f>VLOOKUP(B290,'114+320'!B291:AB392,3,FALSE)</f>
        <v>1780</v>
      </c>
      <c r="F290" s="69">
        <f t="shared" si="53"/>
        <v>2622</v>
      </c>
      <c r="G290" s="72">
        <f>VLOOKUP(B290,'114+320'!$B$15:$AB$785,20,FALSE)</f>
        <v>694</v>
      </c>
      <c r="H290" s="72">
        <f>VLOOKUP(B290,'114+320'!$B$15:$AB$785,4,FALSE)</f>
        <v>908</v>
      </c>
      <c r="I290" s="68">
        <f t="shared" si="54"/>
        <v>1714</v>
      </c>
      <c r="J290" s="68">
        <f>VLOOKUP(B290,'114+320'!$B$15:$AB$785,13,FALSE)</f>
        <v>-286</v>
      </c>
      <c r="K290" s="66">
        <f>'114+320'!Q291</f>
        <v>0</v>
      </c>
      <c r="L290" s="65">
        <f t="shared" si="59"/>
        <v>106</v>
      </c>
      <c r="M290" s="70">
        <f>VLOOKUP(B290,'114+320'!$B$14:$AB$785,21,FALSE)</f>
        <v>677</v>
      </c>
      <c r="N290" s="69">
        <f>VLOOKUP(B290,'114+320'!$B$15:$AB$785,5,FALSE)</f>
        <v>925</v>
      </c>
      <c r="O290" s="68">
        <f t="shared" si="55"/>
        <v>1697</v>
      </c>
      <c r="P290" s="68">
        <f>VLOOKUP(B290,'114+320'!$B$15:$AB$785,14,FALSE)</f>
        <v>-303</v>
      </c>
      <c r="Q290" s="66">
        <f>'114+320'!R291</f>
        <v>0</v>
      </c>
      <c r="R290" s="65">
        <f t="shared" si="60"/>
        <v>123</v>
      </c>
      <c r="S290" s="70">
        <f>VLOOKUP(B290,'114+320'!$B$14:$AB$785,22,FALSE)</f>
        <v>689</v>
      </c>
      <c r="T290" s="69">
        <f>VLOOKUP(B290,'114+320'!$B$15:$AB$785,6,FALSE)</f>
        <v>853</v>
      </c>
      <c r="U290" s="68">
        <f t="shared" si="56"/>
        <v>1769</v>
      </c>
      <c r="V290" s="77">
        <f>VLOOKUP(B290,'114+320'!$B$15:$AB$785,15,FALSE)</f>
        <v>-231</v>
      </c>
      <c r="W290" s="66">
        <f>'114+320'!S291</f>
        <v>0</v>
      </c>
      <c r="X290" s="65">
        <f t="shared" si="61"/>
        <v>111</v>
      </c>
      <c r="Y290" s="64">
        <f t="shared" si="62"/>
        <v>0</v>
      </c>
      <c r="Z290" s="63">
        <f t="shared" si="63"/>
        <v>0</v>
      </c>
      <c r="AA290" s="62">
        <f t="shared" si="64"/>
        <v>0.89900000000000002</v>
      </c>
      <c r="AB290" s="62">
        <f t="shared" si="65"/>
        <v>0.73399999999999999</v>
      </c>
    </row>
    <row r="291" spans="2:28">
      <c r="B291" s="106">
        <f>'114+320'!B292</f>
        <v>45321</v>
      </c>
      <c r="C291" s="75">
        <f t="shared" si="57"/>
        <v>1</v>
      </c>
      <c r="D291" s="74">
        <f t="shared" si="58"/>
        <v>842</v>
      </c>
      <c r="E291" s="73">
        <f>VLOOKUP(B291,'114+320'!B292:AB393,3,FALSE)</f>
        <v>1782</v>
      </c>
      <c r="F291" s="69">
        <f t="shared" si="53"/>
        <v>2624</v>
      </c>
      <c r="G291" s="72">
        <f>VLOOKUP(B291,'114+320'!$B$15:$AB$785,20,FALSE)</f>
        <v>694</v>
      </c>
      <c r="H291" s="72">
        <f>VLOOKUP(B291,'114+320'!$B$15:$AB$785,4,FALSE)</f>
        <v>910</v>
      </c>
      <c r="I291" s="68">
        <f t="shared" si="54"/>
        <v>1714</v>
      </c>
      <c r="J291" s="68">
        <f>VLOOKUP(B291,'114+320'!$B$15:$AB$785,13,FALSE)</f>
        <v>-286</v>
      </c>
      <c r="K291" s="66">
        <f>'114+320'!Q292</f>
        <v>0</v>
      </c>
      <c r="L291" s="65">
        <f t="shared" si="59"/>
        <v>106</v>
      </c>
      <c r="M291" s="70">
        <f>VLOOKUP(B291,'114+320'!$B$14:$AB$785,21,FALSE)</f>
        <v>677</v>
      </c>
      <c r="N291" s="69">
        <f>VLOOKUP(B291,'114+320'!$B$15:$AB$785,5,FALSE)</f>
        <v>927</v>
      </c>
      <c r="O291" s="68">
        <f t="shared" si="55"/>
        <v>1697</v>
      </c>
      <c r="P291" s="68">
        <f>VLOOKUP(B291,'114+320'!$B$15:$AB$785,14,FALSE)</f>
        <v>-303</v>
      </c>
      <c r="Q291" s="66">
        <f>'114+320'!R292</f>
        <v>0</v>
      </c>
      <c r="R291" s="65">
        <f t="shared" si="60"/>
        <v>123</v>
      </c>
      <c r="S291" s="70">
        <f>VLOOKUP(B291,'114+320'!$B$14:$AB$785,22,FALSE)</f>
        <v>689</v>
      </c>
      <c r="T291" s="69">
        <f>VLOOKUP(B291,'114+320'!$B$15:$AB$785,6,FALSE)</f>
        <v>855</v>
      </c>
      <c r="U291" s="68">
        <f t="shared" si="56"/>
        <v>1769</v>
      </c>
      <c r="V291" s="77">
        <f>VLOOKUP(B291,'114+320'!$B$15:$AB$785,15,FALSE)</f>
        <v>-231</v>
      </c>
      <c r="W291" s="66">
        <f>'114+320'!S292</f>
        <v>0</v>
      </c>
      <c r="X291" s="65">
        <f t="shared" si="61"/>
        <v>111</v>
      </c>
      <c r="Y291" s="64">
        <f t="shared" si="62"/>
        <v>0</v>
      </c>
      <c r="Z291" s="63">
        <f t="shared" si="63"/>
        <v>0</v>
      </c>
      <c r="AA291" s="62">
        <f t="shared" si="64"/>
        <v>0.89900000000000002</v>
      </c>
      <c r="AB291" s="62">
        <f t="shared" si="65"/>
        <v>0.73399999999999999</v>
      </c>
    </row>
    <row r="292" spans="2:28">
      <c r="B292" s="106">
        <f>'114+320'!B293</f>
        <v>45322</v>
      </c>
      <c r="C292" s="75">
        <f t="shared" si="57"/>
        <v>1</v>
      </c>
      <c r="D292" s="74">
        <f t="shared" si="58"/>
        <v>842</v>
      </c>
      <c r="E292" s="73">
        <f>VLOOKUP(B292,'114+320'!B293:AB394,3,FALSE)</f>
        <v>1784</v>
      </c>
      <c r="F292" s="69">
        <f t="shared" si="53"/>
        <v>2626</v>
      </c>
      <c r="G292" s="72">
        <f>VLOOKUP(B292,'114+320'!$B$15:$AB$785,20,FALSE)</f>
        <v>694</v>
      </c>
      <c r="H292" s="72">
        <f>VLOOKUP(B292,'114+320'!$B$15:$AB$785,4,FALSE)</f>
        <v>912</v>
      </c>
      <c r="I292" s="68">
        <f t="shared" si="54"/>
        <v>1714</v>
      </c>
      <c r="J292" s="68">
        <f>VLOOKUP(B292,'114+320'!$B$15:$AB$785,13,FALSE)</f>
        <v>-286</v>
      </c>
      <c r="K292" s="66">
        <f>'114+320'!Q293</f>
        <v>0</v>
      </c>
      <c r="L292" s="65">
        <f t="shared" si="59"/>
        <v>106</v>
      </c>
      <c r="M292" s="70">
        <f>VLOOKUP(B292,'114+320'!$B$14:$AB$785,21,FALSE)</f>
        <v>677</v>
      </c>
      <c r="N292" s="69">
        <f>VLOOKUP(B292,'114+320'!$B$15:$AB$785,5,FALSE)</f>
        <v>929</v>
      </c>
      <c r="O292" s="68">
        <f t="shared" si="55"/>
        <v>1697</v>
      </c>
      <c r="P292" s="68">
        <f>VLOOKUP(B292,'114+320'!$B$15:$AB$785,14,FALSE)</f>
        <v>-303</v>
      </c>
      <c r="Q292" s="66">
        <f>'114+320'!R293</f>
        <v>0</v>
      </c>
      <c r="R292" s="65">
        <f t="shared" si="60"/>
        <v>123</v>
      </c>
      <c r="S292" s="70">
        <f>VLOOKUP(B292,'114+320'!$B$14:$AB$785,22,FALSE)</f>
        <v>689</v>
      </c>
      <c r="T292" s="69">
        <f>VLOOKUP(B292,'114+320'!$B$15:$AB$785,6,FALSE)</f>
        <v>857</v>
      </c>
      <c r="U292" s="68">
        <f t="shared" si="56"/>
        <v>1769</v>
      </c>
      <c r="V292" s="77">
        <f>VLOOKUP(B292,'114+320'!$B$15:$AB$785,15,FALSE)</f>
        <v>-231</v>
      </c>
      <c r="W292" s="66">
        <f>'114+320'!S293</f>
        <v>0</v>
      </c>
      <c r="X292" s="65">
        <f t="shared" si="61"/>
        <v>111</v>
      </c>
      <c r="Y292" s="64">
        <f t="shared" si="62"/>
        <v>0</v>
      </c>
      <c r="Z292" s="63">
        <f t="shared" si="63"/>
        <v>0</v>
      </c>
      <c r="AA292" s="62">
        <f t="shared" si="64"/>
        <v>0.89900000000000002</v>
      </c>
      <c r="AB292" s="62">
        <f t="shared" si="65"/>
        <v>0.73399999999999999</v>
      </c>
    </row>
    <row r="293" spans="2:28">
      <c r="B293" s="106">
        <f>'114+320'!B294</f>
        <v>45323</v>
      </c>
      <c r="C293" s="75">
        <f t="shared" si="57"/>
        <v>1</v>
      </c>
      <c r="D293" s="74">
        <f t="shared" si="58"/>
        <v>842</v>
      </c>
      <c r="E293" s="73">
        <f>VLOOKUP(B293,'114+320'!B294:AB395,3,FALSE)</f>
        <v>1786</v>
      </c>
      <c r="F293" s="69">
        <f t="shared" si="53"/>
        <v>2628</v>
      </c>
      <c r="G293" s="72">
        <f>VLOOKUP(B293,'114+320'!$B$15:$AB$785,20,FALSE)</f>
        <v>694</v>
      </c>
      <c r="H293" s="72">
        <f>VLOOKUP(B293,'114+320'!$B$15:$AB$785,4,FALSE)</f>
        <v>914</v>
      </c>
      <c r="I293" s="68">
        <f t="shared" si="54"/>
        <v>1714</v>
      </c>
      <c r="J293" s="68">
        <f>VLOOKUP(B293,'114+320'!$B$15:$AB$785,13,FALSE)</f>
        <v>-286</v>
      </c>
      <c r="K293" s="66">
        <f>'114+320'!Q294</f>
        <v>0</v>
      </c>
      <c r="L293" s="65">
        <f t="shared" si="59"/>
        <v>106</v>
      </c>
      <c r="M293" s="70">
        <f>VLOOKUP(B293,'114+320'!$B$14:$AB$785,21,FALSE)</f>
        <v>677</v>
      </c>
      <c r="N293" s="69">
        <f>VLOOKUP(B293,'114+320'!$B$15:$AB$785,5,FALSE)</f>
        <v>931</v>
      </c>
      <c r="O293" s="68">
        <f t="shared" si="55"/>
        <v>1697</v>
      </c>
      <c r="P293" s="68">
        <f>VLOOKUP(B293,'114+320'!$B$15:$AB$785,14,FALSE)</f>
        <v>-303</v>
      </c>
      <c r="Q293" s="66">
        <f>'114+320'!R294</f>
        <v>0</v>
      </c>
      <c r="R293" s="65">
        <f t="shared" si="60"/>
        <v>123</v>
      </c>
      <c r="S293" s="70">
        <f>VLOOKUP(B293,'114+320'!$B$14:$AB$785,22,FALSE)</f>
        <v>689</v>
      </c>
      <c r="T293" s="69">
        <f>VLOOKUP(B293,'114+320'!$B$15:$AB$785,6,FALSE)</f>
        <v>859</v>
      </c>
      <c r="U293" s="68">
        <f t="shared" si="56"/>
        <v>1769</v>
      </c>
      <c r="V293" s="77">
        <f>VLOOKUP(B293,'114+320'!$B$15:$AB$785,15,FALSE)</f>
        <v>-231</v>
      </c>
      <c r="W293" s="66">
        <f>'114+320'!S294</f>
        <v>0</v>
      </c>
      <c r="X293" s="65">
        <f t="shared" si="61"/>
        <v>111</v>
      </c>
      <c r="Y293" s="64">
        <f t="shared" si="62"/>
        <v>0</v>
      </c>
      <c r="Z293" s="63">
        <f t="shared" si="63"/>
        <v>0</v>
      </c>
      <c r="AA293" s="62">
        <f t="shared" si="64"/>
        <v>0.89900000000000002</v>
      </c>
      <c r="AB293" s="62">
        <f t="shared" si="65"/>
        <v>0.73399999999999999</v>
      </c>
    </row>
    <row r="294" spans="2:28">
      <c r="B294" s="106">
        <f>'114+320'!B295</f>
        <v>45324</v>
      </c>
      <c r="C294" s="75">
        <f t="shared" si="57"/>
        <v>1</v>
      </c>
      <c r="D294" s="74">
        <f t="shared" si="58"/>
        <v>842</v>
      </c>
      <c r="E294" s="73">
        <f>VLOOKUP(B294,'114+320'!B295:AB396,3,FALSE)</f>
        <v>1788</v>
      </c>
      <c r="F294" s="69">
        <f t="shared" si="53"/>
        <v>2630</v>
      </c>
      <c r="G294" s="72">
        <f>VLOOKUP(B294,'114+320'!$B$15:$AB$785,20,FALSE)</f>
        <v>694</v>
      </c>
      <c r="H294" s="72">
        <f>VLOOKUP(B294,'114+320'!$B$15:$AB$785,4,FALSE)</f>
        <v>916</v>
      </c>
      <c r="I294" s="68">
        <f t="shared" si="54"/>
        <v>1714</v>
      </c>
      <c r="J294" s="68">
        <f>VLOOKUP(B294,'114+320'!$B$15:$AB$785,13,FALSE)</f>
        <v>-286</v>
      </c>
      <c r="K294" s="66">
        <f>'114+320'!Q295</f>
        <v>0</v>
      </c>
      <c r="L294" s="65">
        <f t="shared" si="59"/>
        <v>106</v>
      </c>
      <c r="M294" s="70">
        <f>VLOOKUP(B294,'114+320'!$B$14:$AB$785,21,FALSE)</f>
        <v>677</v>
      </c>
      <c r="N294" s="69">
        <f>VLOOKUP(B294,'114+320'!$B$15:$AB$785,5,FALSE)</f>
        <v>933</v>
      </c>
      <c r="O294" s="68">
        <f t="shared" si="55"/>
        <v>1697</v>
      </c>
      <c r="P294" s="68">
        <f>VLOOKUP(B294,'114+320'!$B$15:$AB$785,14,FALSE)</f>
        <v>-303</v>
      </c>
      <c r="Q294" s="66">
        <f>'114+320'!R295</f>
        <v>0</v>
      </c>
      <c r="R294" s="65">
        <f t="shared" si="60"/>
        <v>123</v>
      </c>
      <c r="S294" s="70">
        <f>VLOOKUP(B294,'114+320'!$B$14:$AB$785,22,FALSE)</f>
        <v>689</v>
      </c>
      <c r="T294" s="69">
        <f>VLOOKUP(B294,'114+320'!$B$15:$AB$785,6,FALSE)</f>
        <v>861</v>
      </c>
      <c r="U294" s="68">
        <f t="shared" si="56"/>
        <v>1769</v>
      </c>
      <c r="V294" s="77">
        <f>VLOOKUP(B294,'114+320'!$B$15:$AB$785,15,FALSE)</f>
        <v>-231</v>
      </c>
      <c r="W294" s="66">
        <f>'114+320'!S295</f>
        <v>0</v>
      </c>
      <c r="X294" s="65">
        <f t="shared" si="61"/>
        <v>111</v>
      </c>
      <c r="Y294" s="64">
        <f t="shared" si="62"/>
        <v>0</v>
      </c>
      <c r="Z294" s="63">
        <f t="shared" si="63"/>
        <v>0</v>
      </c>
      <c r="AA294" s="62">
        <f t="shared" si="64"/>
        <v>0.89900000000000002</v>
      </c>
      <c r="AB294" s="62">
        <f t="shared" si="65"/>
        <v>0.73399999999999999</v>
      </c>
    </row>
    <row r="295" spans="2:28">
      <c r="B295" s="106">
        <f>'114+320'!B296</f>
        <v>45325</v>
      </c>
      <c r="C295" s="75">
        <f t="shared" si="57"/>
        <v>1</v>
      </c>
      <c r="D295" s="74">
        <f t="shared" si="58"/>
        <v>842</v>
      </c>
      <c r="E295" s="73">
        <f>VLOOKUP(B295,'114+320'!B296:AB397,3,FALSE)</f>
        <v>1790</v>
      </c>
      <c r="F295" s="69">
        <f t="shared" si="53"/>
        <v>2632</v>
      </c>
      <c r="G295" s="72">
        <f>VLOOKUP(B295,'114+320'!$B$15:$AB$785,20,FALSE)</f>
        <v>694</v>
      </c>
      <c r="H295" s="72">
        <f>VLOOKUP(B295,'114+320'!$B$15:$AB$785,4,FALSE)</f>
        <v>918</v>
      </c>
      <c r="I295" s="68">
        <f t="shared" si="54"/>
        <v>1714</v>
      </c>
      <c r="J295" s="68">
        <f>VLOOKUP(B295,'114+320'!$B$15:$AB$785,13,FALSE)</f>
        <v>-286</v>
      </c>
      <c r="K295" s="66">
        <f>'114+320'!Q296</f>
        <v>0</v>
      </c>
      <c r="L295" s="65">
        <f t="shared" si="59"/>
        <v>106</v>
      </c>
      <c r="M295" s="70">
        <f>VLOOKUP(B295,'114+320'!$B$14:$AB$785,21,FALSE)</f>
        <v>677</v>
      </c>
      <c r="N295" s="69">
        <f>VLOOKUP(B295,'114+320'!$B$15:$AB$785,5,FALSE)</f>
        <v>935</v>
      </c>
      <c r="O295" s="68">
        <f t="shared" si="55"/>
        <v>1697</v>
      </c>
      <c r="P295" s="68">
        <f>VLOOKUP(B295,'114+320'!$B$15:$AB$785,14,FALSE)</f>
        <v>-303</v>
      </c>
      <c r="Q295" s="66">
        <f>'114+320'!R296</f>
        <v>0</v>
      </c>
      <c r="R295" s="65">
        <f t="shared" si="60"/>
        <v>123</v>
      </c>
      <c r="S295" s="70">
        <f>VLOOKUP(B295,'114+320'!$B$14:$AB$785,22,FALSE)</f>
        <v>689</v>
      </c>
      <c r="T295" s="69">
        <f>VLOOKUP(B295,'114+320'!$B$15:$AB$785,6,FALSE)</f>
        <v>863</v>
      </c>
      <c r="U295" s="68">
        <f t="shared" si="56"/>
        <v>1769</v>
      </c>
      <c r="V295" s="77">
        <f>VLOOKUP(B295,'114+320'!$B$15:$AB$785,15,FALSE)</f>
        <v>-231</v>
      </c>
      <c r="W295" s="66">
        <f>'114+320'!S296</f>
        <v>0</v>
      </c>
      <c r="X295" s="65">
        <f t="shared" si="61"/>
        <v>111</v>
      </c>
      <c r="Y295" s="64">
        <f t="shared" si="62"/>
        <v>0</v>
      </c>
      <c r="Z295" s="63">
        <f t="shared" si="63"/>
        <v>0</v>
      </c>
      <c r="AA295" s="62">
        <f t="shared" si="64"/>
        <v>0.89900000000000002</v>
      </c>
      <c r="AB295" s="62">
        <f t="shared" si="65"/>
        <v>0.73399999999999999</v>
      </c>
    </row>
    <row r="296" spans="2:28">
      <c r="B296" s="106">
        <f>'114+320'!B297</f>
        <v>45326</v>
      </c>
      <c r="C296" s="75">
        <f t="shared" si="57"/>
        <v>1</v>
      </c>
      <c r="D296" s="74">
        <f t="shared" si="58"/>
        <v>842</v>
      </c>
      <c r="E296" s="73">
        <f>VLOOKUP(B296,'114+320'!B297:AB398,3,FALSE)</f>
        <v>1792</v>
      </c>
      <c r="F296" s="69">
        <f t="shared" si="53"/>
        <v>2634</v>
      </c>
      <c r="G296" s="72">
        <f>VLOOKUP(B296,'114+320'!$B$15:$AB$785,20,FALSE)</f>
        <v>694</v>
      </c>
      <c r="H296" s="72">
        <f>VLOOKUP(B296,'114+320'!$B$15:$AB$785,4,FALSE)</f>
        <v>920</v>
      </c>
      <c r="I296" s="68">
        <f t="shared" si="54"/>
        <v>1714</v>
      </c>
      <c r="J296" s="68">
        <f>VLOOKUP(B296,'114+320'!$B$15:$AB$785,13,FALSE)</f>
        <v>-286</v>
      </c>
      <c r="K296" s="66">
        <f>'114+320'!Q297</f>
        <v>0</v>
      </c>
      <c r="L296" s="65">
        <f t="shared" si="59"/>
        <v>106</v>
      </c>
      <c r="M296" s="70">
        <f>VLOOKUP(B296,'114+320'!$B$14:$AB$785,21,FALSE)</f>
        <v>677</v>
      </c>
      <c r="N296" s="69">
        <f>VLOOKUP(B296,'114+320'!$B$15:$AB$785,5,FALSE)</f>
        <v>937</v>
      </c>
      <c r="O296" s="68">
        <f t="shared" si="55"/>
        <v>1697</v>
      </c>
      <c r="P296" s="68">
        <f>VLOOKUP(B296,'114+320'!$B$15:$AB$785,14,FALSE)</f>
        <v>-303</v>
      </c>
      <c r="Q296" s="66">
        <f>'114+320'!R297</f>
        <v>0</v>
      </c>
      <c r="R296" s="65">
        <f t="shared" si="60"/>
        <v>123</v>
      </c>
      <c r="S296" s="70">
        <f>VLOOKUP(B296,'114+320'!$B$14:$AB$785,22,FALSE)</f>
        <v>689</v>
      </c>
      <c r="T296" s="69">
        <f>VLOOKUP(B296,'114+320'!$B$15:$AB$785,6,FALSE)</f>
        <v>865</v>
      </c>
      <c r="U296" s="68">
        <f t="shared" si="56"/>
        <v>1769</v>
      </c>
      <c r="V296" s="77">
        <f>VLOOKUP(B296,'114+320'!$B$15:$AB$785,15,FALSE)</f>
        <v>-231</v>
      </c>
      <c r="W296" s="66">
        <f>'114+320'!S297</f>
        <v>0</v>
      </c>
      <c r="X296" s="65">
        <f t="shared" si="61"/>
        <v>111</v>
      </c>
      <c r="Y296" s="64">
        <f t="shared" si="62"/>
        <v>0</v>
      </c>
      <c r="Z296" s="63">
        <f t="shared" si="63"/>
        <v>0</v>
      </c>
      <c r="AA296" s="62">
        <f t="shared" si="64"/>
        <v>0.89900000000000002</v>
      </c>
      <c r="AB296" s="62">
        <f t="shared" si="65"/>
        <v>0.73399999999999999</v>
      </c>
    </row>
    <row r="297" spans="2:28">
      <c r="B297" s="106">
        <f>'114+320'!B298</f>
        <v>45327</v>
      </c>
      <c r="C297" s="75">
        <f t="shared" si="57"/>
        <v>1</v>
      </c>
      <c r="D297" s="74">
        <f t="shared" si="58"/>
        <v>842</v>
      </c>
      <c r="E297" s="73">
        <f>VLOOKUP(B297,'114+320'!B298:AB399,3,FALSE)</f>
        <v>1794</v>
      </c>
      <c r="F297" s="69">
        <f t="shared" si="53"/>
        <v>2636</v>
      </c>
      <c r="G297" s="72">
        <f>VLOOKUP(B297,'114+320'!$B$15:$AB$785,20,FALSE)</f>
        <v>694</v>
      </c>
      <c r="H297" s="72">
        <f>VLOOKUP(B297,'114+320'!$B$15:$AB$785,4,FALSE)</f>
        <v>922</v>
      </c>
      <c r="I297" s="68">
        <f t="shared" si="54"/>
        <v>1714</v>
      </c>
      <c r="J297" s="68">
        <f>VLOOKUP(B297,'114+320'!$B$15:$AB$785,13,FALSE)</f>
        <v>-286</v>
      </c>
      <c r="K297" s="66">
        <f>'114+320'!Q298</f>
        <v>0</v>
      </c>
      <c r="L297" s="65">
        <f t="shared" si="59"/>
        <v>106</v>
      </c>
      <c r="M297" s="70">
        <f>VLOOKUP(B297,'114+320'!$B$14:$AB$785,21,FALSE)</f>
        <v>677</v>
      </c>
      <c r="N297" s="69">
        <f>VLOOKUP(B297,'114+320'!$B$15:$AB$785,5,FALSE)</f>
        <v>939</v>
      </c>
      <c r="O297" s="68">
        <f t="shared" si="55"/>
        <v>1697</v>
      </c>
      <c r="P297" s="68">
        <f>VLOOKUP(B297,'114+320'!$B$15:$AB$785,14,FALSE)</f>
        <v>-303</v>
      </c>
      <c r="Q297" s="66">
        <f>'114+320'!R298</f>
        <v>0</v>
      </c>
      <c r="R297" s="65">
        <f t="shared" si="60"/>
        <v>123</v>
      </c>
      <c r="S297" s="70">
        <f>VLOOKUP(B297,'114+320'!$B$14:$AB$785,22,FALSE)</f>
        <v>689</v>
      </c>
      <c r="T297" s="69">
        <f>VLOOKUP(B297,'114+320'!$B$15:$AB$785,6,FALSE)</f>
        <v>867</v>
      </c>
      <c r="U297" s="68">
        <f t="shared" si="56"/>
        <v>1769</v>
      </c>
      <c r="V297" s="77">
        <f>VLOOKUP(B297,'114+320'!$B$15:$AB$785,15,FALSE)</f>
        <v>-231</v>
      </c>
      <c r="W297" s="66">
        <f>'114+320'!S298</f>
        <v>0</v>
      </c>
      <c r="X297" s="65">
        <f t="shared" si="61"/>
        <v>111</v>
      </c>
      <c r="Y297" s="64">
        <f t="shared" si="62"/>
        <v>0</v>
      </c>
      <c r="Z297" s="63">
        <f t="shared" si="63"/>
        <v>0</v>
      </c>
      <c r="AA297" s="62">
        <f t="shared" si="64"/>
        <v>0.89900000000000002</v>
      </c>
      <c r="AB297" s="62">
        <f t="shared" si="65"/>
        <v>0.73399999999999999</v>
      </c>
    </row>
    <row r="298" spans="2:28">
      <c r="B298" s="106">
        <f>'114+320'!B299</f>
        <v>45328</v>
      </c>
      <c r="C298" s="75">
        <f t="shared" si="57"/>
        <v>1</v>
      </c>
      <c r="D298" s="74">
        <f t="shared" si="58"/>
        <v>842</v>
      </c>
      <c r="E298" s="73">
        <f>VLOOKUP(B298,'114+320'!B299:AB400,3,FALSE)</f>
        <v>1796</v>
      </c>
      <c r="F298" s="69">
        <f t="shared" si="53"/>
        <v>2638</v>
      </c>
      <c r="G298" s="72">
        <f>VLOOKUP(B298,'114+320'!$B$15:$AB$785,20,FALSE)</f>
        <v>694</v>
      </c>
      <c r="H298" s="72">
        <f>VLOOKUP(B298,'114+320'!$B$15:$AB$785,4,FALSE)</f>
        <v>924</v>
      </c>
      <c r="I298" s="68">
        <f t="shared" si="54"/>
        <v>1714</v>
      </c>
      <c r="J298" s="68">
        <f>VLOOKUP(B298,'114+320'!$B$15:$AB$785,13,FALSE)</f>
        <v>-286</v>
      </c>
      <c r="K298" s="66">
        <f>'114+320'!Q299</f>
        <v>0</v>
      </c>
      <c r="L298" s="65">
        <f t="shared" si="59"/>
        <v>106</v>
      </c>
      <c r="M298" s="70">
        <f>VLOOKUP(B298,'114+320'!$B$14:$AB$785,21,FALSE)</f>
        <v>677</v>
      </c>
      <c r="N298" s="69">
        <f>VLOOKUP(B298,'114+320'!$B$15:$AB$785,5,FALSE)</f>
        <v>941</v>
      </c>
      <c r="O298" s="68">
        <f t="shared" si="55"/>
        <v>1697</v>
      </c>
      <c r="P298" s="68">
        <f>VLOOKUP(B298,'114+320'!$B$15:$AB$785,14,FALSE)</f>
        <v>-303</v>
      </c>
      <c r="Q298" s="66">
        <f>'114+320'!R299</f>
        <v>0</v>
      </c>
      <c r="R298" s="65">
        <f t="shared" si="60"/>
        <v>123</v>
      </c>
      <c r="S298" s="70">
        <f>VLOOKUP(B298,'114+320'!$B$14:$AB$785,22,FALSE)</f>
        <v>689</v>
      </c>
      <c r="T298" s="69">
        <f>VLOOKUP(B298,'114+320'!$B$15:$AB$785,6,FALSE)</f>
        <v>869</v>
      </c>
      <c r="U298" s="68">
        <f t="shared" si="56"/>
        <v>1769</v>
      </c>
      <c r="V298" s="77">
        <f>VLOOKUP(B298,'114+320'!$B$15:$AB$785,15,FALSE)</f>
        <v>-231</v>
      </c>
      <c r="W298" s="66">
        <f>'114+320'!S299</f>
        <v>0</v>
      </c>
      <c r="X298" s="65">
        <f t="shared" si="61"/>
        <v>111</v>
      </c>
      <c r="Y298" s="64">
        <f t="shared" si="62"/>
        <v>0</v>
      </c>
      <c r="Z298" s="63">
        <f t="shared" si="63"/>
        <v>0</v>
      </c>
      <c r="AA298" s="62">
        <f t="shared" si="64"/>
        <v>0.89900000000000002</v>
      </c>
      <c r="AB298" s="62">
        <f t="shared" si="65"/>
        <v>0.73399999999999999</v>
      </c>
    </row>
    <row r="299" spans="2:28">
      <c r="B299" s="106">
        <f>'114+320'!B300</f>
        <v>45329</v>
      </c>
      <c r="C299" s="75">
        <f t="shared" si="57"/>
        <v>1</v>
      </c>
      <c r="D299" s="74">
        <f t="shared" si="58"/>
        <v>842</v>
      </c>
      <c r="E299" s="73">
        <f>VLOOKUP(B299,'114+320'!B300:AB401,3,FALSE)</f>
        <v>1798</v>
      </c>
      <c r="F299" s="69">
        <f t="shared" si="53"/>
        <v>2640</v>
      </c>
      <c r="G299" s="72">
        <f>VLOOKUP(B299,'114+320'!$B$15:$AB$785,20,FALSE)</f>
        <v>694</v>
      </c>
      <c r="H299" s="72">
        <f>VLOOKUP(B299,'114+320'!$B$15:$AB$785,4,FALSE)</f>
        <v>926</v>
      </c>
      <c r="I299" s="68">
        <f t="shared" si="54"/>
        <v>1714</v>
      </c>
      <c r="J299" s="68">
        <f>VLOOKUP(B299,'114+320'!$B$15:$AB$785,13,FALSE)</f>
        <v>-286</v>
      </c>
      <c r="K299" s="66">
        <f>'114+320'!Q300</f>
        <v>0</v>
      </c>
      <c r="L299" s="65">
        <f t="shared" si="59"/>
        <v>106</v>
      </c>
      <c r="M299" s="70">
        <f>VLOOKUP(B299,'114+320'!$B$14:$AB$785,21,FALSE)</f>
        <v>677</v>
      </c>
      <c r="N299" s="69">
        <f>VLOOKUP(B299,'114+320'!$B$15:$AB$785,5,FALSE)</f>
        <v>943</v>
      </c>
      <c r="O299" s="68">
        <f t="shared" si="55"/>
        <v>1697</v>
      </c>
      <c r="P299" s="68">
        <f>VLOOKUP(B299,'114+320'!$B$15:$AB$785,14,FALSE)</f>
        <v>-303</v>
      </c>
      <c r="Q299" s="66">
        <f>'114+320'!R300</f>
        <v>0</v>
      </c>
      <c r="R299" s="65">
        <f t="shared" si="60"/>
        <v>123</v>
      </c>
      <c r="S299" s="70">
        <f>VLOOKUP(B299,'114+320'!$B$14:$AB$785,22,FALSE)</f>
        <v>689</v>
      </c>
      <c r="T299" s="69">
        <f>VLOOKUP(B299,'114+320'!$B$15:$AB$785,6,FALSE)</f>
        <v>871</v>
      </c>
      <c r="U299" s="68">
        <f t="shared" si="56"/>
        <v>1769</v>
      </c>
      <c r="V299" s="77">
        <f>VLOOKUP(B299,'114+320'!$B$15:$AB$785,15,FALSE)</f>
        <v>-231</v>
      </c>
      <c r="W299" s="66">
        <f>'114+320'!S300</f>
        <v>0</v>
      </c>
      <c r="X299" s="65">
        <f t="shared" si="61"/>
        <v>111</v>
      </c>
      <c r="Y299" s="64">
        <f t="shared" si="62"/>
        <v>0</v>
      </c>
      <c r="Z299" s="63">
        <f t="shared" si="63"/>
        <v>0</v>
      </c>
      <c r="AA299" s="62">
        <f t="shared" si="64"/>
        <v>0.89900000000000002</v>
      </c>
      <c r="AB299" s="62">
        <f t="shared" si="65"/>
        <v>0.73399999999999999</v>
      </c>
    </row>
    <row r="300" spans="2:28">
      <c r="B300" s="106">
        <f>'114+320'!B301</f>
        <v>45330</v>
      </c>
      <c r="C300" s="75">
        <f t="shared" si="57"/>
        <v>1</v>
      </c>
      <c r="D300" s="74">
        <f t="shared" si="58"/>
        <v>842</v>
      </c>
      <c r="E300" s="73">
        <f>VLOOKUP(B300,'114+320'!B301:AB402,3,FALSE)</f>
        <v>1800</v>
      </c>
      <c r="F300" s="69">
        <f t="shared" si="53"/>
        <v>2642</v>
      </c>
      <c r="G300" s="72">
        <f>VLOOKUP(B300,'114+320'!$B$15:$AB$785,20,FALSE)</f>
        <v>694</v>
      </c>
      <c r="H300" s="72">
        <f>VLOOKUP(B300,'114+320'!$B$15:$AB$785,4,FALSE)</f>
        <v>928</v>
      </c>
      <c r="I300" s="68">
        <f t="shared" si="54"/>
        <v>1714</v>
      </c>
      <c r="J300" s="68">
        <f>VLOOKUP(B300,'114+320'!$B$15:$AB$785,13,FALSE)</f>
        <v>-286</v>
      </c>
      <c r="K300" s="66">
        <f>'114+320'!Q301</f>
        <v>0</v>
      </c>
      <c r="L300" s="65">
        <f t="shared" si="59"/>
        <v>106</v>
      </c>
      <c r="M300" s="70">
        <f>VLOOKUP(B300,'114+320'!$B$14:$AB$785,21,FALSE)</f>
        <v>677</v>
      </c>
      <c r="N300" s="69">
        <f>VLOOKUP(B300,'114+320'!$B$15:$AB$785,5,FALSE)</f>
        <v>945</v>
      </c>
      <c r="O300" s="68">
        <f t="shared" si="55"/>
        <v>1697</v>
      </c>
      <c r="P300" s="68">
        <f>VLOOKUP(B300,'114+320'!$B$15:$AB$785,14,FALSE)</f>
        <v>-303</v>
      </c>
      <c r="Q300" s="66">
        <f>'114+320'!R301</f>
        <v>0</v>
      </c>
      <c r="R300" s="65">
        <f t="shared" si="60"/>
        <v>123</v>
      </c>
      <c r="S300" s="70">
        <f>VLOOKUP(B300,'114+320'!$B$14:$AB$785,22,FALSE)</f>
        <v>689</v>
      </c>
      <c r="T300" s="69">
        <f>VLOOKUP(B300,'114+320'!$B$15:$AB$785,6,FALSE)</f>
        <v>873</v>
      </c>
      <c r="U300" s="68">
        <f t="shared" si="56"/>
        <v>1769</v>
      </c>
      <c r="V300" s="77">
        <f>VLOOKUP(B300,'114+320'!$B$15:$AB$785,15,FALSE)</f>
        <v>-231</v>
      </c>
      <c r="W300" s="66">
        <f>'114+320'!S301</f>
        <v>0</v>
      </c>
      <c r="X300" s="65">
        <f t="shared" si="61"/>
        <v>111</v>
      </c>
      <c r="Y300" s="64">
        <f t="shared" si="62"/>
        <v>0</v>
      </c>
      <c r="Z300" s="63">
        <f t="shared" si="63"/>
        <v>0</v>
      </c>
      <c r="AA300" s="62">
        <f t="shared" si="64"/>
        <v>0.89900000000000002</v>
      </c>
      <c r="AB300" s="62">
        <f t="shared" si="65"/>
        <v>0.73399999999999999</v>
      </c>
    </row>
    <row r="301" spans="2:28">
      <c r="B301" s="106">
        <f>'114+320'!B302</f>
        <v>45331</v>
      </c>
      <c r="C301" s="75">
        <f t="shared" si="57"/>
        <v>1</v>
      </c>
      <c r="D301" s="74">
        <f t="shared" si="58"/>
        <v>842</v>
      </c>
      <c r="E301" s="73">
        <f>VLOOKUP(B301,'114+320'!B302:AB403,3,FALSE)</f>
        <v>1802</v>
      </c>
      <c r="F301" s="69">
        <f t="shared" si="53"/>
        <v>2644</v>
      </c>
      <c r="G301" s="72">
        <f>VLOOKUP(B301,'114+320'!$B$15:$AB$785,20,FALSE)</f>
        <v>694</v>
      </c>
      <c r="H301" s="72">
        <f>VLOOKUP(B301,'114+320'!$B$15:$AB$785,4,FALSE)</f>
        <v>930</v>
      </c>
      <c r="I301" s="68">
        <f t="shared" si="54"/>
        <v>1714</v>
      </c>
      <c r="J301" s="68">
        <f>VLOOKUP(B301,'114+320'!$B$15:$AB$785,13,FALSE)</f>
        <v>-286</v>
      </c>
      <c r="K301" s="66">
        <f>'114+320'!Q302</f>
        <v>0</v>
      </c>
      <c r="L301" s="65">
        <f t="shared" si="59"/>
        <v>106</v>
      </c>
      <c r="M301" s="70">
        <f>VLOOKUP(B301,'114+320'!$B$14:$AB$785,21,FALSE)</f>
        <v>677</v>
      </c>
      <c r="N301" s="69">
        <f>VLOOKUP(B301,'114+320'!$B$15:$AB$785,5,FALSE)</f>
        <v>947</v>
      </c>
      <c r="O301" s="68">
        <f t="shared" si="55"/>
        <v>1697</v>
      </c>
      <c r="P301" s="68">
        <f>VLOOKUP(B301,'114+320'!$B$15:$AB$785,14,FALSE)</f>
        <v>-303</v>
      </c>
      <c r="Q301" s="66">
        <f>'114+320'!R302</f>
        <v>0</v>
      </c>
      <c r="R301" s="65">
        <f t="shared" si="60"/>
        <v>123</v>
      </c>
      <c r="S301" s="70">
        <f>VLOOKUP(B301,'114+320'!$B$14:$AB$785,22,FALSE)</f>
        <v>689</v>
      </c>
      <c r="T301" s="69">
        <f>VLOOKUP(B301,'114+320'!$B$15:$AB$785,6,FALSE)</f>
        <v>875</v>
      </c>
      <c r="U301" s="68">
        <f t="shared" si="56"/>
        <v>1769</v>
      </c>
      <c r="V301" s="77">
        <f>VLOOKUP(B301,'114+320'!$B$15:$AB$785,15,FALSE)</f>
        <v>-231</v>
      </c>
      <c r="W301" s="66">
        <f>'114+320'!S302</f>
        <v>0</v>
      </c>
      <c r="X301" s="65">
        <f t="shared" si="61"/>
        <v>111</v>
      </c>
      <c r="Y301" s="64">
        <f t="shared" si="62"/>
        <v>0</v>
      </c>
      <c r="Z301" s="63">
        <f t="shared" si="63"/>
        <v>0</v>
      </c>
      <c r="AA301" s="62">
        <f t="shared" si="64"/>
        <v>0.89900000000000002</v>
      </c>
      <c r="AB301" s="62">
        <f t="shared" si="65"/>
        <v>0.73399999999999999</v>
      </c>
    </row>
    <row r="302" spans="2:28">
      <c r="B302" s="106">
        <f>'114+320'!B303</f>
        <v>45332</v>
      </c>
      <c r="C302" s="75">
        <f t="shared" si="57"/>
        <v>1</v>
      </c>
      <c r="D302" s="74">
        <f t="shared" si="58"/>
        <v>842</v>
      </c>
      <c r="E302" s="73">
        <f>VLOOKUP(B302,'114+320'!B303:AB404,3,FALSE)</f>
        <v>1804</v>
      </c>
      <c r="F302" s="69">
        <f t="shared" si="53"/>
        <v>2646</v>
      </c>
      <c r="G302" s="72">
        <f>VLOOKUP(B302,'114+320'!$B$15:$AB$785,20,FALSE)</f>
        <v>694</v>
      </c>
      <c r="H302" s="72">
        <f>VLOOKUP(B302,'114+320'!$B$15:$AB$785,4,FALSE)</f>
        <v>932</v>
      </c>
      <c r="I302" s="68">
        <f t="shared" si="54"/>
        <v>1714</v>
      </c>
      <c r="J302" s="68">
        <f>VLOOKUP(B302,'114+320'!$B$15:$AB$785,13,FALSE)</f>
        <v>-286</v>
      </c>
      <c r="K302" s="66">
        <f>'114+320'!Q303</f>
        <v>0</v>
      </c>
      <c r="L302" s="65">
        <f t="shared" si="59"/>
        <v>106</v>
      </c>
      <c r="M302" s="70">
        <f>VLOOKUP(B302,'114+320'!$B$14:$AB$785,21,FALSE)</f>
        <v>677</v>
      </c>
      <c r="N302" s="69">
        <f>VLOOKUP(B302,'114+320'!$B$15:$AB$785,5,FALSE)</f>
        <v>949</v>
      </c>
      <c r="O302" s="68">
        <f t="shared" si="55"/>
        <v>1697</v>
      </c>
      <c r="P302" s="68">
        <f>VLOOKUP(B302,'114+320'!$B$15:$AB$785,14,FALSE)</f>
        <v>-303</v>
      </c>
      <c r="Q302" s="66">
        <f>'114+320'!R303</f>
        <v>0</v>
      </c>
      <c r="R302" s="65">
        <f t="shared" si="60"/>
        <v>123</v>
      </c>
      <c r="S302" s="70">
        <f>VLOOKUP(B302,'114+320'!$B$14:$AB$785,22,FALSE)</f>
        <v>689</v>
      </c>
      <c r="T302" s="69">
        <f>VLOOKUP(B302,'114+320'!$B$15:$AB$785,6,FALSE)</f>
        <v>877</v>
      </c>
      <c r="U302" s="68">
        <f t="shared" si="56"/>
        <v>1769</v>
      </c>
      <c r="V302" s="77">
        <f>VLOOKUP(B302,'114+320'!$B$15:$AB$785,15,FALSE)</f>
        <v>-231</v>
      </c>
      <c r="W302" s="66">
        <f>'114+320'!S303</f>
        <v>0</v>
      </c>
      <c r="X302" s="65">
        <f t="shared" si="61"/>
        <v>111</v>
      </c>
      <c r="Y302" s="64">
        <f t="shared" si="62"/>
        <v>0</v>
      </c>
      <c r="Z302" s="63">
        <f t="shared" si="63"/>
        <v>0</v>
      </c>
      <c r="AA302" s="62">
        <f t="shared" si="64"/>
        <v>0.89900000000000002</v>
      </c>
      <c r="AB302" s="62">
        <f t="shared" si="65"/>
        <v>0.73399999999999999</v>
      </c>
    </row>
    <row r="303" spans="2:28">
      <c r="B303" s="106">
        <f>'114+320'!B304</f>
        <v>45333</v>
      </c>
      <c r="C303" s="75">
        <f t="shared" si="57"/>
        <v>1</v>
      </c>
      <c r="D303" s="74">
        <f t="shared" si="58"/>
        <v>842</v>
      </c>
      <c r="E303" s="73">
        <f>VLOOKUP(B303,'114+320'!B304:AB405,3,FALSE)</f>
        <v>1806</v>
      </c>
      <c r="F303" s="69">
        <f t="shared" si="53"/>
        <v>2648</v>
      </c>
      <c r="G303" s="72">
        <f>VLOOKUP(B303,'114+320'!$B$15:$AB$785,20,FALSE)</f>
        <v>694</v>
      </c>
      <c r="H303" s="72">
        <f>VLOOKUP(B303,'114+320'!$B$15:$AB$785,4,FALSE)</f>
        <v>934</v>
      </c>
      <c r="I303" s="68">
        <f t="shared" si="54"/>
        <v>1714</v>
      </c>
      <c r="J303" s="68">
        <f>VLOOKUP(B303,'114+320'!$B$15:$AB$785,13,FALSE)</f>
        <v>-286</v>
      </c>
      <c r="K303" s="66">
        <f>'114+320'!Q304</f>
        <v>0</v>
      </c>
      <c r="L303" s="65">
        <f t="shared" si="59"/>
        <v>106</v>
      </c>
      <c r="M303" s="70">
        <f>VLOOKUP(B303,'114+320'!$B$14:$AB$785,21,FALSE)</f>
        <v>677</v>
      </c>
      <c r="N303" s="69">
        <f>VLOOKUP(B303,'114+320'!$B$15:$AB$785,5,FALSE)</f>
        <v>951</v>
      </c>
      <c r="O303" s="68">
        <f t="shared" si="55"/>
        <v>1697</v>
      </c>
      <c r="P303" s="68">
        <f>VLOOKUP(B303,'114+320'!$B$15:$AB$785,14,FALSE)</f>
        <v>-303</v>
      </c>
      <c r="Q303" s="66">
        <f>'114+320'!R304</f>
        <v>0</v>
      </c>
      <c r="R303" s="65">
        <f t="shared" si="60"/>
        <v>123</v>
      </c>
      <c r="S303" s="70">
        <f>VLOOKUP(B303,'114+320'!$B$14:$AB$785,22,FALSE)</f>
        <v>689</v>
      </c>
      <c r="T303" s="69">
        <f>VLOOKUP(B303,'114+320'!$B$15:$AB$785,6,FALSE)</f>
        <v>879</v>
      </c>
      <c r="U303" s="68">
        <f t="shared" si="56"/>
        <v>1769</v>
      </c>
      <c r="V303" s="77">
        <f>VLOOKUP(B303,'114+320'!$B$15:$AB$785,15,FALSE)</f>
        <v>-231</v>
      </c>
      <c r="W303" s="66">
        <f>'114+320'!S304</f>
        <v>0</v>
      </c>
      <c r="X303" s="65">
        <f t="shared" si="61"/>
        <v>111</v>
      </c>
      <c r="Y303" s="64">
        <f t="shared" si="62"/>
        <v>0</v>
      </c>
      <c r="Z303" s="63">
        <f t="shared" si="63"/>
        <v>0</v>
      </c>
      <c r="AA303" s="62">
        <f t="shared" si="64"/>
        <v>0.89900000000000002</v>
      </c>
      <c r="AB303" s="62">
        <f t="shared" si="65"/>
        <v>0.73399999999999999</v>
      </c>
    </row>
    <row r="304" spans="2:28">
      <c r="B304" s="106">
        <f>'114+320'!B305</f>
        <v>45334</v>
      </c>
      <c r="C304" s="75">
        <f t="shared" si="57"/>
        <v>1</v>
      </c>
      <c r="D304" s="74">
        <f t="shared" si="58"/>
        <v>842</v>
      </c>
      <c r="E304" s="73">
        <f>VLOOKUP(B304,'114+320'!B305:AB406,3,FALSE)</f>
        <v>1808</v>
      </c>
      <c r="F304" s="69">
        <f t="shared" si="53"/>
        <v>2650</v>
      </c>
      <c r="G304" s="72">
        <f>VLOOKUP(B304,'114+320'!$B$15:$AB$785,20,FALSE)</f>
        <v>694</v>
      </c>
      <c r="H304" s="72">
        <f>VLOOKUP(B304,'114+320'!$B$15:$AB$785,4,FALSE)</f>
        <v>936</v>
      </c>
      <c r="I304" s="68">
        <f t="shared" si="54"/>
        <v>1714</v>
      </c>
      <c r="J304" s="68">
        <f>VLOOKUP(B304,'114+320'!$B$15:$AB$785,13,FALSE)</f>
        <v>-286</v>
      </c>
      <c r="K304" s="66">
        <f>'114+320'!Q305</f>
        <v>0</v>
      </c>
      <c r="L304" s="65">
        <f t="shared" si="59"/>
        <v>106</v>
      </c>
      <c r="M304" s="70">
        <f>VLOOKUP(B304,'114+320'!$B$14:$AB$785,21,FALSE)</f>
        <v>677</v>
      </c>
      <c r="N304" s="69">
        <f>VLOOKUP(B304,'114+320'!$B$15:$AB$785,5,FALSE)</f>
        <v>953</v>
      </c>
      <c r="O304" s="68">
        <f t="shared" si="55"/>
        <v>1697</v>
      </c>
      <c r="P304" s="68">
        <f>VLOOKUP(B304,'114+320'!$B$15:$AB$785,14,FALSE)</f>
        <v>-303</v>
      </c>
      <c r="Q304" s="66">
        <f>'114+320'!R305</f>
        <v>0</v>
      </c>
      <c r="R304" s="65">
        <f t="shared" si="60"/>
        <v>123</v>
      </c>
      <c r="S304" s="70">
        <f>VLOOKUP(B304,'114+320'!$B$14:$AB$785,22,FALSE)</f>
        <v>689</v>
      </c>
      <c r="T304" s="69">
        <f>VLOOKUP(B304,'114+320'!$B$15:$AB$785,6,FALSE)</f>
        <v>881</v>
      </c>
      <c r="U304" s="68">
        <f t="shared" si="56"/>
        <v>1769</v>
      </c>
      <c r="V304" s="77">
        <f>VLOOKUP(B304,'114+320'!$B$15:$AB$785,15,FALSE)</f>
        <v>-231</v>
      </c>
      <c r="W304" s="66">
        <f>'114+320'!S305</f>
        <v>0</v>
      </c>
      <c r="X304" s="65">
        <f t="shared" si="61"/>
        <v>111</v>
      </c>
      <c r="Y304" s="64">
        <f t="shared" si="62"/>
        <v>0</v>
      </c>
      <c r="Z304" s="63">
        <f t="shared" si="63"/>
        <v>0</v>
      </c>
      <c r="AA304" s="62">
        <f t="shared" si="64"/>
        <v>0.89900000000000002</v>
      </c>
      <c r="AB304" s="62">
        <f t="shared" si="65"/>
        <v>0.73399999999999999</v>
      </c>
    </row>
    <row r="305" spans="2:28">
      <c r="B305" s="106">
        <f>'114+320'!B306</f>
        <v>45335</v>
      </c>
      <c r="C305" s="75">
        <f t="shared" si="57"/>
        <v>1</v>
      </c>
      <c r="D305" s="74">
        <f t="shared" si="58"/>
        <v>842</v>
      </c>
      <c r="E305" s="73">
        <f>VLOOKUP(B305,'114+320'!B306:AB407,3,FALSE)</f>
        <v>1810</v>
      </c>
      <c r="F305" s="69">
        <f t="shared" si="53"/>
        <v>2652</v>
      </c>
      <c r="G305" s="72">
        <f>VLOOKUP(B305,'114+320'!$B$15:$AB$785,20,FALSE)</f>
        <v>694</v>
      </c>
      <c r="H305" s="72">
        <f>VLOOKUP(B305,'114+320'!$B$15:$AB$785,4,FALSE)</f>
        <v>938</v>
      </c>
      <c r="I305" s="68">
        <f t="shared" si="54"/>
        <v>1714</v>
      </c>
      <c r="J305" s="68">
        <f>VLOOKUP(B305,'114+320'!$B$15:$AB$785,13,FALSE)</f>
        <v>-286</v>
      </c>
      <c r="K305" s="66">
        <f>'114+320'!Q306</f>
        <v>0</v>
      </c>
      <c r="L305" s="65">
        <f t="shared" si="59"/>
        <v>106</v>
      </c>
      <c r="M305" s="70">
        <f>VLOOKUP(B305,'114+320'!$B$14:$AB$785,21,FALSE)</f>
        <v>677</v>
      </c>
      <c r="N305" s="69">
        <f>VLOOKUP(B305,'114+320'!$B$15:$AB$785,5,FALSE)</f>
        <v>955</v>
      </c>
      <c r="O305" s="68">
        <f t="shared" si="55"/>
        <v>1697</v>
      </c>
      <c r="P305" s="68">
        <f>VLOOKUP(B305,'114+320'!$B$15:$AB$785,14,FALSE)</f>
        <v>-303</v>
      </c>
      <c r="Q305" s="66">
        <f>'114+320'!R306</f>
        <v>0</v>
      </c>
      <c r="R305" s="65">
        <f t="shared" si="60"/>
        <v>123</v>
      </c>
      <c r="S305" s="70">
        <f>VLOOKUP(B305,'114+320'!$B$14:$AB$785,22,FALSE)</f>
        <v>689</v>
      </c>
      <c r="T305" s="69">
        <f>VLOOKUP(B305,'114+320'!$B$15:$AB$785,6,FALSE)</f>
        <v>883</v>
      </c>
      <c r="U305" s="68">
        <f t="shared" si="56"/>
        <v>1769</v>
      </c>
      <c r="V305" s="77">
        <f>VLOOKUP(B305,'114+320'!$B$15:$AB$785,15,FALSE)</f>
        <v>-231</v>
      </c>
      <c r="W305" s="66">
        <f>'114+320'!S306</f>
        <v>0</v>
      </c>
      <c r="X305" s="65">
        <f t="shared" si="61"/>
        <v>111</v>
      </c>
      <c r="Y305" s="64">
        <f t="shared" si="62"/>
        <v>0</v>
      </c>
      <c r="Z305" s="63">
        <f t="shared" si="63"/>
        <v>0</v>
      </c>
      <c r="AA305" s="62">
        <f t="shared" si="64"/>
        <v>0.89900000000000002</v>
      </c>
      <c r="AB305" s="62">
        <f t="shared" si="65"/>
        <v>0.73399999999999999</v>
      </c>
    </row>
    <row r="306" spans="2:28">
      <c r="B306" s="106">
        <f>'114+320'!B307</f>
        <v>45336</v>
      </c>
      <c r="C306" s="75">
        <f t="shared" si="57"/>
        <v>1</v>
      </c>
      <c r="D306" s="74">
        <f t="shared" si="58"/>
        <v>842</v>
      </c>
      <c r="E306" s="73">
        <f>VLOOKUP(B306,'114+320'!B307:AB408,3,FALSE)</f>
        <v>1812</v>
      </c>
      <c r="F306" s="69">
        <f t="shared" si="53"/>
        <v>2654</v>
      </c>
      <c r="G306" s="72">
        <f>VLOOKUP(B306,'114+320'!$B$15:$AB$785,20,FALSE)</f>
        <v>694</v>
      </c>
      <c r="H306" s="72">
        <f>VLOOKUP(B306,'114+320'!$B$15:$AB$785,4,FALSE)</f>
        <v>940</v>
      </c>
      <c r="I306" s="68">
        <f t="shared" si="54"/>
        <v>1714</v>
      </c>
      <c r="J306" s="68">
        <f>VLOOKUP(B306,'114+320'!$B$15:$AB$785,13,FALSE)</f>
        <v>-286</v>
      </c>
      <c r="K306" s="66">
        <f>'114+320'!Q307</f>
        <v>0</v>
      </c>
      <c r="L306" s="65">
        <f t="shared" si="59"/>
        <v>106</v>
      </c>
      <c r="M306" s="70">
        <f>VLOOKUP(B306,'114+320'!$B$14:$AB$785,21,FALSE)</f>
        <v>677</v>
      </c>
      <c r="N306" s="69">
        <f>VLOOKUP(B306,'114+320'!$B$15:$AB$785,5,FALSE)</f>
        <v>957</v>
      </c>
      <c r="O306" s="68">
        <f t="shared" si="55"/>
        <v>1697</v>
      </c>
      <c r="P306" s="68">
        <f>VLOOKUP(B306,'114+320'!$B$15:$AB$785,14,FALSE)</f>
        <v>-303</v>
      </c>
      <c r="Q306" s="66">
        <f>'114+320'!R307</f>
        <v>0</v>
      </c>
      <c r="R306" s="65">
        <f t="shared" si="60"/>
        <v>123</v>
      </c>
      <c r="S306" s="70">
        <f>VLOOKUP(B306,'114+320'!$B$14:$AB$785,22,FALSE)</f>
        <v>689</v>
      </c>
      <c r="T306" s="69">
        <f>VLOOKUP(B306,'114+320'!$B$15:$AB$785,6,FALSE)</f>
        <v>885</v>
      </c>
      <c r="U306" s="68">
        <f t="shared" si="56"/>
        <v>1769</v>
      </c>
      <c r="V306" s="77">
        <f>VLOOKUP(B306,'114+320'!$B$15:$AB$785,15,FALSE)</f>
        <v>-231</v>
      </c>
      <c r="W306" s="66">
        <f>'114+320'!S307</f>
        <v>0</v>
      </c>
      <c r="X306" s="65">
        <f t="shared" si="61"/>
        <v>111</v>
      </c>
      <c r="Y306" s="64">
        <f t="shared" si="62"/>
        <v>0</v>
      </c>
      <c r="Z306" s="63">
        <f t="shared" si="63"/>
        <v>0</v>
      </c>
      <c r="AA306" s="62">
        <f t="shared" si="64"/>
        <v>0.89900000000000002</v>
      </c>
      <c r="AB306" s="62">
        <f t="shared" si="65"/>
        <v>0.73399999999999999</v>
      </c>
    </row>
    <row r="307" spans="2:28">
      <c r="B307" s="106">
        <f>'114+320'!B308</f>
        <v>45337</v>
      </c>
      <c r="C307" s="75">
        <f t="shared" si="57"/>
        <v>1</v>
      </c>
      <c r="D307" s="74">
        <f t="shared" si="58"/>
        <v>842</v>
      </c>
      <c r="E307" s="73">
        <f>VLOOKUP(B307,'114+320'!B308:AB409,3,FALSE)</f>
        <v>1814</v>
      </c>
      <c r="F307" s="69">
        <f t="shared" si="53"/>
        <v>2656</v>
      </c>
      <c r="G307" s="72">
        <f>VLOOKUP(B307,'114+320'!$B$15:$AB$785,20,FALSE)</f>
        <v>694</v>
      </c>
      <c r="H307" s="72">
        <f>VLOOKUP(B307,'114+320'!$B$15:$AB$785,4,FALSE)</f>
        <v>942</v>
      </c>
      <c r="I307" s="68">
        <f t="shared" si="54"/>
        <v>1714</v>
      </c>
      <c r="J307" s="68">
        <f>VLOOKUP(B307,'114+320'!$B$15:$AB$785,13,FALSE)</f>
        <v>-286</v>
      </c>
      <c r="K307" s="66">
        <f>'114+320'!Q308</f>
        <v>0</v>
      </c>
      <c r="L307" s="65">
        <f t="shared" si="59"/>
        <v>106</v>
      </c>
      <c r="M307" s="70">
        <f>VLOOKUP(B307,'114+320'!$B$14:$AB$785,21,FALSE)</f>
        <v>677</v>
      </c>
      <c r="N307" s="69">
        <f>VLOOKUP(B307,'114+320'!$B$15:$AB$785,5,FALSE)</f>
        <v>959</v>
      </c>
      <c r="O307" s="68">
        <f t="shared" si="55"/>
        <v>1697</v>
      </c>
      <c r="P307" s="68">
        <f>VLOOKUP(B307,'114+320'!$B$15:$AB$785,14,FALSE)</f>
        <v>-303</v>
      </c>
      <c r="Q307" s="66">
        <f>'114+320'!R308</f>
        <v>0</v>
      </c>
      <c r="R307" s="65">
        <f t="shared" si="60"/>
        <v>123</v>
      </c>
      <c r="S307" s="70">
        <f>VLOOKUP(B307,'114+320'!$B$14:$AB$785,22,FALSE)</f>
        <v>689</v>
      </c>
      <c r="T307" s="69">
        <f>VLOOKUP(B307,'114+320'!$B$15:$AB$785,6,FALSE)</f>
        <v>887</v>
      </c>
      <c r="U307" s="68">
        <f t="shared" si="56"/>
        <v>1769</v>
      </c>
      <c r="V307" s="77">
        <f>VLOOKUP(B307,'114+320'!$B$15:$AB$785,15,FALSE)</f>
        <v>-231</v>
      </c>
      <c r="W307" s="66">
        <f>'114+320'!S308</f>
        <v>0</v>
      </c>
      <c r="X307" s="65">
        <f t="shared" si="61"/>
        <v>111</v>
      </c>
      <c r="Y307" s="64">
        <f t="shared" si="62"/>
        <v>0</v>
      </c>
      <c r="Z307" s="63">
        <f t="shared" si="63"/>
        <v>0</v>
      </c>
      <c r="AA307" s="62">
        <f t="shared" si="64"/>
        <v>0.89900000000000002</v>
      </c>
      <c r="AB307" s="62">
        <f t="shared" si="65"/>
        <v>0.73399999999999999</v>
      </c>
    </row>
    <row r="308" spans="2:28">
      <c r="B308" s="106">
        <f>'114+320'!B309</f>
        <v>45338</v>
      </c>
      <c r="C308" s="75">
        <f t="shared" si="57"/>
        <v>1</v>
      </c>
      <c r="D308" s="74">
        <f t="shared" si="58"/>
        <v>842</v>
      </c>
      <c r="E308" s="73">
        <f>VLOOKUP(B308,'114+320'!B309:AB410,3,FALSE)</f>
        <v>1816</v>
      </c>
      <c r="F308" s="69">
        <f t="shared" si="53"/>
        <v>2658</v>
      </c>
      <c r="G308" s="72">
        <f>VLOOKUP(B308,'114+320'!$B$15:$AB$785,20,FALSE)</f>
        <v>694</v>
      </c>
      <c r="H308" s="72">
        <f>VLOOKUP(B308,'114+320'!$B$15:$AB$785,4,FALSE)</f>
        <v>944</v>
      </c>
      <c r="I308" s="68">
        <f t="shared" si="54"/>
        <v>1714</v>
      </c>
      <c r="J308" s="68">
        <f>VLOOKUP(B308,'114+320'!$B$15:$AB$785,13,FALSE)</f>
        <v>-286</v>
      </c>
      <c r="K308" s="66">
        <f>'114+320'!Q309</f>
        <v>0</v>
      </c>
      <c r="L308" s="65">
        <f t="shared" si="59"/>
        <v>106</v>
      </c>
      <c r="M308" s="70">
        <f>VLOOKUP(B308,'114+320'!$B$14:$AB$785,21,FALSE)</f>
        <v>677</v>
      </c>
      <c r="N308" s="69">
        <f>VLOOKUP(B308,'114+320'!$B$15:$AB$785,5,FALSE)</f>
        <v>961</v>
      </c>
      <c r="O308" s="68">
        <f t="shared" si="55"/>
        <v>1697</v>
      </c>
      <c r="P308" s="68">
        <f>VLOOKUP(B308,'114+320'!$B$15:$AB$785,14,FALSE)</f>
        <v>-303</v>
      </c>
      <c r="Q308" s="66">
        <f>'114+320'!R309</f>
        <v>0</v>
      </c>
      <c r="R308" s="65">
        <f t="shared" si="60"/>
        <v>123</v>
      </c>
      <c r="S308" s="70">
        <f>VLOOKUP(B308,'114+320'!$B$14:$AB$785,22,FALSE)</f>
        <v>689</v>
      </c>
      <c r="T308" s="69">
        <f>VLOOKUP(B308,'114+320'!$B$15:$AB$785,6,FALSE)</f>
        <v>889</v>
      </c>
      <c r="U308" s="68">
        <f t="shared" si="56"/>
        <v>1769</v>
      </c>
      <c r="V308" s="77">
        <f>VLOOKUP(B308,'114+320'!$B$15:$AB$785,15,FALSE)</f>
        <v>-231</v>
      </c>
      <c r="W308" s="66">
        <f>'114+320'!S309</f>
        <v>0</v>
      </c>
      <c r="X308" s="65">
        <f t="shared" si="61"/>
        <v>111</v>
      </c>
      <c r="Y308" s="64">
        <f t="shared" si="62"/>
        <v>0</v>
      </c>
      <c r="Z308" s="63">
        <f t="shared" si="63"/>
        <v>0</v>
      </c>
      <c r="AA308" s="62">
        <f t="shared" si="64"/>
        <v>0.89900000000000002</v>
      </c>
      <c r="AB308" s="62">
        <f t="shared" si="65"/>
        <v>0.73399999999999999</v>
      </c>
    </row>
    <row r="309" spans="2:28">
      <c r="B309" s="106">
        <f>'114+320'!B310</f>
        <v>45339</v>
      </c>
      <c r="C309" s="75">
        <f t="shared" si="57"/>
        <v>1</v>
      </c>
      <c r="D309" s="74">
        <f t="shared" si="58"/>
        <v>842</v>
      </c>
      <c r="E309" s="73">
        <f>VLOOKUP(B309,'114+320'!B310:AB411,3,FALSE)</f>
        <v>1818</v>
      </c>
      <c r="F309" s="69">
        <f t="shared" si="53"/>
        <v>2660</v>
      </c>
      <c r="G309" s="72">
        <f>VLOOKUP(B309,'114+320'!$B$15:$AB$785,20,FALSE)</f>
        <v>694</v>
      </c>
      <c r="H309" s="72">
        <f>VLOOKUP(B309,'114+320'!$B$15:$AB$785,4,FALSE)</f>
        <v>946</v>
      </c>
      <c r="I309" s="68">
        <f t="shared" si="54"/>
        <v>1714</v>
      </c>
      <c r="J309" s="68">
        <f>VLOOKUP(B309,'114+320'!$B$15:$AB$785,13,FALSE)</f>
        <v>-286</v>
      </c>
      <c r="K309" s="66">
        <f>'114+320'!Q310</f>
        <v>0</v>
      </c>
      <c r="L309" s="65">
        <f t="shared" si="59"/>
        <v>106</v>
      </c>
      <c r="M309" s="70">
        <f>VLOOKUP(B309,'114+320'!$B$14:$AB$785,21,FALSE)</f>
        <v>677</v>
      </c>
      <c r="N309" s="69">
        <f>VLOOKUP(B309,'114+320'!$B$15:$AB$785,5,FALSE)</f>
        <v>963</v>
      </c>
      <c r="O309" s="68">
        <f t="shared" si="55"/>
        <v>1697</v>
      </c>
      <c r="P309" s="68">
        <f>VLOOKUP(B309,'114+320'!$B$15:$AB$785,14,FALSE)</f>
        <v>-303</v>
      </c>
      <c r="Q309" s="66">
        <f>'114+320'!R310</f>
        <v>0</v>
      </c>
      <c r="R309" s="65">
        <f t="shared" si="60"/>
        <v>123</v>
      </c>
      <c r="S309" s="70">
        <f>VLOOKUP(B309,'114+320'!$B$14:$AB$785,22,FALSE)</f>
        <v>689</v>
      </c>
      <c r="T309" s="69">
        <f>VLOOKUP(B309,'114+320'!$B$15:$AB$785,6,FALSE)</f>
        <v>891</v>
      </c>
      <c r="U309" s="68">
        <f t="shared" si="56"/>
        <v>1769</v>
      </c>
      <c r="V309" s="77">
        <f>VLOOKUP(B309,'114+320'!$B$15:$AB$785,15,FALSE)</f>
        <v>-231</v>
      </c>
      <c r="W309" s="66">
        <f>'114+320'!S310</f>
        <v>0</v>
      </c>
      <c r="X309" s="65">
        <f t="shared" si="61"/>
        <v>111</v>
      </c>
      <c r="Y309" s="64">
        <f t="shared" si="62"/>
        <v>0</v>
      </c>
      <c r="Z309" s="63">
        <f t="shared" si="63"/>
        <v>0</v>
      </c>
      <c r="AA309" s="62">
        <f t="shared" si="64"/>
        <v>0.89900000000000002</v>
      </c>
      <c r="AB309" s="62">
        <f t="shared" si="65"/>
        <v>0.73399999999999999</v>
      </c>
    </row>
    <row r="310" spans="2:28">
      <c r="B310" s="106">
        <f>'114+320'!B311</f>
        <v>45340</v>
      </c>
      <c r="C310" s="75">
        <f t="shared" si="57"/>
        <v>1</v>
      </c>
      <c r="D310" s="74">
        <f t="shared" si="58"/>
        <v>842</v>
      </c>
      <c r="E310" s="73">
        <f>VLOOKUP(B310,'114+320'!B311:AB412,3,FALSE)</f>
        <v>1820</v>
      </c>
      <c r="F310" s="69">
        <f t="shared" si="53"/>
        <v>2662</v>
      </c>
      <c r="G310" s="72">
        <f>VLOOKUP(B310,'114+320'!$B$15:$AB$785,20,FALSE)</f>
        <v>694</v>
      </c>
      <c r="H310" s="72">
        <f>VLOOKUP(B310,'114+320'!$B$15:$AB$785,4,FALSE)</f>
        <v>948</v>
      </c>
      <c r="I310" s="68">
        <f t="shared" si="54"/>
        <v>1714</v>
      </c>
      <c r="J310" s="68">
        <f>VLOOKUP(B310,'114+320'!$B$15:$AB$785,13,FALSE)</f>
        <v>-286</v>
      </c>
      <c r="K310" s="66">
        <f>'114+320'!Q311</f>
        <v>0</v>
      </c>
      <c r="L310" s="65">
        <f t="shared" si="59"/>
        <v>106</v>
      </c>
      <c r="M310" s="70">
        <f>VLOOKUP(B310,'114+320'!$B$14:$AB$785,21,FALSE)</f>
        <v>677</v>
      </c>
      <c r="N310" s="69">
        <f>VLOOKUP(B310,'114+320'!$B$15:$AB$785,5,FALSE)</f>
        <v>965</v>
      </c>
      <c r="O310" s="68">
        <f t="shared" si="55"/>
        <v>1697</v>
      </c>
      <c r="P310" s="68">
        <f>VLOOKUP(B310,'114+320'!$B$15:$AB$785,14,FALSE)</f>
        <v>-303</v>
      </c>
      <c r="Q310" s="66">
        <f>'114+320'!R311</f>
        <v>0</v>
      </c>
      <c r="R310" s="65">
        <f t="shared" si="60"/>
        <v>123</v>
      </c>
      <c r="S310" s="70">
        <f>VLOOKUP(B310,'114+320'!$B$14:$AB$785,22,FALSE)</f>
        <v>689</v>
      </c>
      <c r="T310" s="69">
        <f>VLOOKUP(B310,'114+320'!$B$15:$AB$785,6,FALSE)</f>
        <v>893</v>
      </c>
      <c r="U310" s="68">
        <f t="shared" si="56"/>
        <v>1769</v>
      </c>
      <c r="V310" s="77">
        <f>VLOOKUP(B310,'114+320'!$B$15:$AB$785,15,FALSE)</f>
        <v>-231</v>
      </c>
      <c r="W310" s="66">
        <f>'114+320'!S311</f>
        <v>0</v>
      </c>
      <c r="X310" s="65">
        <f t="shared" si="61"/>
        <v>111</v>
      </c>
      <c r="Y310" s="64">
        <f t="shared" si="62"/>
        <v>0</v>
      </c>
      <c r="Z310" s="63">
        <f t="shared" si="63"/>
        <v>0</v>
      </c>
      <c r="AA310" s="62">
        <f t="shared" si="64"/>
        <v>0.89900000000000002</v>
      </c>
      <c r="AB310" s="62">
        <f t="shared" si="65"/>
        <v>0.73399999999999999</v>
      </c>
    </row>
    <row r="311" spans="2:28">
      <c r="B311" s="106">
        <f>'114+320'!B312</f>
        <v>45341</v>
      </c>
      <c r="C311" s="75">
        <f t="shared" si="57"/>
        <v>1</v>
      </c>
      <c r="D311" s="74">
        <f t="shared" si="58"/>
        <v>842</v>
      </c>
      <c r="E311" s="73">
        <f>VLOOKUP(B311,'114+320'!B312:AB413,3,FALSE)</f>
        <v>1822</v>
      </c>
      <c r="F311" s="69">
        <f t="shared" si="53"/>
        <v>2664</v>
      </c>
      <c r="G311" s="72">
        <f>VLOOKUP(B311,'114+320'!$B$15:$AB$785,20,FALSE)</f>
        <v>694</v>
      </c>
      <c r="H311" s="72">
        <f>VLOOKUP(B311,'114+320'!$B$15:$AB$785,4,FALSE)</f>
        <v>950</v>
      </c>
      <c r="I311" s="68">
        <f t="shared" si="54"/>
        <v>1714</v>
      </c>
      <c r="J311" s="68">
        <f>VLOOKUP(B311,'114+320'!$B$15:$AB$785,13,FALSE)</f>
        <v>-286</v>
      </c>
      <c r="K311" s="66">
        <f>'114+320'!Q312</f>
        <v>0</v>
      </c>
      <c r="L311" s="65">
        <f t="shared" si="59"/>
        <v>106</v>
      </c>
      <c r="M311" s="70">
        <f>VLOOKUP(B311,'114+320'!$B$14:$AB$785,21,FALSE)</f>
        <v>677</v>
      </c>
      <c r="N311" s="69">
        <f>VLOOKUP(B311,'114+320'!$B$15:$AB$785,5,FALSE)</f>
        <v>967</v>
      </c>
      <c r="O311" s="68">
        <f t="shared" si="55"/>
        <v>1697</v>
      </c>
      <c r="P311" s="68">
        <f>VLOOKUP(B311,'114+320'!$B$15:$AB$785,14,FALSE)</f>
        <v>-303</v>
      </c>
      <c r="Q311" s="66">
        <f>'114+320'!R312</f>
        <v>0</v>
      </c>
      <c r="R311" s="65">
        <f t="shared" si="60"/>
        <v>123</v>
      </c>
      <c r="S311" s="70">
        <f>VLOOKUP(B311,'114+320'!$B$14:$AB$785,22,FALSE)</f>
        <v>689</v>
      </c>
      <c r="T311" s="69">
        <f>VLOOKUP(B311,'114+320'!$B$15:$AB$785,6,FALSE)</f>
        <v>895</v>
      </c>
      <c r="U311" s="68">
        <f t="shared" si="56"/>
        <v>1769</v>
      </c>
      <c r="V311" s="77">
        <f>VLOOKUP(B311,'114+320'!$B$15:$AB$785,15,FALSE)</f>
        <v>-231</v>
      </c>
      <c r="W311" s="66">
        <f>'114+320'!S312</f>
        <v>0</v>
      </c>
      <c r="X311" s="65">
        <f t="shared" si="61"/>
        <v>111</v>
      </c>
      <c r="Y311" s="64">
        <f t="shared" si="62"/>
        <v>0</v>
      </c>
      <c r="Z311" s="63">
        <f t="shared" si="63"/>
        <v>0</v>
      </c>
      <c r="AA311" s="62">
        <f t="shared" si="64"/>
        <v>0.89900000000000002</v>
      </c>
      <c r="AB311" s="62">
        <f t="shared" si="65"/>
        <v>0.73399999999999999</v>
      </c>
    </row>
    <row r="312" spans="2:28">
      <c r="B312" s="106">
        <f>'114+320'!B313</f>
        <v>45342</v>
      </c>
      <c r="C312" s="75">
        <f t="shared" si="57"/>
        <v>1</v>
      </c>
      <c r="D312" s="74">
        <f t="shared" si="58"/>
        <v>842</v>
      </c>
      <c r="E312" s="73">
        <f>VLOOKUP(B312,'114+320'!B313:AB414,3,FALSE)</f>
        <v>1824</v>
      </c>
      <c r="F312" s="69">
        <f t="shared" si="53"/>
        <v>2666</v>
      </c>
      <c r="G312" s="72">
        <f>VLOOKUP(B312,'114+320'!$B$15:$AB$785,20,FALSE)</f>
        <v>694</v>
      </c>
      <c r="H312" s="72">
        <f>VLOOKUP(B312,'114+320'!$B$15:$AB$785,4,FALSE)</f>
        <v>952</v>
      </c>
      <c r="I312" s="68">
        <f t="shared" si="54"/>
        <v>1714</v>
      </c>
      <c r="J312" s="68">
        <f>VLOOKUP(B312,'114+320'!$B$15:$AB$785,13,FALSE)</f>
        <v>-286</v>
      </c>
      <c r="K312" s="66">
        <f>'114+320'!Q313</f>
        <v>0</v>
      </c>
      <c r="L312" s="65">
        <f t="shared" si="59"/>
        <v>106</v>
      </c>
      <c r="M312" s="70">
        <f>VLOOKUP(B312,'114+320'!$B$14:$AB$785,21,FALSE)</f>
        <v>677</v>
      </c>
      <c r="N312" s="69">
        <f>VLOOKUP(B312,'114+320'!$B$15:$AB$785,5,FALSE)</f>
        <v>969</v>
      </c>
      <c r="O312" s="68">
        <f t="shared" si="55"/>
        <v>1697</v>
      </c>
      <c r="P312" s="68">
        <f>VLOOKUP(B312,'114+320'!$B$15:$AB$785,14,FALSE)</f>
        <v>-303</v>
      </c>
      <c r="Q312" s="66">
        <f>'114+320'!R313</f>
        <v>0</v>
      </c>
      <c r="R312" s="65">
        <f t="shared" si="60"/>
        <v>123</v>
      </c>
      <c r="S312" s="70">
        <f>VLOOKUP(B312,'114+320'!$B$14:$AB$785,22,FALSE)</f>
        <v>689</v>
      </c>
      <c r="T312" s="69">
        <f>VLOOKUP(B312,'114+320'!$B$15:$AB$785,6,FALSE)</f>
        <v>897</v>
      </c>
      <c r="U312" s="68">
        <f t="shared" si="56"/>
        <v>1769</v>
      </c>
      <c r="V312" s="77">
        <f>VLOOKUP(B312,'114+320'!$B$15:$AB$785,15,FALSE)</f>
        <v>-231</v>
      </c>
      <c r="W312" s="66">
        <f>'114+320'!S313</f>
        <v>0</v>
      </c>
      <c r="X312" s="65">
        <f t="shared" si="61"/>
        <v>111</v>
      </c>
      <c r="Y312" s="64">
        <f t="shared" si="62"/>
        <v>0</v>
      </c>
      <c r="Z312" s="63">
        <f t="shared" si="63"/>
        <v>0</v>
      </c>
      <c r="AA312" s="62">
        <f t="shared" si="64"/>
        <v>0.89900000000000002</v>
      </c>
      <c r="AB312" s="62">
        <f t="shared" si="65"/>
        <v>0.73399999999999999</v>
      </c>
    </row>
    <row r="313" spans="2:28">
      <c r="B313" s="106">
        <f>'114+320'!B314</f>
        <v>45343</v>
      </c>
      <c r="C313" s="75">
        <f t="shared" si="57"/>
        <v>1</v>
      </c>
      <c r="D313" s="74">
        <f t="shared" si="58"/>
        <v>842</v>
      </c>
      <c r="E313" s="73">
        <f>VLOOKUP(B313,'114+320'!B314:AB415,3,FALSE)</f>
        <v>1826</v>
      </c>
      <c r="F313" s="69">
        <f t="shared" si="53"/>
        <v>2668</v>
      </c>
      <c r="G313" s="72">
        <f>VLOOKUP(B313,'114+320'!$B$15:$AB$785,20,FALSE)</f>
        <v>694</v>
      </c>
      <c r="H313" s="72">
        <f>VLOOKUP(B313,'114+320'!$B$15:$AB$785,4,FALSE)</f>
        <v>954</v>
      </c>
      <c r="I313" s="68">
        <f t="shared" si="54"/>
        <v>1714</v>
      </c>
      <c r="J313" s="68">
        <f>VLOOKUP(B313,'114+320'!$B$15:$AB$785,13,FALSE)</f>
        <v>-286</v>
      </c>
      <c r="K313" s="66">
        <f>'114+320'!Q314</f>
        <v>0</v>
      </c>
      <c r="L313" s="65">
        <f t="shared" si="59"/>
        <v>106</v>
      </c>
      <c r="M313" s="70">
        <f>VLOOKUP(B313,'114+320'!$B$14:$AB$785,21,FALSE)</f>
        <v>677</v>
      </c>
      <c r="N313" s="69">
        <f>VLOOKUP(B313,'114+320'!$B$15:$AB$785,5,FALSE)</f>
        <v>971</v>
      </c>
      <c r="O313" s="68">
        <f t="shared" si="55"/>
        <v>1697</v>
      </c>
      <c r="P313" s="68">
        <f>VLOOKUP(B313,'114+320'!$B$15:$AB$785,14,FALSE)</f>
        <v>-303</v>
      </c>
      <c r="Q313" s="66">
        <f>'114+320'!R314</f>
        <v>0</v>
      </c>
      <c r="R313" s="65">
        <f t="shared" si="60"/>
        <v>123</v>
      </c>
      <c r="S313" s="70">
        <f>VLOOKUP(B313,'114+320'!$B$14:$AB$785,22,FALSE)</f>
        <v>689</v>
      </c>
      <c r="T313" s="69">
        <f>VLOOKUP(B313,'114+320'!$B$15:$AB$785,6,FALSE)</f>
        <v>899</v>
      </c>
      <c r="U313" s="68">
        <f t="shared" si="56"/>
        <v>1769</v>
      </c>
      <c r="V313" s="77">
        <f>VLOOKUP(B313,'114+320'!$B$15:$AB$785,15,FALSE)</f>
        <v>-231</v>
      </c>
      <c r="W313" s="66">
        <f>'114+320'!S314</f>
        <v>0</v>
      </c>
      <c r="X313" s="65">
        <f t="shared" si="61"/>
        <v>111</v>
      </c>
      <c r="Y313" s="64">
        <f t="shared" si="62"/>
        <v>0</v>
      </c>
      <c r="Z313" s="63">
        <f t="shared" si="63"/>
        <v>0</v>
      </c>
      <c r="AA313" s="62">
        <f t="shared" si="64"/>
        <v>0.89900000000000002</v>
      </c>
      <c r="AB313" s="62">
        <f t="shared" si="65"/>
        <v>0.73399999999999999</v>
      </c>
    </row>
    <row r="314" spans="2:28">
      <c r="B314" s="106">
        <f>'114+320'!B315</f>
        <v>45344</v>
      </c>
      <c r="C314" s="75">
        <f t="shared" si="57"/>
        <v>1</v>
      </c>
      <c r="D314" s="74">
        <f t="shared" si="58"/>
        <v>842</v>
      </c>
      <c r="E314" s="73">
        <f>VLOOKUP(B314,'114+320'!B315:AB416,3,FALSE)</f>
        <v>1828</v>
      </c>
      <c r="F314" s="69">
        <f t="shared" si="53"/>
        <v>2670</v>
      </c>
      <c r="G314" s="72">
        <f>VLOOKUP(B314,'114+320'!$B$15:$AB$785,20,FALSE)</f>
        <v>694</v>
      </c>
      <c r="H314" s="72">
        <f>VLOOKUP(B314,'114+320'!$B$15:$AB$785,4,FALSE)</f>
        <v>956</v>
      </c>
      <c r="I314" s="68">
        <f t="shared" si="54"/>
        <v>1714</v>
      </c>
      <c r="J314" s="68">
        <f>VLOOKUP(B314,'114+320'!$B$15:$AB$785,13,FALSE)</f>
        <v>-286</v>
      </c>
      <c r="K314" s="66">
        <f>'114+320'!Q315</f>
        <v>0</v>
      </c>
      <c r="L314" s="65">
        <f t="shared" si="59"/>
        <v>106</v>
      </c>
      <c r="M314" s="70">
        <f>VLOOKUP(B314,'114+320'!$B$14:$AB$785,21,FALSE)</f>
        <v>677</v>
      </c>
      <c r="N314" s="69">
        <f>VLOOKUP(B314,'114+320'!$B$15:$AB$785,5,FALSE)</f>
        <v>973</v>
      </c>
      <c r="O314" s="68">
        <f t="shared" si="55"/>
        <v>1697</v>
      </c>
      <c r="P314" s="68">
        <f>VLOOKUP(B314,'114+320'!$B$15:$AB$785,14,FALSE)</f>
        <v>-303</v>
      </c>
      <c r="Q314" s="66">
        <f>'114+320'!R315</f>
        <v>0</v>
      </c>
      <c r="R314" s="65">
        <f t="shared" si="60"/>
        <v>123</v>
      </c>
      <c r="S314" s="70">
        <f>VLOOKUP(B314,'114+320'!$B$14:$AB$785,22,FALSE)</f>
        <v>689</v>
      </c>
      <c r="T314" s="69">
        <f>VLOOKUP(B314,'114+320'!$B$15:$AB$785,6,FALSE)</f>
        <v>901</v>
      </c>
      <c r="U314" s="68">
        <f t="shared" si="56"/>
        <v>1769</v>
      </c>
      <c r="V314" s="77">
        <f>VLOOKUP(B314,'114+320'!$B$15:$AB$785,15,FALSE)</f>
        <v>-231</v>
      </c>
      <c r="W314" s="66">
        <f>'114+320'!S315</f>
        <v>0</v>
      </c>
      <c r="X314" s="65">
        <f t="shared" si="61"/>
        <v>111</v>
      </c>
      <c r="Y314" s="64">
        <f t="shared" si="62"/>
        <v>0</v>
      </c>
      <c r="Z314" s="63">
        <f t="shared" si="63"/>
        <v>0</v>
      </c>
      <c r="AA314" s="62">
        <f t="shared" si="64"/>
        <v>0.89900000000000002</v>
      </c>
      <c r="AB314" s="62">
        <f t="shared" si="65"/>
        <v>0.73399999999999999</v>
      </c>
    </row>
    <row r="315" spans="2:28">
      <c r="B315" s="106">
        <f>'114+320'!B316</f>
        <v>45345</v>
      </c>
      <c r="C315" s="75">
        <f t="shared" si="57"/>
        <v>1</v>
      </c>
      <c r="D315" s="74">
        <f t="shared" si="58"/>
        <v>842</v>
      </c>
      <c r="E315" s="73">
        <f>VLOOKUP(B315,'114+320'!B316:AB417,3,FALSE)</f>
        <v>1830</v>
      </c>
      <c r="F315" s="69">
        <f t="shared" si="53"/>
        <v>2672</v>
      </c>
      <c r="G315" s="72">
        <f>VLOOKUP(B315,'114+320'!$B$15:$AB$785,20,FALSE)</f>
        <v>694</v>
      </c>
      <c r="H315" s="72">
        <f>VLOOKUP(B315,'114+320'!$B$15:$AB$785,4,FALSE)</f>
        <v>958</v>
      </c>
      <c r="I315" s="68">
        <f t="shared" si="54"/>
        <v>1714</v>
      </c>
      <c r="J315" s="68">
        <f>VLOOKUP(B315,'114+320'!$B$15:$AB$785,13,FALSE)</f>
        <v>-286</v>
      </c>
      <c r="K315" s="66">
        <f>'114+320'!Q316</f>
        <v>0</v>
      </c>
      <c r="L315" s="65">
        <f t="shared" si="59"/>
        <v>106</v>
      </c>
      <c r="M315" s="70">
        <f>VLOOKUP(B315,'114+320'!$B$14:$AB$785,21,FALSE)</f>
        <v>677</v>
      </c>
      <c r="N315" s="69">
        <f>VLOOKUP(B315,'114+320'!$B$15:$AB$785,5,FALSE)</f>
        <v>975</v>
      </c>
      <c r="O315" s="68">
        <f t="shared" si="55"/>
        <v>1697</v>
      </c>
      <c r="P315" s="68">
        <f>VLOOKUP(B315,'114+320'!$B$15:$AB$785,14,FALSE)</f>
        <v>-303</v>
      </c>
      <c r="Q315" s="66">
        <f>'114+320'!R316</f>
        <v>0</v>
      </c>
      <c r="R315" s="65">
        <f t="shared" si="60"/>
        <v>123</v>
      </c>
      <c r="S315" s="70">
        <f>VLOOKUP(B315,'114+320'!$B$14:$AB$785,22,FALSE)</f>
        <v>689</v>
      </c>
      <c r="T315" s="69">
        <f>VLOOKUP(B315,'114+320'!$B$15:$AB$785,6,FALSE)</f>
        <v>903</v>
      </c>
      <c r="U315" s="68">
        <f t="shared" si="56"/>
        <v>1769</v>
      </c>
      <c r="V315" s="77">
        <f>VLOOKUP(B315,'114+320'!$B$15:$AB$785,15,FALSE)</f>
        <v>-231</v>
      </c>
      <c r="W315" s="66">
        <f>'114+320'!S316</f>
        <v>0</v>
      </c>
      <c r="X315" s="65">
        <f t="shared" si="61"/>
        <v>111</v>
      </c>
      <c r="Y315" s="64">
        <f t="shared" si="62"/>
        <v>0</v>
      </c>
      <c r="Z315" s="63">
        <f t="shared" si="63"/>
        <v>0</v>
      </c>
      <c r="AA315" s="62">
        <f t="shared" si="64"/>
        <v>0.89900000000000002</v>
      </c>
      <c r="AB315" s="62">
        <f t="shared" si="65"/>
        <v>0.73399999999999999</v>
      </c>
    </row>
    <row r="316" spans="2:28">
      <c r="B316" s="106">
        <f>'114+320'!B317</f>
        <v>45346</v>
      </c>
      <c r="C316" s="75">
        <f t="shared" si="57"/>
        <v>1</v>
      </c>
      <c r="D316" s="74">
        <f t="shared" si="58"/>
        <v>842</v>
      </c>
      <c r="E316" s="73">
        <f>VLOOKUP(B316,'114+320'!B317:AB418,3,FALSE)</f>
        <v>1832</v>
      </c>
      <c r="F316" s="69">
        <f t="shared" si="53"/>
        <v>2674</v>
      </c>
      <c r="G316" s="72">
        <f>VLOOKUP(B316,'114+320'!$B$15:$AB$785,20,FALSE)</f>
        <v>694</v>
      </c>
      <c r="H316" s="72">
        <f>VLOOKUP(B316,'114+320'!$B$15:$AB$785,4,FALSE)</f>
        <v>960</v>
      </c>
      <c r="I316" s="68">
        <f t="shared" si="54"/>
        <v>1714</v>
      </c>
      <c r="J316" s="68">
        <f>VLOOKUP(B316,'114+320'!$B$15:$AB$785,13,FALSE)</f>
        <v>-286</v>
      </c>
      <c r="K316" s="66">
        <f>'114+320'!Q317</f>
        <v>0</v>
      </c>
      <c r="L316" s="65">
        <f t="shared" si="59"/>
        <v>106</v>
      </c>
      <c r="M316" s="70">
        <f>VLOOKUP(B316,'114+320'!$B$14:$AB$785,21,FALSE)</f>
        <v>677</v>
      </c>
      <c r="N316" s="69">
        <f>VLOOKUP(B316,'114+320'!$B$15:$AB$785,5,FALSE)</f>
        <v>977</v>
      </c>
      <c r="O316" s="68">
        <f t="shared" si="55"/>
        <v>1697</v>
      </c>
      <c r="P316" s="68">
        <f>VLOOKUP(B316,'114+320'!$B$15:$AB$785,14,FALSE)</f>
        <v>-303</v>
      </c>
      <c r="Q316" s="66">
        <f>'114+320'!R317</f>
        <v>0</v>
      </c>
      <c r="R316" s="65">
        <f t="shared" si="60"/>
        <v>123</v>
      </c>
      <c r="S316" s="70">
        <f>VLOOKUP(B316,'114+320'!$B$14:$AB$785,22,FALSE)</f>
        <v>689</v>
      </c>
      <c r="T316" s="69">
        <f>VLOOKUP(B316,'114+320'!$B$15:$AB$785,6,FALSE)</f>
        <v>905</v>
      </c>
      <c r="U316" s="68">
        <f t="shared" si="56"/>
        <v>1769</v>
      </c>
      <c r="V316" s="77">
        <f>VLOOKUP(B316,'114+320'!$B$15:$AB$785,15,FALSE)</f>
        <v>-231</v>
      </c>
      <c r="W316" s="66">
        <f>'114+320'!S317</f>
        <v>0</v>
      </c>
      <c r="X316" s="65">
        <f t="shared" si="61"/>
        <v>111</v>
      </c>
      <c r="Y316" s="64">
        <f t="shared" si="62"/>
        <v>0</v>
      </c>
      <c r="Z316" s="63">
        <f t="shared" si="63"/>
        <v>0</v>
      </c>
      <c r="AA316" s="62">
        <f t="shared" si="64"/>
        <v>0.89900000000000002</v>
      </c>
      <c r="AB316" s="62">
        <f t="shared" si="65"/>
        <v>0.73399999999999999</v>
      </c>
    </row>
    <row r="317" spans="2:28">
      <c r="B317" s="106">
        <f>'114+320'!B318</f>
        <v>45347</v>
      </c>
      <c r="C317" s="75">
        <f t="shared" si="57"/>
        <v>1</v>
      </c>
      <c r="D317" s="74">
        <f t="shared" si="58"/>
        <v>842</v>
      </c>
      <c r="E317" s="73">
        <f>VLOOKUP(B317,'114+320'!B318:AB419,3,FALSE)</f>
        <v>1834</v>
      </c>
      <c r="F317" s="69">
        <f t="shared" si="53"/>
        <v>2676</v>
      </c>
      <c r="G317" s="72">
        <f>VLOOKUP(B317,'114+320'!$B$15:$AB$785,20,FALSE)</f>
        <v>694</v>
      </c>
      <c r="H317" s="72">
        <f>VLOOKUP(B317,'114+320'!$B$15:$AB$785,4,FALSE)</f>
        <v>962</v>
      </c>
      <c r="I317" s="68">
        <f t="shared" si="54"/>
        <v>1714</v>
      </c>
      <c r="J317" s="68">
        <f>VLOOKUP(B317,'114+320'!$B$15:$AB$785,13,FALSE)</f>
        <v>-286</v>
      </c>
      <c r="K317" s="66">
        <f>'114+320'!Q318</f>
        <v>0</v>
      </c>
      <c r="L317" s="65">
        <f t="shared" si="59"/>
        <v>106</v>
      </c>
      <c r="M317" s="70">
        <f>VLOOKUP(B317,'114+320'!$B$14:$AB$785,21,FALSE)</f>
        <v>677</v>
      </c>
      <c r="N317" s="69">
        <f>VLOOKUP(B317,'114+320'!$B$15:$AB$785,5,FALSE)</f>
        <v>979</v>
      </c>
      <c r="O317" s="68">
        <f t="shared" si="55"/>
        <v>1697</v>
      </c>
      <c r="P317" s="68">
        <f>VLOOKUP(B317,'114+320'!$B$15:$AB$785,14,FALSE)</f>
        <v>-303</v>
      </c>
      <c r="Q317" s="66">
        <f>'114+320'!R318</f>
        <v>0</v>
      </c>
      <c r="R317" s="65">
        <f t="shared" si="60"/>
        <v>123</v>
      </c>
      <c r="S317" s="70">
        <f>VLOOKUP(B317,'114+320'!$B$14:$AB$785,22,FALSE)</f>
        <v>689</v>
      </c>
      <c r="T317" s="69">
        <f>VLOOKUP(B317,'114+320'!$B$15:$AB$785,6,FALSE)</f>
        <v>907</v>
      </c>
      <c r="U317" s="68">
        <f t="shared" si="56"/>
        <v>1769</v>
      </c>
      <c r="V317" s="77">
        <f>VLOOKUP(B317,'114+320'!$B$15:$AB$785,15,FALSE)</f>
        <v>-231</v>
      </c>
      <c r="W317" s="66">
        <f>'114+320'!S318</f>
        <v>0</v>
      </c>
      <c r="X317" s="65">
        <f t="shared" si="61"/>
        <v>111</v>
      </c>
      <c r="Y317" s="64">
        <f t="shared" si="62"/>
        <v>0</v>
      </c>
      <c r="Z317" s="63">
        <f t="shared" si="63"/>
        <v>0</v>
      </c>
      <c r="AA317" s="62">
        <f t="shared" si="64"/>
        <v>0.89900000000000002</v>
      </c>
      <c r="AB317" s="62">
        <f t="shared" si="65"/>
        <v>0.73399999999999999</v>
      </c>
    </row>
    <row r="318" spans="2:28">
      <c r="B318" s="106">
        <f>'114+320'!B319</f>
        <v>45348</v>
      </c>
      <c r="C318" s="75">
        <f t="shared" si="57"/>
        <v>1</v>
      </c>
      <c r="D318" s="74">
        <f t="shared" si="58"/>
        <v>842</v>
      </c>
      <c r="E318" s="73">
        <f>VLOOKUP(B318,'114+320'!B319:AB420,3,FALSE)</f>
        <v>1836</v>
      </c>
      <c r="F318" s="69">
        <f t="shared" si="53"/>
        <v>2678</v>
      </c>
      <c r="G318" s="72">
        <f>VLOOKUP(B318,'114+320'!$B$15:$AB$785,20,FALSE)</f>
        <v>694</v>
      </c>
      <c r="H318" s="72">
        <f>VLOOKUP(B318,'114+320'!$B$15:$AB$785,4,FALSE)</f>
        <v>964</v>
      </c>
      <c r="I318" s="68">
        <f t="shared" si="54"/>
        <v>1714</v>
      </c>
      <c r="J318" s="68">
        <f>VLOOKUP(B318,'114+320'!$B$15:$AB$785,13,FALSE)</f>
        <v>-286</v>
      </c>
      <c r="K318" s="66">
        <f>'114+320'!Q319</f>
        <v>0</v>
      </c>
      <c r="L318" s="65">
        <f t="shared" si="59"/>
        <v>106</v>
      </c>
      <c r="M318" s="70">
        <f>VLOOKUP(B318,'114+320'!$B$14:$AB$785,21,FALSE)</f>
        <v>677</v>
      </c>
      <c r="N318" s="69">
        <f>VLOOKUP(B318,'114+320'!$B$15:$AB$785,5,FALSE)</f>
        <v>981</v>
      </c>
      <c r="O318" s="68">
        <f t="shared" si="55"/>
        <v>1697</v>
      </c>
      <c r="P318" s="68">
        <f>VLOOKUP(B318,'114+320'!$B$15:$AB$785,14,FALSE)</f>
        <v>-303</v>
      </c>
      <c r="Q318" s="66">
        <f>'114+320'!R319</f>
        <v>0</v>
      </c>
      <c r="R318" s="65">
        <f t="shared" si="60"/>
        <v>123</v>
      </c>
      <c r="S318" s="70">
        <f>VLOOKUP(B318,'114+320'!$B$14:$AB$785,22,FALSE)</f>
        <v>689</v>
      </c>
      <c r="T318" s="69">
        <f>VLOOKUP(B318,'114+320'!$B$15:$AB$785,6,FALSE)</f>
        <v>909</v>
      </c>
      <c r="U318" s="68">
        <f t="shared" si="56"/>
        <v>1769</v>
      </c>
      <c r="V318" s="77">
        <f>VLOOKUP(B318,'114+320'!$B$15:$AB$785,15,FALSE)</f>
        <v>-231</v>
      </c>
      <c r="W318" s="66">
        <f>'114+320'!S319</f>
        <v>0</v>
      </c>
      <c r="X318" s="65">
        <f t="shared" si="61"/>
        <v>111</v>
      </c>
      <c r="Y318" s="64">
        <f t="shared" si="62"/>
        <v>0</v>
      </c>
      <c r="Z318" s="63">
        <f t="shared" si="63"/>
        <v>0</v>
      </c>
      <c r="AA318" s="62">
        <f t="shared" si="64"/>
        <v>0.89900000000000002</v>
      </c>
      <c r="AB318" s="62">
        <f t="shared" si="65"/>
        <v>0.73399999999999999</v>
      </c>
    </row>
    <row r="319" spans="2:28">
      <c r="B319" s="106">
        <f>'114+320'!B320</f>
        <v>45349</v>
      </c>
      <c r="C319" s="75">
        <f t="shared" si="57"/>
        <v>1</v>
      </c>
      <c r="D319" s="74">
        <f t="shared" si="58"/>
        <v>842</v>
      </c>
      <c r="E319" s="73">
        <f>VLOOKUP(B319,'114+320'!B320:AB421,3,FALSE)</f>
        <v>1838</v>
      </c>
      <c r="F319" s="69">
        <f t="shared" si="53"/>
        <v>2680</v>
      </c>
      <c r="G319" s="72">
        <f>VLOOKUP(B319,'114+320'!$B$15:$AB$785,20,FALSE)</f>
        <v>694</v>
      </c>
      <c r="H319" s="72">
        <f>VLOOKUP(B319,'114+320'!$B$15:$AB$785,4,FALSE)</f>
        <v>966</v>
      </c>
      <c r="I319" s="68">
        <f t="shared" si="54"/>
        <v>1714</v>
      </c>
      <c r="J319" s="68">
        <f>VLOOKUP(B319,'114+320'!$B$15:$AB$785,13,FALSE)</f>
        <v>-286</v>
      </c>
      <c r="K319" s="66">
        <f>'114+320'!Q320</f>
        <v>0</v>
      </c>
      <c r="L319" s="65">
        <f t="shared" si="59"/>
        <v>106</v>
      </c>
      <c r="M319" s="70">
        <f>VLOOKUP(B319,'114+320'!$B$14:$AB$785,21,FALSE)</f>
        <v>677</v>
      </c>
      <c r="N319" s="69">
        <f>VLOOKUP(B319,'114+320'!$B$15:$AB$785,5,FALSE)</f>
        <v>983</v>
      </c>
      <c r="O319" s="68">
        <f t="shared" si="55"/>
        <v>1697</v>
      </c>
      <c r="P319" s="68">
        <f>VLOOKUP(B319,'114+320'!$B$15:$AB$785,14,FALSE)</f>
        <v>-303</v>
      </c>
      <c r="Q319" s="66">
        <f>'114+320'!R320</f>
        <v>0</v>
      </c>
      <c r="R319" s="65">
        <f t="shared" si="60"/>
        <v>123</v>
      </c>
      <c r="S319" s="70">
        <f>VLOOKUP(B319,'114+320'!$B$14:$AB$785,22,FALSE)</f>
        <v>689</v>
      </c>
      <c r="T319" s="69">
        <f>VLOOKUP(B319,'114+320'!$B$15:$AB$785,6,FALSE)</f>
        <v>911</v>
      </c>
      <c r="U319" s="68">
        <f t="shared" si="56"/>
        <v>1769</v>
      </c>
      <c r="V319" s="77">
        <f>VLOOKUP(B319,'114+320'!$B$15:$AB$785,15,FALSE)</f>
        <v>-231</v>
      </c>
      <c r="W319" s="66">
        <f>'114+320'!S320</f>
        <v>0</v>
      </c>
      <c r="X319" s="65">
        <f t="shared" si="61"/>
        <v>111</v>
      </c>
      <c r="Y319" s="64">
        <f t="shared" si="62"/>
        <v>0</v>
      </c>
      <c r="Z319" s="63">
        <f t="shared" si="63"/>
        <v>0</v>
      </c>
      <c r="AA319" s="62">
        <f t="shared" si="64"/>
        <v>0.89900000000000002</v>
      </c>
      <c r="AB319" s="62">
        <f t="shared" si="65"/>
        <v>0.73399999999999999</v>
      </c>
    </row>
    <row r="320" spans="2:28">
      <c r="B320" s="106">
        <f>'114+320'!B321</f>
        <v>45350</v>
      </c>
      <c r="C320" s="75">
        <f t="shared" si="57"/>
        <v>1</v>
      </c>
      <c r="D320" s="74">
        <f t="shared" si="58"/>
        <v>842</v>
      </c>
      <c r="E320" s="73">
        <f>VLOOKUP(B320,'114+320'!B321:AB422,3,FALSE)</f>
        <v>1840</v>
      </c>
      <c r="F320" s="69">
        <f t="shared" si="53"/>
        <v>2682</v>
      </c>
      <c r="G320" s="72">
        <f>VLOOKUP(B320,'114+320'!$B$15:$AB$785,20,FALSE)</f>
        <v>694</v>
      </c>
      <c r="H320" s="72">
        <f>VLOOKUP(B320,'114+320'!$B$15:$AB$785,4,FALSE)</f>
        <v>968</v>
      </c>
      <c r="I320" s="68">
        <f t="shared" si="54"/>
        <v>1714</v>
      </c>
      <c r="J320" s="68">
        <f>VLOOKUP(B320,'114+320'!$B$15:$AB$785,13,FALSE)</f>
        <v>-286</v>
      </c>
      <c r="K320" s="66">
        <f>'114+320'!Q321</f>
        <v>0</v>
      </c>
      <c r="L320" s="65">
        <f t="shared" si="59"/>
        <v>106</v>
      </c>
      <c r="M320" s="70">
        <f>VLOOKUP(B320,'114+320'!$B$14:$AB$785,21,FALSE)</f>
        <v>677</v>
      </c>
      <c r="N320" s="69">
        <f>VLOOKUP(B320,'114+320'!$B$15:$AB$785,5,FALSE)</f>
        <v>985</v>
      </c>
      <c r="O320" s="68">
        <f t="shared" si="55"/>
        <v>1697</v>
      </c>
      <c r="P320" s="68">
        <f>VLOOKUP(B320,'114+320'!$B$15:$AB$785,14,FALSE)</f>
        <v>-303</v>
      </c>
      <c r="Q320" s="66">
        <f>'114+320'!R321</f>
        <v>0</v>
      </c>
      <c r="R320" s="65">
        <f t="shared" si="60"/>
        <v>123</v>
      </c>
      <c r="S320" s="70">
        <f>VLOOKUP(B320,'114+320'!$B$14:$AB$785,22,FALSE)</f>
        <v>689</v>
      </c>
      <c r="T320" s="69">
        <f>VLOOKUP(B320,'114+320'!$B$15:$AB$785,6,FALSE)</f>
        <v>913</v>
      </c>
      <c r="U320" s="68">
        <f t="shared" si="56"/>
        <v>1769</v>
      </c>
      <c r="V320" s="77">
        <f>VLOOKUP(B320,'114+320'!$B$15:$AB$785,15,FALSE)</f>
        <v>-231</v>
      </c>
      <c r="W320" s="66">
        <f>'114+320'!S321</f>
        <v>0</v>
      </c>
      <c r="X320" s="65">
        <f t="shared" si="61"/>
        <v>111</v>
      </c>
      <c r="Y320" s="64">
        <f t="shared" si="62"/>
        <v>0</v>
      </c>
      <c r="Z320" s="63">
        <f t="shared" si="63"/>
        <v>0</v>
      </c>
      <c r="AA320" s="62">
        <f t="shared" si="64"/>
        <v>0.89900000000000002</v>
      </c>
      <c r="AB320" s="62">
        <f t="shared" si="65"/>
        <v>0.73399999999999999</v>
      </c>
    </row>
    <row r="321" spans="2:28">
      <c r="B321" s="106">
        <f>'114+320'!B322</f>
        <v>45351</v>
      </c>
      <c r="C321" s="75">
        <f t="shared" si="57"/>
        <v>1</v>
      </c>
      <c r="D321" s="74">
        <f t="shared" si="58"/>
        <v>842</v>
      </c>
      <c r="E321" s="73">
        <f>VLOOKUP(B321,'114+320'!B322:AB423,3,FALSE)</f>
        <v>1842</v>
      </c>
      <c r="F321" s="69">
        <f t="shared" si="53"/>
        <v>2684</v>
      </c>
      <c r="G321" s="72">
        <f>VLOOKUP(B321,'114+320'!$B$15:$AB$785,20,FALSE)</f>
        <v>694</v>
      </c>
      <c r="H321" s="72">
        <f>VLOOKUP(B321,'114+320'!$B$15:$AB$785,4,FALSE)</f>
        <v>970</v>
      </c>
      <c r="I321" s="68">
        <f t="shared" si="54"/>
        <v>1714</v>
      </c>
      <c r="J321" s="68">
        <f>VLOOKUP(B321,'114+320'!$B$15:$AB$785,13,FALSE)</f>
        <v>-286</v>
      </c>
      <c r="K321" s="66">
        <f>'114+320'!Q322</f>
        <v>0</v>
      </c>
      <c r="L321" s="65">
        <f t="shared" si="59"/>
        <v>106</v>
      </c>
      <c r="M321" s="70">
        <f>VLOOKUP(B321,'114+320'!$B$14:$AB$785,21,FALSE)</f>
        <v>677</v>
      </c>
      <c r="N321" s="69">
        <f>VLOOKUP(B321,'114+320'!$B$15:$AB$785,5,FALSE)</f>
        <v>987</v>
      </c>
      <c r="O321" s="68">
        <f t="shared" si="55"/>
        <v>1697</v>
      </c>
      <c r="P321" s="68">
        <f>VLOOKUP(B321,'114+320'!$B$15:$AB$785,14,FALSE)</f>
        <v>-303</v>
      </c>
      <c r="Q321" s="66">
        <f>'114+320'!R322</f>
        <v>0</v>
      </c>
      <c r="R321" s="65">
        <f t="shared" si="60"/>
        <v>123</v>
      </c>
      <c r="S321" s="70">
        <f>VLOOKUP(B321,'114+320'!$B$14:$AB$785,22,FALSE)</f>
        <v>689</v>
      </c>
      <c r="T321" s="69">
        <f>VLOOKUP(B321,'114+320'!$B$15:$AB$785,6,FALSE)</f>
        <v>915</v>
      </c>
      <c r="U321" s="68">
        <f t="shared" si="56"/>
        <v>1769</v>
      </c>
      <c r="V321" s="77">
        <f>VLOOKUP(B321,'114+320'!$B$15:$AB$785,15,FALSE)</f>
        <v>-231</v>
      </c>
      <c r="W321" s="66">
        <f>'114+320'!S322</f>
        <v>0</v>
      </c>
      <c r="X321" s="65">
        <f t="shared" si="61"/>
        <v>111</v>
      </c>
      <c r="Y321" s="64">
        <f t="shared" si="62"/>
        <v>0</v>
      </c>
      <c r="Z321" s="63">
        <f t="shared" si="63"/>
        <v>0</v>
      </c>
      <c r="AA321" s="62">
        <f t="shared" si="64"/>
        <v>0.89900000000000002</v>
      </c>
      <c r="AB321" s="62">
        <f t="shared" si="65"/>
        <v>0.73399999999999999</v>
      </c>
    </row>
    <row r="322" spans="2:28">
      <c r="B322" s="106">
        <f>'114+320'!B323</f>
        <v>45352</v>
      </c>
      <c r="C322" s="75">
        <f t="shared" si="57"/>
        <v>1</v>
      </c>
      <c r="D322" s="74">
        <f t="shared" si="58"/>
        <v>842</v>
      </c>
      <c r="E322" s="73">
        <f>VLOOKUP(B322,'114+320'!B323:AB424,3,FALSE)</f>
        <v>1844</v>
      </c>
      <c r="F322" s="69">
        <f t="shared" si="53"/>
        <v>2686</v>
      </c>
      <c r="G322" s="72">
        <f>VLOOKUP(B322,'114+320'!$B$15:$AB$785,20,FALSE)</f>
        <v>694</v>
      </c>
      <c r="H322" s="72">
        <f>VLOOKUP(B322,'114+320'!$B$15:$AB$785,4,FALSE)</f>
        <v>972</v>
      </c>
      <c r="I322" s="68">
        <f t="shared" si="54"/>
        <v>1714</v>
      </c>
      <c r="J322" s="68">
        <f>VLOOKUP(B322,'114+320'!$B$15:$AB$785,13,FALSE)</f>
        <v>-286</v>
      </c>
      <c r="K322" s="66">
        <f>'114+320'!Q323</f>
        <v>0</v>
      </c>
      <c r="L322" s="65">
        <f t="shared" si="59"/>
        <v>106</v>
      </c>
      <c r="M322" s="70">
        <f>VLOOKUP(B322,'114+320'!$B$14:$AB$785,21,FALSE)</f>
        <v>677</v>
      </c>
      <c r="N322" s="69">
        <f>VLOOKUP(B322,'114+320'!$B$15:$AB$785,5,FALSE)</f>
        <v>989</v>
      </c>
      <c r="O322" s="68">
        <f t="shared" si="55"/>
        <v>1697</v>
      </c>
      <c r="P322" s="68">
        <f>VLOOKUP(B322,'114+320'!$B$15:$AB$785,14,FALSE)</f>
        <v>-303</v>
      </c>
      <c r="Q322" s="66">
        <f>'114+320'!R323</f>
        <v>0</v>
      </c>
      <c r="R322" s="65">
        <f t="shared" si="60"/>
        <v>123</v>
      </c>
      <c r="S322" s="70">
        <f>VLOOKUP(B322,'114+320'!$B$14:$AB$785,22,FALSE)</f>
        <v>689</v>
      </c>
      <c r="T322" s="69">
        <f>VLOOKUP(B322,'114+320'!$B$15:$AB$785,6,FALSE)</f>
        <v>917</v>
      </c>
      <c r="U322" s="68">
        <f t="shared" si="56"/>
        <v>1769</v>
      </c>
      <c r="V322" s="77">
        <f>VLOOKUP(B322,'114+320'!$B$15:$AB$785,15,FALSE)</f>
        <v>-231</v>
      </c>
      <c r="W322" s="66">
        <f>'114+320'!S323</f>
        <v>0</v>
      </c>
      <c r="X322" s="65">
        <f t="shared" si="61"/>
        <v>111</v>
      </c>
      <c r="Y322" s="64">
        <f t="shared" si="62"/>
        <v>0</v>
      </c>
      <c r="Z322" s="63">
        <f t="shared" si="63"/>
        <v>0</v>
      </c>
      <c r="AA322" s="62">
        <f t="shared" si="64"/>
        <v>0.89900000000000002</v>
      </c>
      <c r="AB322" s="62">
        <f t="shared" si="65"/>
        <v>0.73399999999999999</v>
      </c>
    </row>
    <row r="323" spans="2:28">
      <c r="B323" s="106">
        <f>'114+320'!B324</f>
        <v>45353</v>
      </c>
      <c r="C323" s="75">
        <f t="shared" si="57"/>
        <v>1</v>
      </c>
      <c r="D323" s="74">
        <f t="shared" si="58"/>
        <v>842</v>
      </c>
      <c r="E323" s="73">
        <f>VLOOKUP(B323,'114+320'!B324:AB425,3,FALSE)</f>
        <v>1846</v>
      </c>
      <c r="F323" s="69">
        <f t="shared" si="53"/>
        <v>2688</v>
      </c>
      <c r="G323" s="72">
        <f>VLOOKUP(B323,'114+320'!$B$15:$AB$785,20,FALSE)</f>
        <v>694</v>
      </c>
      <c r="H323" s="72">
        <f>VLOOKUP(B323,'114+320'!$B$15:$AB$785,4,FALSE)</f>
        <v>974</v>
      </c>
      <c r="I323" s="68">
        <f t="shared" si="54"/>
        <v>1714</v>
      </c>
      <c r="J323" s="68">
        <f>VLOOKUP(B323,'114+320'!$B$15:$AB$785,13,FALSE)</f>
        <v>-286</v>
      </c>
      <c r="K323" s="66">
        <f>'114+320'!Q324</f>
        <v>0</v>
      </c>
      <c r="L323" s="65">
        <f t="shared" si="59"/>
        <v>106</v>
      </c>
      <c r="M323" s="70">
        <f>VLOOKUP(B323,'114+320'!$B$14:$AB$785,21,FALSE)</f>
        <v>677</v>
      </c>
      <c r="N323" s="69">
        <f>VLOOKUP(B323,'114+320'!$B$15:$AB$785,5,FALSE)</f>
        <v>991</v>
      </c>
      <c r="O323" s="68">
        <f t="shared" si="55"/>
        <v>1697</v>
      </c>
      <c r="P323" s="68">
        <f>VLOOKUP(B323,'114+320'!$B$15:$AB$785,14,FALSE)</f>
        <v>-303</v>
      </c>
      <c r="Q323" s="66">
        <f>'114+320'!R324</f>
        <v>0</v>
      </c>
      <c r="R323" s="65">
        <f t="shared" si="60"/>
        <v>123</v>
      </c>
      <c r="S323" s="70">
        <f>VLOOKUP(B323,'114+320'!$B$14:$AB$785,22,FALSE)</f>
        <v>689</v>
      </c>
      <c r="T323" s="69">
        <f>VLOOKUP(B323,'114+320'!$B$15:$AB$785,6,FALSE)</f>
        <v>919</v>
      </c>
      <c r="U323" s="68">
        <f t="shared" si="56"/>
        <v>1769</v>
      </c>
      <c r="V323" s="77">
        <f>VLOOKUP(B323,'114+320'!$B$15:$AB$785,15,FALSE)</f>
        <v>-231</v>
      </c>
      <c r="W323" s="66">
        <f>'114+320'!S324</f>
        <v>0</v>
      </c>
      <c r="X323" s="65">
        <f t="shared" si="61"/>
        <v>111</v>
      </c>
      <c r="Y323" s="64">
        <f t="shared" si="62"/>
        <v>0</v>
      </c>
      <c r="Z323" s="63">
        <f t="shared" si="63"/>
        <v>0</v>
      </c>
      <c r="AA323" s="62">
        <f t="shared" si="64"/>
        <v>0.89900000000000002</v>
      </c>
      <c r="AB323" s="62">
        <f t="shared" si="65"/>
        <v>0.73399999999999999</v>
      </c>
    </row>
    <row r="324" spans="2:28">
      <c r="B324" s="106">
        <f>'114+320'!B325</f>
        <v>45354</v>
      </c>
      <c r="C324" s="75">
        <f t="shared" si="57"/>
        <v>1</v>
      </c>
      <c r="D324" s="74">
        <f t="shared" si="58"/>
        <v>842</v>
      </c>
      <c r="E324" s="73">
        <f>VLOOKUP(B324,'114+320'!B325:AB426,3,FALSE)</f>
        <v>1848</v>
      </c>
      <c r="F324" s="69">
        <f t="shared" si="53"/>
        <v>2690</v>
      </c>
      <c r="G324" s="72">
        <f>VLOOKUP(B324,'114+320'!$B$15:$AB$785,20,FALSE)</f>
        <v>694</v>
      </c>
      <c r="H324" s="72">
        <f>VLOOKUP(B324,'114+320'!$B$15:$AB$785,4,FALSE)</f>
        <v>976</v>
      </c>
      <c r="I324" s="68">
        <f t="shared" si="54"/>
        <v>1714</v>
      </c>
      <c r="J324" s="68">
        <f>VLOOKUP(B324,'114+320'!$B$15:$AB$785,13,FALSE)</f>
        <v>-286</v>
      </c>
      <c r="K324" s="66">
        <f>'114+320'!Q325</f>
        <v>0</v>
      </c>
      <c r="L324" s="65">
        <f t="shared" si="59"/>
        <v>106</v>
      </c>
      <c r="M324" s="70">
        <f>VLOOKUP(B324,'114+320'!$B$14:$AB$785,21,FALSE)</f>
        <v>677</v>
      </c>
      <c r="N324" s="69">
        <f>VLOOKUP(B324,'114+320'!$B$15:$AB$785,5,FALSE)</f>
        <v>993</v>
      </c>
      <c r="O324" s="68">
        <f t="shared" si="55"/>
        <v>1697</v>
      </c>
      <c r="P324" s="68">
        <f>VLOOKUP(B324,'114+320'!$B$15:$AB$785,14,FALSE)</f>
        <v>-303</v>
      </c>
      <c r="Q324" s="66">
        <f>'114+320'!R325</f>
        <v>0</v>
      </c>
      <c r="R324" s="65">
        <f t="shared" si="60"/>
        <v>123</v>
      </c>
      <c r="S324" s="70">
        <f>VLOOKUP(B324,'114+320'!$B$14:$AB$785,22,FALSE)</f>
        <v>689</v>
      </c>
      <c r="T324" s="69">
        <f>VLOOKUP(B324,'114+320'!$B$15:$AB$785,6,FALSE)</f>
        <v>921</v>
      </c>
      <c r="U324" s="68">
        <f t="shared" si="56"/>
        <v>1769</v>
      </c>
      <c r="V324" s="77">
        <f>VLOOKUP(B324,'114+320'!$B$15:$AB$785,15,FALSE)</f>
        <v>-231</v>
      </c>
      <c r="W324" s="66">
        <f>'114+320'!S325</f>
        <v>0</v>
      </c>
      <c r="X324" s="65">
        <f t="shared" si="61"/>
        <v>111</v>
      </c>
      <c r="Y324" s="64">
        <f t="shared" si="62"/>
        <v>0</v>
      </c>
      <c r="Z324" s="63">
        <f t="shared" si="63"/>
        <v>0</v>
      </c>
      <c r="AA324" s="62">
        <f t="shared" si="64"/>
        <v>0.89900000000000002</v>
      </c>
      <c r="AB324" s="62">
        <f t="shared" si="65"/>
        <v>0.73399999999999999</v>
      </c>
    </row>
    <row r="325" spans="2:28">
      <c r="B325" s="106">
        <f>'114+320'!B326</f>
        <v>45355</v>
      </c>
      <c r="C325" s="75">
        <f t="shared" si="57"/>
        <v>1</v>
      </c>
      <c r="D325" s="74">
        <f t="shared" si="58"/>
        <v>842</v>
      </c>
      <c r="E325" s="73">
        <f>VLOOKUP(B325,'114+320'!B326:AB427,3,FALSE)</f>
        <v>1850</v>
      </c>
      <c r="F325" s="69">
        <f t="shared" si="53"/>
        <v>2692</v>
      </c>
      <c r="G325" s="72">
        <f>VLOOKUP(B325,'114+320'!$B$15:$AB$785,20,FALSE)</f>
        <v>694</v>
      </c>
      <c r="H325" s="72">
        <f>VLOOKUP(B325,'114+320'!$B$15:$AB$785,4,FALSE)</f>
        <v>978</v>
      </c>
      <c r="I325" s="68">
        <f t="shared" si="54"/>
        <v>1714</v>
      </c>
      <c r="J325" s="68">
        <f>VLOOKUP(B325,'114+320'!$B$15:$AB$785,13,FALSE)</f>
        <v>-286</v>
      </c>
      <c r="K325" s="66">
        <f>'114+320'!Q326</f>
        <v>0</v>
      </c>
      <c r="L325" s="65">
        <f t="shared" si="59"/>
        <v>106</v>
      </c>
      <c r="M325" s="70">
        <f>VLOOKUP(B325,'114+320'!$B$14:$AB$785,21,FALSE)</f>
        <v>677</v>
      </c>
      <c r="N325" s="69">
        <f>VLOOKUP(B325,'114+320'!$B$15:$AB$785,5,FALSE)</f>
        <v>995</v>
      </c>
      <c r="O325" s="68">
        <f t="shared" si="55"/>
        <v>1697</v>
      </c>
      <c r="P325" s="68">
        <f>VLOOKUP(B325,'114+320'!$B$15:$AB$785,14,FALSE)</f>
        <v>-303</v>
      </c>
      <c r="Q325" s="66">
        <f>'114+320'!R326</f>
        <v>0</v>
      </c>
      <c r="R325" s="65">
        <f t="shared" si="60"/>
        <v>123</v>
      </c>
      <c r="S325" s="70">
        <f>VLOOKUP(B325,'114+320'!$B$14:$AB$785,22,FALSE)</f>
        <v>689</v>
      </c>
      <c r="T325" s="69">
        <f>VLOOKUP(B325,'114+320'!$B$15:$AB$785,6,FALSE)</f>
        <v>923</v>
      </c>
      <c r="U325" s="68">
        <f t="shared" si="56"/>
        <v>1769</v>
      </c>
      <c r="V325" s="77">
        <f>VLOOKUP(B325,'114+320'!$B$15:$AB$785,15,FALSE)</f>
        <v>-231</v>
      </c>
      <c r="W325" s="66">
        <f>'114+320'!S326</f>
        <v>0</v>
      </c>
      <c r="X325" s="65">
        <f t="shared" si="61"/>
        <v>111</v>
      </c>
      <c r="Y325" s="64">
        <f t="shared" si="62"/>
        <v>0</v>
      </c>
      <c r="Z325" s="63">
        <f t="shared" si="63"/>
        <v>0</v>
      </c>
      <c r="AA325" s="62">
        <f t="shared" si="64"/>
        <v>0.89900000000000002</v>
      </c>
      <c r="AB325" s="62">
        <f t="shared" si="65"/>
        <v>0.73399999999999999</v>
      </c>
    </row>
    <row r="326" spans="2:28">
      <c r="B326" s="106">
        <f>'114+320'!B327</f>
        <v>45356</v>
      </c>
      <c r="C326" s="75">
        <f t="shared" si="57"/>
        <v>1</v>
      </c>
      <c r="D326" s="74">
        <f t="shared" si="58"/>
        <v>842</v>
      </c>
      <c r="E326" s="73">
        <f>VLOOKUP(B326,'114+320'!B327:AB428,3,FALSE)</f>
        <v>1852</v>
      </c>
      <c r="F326" s="69">
        <f t="shared" si="53"/>
        <v>2694</v>
      </c>
      <c r="G326" s="72">
        <f>VLOOKUP(B326,'114+320'!$B$15:$AB$785,20,FALSE)</f>
        <v>694</v>
      </c>
      <c r="H326" s="72">
        <f>VLOOKUP(B326,'114+320'!$B$15:$AB$785,4,FALSE)</f>
        <v>980</v>
      </c>
      <c r="I326" s="68">
        <f t="shared" si="54"/>
        <v>1714</v>
      </c>
      <c r="J326" s="68">
        <f>VLOOKUP(B326,'114+320'!$B$15:$AB$785,13,FALSE)</f>
        <v>-286</v>
      </c>
      <c r="K326" s="66">
        <f>'114+320'!Q327</f>
        <v>0</v>
      </c>
      <c r="L326" s="65">
        <f t="shared" si="59"/>
        <v>106</v>
      </c>
      <c r="M326" s="70">
        <f>VLOOKUP(B326,'114+320'!$B$14:$AB$785,21,FALSE)</f>
        <v>677</v>
      </c>
      <c r="N326" s="69">
        <f>VLOOKUP(B326,'114+320'!$B$15:$AB$785,5,FALSE)</f>
        <v>997</v>
      </c>
      <c r="O326" s="68">
        <f t="shared" si="55"/>
        <v>1697</v>
      </c>
      <c r="P326" s="68">
        <f>VLOOKUP(B326,'114+320'!$B$15:$AB$785,14,FALSE)</f>
        <v>-303</v>
      </c>
      <c r="Q326" s="66">
        <f>'114+320'!R327</f>
        <v>0</v>
      </c>
      <c r="R326" s="65">
        <f t="shared" si="60"/>
        <v>123</v>
      </c>
      <c r="S326" s="70">
        <f>VLOOKUP(B326,'114+320'!$B$14:$AB$785,22,FALSE)</f>
        <v>689</v>
      </c>
      <c r="T326" s="69">
        <f>VLOOKUP(B326,'114+320'!$B$15:$AB$785,6,FALSE)</f>
        <v>925</v>
      </c>
      <c r="U326" s="68">
        <f t="shared" si="56"/>
        <v>1769</v>
      </c>
      <c r="V326" s="77">
        <f>VLOOKUP(B326,'114+320'!$B$15:$AB$785,15,FALSE)</f>
        <v>-231</v>
      </c>
      <c r="W326" s="66">
        <f>'114+320'!S327</f>
        <v>0</v>
      </c>
      <c r="X326" s="65">
        <f t="shared" si="61"/>
        <v>111</v>
      </c>
      <c r="Y326" s="64">
        <f t="shared" si="62"/>
        <v>0</v>
      </c>
      <c r="Z326" s="63">
        <f t="shared" si="63"/>
        <v>0</v>
      </c>
      <c r="AA326" s="62">
        <f t="shared" si="64"/>
        <v>0.89900000000000002</v>
      </c>
      <c r="AB326" s="62">
        <f t="shared" si="65"/>
        <v>0.73399999999999999</v>
      </c>
    </row>
    <row r="327" spans="2:28">
      <c r="B327" s="106">
        <f>'114+320'!B328</f>
        <v>45357</v>
      </c>
      <c r="C327" s="75">
        <f t="shared" si="57"/>
        <v>1</v>
      </c>
      <c r="D327" s="74">
        <f t="shared" si="58"/>
        <v>842</v>
      </c>
      <c r="E327" s="73">
        <f>VLOOKUP(B327,'114+320'!B328:AB429,3,FALSE)</f>
        <v>1854</v>
      </c>
      <c r="F327" s="69">
        <f t="shared" si="53"/>
        <v>2696</v>
      </c>
      <c r="G327" s="72">
        <f>VLOOKUP(B327,'114+320'!$B$15:$AB$785,20,FALSE)</f>
        <v>694</v>
      </c>
      <c r="H327" s="72">
        <f>VLOOKUP(B327,'114+320'!$B$15:$AB$785,4,FALSE)</f>
        <v>982</v>
      </c>
      <c r="I327" s="68">
        <f t="shared" si="54"/>
        <v>1714</v>
      </c>
      <c r="J327" s="68">
        <f>VLOOKUP(B327,'114+320'!$B$15:$AB$785,13,FALSE)</f>
        <v>-286</v>
      </c>
      <c r="K327" s="66">
        <f>'114+320'!Q328</f>
        <v>0</v>
      </c>
      <c r="L327" s="65">
        <f t="shared" si="59"/>
        <v>106</v>
      </c>
      <c r="M327" s="70">
        <f>VLOOKUP(B327,'114+320'!$B$14:$AB$785,21,FALSE)</f>
        <v>677</v>
      </c>
      <c r="N327" s="69">
        <f>VLOOKUP(B327,'114+320'!$B$15:$AB$785,5,FALSE)</f>
        <v>999</v>
      </c>
      <c r="O327" s="68">
        <f t="shared" si="55"/>
        <v>1697</v>
      </c>
      <c r="P327" s="68">
        <f>VLOOKUP(B327,'114+320'!$B$15:$AB$785,14,FALSE)</f>
        <v>-303</v>
      </c>
      <c r="Q327" s="66">
        <f>'114+320'!R328</f>
        <v>0</v>
      </c>
      <c r="R327" s="65">
        <f t="shared" si="60"/>
        <v>123</v>
      </c>
      <c r="S327" s="70">
        <f>VLOOKUP(B327,'114+320'!$B$14:$AB$785,22,FALSE)</f>
        <v>689</v>
      </c>
      <c r="T327" s="69">
        <f>VLOOKUP(B327,'114+320'!$B$15:$AB$785,6,FALSE)</f>
        <v>927</v>
      </c>
      <c r="U327" s="68">
        <f t="shared" si="56"/>
        <v>1769</v>
      </c>
      <c r="V327" s="77">
        <f>VLOOKUP(B327,'114+320'!$B$15:$AB$785,15,FALSE)</f>
        <v>-231</v>
      </c>
      <c r="W327" s="66">
        <f>'114+320'!S328</f>
        <v>0</v>
      </c>
      <c r="X327" s="65">
        <f t="shared" si="61"/>
        <v>111</v>
      </c>
      <c r="Y327" s="64">
        <f t="shared" si="62"/>
        <v>0</v>
      </c>
      <c r="Z327" s="63">
        <f t="shared" si="63"/>
        <v>0</v>
      </c>
      <c r="AA327" s="62">
        <f t="shared" si="64"/>
        <v>0.89900000000000002</v>
      </c>
      <c r="AB327" s="62">
        <f t="shared" si="65"/>
        <v>0.73399999999999999</v>
      </c>
    </row>
    <row r="328" spans="2:28">
      <c r="B328" s="106">
        <f>'114+320'!B329</f>
        <v>45358</v>
      </c>
      <c r="C328" s="75">
        <f t="shared" si="57"/>
        <v>1</v>
      </c>
      <c r="D328" s="74">
        <f t="shared" si="58"/>
        <v>842</v>
      </c>
      <c r="E328" s="73">
        <f>VLOOKUP(B328,'114+320'!B329:AB430,3,FALSE)</f>
        <v>1856</v>
      </c>
      <c r="F328" s="69">
        <f t="shared" si="53"/>
        <v>2698</v>
      </c>
      <c r="G328" s="72">
        <f>VLOOKUP(B328,'114+320'!$B$15:$AB$785,20,FALSE)</f>
        <v>694</v>
      </c>
      <c r="H328" s="72">
        <f>VLOOKUP(B328,'114+320'!$B$15:$AB$785,4,FALSE)</f>
        <v>984</v>
      </c>
      <c r="I328" s="68">
        <f t="shared" si="54"/>
        <v>1714</v>
      </c>
      <c r="J328" s="68">
        <f>VLOOKUP(B328,'114+320'!$B$15:$AB$785,13,FALSE)</f>
        <v>-286</v>
      </c>
      <c r="K328" s="66">
        <f>'114+320'!Q329</f>
        <v>0</v>
      </c>
      <c r="L328" s="65">
        <f t="shared" si="59"/>
        <v>106</v>
      </c>
      <c r="M328" s="70">
        <f>VLOOKUP(B328,'114+320'!$B$14:$AB$785,21,FALSE)</f>
        <v>677</v>
      </c>
      <c r="N328" s="69">
        <f>VLOOKUP(B328,'114+320'!$B$15:$AB$785,5,FALSE)</f>
        <v>1001</v>
      </c>
      <c r="O328" s="68">
        <f t="shared" si="55"/>
        <v>1697</v>
      </c>
      <c r="P328" s="68">
        <f>VLOOKUP(B328,'114+320'!$B$15:$AB$785,14,FALSE)</f>
        <v>-303</v>
      </c>
      <c r="Q328" s="66">
        <f>'114+320'!R329</f>
        <v>0</v>
      </c>
      <c r="R328" s="65">
        <f t="shared" si="60"/>
        <v>123</v>
      </c>
      <c r="S328" s="70">
        <f>VLOOKUP(B328,'114+320'!$B$14:$AB$785,22,FALSE)</f>
        <v>689</v>
      </c>
      <c r="T328" s="69">
        <f>VLOOKUP(B328,'114+320'!$B$15:$AB$785,6,FALSE)</f>
        <v>929</v>
      </c>
      <c r="U328" s="68">
        <f t="shared" si="56"/>
        <v>1769</v>
      </c>
      <c r="V328" s="77">
        <f>VLOOKUP(B328,'114+320'!$B$15:$AB$785,15,FALSE)</f>
        <v>-231</v>
      </c>
      <c r="W328" s="66">
        <f>'114+320'!S329</f>
        <v>0</v>
      </c>
      <c r="X328" s="65">
        <f t="shared" si="61"/>
        <v>111</v>
      </c>
      <c r="Y328" s="64">
        <f t="shared" si="62"/>
        <v>0</v>
      </c>
      <c r="Z328" s="63">
        <f t="shared" si="63"/>
        <v>0</v>
      </c>
      <c r="AA328" s="62">
        <f t="shared" si="64"/>
        <v>0.89900000000000002</v>
      </c>
      <c r="AB328" s="62">
        <f t="shared" si="65"/>
        <v>0.73399999999999999</v>
      </c>
    </row>
    <row r="329" spans="2:28">
      <c r="B329" s="106">
        <f>'114+320'!B330</f>
        <v>45359</v>
      </c>
      <c r="C329" s="75">
        <f t="shared" si="57"/>
        <v>1</v>
      </c>
      <c r="D329" s="74">
        <f t="shared" si="58"/>
        <v>842</v>
      </c>
      <c r="E329" s="73">
        <f>VLOOKUP(B329,'114+320'!B330:AB431,3,FALSE)</f>
        <v>1858</v>
      </c>
      <c r="F329" s="69">
        <f t="shared" si="53"/>
        <v>2700</v>
      </c>
      <c r="G329" s="72">
        <f>VLOOKUP(B329,'114+320'!$B$15:$AB$785,20,FALSE)</f>
        <v>694</v>
      </c>
      <c r="H329" s="72">
        <f>VLOOKUP(B329,'114+320'!$B$15:$AB$785,4,FALSE)</f>
        <v>986</v>
      </c>
      <c r="I329" s="68">
        <f t="shared" si="54"/>
        <v>1714</v>
      </c>
      <c r="J329" s="68">
        <f>VLOOKUP(B329,'114+320'!$B$15:$AB$785,13,FALSE)</f>
        <v>-286</v>
      </c>
      <c r="K329" s="66">
        <f>'114+320'!Q330</f>
        <v>0</v>
      </c>
      <c r="L329" s="65">
        <f t="shared" si="59"/>
        <v>106</v>
      </c>
      <c r="M329" s="70">
        <f>VLOOKUP(B329,'114+320'!$B$14:$AB$785,21,FALSE)</f>
        <v>677</v>
      </c>
      <c r="N329" s="69">
        <f>VLOOKUP(B329,'114+320'!$B$15:$AB$785,5,FALSE)</f>
        <v>1003</v>
      </c>
      <c r="O329" s="68">
        <f t="shared" si="55"/>
        <v>1697</v>
      </c>
      <c r="P329" s="68">
        <f>VLOOKUP(B329,'114+320'!$B$15:$AB$785,14,FALSE)</f>
        <v>-303</v>
      </c>
      <c r="Q329" s="66">
        <f>'114+320'!R330</f>
        <v>0</v>
      </c>
      <c r="R329" s="65">
        <f t="shared" si="60"/>
        <v>123</v>
      </c>
      <c r="S329" s="70">
        <f>VLOOKUP(B329,'114+320'!$B$14:$AB$785,22,FALSE)</f>
        <v>689</v>
      </c>
      <c r="T329" s="69">
        <f>VLOOKUP(B329,'114+320'!$B$15:$AB$785,6,FALSE)</f>
        <v>931</v>
      </c>
      <c r="U329" s="68">
        <f t="shared" si="56"/>
        <v>1769</v>
      </c>
      <c r="V329" s="77">
        <f>VLOOKUP(B329,'114+320'!$B$15:$AB$785,15,FALSE)</f>
        <v>-231</v>
      </c>
      <c r="W329" s="66">
        <f>'114+320'!S330</f>
        <v>0</v>
      </c>
      <c r="X329" s="65">
        <f t="shared" si="61"/>
        <v>111</v>
      </c>
      <c r="Y329" s="64">
        <f t="shared" si="62"/>
        <v>0</v>
      </c>
      <c r="Z329" s="63">
        <f t="shared" si="63"/>
        <v>0</v>
      </c>
      <c r="AA329" s="62">
        <f t="shared" si="64"/>
        <v>0.89900000000000002</v>
      </c>
      <c r="AB329" s="62">
        <f t="shared" si="65"/>
        <v>0.73399999999999999</v>
      </c>
    </row>
    <row r="330" spans="2:28">
      <c r="B330" s="106">
        <f>'114+320'!B331</f>
        <v>45360</v>
      </c>
      <c r="C330" s="75">
        <f t="shared" si="57"/>
        <v>1</v>
      </c>
      <c r="D330" s="74">
        <f t="shared" si="58"/>
        <v>842</v>
      </c>
      <c r="E330" s="73">
        <f>VLOOKUP(B330,'114+320'!B331:AB432,3,FALSE)</f>
        <v>1860</v>
      </c>
      <c r="F330" s="69">
        <f t="shared" si="53"/>
        <v>2702</v>
      </c>
      <c r="G330" s="72">
        <f>VLOOKUP(B330,'114+320'!$B$15:$AB$785,20,FALSE)</f>
        <v>694</v>
      </c>
      <c r="H330" s="72">
        <f>VLOOKUP(B330,'114+320'!$B$15:$AB$785,4,FALSE)</f>
        <v>988</v>
      </c>
      <c r="I330" s="68">
        <f t="shared" si="54"/>
        <v>1714</v>
      </c>
      <c r="J330" s="68">
        <f>VLOOKUP(B330,'114+320'!$B$15:$AB$785,13,FALSE)</f>
        <v>-286</v>
      </c>
      <c r="K330" s="66">
        <f>'114+320'!Q331</f>
        <v>0</v>
      </c>
      <c r="L330" s="65">
        <f t="shared" si="59"/>
        <v>106</v>
      </c>
      <c r="M330" s="70">
        <f>VLOOKUP(B330,'114+320'!$B$14:$AB$785,21,FALSE)</f>
        <v>677</v>
      </c>
      <c r="N330" s="69">
        <f>VLOOKUP(B330,'114+320'!$B$15:$AB$785,5,FALSE)</f>
        <v>1005</v>
      </c>
      <c r="O330" s="68">
        <f t="shared" si="55"/>
        <v>1697</v>
      </c>
      <c r="P330" s="68">
        <f>VLOOKUP(B330,'114+320'!$B$15:$AB$785,14,FALSE)</f>
        <v>-303</v>
      </c>
      <c r="Q330" s="66">
        <f>'114+320'!R331</f>
        <v>0</v>
      </c>
      <c r="R330" s="65">
        <f t="shared" si="60"/>
        <v>123</v>
      </c>
      <c r="S330" s="70">
        <f>VLOOKUP(B330,'114+320'!$B$14:$AB$785,22,FALSE)</f>
        <v>689</v>
      </c>
      <c r="T330" s="69">
        <f>VLOOKUP(B330,'114+320'!$B$15:$AB$785,6,FALSE)</f>
        <v>933</v>
      </c>
      <c r="U330" s="68">
        <f t="shared" si="56"/>
        <v>1769</v>
      </c>
      <c r="V330" s="77">
        <f>VLOOKUP(B330,'114+320'!$B$15:$AB$785,15,FALSE)</f>
        <v>-231</v>
      </c>
      <c r="W330" s="66">
        <f>'114+320'!S331</f>
        <v>0</v>
      </c>
      <c r="X330" s="65">
        <f t="shared" si="61"/>
        <v>111</v>
      </c>
      <c r="Y330" s="64">
        <f t="shared" si="62"/>
        <v>0</v>
      </c>
      <c r="Z330" s="63">
        <f t="shared" si="63"/>
        <v>0</v>
      </c>
      <c r="AA330" s="62">
        <f t="shared" si="64"/>
        <v>0.89900000000000002</v>
      </c>
      <c r="AB330" s="62">
        <f t="shared" si="65"/>
        <v>0.73399999999999999</v>
      </c>
    </row>
    <row r="331" spans="2:28">
      <c r="B331" s="106">
        <f>'114+320'!B332</f>
        <v>45361</v>
      </c>
      <c r="C331" s="75">
        <f t="shared" si="57"/>
        <v>1</v>
      </c>
      <c r="D331" s="74">
        <f t="shared" si="58"/>
        <v>842</v>
      </c>
      <c r="E331" s="73">
        <f>VLOOKUP(B331,'114+320'!B332:AB433,3,FALSE)</f>
        <v>1862</v>
      </c>
      <c r="F331" s="69">
        <f t="shared" si="53"/>
        <v>2704</v>
      </c>
      <c r="G331" s="72">
        <f>VLOOKUP(B331,'114+320'!$B$15:$AB$785,20,FALSE)</f>
        <v>694</v>
      </c>
      <c r="H331" s="72">
        <f>VLOOKUP(B331,'114+320'!$B$15:$AB$785,4,FALSE)</f>
        <v>990</v>
      </c>
      <c r="I331" s="68">
        <f t="shared" si="54"/>
        <v>1714</v>
      </c>
      <c r="J331" s="68">
        <f>VLOOKUP(B331,'114+320'!$B$15:$AB$785,13,FALSE)</f>
        <v>-286</v>
      </c>
      <c r="K331" s="66">
        <f>'114+320'!Q332</f>
        <v>0</v>
      </c>
      <c r="L331" s="65">
        <f t="shared" si="59"/>
        <v>106</v>
      </c>
      <c r="M331" s="70">
        <f>VLOOKUP(B331,'114+320'!$B$14:$AB$785,21,FALSE)</f>
        <v>677</v>
      </c>
      <c r="N331" s="69">
        <f>VLOOKUP(B331,'114+320'!$B$15:$AB$785,5,FALSE)</f>
        <v>1007</v>
      </c>
      <c r="O331" s="68">
        <f t="shared" si="55"/>
        <v>1697</v>
      </c>
      <c r="P331" s="68">
        <f>VLOOKUP(B331,'114+320'!$B$15:$AB$785,14,FALSE)</f>
        <v>-303</v>
      </c>
      <c r="Q331" s="66">
        <f>'114+320'!R332</f>
        <v>0</v>
      </c>
      <c r="R331" s="65">
        <f t="shared" si="60"/>
        <v>123</v>
      </c>
      <c r="S331" s="70">
        <f>VLOOKUP(B331,'114+320'!$B$14:$AB$785,22,FALSE)</f>
        <v>689</v>
      </c>
      <c r="T331" s="69">
        <f>VLOOKUP(B331,'114+320'!$B$15:$AB$785,6,FALSE)</f>
        <v>935</v>
      </c>
      <c r="U331" s="68">
        <f t="shared" si="56"/>
        <v>1769</v>
      </c>
      <c r="V331" s="77">
        <f>VLOOKUP(B331,'114+320'!$B$15:$AB$785,15,FALSE)</f>
        <v>-231</v>
      </c>
      <c r="W331" s="66">
        <f>'114+320'!S332</f>
        <v>0</v>
      </c>
      <c r="X331" s="65">
        <f t="shared" si="61"/>
        <v>111</v>
      </c>
      <c r="Y331" s="64">
        <f t="shared" si="62"/>
        <v>0</v>
      </c>
      <c r="Z331" s="63">
        <f t="shared" si="63"/>
        <v>0</v>
      </c>
      <c r="AA331" s="62">
        <f t="shared" si="64"/>
        <v>0.89900000000000002</v>
      </c>
      <c r="AB331" s="62">
        <f t="shared" si="65"/>
        <v>0.73399999999999999</v>
      </c>
    </row>
    <row r="332" spans="2:28">
      <c r="B332" s="106">
        <f>'114+320'!B333</f>
        <v>45362</v>
      </c>
      <c r="C332" s="75">
        <f t="shared" si="57"/>
        <v>1</v>
      </c>
      <c r="D332" s="74">
        <f t="shared" si="58"/>
        <v>842</v>
      </c>
      <c r="E332" s="73">
        <f>VLOOKUP(B332,'114+320'!B333:AB434,3,FALSE)</f>
        <v>1864</v>
      </c>
      <c r="F332" s="69">
        <f t="shared" si="53"/>
        <v>2706</v>
      </c>
      <c r="G332" s="72">
        <f>VLOOKUP(B332,'114+320'!$B$15:$AB$785,20,FALSE)</f>
        <v>694</v>
      </c>
      <c r="H332" s="72">
        <f>VLOOKUP(B332,'114+320'!$B$15:$AB$785,4,FALSE)</f>
        <v>992</v>
      </c>
      <c r="I332" s="68">
        <f t="shared" si="54"/>
        <v>1714</v>
      </c>
      <c r="J332" s="68">
        <f>VLOOKUP(B332,'114+320'!$B$15:$AB$785,13,FALSE)</f>
        <v>-286</v>
      </c>
      <c r="K332" s="66">
        <f>'114+320'!Q333</f>
        <v>0</v>
      </c>
      <c r="L332" s="65">
        <f t="shared" si="59"/>
        <v>106</v>
      </c>
      <c r="M332" s="70">
        <f>VLOOKUP(B332,'114+320'!$B$14:$AB$785,21,FALSE)</f>
        <v>677</v>
      </c>
      <c r="N332" s="69">
        <f>VLOOKUP(B332,'114+320'!$B$15:$AB$785,5,FALSE)</f>
        <v>1009</v>
      </c>
      <c r="O332" s="68">
        <f t="shared" si="55"/>
        <v>1697</v>
      </c>
      <c r="P332" s="68">
        <f>VLOOKUP(B332,'114+320'!$B$15:$AB$785,14,FALSE)</f>
        <v>-303</v>
      </c>
      <c r="Q332" s="66">
        <f>'114+320'!R333</f>
        <v>0</v>
      </c>
      <c r="R332" s="65">
        <f t="shared" si="60"/>
        <v>123</v>
      </c>
      <c r="S332" s="70">
        <f>VLOOKUP(B332,'114+320'!$B$14:$AB$785,22,FALSE)</f>
        <v>689</v>
      </c>
      <c r="T332" s="69">
        <f>VLOOKUP(B332,'114+320'!$B$15:$AB$785,6,FALSE)</f>
        <v>937</v>
      </c>
      <c r="U332" s="68">
        <f t="shared" si="56"/>
        <v>1769</v>
      </c>
      <c r="V332" s="77">
        <f>VLOOKUP(B332,'114+320'!$B$15:$AB$785,15,FALSE)</f>
        <v>-231</v>
      </c>
      <c r="W332" s="66">
        <f>'114+320'!S333</f>
        <v>0</v>
      </c>
      <c r="X332" s="65">
        <f t="shared" si="61"/>
        <v>111</v>
      </c>
      <c r="Y332" s="64">
        <f t="shared" si="62"/>
        <v>0</v>
      </c>
      <c r="Z332" s="63">
        <f t="shared" si="63"/>
        <v>0</v>
      </c>
      <c r="AA332" s="62">
        <f t="shared" si="64"/>
        <v>0.89900000000000002</v>
      </c>
      <c r="AB332" s="62">
        <f t="shared" si="65"/>
        <v>0.73399999999999999</v>
      </c>
    </row>
    <row r="333" spans="2:28">
      <c r="B333" s="106">
        <f>'114+320'!B334</f>
        <v>45363</v>
      </c>
      <c r="C333" s="75">
        <f t="shared" si="57"/>
        <v>1</v>
      </c>
      <c r="D333" s="74">
        <f t="shared" si="58"/>
        <v>842</v>
      </c>
      <c r="E333" s="73">
        <f>VLOOKUP(B333,'114+320'!B334:AB435,3,FALSE)</f>
        <v>1866</v>
      </c>
      <c r="F333" s="69">
        <f t="shared" ref="F333:F396" si="66">D333+E333</f>
        <v>2708</v>
      </c>
      <c r="G333" s="72">
        <f>VLOOKUP(B333,'114+320'!$B$15:$AB$785,20,FALSE)</f>
        <v>694</v>
      </c>
      <c r="H333" s="72">
        <f>VLOOKUP(B333,'114+320'!$B$15:$AB$785,4,FALSE)</f>
        <v>994</v>
      </c>
      <c r="I333" s="68">
        <f t="shared" ref="I333:I396" si="67">F333-H333</f>
        <v>1714</v>
      </c>
      <c r="J333" s="68">
        <f>VLOOKUP(B333,'114+320'!$B$15:$AB$785,13,FALSE)</f>
        <v>-286</v>
      </c>
      <c r="K333" s="66">
        <f>'114+320'!Q334</f>
        <v>0</v>
      </c>
      <c r="L333" s="65">
        <f t="shared" si="59"/>
        <v>106</v>
      </c>
      <c r="M333" s="70">
        <f>VLOOKUP(B333,'114+320'!$B$14:$AB$785,21,FALSE)</f>
        <v>677</v>
      </c>
      <c r="N333" s="69">
        <f>VLOOKUP(B333,'114+320'!$B$15:$AB$785,5,FALSE)</f>
        <v>1011</v>
      </c>
      <c r="O333" s="68">
        <f t="shared" ref="O333:O396" si="68">F333-N333</f>
        <v>1697</v>
      </c>
      <c r="P333" s="68">
        <f>VLOOKUP(B333,'114+320'!$B$15:$AB$785,14,FALSE)</f>
        <v>-303</v>
      </c>
      <c r="Q333" s="66">
        <f>'114+320'!R334</f>
        <v>0</v>
      </c>
      <c r="R333" s="65">
        <f t="shared" si="60"/>
        <v>123</v>
      </c>
      <c r="S333" s="70">
        <f>VLOOKUP(B333,'114+320'!$B$14:$AB$785,22,FALSE)</f>
        <v>689</v>
      </c>
      <c r="T333" s="69">
        <f>VLOOKUP(B333,'114+320'!$B$15:$AB$785,6,FALSE)</f>
        <v>939</v>
      </c>
      <c r="U333" s="68">
        <f t="shared" ref="U333:U396" si="69">F333-T333</f>
        <v>1769</v>
      </c>
      <c r="V333" s="77">
        <f>VLOOKUP(B333,'114+320'!$B$15:$AB$785,15,FALSE)</f>
        <v>-231</v>
      </c>
      <c r="W333" s="66">
        <f>'114+320'!S334</f>
        <v>0</v>
      </c>
      <c r="X333" s="65">
        <f t="shared" si="61"/>
        <v>111</v>
      </c>
      <c r="Y333" s="64">
        <f t="shared" si="62"/>
        <v>0</v>
      </c>
      <c r="Z333" s="63">
        <f t="shared" si="63"/>
        <v>0</v>
      </c>
      <c r="AA333" s="62">
        <f t="shared" si="64"/>
        <v>0.89900000000000002</v>
      </c>
      <c r="AB333" s="62">
        <f t="shared" si="65"/>
        <v>0.73399999999999999</v>
      </c>
    </row>
    <row r="334" spans="2:28">
      <c r="B334" s="106">
        <f>'114+320'!B335</f>
        <v>45364</v>
      </c>
      <c r="C334" s="75">
        <f t="shared" ref="C334:C397" si="70">B334-B333</f>
        <v>1</v>
      </c>
      <c r="D334" s="74">
        <f t="shared" ref="D334:D397" si="71">D333</f>
        <v>842</v>
      </c>
      <c r="E334" s="73">
        <f>VLOOKUP(B334,'114+320'!B335:AB436,3,FALSE)</f>
        <v>1868</v>
      </c>
      <c r="F334" s="69">
        <f t="shared" si="66"/>
        <v>2710</v>
      </c>
      <c r="G334" s="72">
        <f>VLOOKUP(B334,'114+320'!$B$15:$AB$785,20,FALSE)</f>
        <v>694</v>
      </c>
      <c r="H334" s="72">
        <f>VLOOKUP(B334,'114+320'!$B$15:$AB$785,4,FALSE)</f>
        <v>996</v>
      </c>
      <c r="I334" s="68">
        <f t="shared" si="67"/>
        <v>1714</v>
      </c>
      <c r="J334" s="68">
        <f>VLOOKUP(B334,'114+320'!$B$15:$AB$785,13,FALSE)</f>
        <v>-286</v>
      </c>
      <c r="K334" s="66">
        <f>'114+320'!Q335</f>
        <v>0</v>
      </c>
      <c r="L334" s="65">
        <f t="shared" ref="L334:L397" si="72">+K334+L333</f>
        <v>106</v>
      </c>
      <c r="M334" s="70">
        <f>VLOOKUP(B334,'114+320'!$B$14:$AB$785,21,FALSE)</f>
        <v>677</v>
      </c>
      <c r="N334" s="69">
        <f>VLOOKUP(B334,'114+320'!$B$15:$AB$785,5,FALSE)</f>
        <v>1013</v>
      </c>
      <c r="O334" s="68">
        <f t="shared" si="68"/>
        <v>1697</v>
      </c>
      <c r="P334" s="68">
        <f>VLOOKUP(B334,'114+320'!$B$15:$AB$785,14,FALSE)</f>
        <v>-303</v>
      </c>
      <c r="Q334" s="66">
        <f>'114+320'!R335</f>
        <v>0</v>
      </c>
      <c r="R334" s="65">
        <f t="shared" ref="R334:R397" si="73">+Q334+R333</f>
        <v>123</v>
      </c>
      <c r="S334" s="70">
        <f>VLOOKUP(B334,'114+320'!$B$14:$AB$785,22,FALSE)</f>
        <v>689</v>
      </c>
      <c r="T334" s="69">
        <f>VLOOKUP(B334,'114+320'!$B$15:$AB$785,6,FALSE)</f>
        <v>941</v>
      </c>
      <c r="U334" s="68">
        <f t="shared" si="69"/>
        <v>1769</v>
      </c>
      <c r="V334" s="77">
        <f>VLOOKUP(B334,'114+320'!$B$15:$AB$785,15,FALSE)</f>
        <v>-231</v>
      </c>
      <c r="W334" s="66">
        <f>'114+320'!S335</f>
        <v>0</v>
      </c>
      <c r="X334" s="65">
        <f t="shared" ref="X334:X397" si="74">+W334+X333</f>
        <v>111</v>
      </c>
      <c r="Y334" s="64">
        <f t="shared" ref="Y334:Y397" si="75">S334-S333</f>
        <v>0</v>
      </c>
      <c r="Z334" s="63">
        <f t="shared" ref="Z334:Z397" si="76">IF(Y334&gt;0,Y334,0)/1000</f>
        <v>0</v>
      </c>
      <c r="AA334" s="62">
        <f t="shared" ref="AA334:AA397" si="77">AA333+Z334</f>
        <v>0.89900000000000002</v>
      </c>
      <c r="AB334" s="62">
        <f t="shared" ref="AB334:AB397" si="78">(M334-$M$13-R334)/1000</f>
        <v>0.73399999999999999</v>
      </c>
    </row>
    <row r="335" spans="2:28">
      <c r="B335" s="106">
        <f>'114+320'!B336</f>
        <v>45365</v>
      </c>
      <c r="C335" s="75">
        <f t="shared" si="70"/>
        <v>1</v>
      </c>
      <c r="D335" s="74">
        <f t="shared" si="71"/>
        <v>842</v>
      </c>
      <c r="E335" s="73">
        <f>VLOOKUP(B335,'114+320'!B336:AB437,3,FALSE)</f>
        <v>1870</v>
      </c>
      <c r="F335" s="69">
        <f t="shared" si="66"/>
        <v>2712</v>
      </c>
      <c r="G335" s="72">
        <f>VLOOKUP(B335,'114+320'!$B$15:$AB$785,20,FALSE)</f>
        <v>694</v>
      </c>
      <c r="H335" s="72">
        <f>VLOOKUP(B335,'114+320'!$B$15:$AB$785,4,FALSE)</f>
        <v>998</v>
      </c>
      <c r="I335" s="68">
        <f t="shared" si="67"/>
        <v>1714</v>
      </c>
      <c r="J335" s="68">
        <f>VLOOKUP(B335,'114+320'!$B$15:$AB$785,13,FALSE)</f>
        <v>-286</v>
      </c>
      <c r="K335" s="66">
        <f>'114+320'!Q336</f>
        <v>0</v>
      </c>
      <c r="L335" s="65">
        <f t="shared" si="72"/>
        <v>106</v>
      </c>
      <c r="M335" s="70">
        <f>VLOOKUP(B335,'114+320'!$B$14:$AB$785,21,FALSE)</f>
        <v>677</v>
      </c>
      <c r="N335" s="69">
        <f>VLOOKUP(B335,'114+320'!$B$15:$AB$785,5,FALSE)</f>
        <v>1015</v>
      </c>
      <c r="O335" s="68">
        <f t="shared" si="68"/>
        <v>1697</v>
      </c>
      <c r="P335" s="68">
        <f>VLOOKUP(B335,'114+320'!$B$15:$AB$785,14,FALSE)</f>
        <v>-303</v>
      </c>
      <c r="Q335" s="66">
        <f>'114+320'!R336</f>
        <v>0</v>
      </c>
      <c r="R335" s="65">
        <f t="shared" si="73"/>
        <v>123</v>
      </c>
      <c r="S335" s="70">
        <f>VLOOKUP(B335,'114+320'!$B$14:$AB$785,22,FALSE)</f>
        <v>689</v>
      </c>
      <c r="T335" s="69">
        <f>VLOOKUP(B335,'114+320'!$B$15:$AB$785,6,FALSE)</f>
        <v>943</v>
      </c>
      <c r="U335" s="68">
        <f t="shared" si="69"/>
        <v>1769</v>
      </c>
      <c r="V335" s="77">
        <f>VLOOKUP(B335,'114+320'!$B$15:$AB$785,15,FALSE)</f>
        <v>-231</v>
      </c>
      <c r="W335" s="66">
        <f>'114+320'!S336</f>
        <v>0</v>
      </c>
      <c r="X335" s="65">
        <f t="shared" si="74"/>
        <v>111</v>
      </c>
      <c r="Y335" s="64">
        <f t="shared" si="75"/>
        <v>0</v>
      </c>
      <c r="Z335" s="63">
        <f t="shared" si="76"/>
        <v>0</v>
      </c>
      <c r="AA335" s="62">
        <f t="shared" si="77"/>
        <v>0.89900000000000002</v>
      </c>
      <c r="AB335" s="62">
        <f t="shared" si="78"/>
        <v>0.73399999999999999</v>
      </c>
    </row>
    <row r="336" spans="2:28">
      <c r="B336" s="106">
        <f>'114+320'!B337</f>
        <v>45366</v>
      </c>
      <c r="C336" s="75">
        <f t="shared" si="70"/>
        <v>1</v>
      </c>
      <c r="D336" s="74">
        <f t="shared" si="71"/>
        <v>842</v>
      </c>
      <c r="E336" s="73">
        <f>VLOOKUP(B336,'114+320'!B337:AB438,3,FALSE)</f>
        <v>1872</v>
      </c>
      <c r="F336" s="69">
        <f t="shared" si="66"/>
        <v>2714</v>
      </c>
      <c r="G336" s="72">
        <f>VLOOKUP(B336,'114+320'!$B$15:$AB$785,20,FALSE)</f>
        <v>694</v>
      </c>
      <c r="H336" s="72">
        <f>VLOOKUP(B336,'114+320'!$B$15:$AB$785,4,FALSE)</f>
        <v>1000</v>
      </c>
      <c r="I336" s="68">
        <f t="shared" si="67"/>
        <v>1714</v>
      </c>
      <c r="J336" s="68">
        <f>VLOOKUP(B336,'114+320'!$B$15:$AB$785,13,FALSE)</f>
        <v>-286</v>
      </c>
      <c r="K336" s="66">
        <f>'114+320'!Q337</f>
        <v>0</v>
      </c>
      <c r="L336" s="65">
        <f t="shared" si="72"/>
        <v>106</v>
      </c>
      <c r="M336" s="70">
        <f>VLOOKUP(B336,'114+320'!$B$14:$AB$785,21,FALSE)</f>
        <v>677</v>
      </c>
      <c r="N336" s="69">
        <f>VLOOKUP(B336,'114+320'!$B$15:$AB$785,5,FALSE)</f>
        <v>1017</v>
      </c>
      <c r="O336" s="68">
        <f t="shared" si="68"/>
        <v>1697</v>
      </c>
      <c r="P336" s="68">
        <f>VLOOKUP(B336,'114+320'!$B$15:$AB$785,14,FALSE)</f>
        <v>-303</v>
      </c>
      <c r="Q336" s="66">
        <f>'114+320'!R337</f>
        <v>0</v>
      </c>
      <c r="R336" s="65">
        <f t="shared" si="73"/>
        <v>123</v>
      </c>
      <c r="S336" s="70">
        <f>VLOOKUP(B336,'114+320'!$B$14:$AB$785,22,FALSE)</f>
        <v>689</v>
      </c>
      <c r="T336" s="69">
        <f>VLOOKUP(B336,'114+320'!$B$15:$AB$785,6,FALSE)</f>
        <v>945</v>
      </c>
      <c r="U336" s="68">
        <f t="shared" si="69"/>
        <v>1769</v>
      </c>
      <c r="V336" s="77">
        <f>VLOOKUP(B336,'114+320'!$B$15:$AB$785,15,FALSE)</f>
        <v>-231</v>
      </c>
      <c r="W336" s="66">
        <f>'114+320'!S337</f>
        <v>0</v>
      </c>
      <c r="X336" s="65">
        <f t="shared" si="74"/>
        <v>111</v>
      </c>
      <c r="Y336" s="64">
        <f t="shared" si="75"/>
        <v>0</v>
      </c>
      <c r="Z336" s="63">
        <f t="shared" si="76"/>
        <v>0</v>
      </c>
      <c r="AA336" s="62">
        <f t="shared" si="77"/>
        <v>0.89900000000000002</v>
      </c>
      <c r="AB336" s="62">
        <f t="shared" si="78"/>
        <v>0.73399999999999999</v>
      </c>
    </row>
    <row r="337" spans="2:28">
      <c r="B337" s="106">
        <f>'114+320'!B338</f>
        <v>45367</v>
      </c>
      <c r="C337" s="75">
        <f t="shared" si="70"/>
        <v>1</v>
      </c>
      <c r="D337" s="74">
        <f t="shared" si="71"/>
        <v>842</v>
      </c>
      <c r="E337" s="73">
        <f>VLOOKUP(B337,'114+320'!B338:AB439,3,FALSE)</f>
        <v>1874</v>
      </c>
      <c r="F337" s="69">
        <f t="shared" si="66"/>
        <v>2716</v>
      </c>
      <c r="G337" s="72">
        <f>VLOOKUP(B337,'114+320'!$B$15:$AB$785,20,FALSE)</f>
        <v>694</v>
      </c>
      <c r="H337" s="72">
        <f>VLOOKUP(B337,'114+320'!$B$15:$AB$785,4,FALSE)</f>
        <v>1002</v>
      </c>
      <c r="I337" s="68">
        <f t="shared" si="67"/>
        <v>1714</v>
      </c>
      <c r="J337" s="68">
        <f>VLOOKUP(B337,'114+320'!$B$15:$AB$785,13,FALSE)</f>
        <v>-286</v>
      </c>
      <c r="K337" s="66">
        <f>'114+320'!Q338</f>
        <v>0</v>
      </c>
      <c r="L337" s="65">
        <f t="shared" si="72"/>
        <v>106</v>
      </c>
      <c r="M337" s="70">
        <f>VLOOKUP(B337,'114+320'!$B$14:$AB$785,21,FALSE)</f>
        <v>677</v>
      </c>
      <c r="N337" s="69">
        <f>VLOOKUP(B337,'114+320'!$B$15:$AB$785,5,FALSE)</f>
        <v>1019</v>
      </c>
      <c r="O337" s="68">
        <f t="shared" si="68"/>
        <v>1697</v>
      </c>
      <c r="P337" s="68">
        <f>VLOOKUP(B337,'114+320'!$B$15:$AB$785,14,FALSE)</f>
        <v>-303</v>
      </c>
      <c r="Q337" s="66">
        <f>'114+320'!R338</f>
        <v>0</v>
      </c>
      <c r="R337" s="65">
        <f t="shared" si="73"/>
        <v>123</v>
      </c>
      <c r="S337" s="70">
        <f>VLOOKUP(B337,'114+320'!$B$14:$AB$785,22,FALSE)</f>
        <v>689</v>
      </c>
      <c r="T337" s="69">
        <f>VLOOKUP(B337,'114+320'!$B$15:$AB$785,6,FALSE)</f>
        <v>947</v>
      </c>
      <c r="U337" s="68">
        <f t="shared" si="69"/>
        <v>1769</v>
      </c>
      <c r="V337" s="77">
        <f>VLOOKUP(B337,'114+320'!$B$15:$AB$785,15,FALSE)</f>
        <v>-231</v>
      </c>
      <c r="W337" s="66">
        <f>'114+320'!S338</f>
        <v>0</v>
      </c>
      <c r="X337" s="65">
        <f t="shared" si="74"/>
        <v>111</v>
      </c>
      <c r="Y337" s="64">
        <f t="shared" si="75"/>
        <v>0</v>
      </c>
      <c r="Z337" s="63">
        <f t="shared" si="76"/>
        <v>0</v>
      </c>
      <c r="AA337" s="62">
        <f t="shared" si="77"/>
        <v>0.89900000000000002</v>
      </c>
      <c r="AB337" s="62">
        <f t="shared" si="78"/>
        <v>0.73399999999999999</v>
      </c>
    </row>
    <row r="338" spans="2:28">
      <c r="B338" s="106">
        <f>'114+320'!B339</f>
        <v>45368</v>
      </c>
      <c r="C338" s="75">
        <f t="shared" si="70"/>
        <v>1</v>
      </c>
      <c r="D338" s="74">
        <f t="shared" si="71"/>
        <v>842</v>
      </c>
      <c r="E338" s="73">
        <f>VLOOKUP(B338,'114+320'!B339:AB440,3,FALSE)</f>
        <v>1876</v>
      </c>
      <c r="F338" s="69">
        <f t="shared" si="66"/>
        <v>2718</v>
      </c>
      <c r="G338" s="72">
        <f>VLOOKUP(B338,'114+320'!$B$15:$AB$785,20,FALSE)</f>
        <v>694</v>
      </c>
      <c r="H338" s="72">
        <f>VLOOKUP(B338,'114+320'!$B$15:$AB$785,4,FALSE)</f>
        <v>1004</v>
      </c>
      <c r="I338" s="68">
        <f t="shared" si="67"/>
        <v>1714</v>
      </c>
      <c r="J338" s="68">
        <f>VLOOKUP(B338,'114+320'!$B$15:$AB$785,13,FALSE)</f>
        <v>-286</v>
      </c>
      <c r="K338" s="66">
        <f>'114+320'!Q339</f>
        <v>0</v>
      </c>
      <c r="L338" s="65">
        <f t="shared" si="72"/>
        <v>106</v>
      </c>
      <c r="M338" s="70">
        <f>VLOOKUP(B338,'114+320'!$B$14:$AB$785,21,FALSE)</f>
        <v>677</v>
      </c>
      <c r="N338" s="69">
        <f>VLOOKUP(B338,'114+320'!$B$15:$AB$785,5,FALSE)</f>
        <v>1021</v>
      </c>
      <c r="O338" s="68">
        <f t="shared" si="68"/>
        <v>1697</v>
      </c>
      <c r="P338" s="68">
        <f>VLOOKUP(B338,'114+320'!$B$15:$AB$785,14,FALSE)</f>
        <v>-303</v>
      </c>
      <c r="Q338" s="66">
        <f>'114+320'!R339</f>
        <v>0</v>
      </c>
      <c r="R338" s="65">
        <f t="shared" si="73"/>
        <v>123</v>
      </c>
      <c r="S338" s="70">
        <f>VLOOKUP(B338,'114+320'!$B$14:$AB$785,22,FALSE)</f>
        <v>689</v>
      </c>
      <c r="T338" s="69">
        <f>VLOOKUP(B338,'114+320'!$B$15:$AB$785,6,FALSE)</f>
        <v>949</v>
      </c>
      <c r="U338" s="68">
        <f t="shared" si="69"/>
        <v>1769</v>
      </c>
      <c r="V338" s="77">
        <f>VLOOKUP(B338,'114+320'!$B$15:$AB$785,15,FALSE)</f>
        <v>-231</v>
      </c>
      <c r="W338" s="66">
        <f>'114+320'!S339</f>
        <v>0</v>
      </c>
      <c r="X338" s="65">
        <f t="shared" si="74"/>
        <v>111</v>
      </c>
      <c r="Y338" s="64">
        <f t="shared" si="75"/>
        <v>0</v>
      </c>
      <c r="Z338" s="63">
        <f t="shared" si="76"/>
        <v>0</v>
      </c>
      <c r="AA338" s="62">
        <f t="shared" si="77"/>
        <v>0.89900000000000002</v>
      </c>
      <c r="AB338" s="62">
        <f t="shared" si="78"/>
        <v>0.73399999999999999</v>
      </c>
    </row>
    <row r="339" spans="2:28">
      <c r="B339" s="106">
        <f>'114+320'!B340</f>
        <v>45369</v>
      </c>
      <c r="C339" s="75">
        <f t="shared" si="70"/>
        <v>1</v>
      </c>
      <c r="D339" s="74">
        <f t="shared" si="71"/>
        <v>842</v>
      </c>
      <c r="E339" s="73">
        <f>VLOOKUP(B339,'114+320'!B340:AB441,3,FALSE)</f>
        <v>1878</v>
      </c>
      <c r="F339" s="69">
        <f t="shared" si="66"/>
        <v>2720</v>
      </c>
      <c r="G339" s="72">
        <f>VLOOKUP(B339,'114+320'!$B$15:$AB$785,20,FALSE)</f>
        <v>694</v>
      </c>
      <c r="H339" s="72">
        <f>VLOOKUP(B339,'114+320'!$B$15:$AB$785,4,FALSE)</f>
        <v>1006</v>
      </c>
      <c r="I339" s="68">
        <f t="shared" si="67"/>
        <v>1714</v>
      </c>
      <c r="J339" s="68">
        <f>VLOOKUP(B339,'114+320'!$B$15:$AB$785,13,FALSE)</f>
        <v>-286</v>
      </c>
      <c r="K339" s="66">
        <f>'114+320'!Q340</f>
        <v>0</v>
      </c>
      <c r="L339" s="65">
        <f t="shared" si="72"/>
        <v>106</v>
      </c>
      <c r="M339" s="70">
        <f>VLOOKUP(B339,'114+320'!$B$14:$AB$785,21,FALSE)</f>
        <v>677</v>
      </c>
      <c r="N339" s="69">
        <f>VLOOKUP(B339,'114+320'!$B$15:$AB$785,5,FALSE)</f>
        <v>1023</v>
      </c>
      <c r="O339" s="68">
        <f t="shared" si="68"/>
        <v>1697</v>
      </c>
      <c r="P339" s="68">
        <f>VLOOKUP(B339,'114+320'!$B$15:$AB$785,14,FALSE)</f>
        <v>-303</v>
      </c>
      <c r="Q339" s="66">
        <f>'114+320'!R340</f>
        <v>0</v>
      </c>
      <c r="R339" s="65">
        <f t="shared" si="73"/>
        <v>123</v>
      </c>
      <c r="S339" s="70">
        <f>VLOOKUP(B339,'114+320'!$B$14:$AB$785,22,FALSE)</f>
        <v>689</v>
      </c>
      <c r="T339" s="69">
        <f>VLOOKUP(B339,'114+320'!$B$15:$AB$785,6,FALSE)</f>
        <v>951</v>
      </c>
      <c r="U339" s="68">
        <f t="shared" si="69"/>
        <v>1769</v>
      </c>
      <c r="V339" s="77">
        <f>VLOOKUP(B339,'114+320'!$B$15:$AB$785,15,FALSE)</f>
        <v>-231</v>
      </c>
      <c r="W339" s="66">
        <f>'114+320'!S340</f>
        <v>0</v>
      </c>
      <c r="X339" s="65">
        <f t="shared" si="74"/>
        <v>111</v>
      </c>
      <c r="Y339" s="64">
        <f t="shared" si="75"/>
        <v>0</v>
      </c>
      <c r="Z339" s="63">
        <f t="shared" si="76"/>
        <v>0</v>
      </c>
      <c r="AA339" s="62">
        <f t="shared" si="77"/>
        <v>0.89900000000000002</v>
      </c>
      <c r="AB339" s="62">
        <f t="shared" si="78"/>
        <v>0.73399999999999999</v>
      </c>
    </row>
    <row r="340" spans="2:28">
      <c r="B340" s="106">
        <f>'114+320'!B341</f>
        <v>45370</v>
      </c>
      <c r="C340" s="75">
        <f t="shared" si="70"/>
        <v>1</v>
      </c>
      <c r="D340" s="74">
        <f t="shared" si="71"/>
        <v>842</v>
      </c>
      <c r="E340" s="73">
        <f>VLOOKUP(B340,'114+320'!B341:AB442,3,FALSE)</f>
        <v>1880</v>
      </c>
      <c r="F340" s="69">
        <f t="shared" si="66"/>
        <v>2722</v>
      </c>
      <c r="G340" s="72">
        <f>VLOOKUP(B340,'114+320'!$B$15:$AB$785,20,FALSE)</f>
        <v>694</v>
      </c>
      <c r="H340" s="72">
        <f>VLOOKUP(B340,'114+320'!$B$15:$AB$785,4,FALSE)</f>
        <v>1008</v>
      </c>
      <c r="I340" s="68">
        <f t="shared" si="67"/>
        <v>1714</v>
      </c>
      <c r="J340" s="68">
        <f>VLOOKUP(B340,'114+320'!$B$15:$AB$785,13,FALSE)</f>
        <v>-286</v>
      </c>
      <c r="K340" s="66">
        <f>'114+320'!Q341</f>
        <v>0</v>
      </c>
      <c r="L340" s="65">
        <f t="shared" si="72"/>
        <v>106</v>
      </c>
      <c r="M340" s="70">
        <f>VLOOKUP(B340,'114+320'!$B$14:$AB$785,21,FALSE)</f>
        <v>677</v>
      </c>
      <c r="N340" s="69">
        <f>VLOOKUP(B340,'114+320'!$B$15:$AB$785,5,FALSE)</f>
        <v>1025</v>
      </c>
      <c r="O340" s="68">
        <f t="shared" si="68"/>
        <v>1697</v>
      </c>
      <c r="P340" s="68">
        <f>VLOOKUP(B340,'114+320'!$B$15:$AB$785,14,FALSE)</f>
        <v>-303</v>
      </c>
      <c r="Q340" s="66">
        <f>'114+320'!R341</f>
        <v>0</v>
      </c>
      <c r="R340" s="65">
        <f t="shared" si="73"/>
        <v>123</v>
      </c>
      <c r="S340" s="70">
        <f>VLOOKUP(B340,'114+320'!$B$14:$AB$785,22,FALSE)</f>
        <v>689</v>
      </c>
      <c r="T340" s="69">
        <f>VLOOKUP(B340,'114+320'!$B$15:$AB$785,6,FALSE)</f>
        <v>953</v>
      </c>
      <c r="U340" s="68">
        <f t="shared" si="69"/>
        <v>1769</v>
      </c>
      <c r="V340" s="77">
        <f>VLOOKUP(B340,'114+320'!$B$15:$AB$785,15,FALSE)</f>
        <v>-231</v>
      </c>
      <c r="W340" s="66">
        <f>'114+320'!S341</f>
        <v>0</v>
      </c>
      <c r="X340" s="65">
        <f t="shared" si="74"/>
        <v>111</v>
      </c>
      <c r="Y340" s="64">
        <f t="shared" si="75"/>
        <v>0</v>
      </c>
      <c r="Z340" s="63">
        <f t="shared" si="76"/>
        <v>0</v>
      </c>
      <c r="AA340" s="62">
        <f t="shared" si="77"/>
        <v>0.89900000000000002</v>
      </c>
      <c r="AB340" s="62">
        <f t="shared" si="78"/>
        <v>0.73399999999999999</v>
      </c>
    </row>
    <row r="341" spans="2:28">
      <c r="B341" s="106">
        <f>'114+320'!B342</f>
        <v>45371</v>
      </c>
      <c r="C341" s="75">
        <f t="shared" si="70"/>
        <v>1</v>
      </c>
      <c r="D341" s="74">
        <f t="shared" si="71"/>
        <v>842</v>
      </c>
      <c r="E341" s="73">
        <f>VLOOKUP(B341,'114+320'!B342:AB443,3,FALSE)</f>
        <v>1882</v>
      </c>
      <c r="F341" s="69">
        <f t="shared" si="66"/>
        <v>2724</v>
      </c>
      <c r="G341" s="72">
        <f>VLOOKUP(B341,'114+320'!$B$15:$AB$785,20,FALSE)</f>
        <v>694</v>
      </c>
      <c r="H341" s="72">
        <f>VLOOKUP(B341,'114+320'!$B$15:$AB$785,4,FALSE)</f>
        <v>1010</v>
      </c>
      <c r="I341" s="68">
        <f t="shared" si="67"/>
        <v>1714</v>
      </c>
      <c r="J341" s="68">
        <f>VLOOKUP(B341,'114+320'!$B$15:$AB$785,13,FALSE)</f>
        <v>-286</v>
      </c>
      <c r="K341" s="66">
        <f>'114+320'!Q342</f>
        <v>0</v>
      </c>
      <c r="L341" s="65">
        <f t="shared" si="72"/>
        <v>106</v>
      </c>
      <c r="M341" s="70">
        <f>VLOOKUP(B341,'114+320'!$B$14:$AB$785,21,FALSE)</f>
        <v>677</v>
      </c>
      <c r="N341" s="69">
        <f>VLOOKUP(B341,'114+320'!$B$15:$AB$785,5,FALSE)</f>
        <v>1027</v>
      </c>
      <c r="O341" s="68">
        <f t="shared" si="68"/>
        <v>1697</v>
      </c>
      <c r="P341" s="68">
        <f>VLOOKUP(B341,'114+320'!$B$15:$AB$785,14,FALSE)</f>
        <v>-303</v>
      </c>
      <c r="Q341" s="66">
        <f>'114+320'!R342</f>
        <v>0</v>
      </c>
      <c r="R341" s="65">
        <f t="shared" si="73"/>
        <v>123</v>
      </c>
      <c r="S341" s="70">
        <f>VLOOKUP(B341,'114+320'!$B$14:$AB$785,22,FALSE)</f>
        <v>689</v>
      </c>
      <c r="T341" s="69">
        <f>VLOOKUP(B341,'114+320'!$B$15:$AB$785,6,FALSE)</f>
        <v>955</v>
      </c>
      <c r="U341" s="68">
        <f t="shared" si="69"/>
        <v>1769</v>
      </c>
      <c r="V341" s="77">
        <f>VLOOKUP(B341,'114+320'!$B$15:$AB$785,15,FALSE)</f>
        <v>-231</v>
      </c>
      <c r="W341" s="66">
        <f>'114+320'!S342</f>
        <v>0</v>
      </c>
      <c r="X341" s="65">
        <f t="shared" si="74"/>
        <v>111</v>
      </c>
      <c r="Y341" s="64">
        <f t="shared" si="75"/>
        <v>0</v>
      </c>
      <c r="Z341" s="63">
        <f t="shared" si="76"/>
        <v>0</v>
      </c>
      <c r="AA341" s="62">
        <f t="shared" si="77"/>
        <v>0.89900000000000002</v>
      </c>
      <c r="AB341" s="62">
        <f t="shared" si="78"/>
        <v>0.73399999999999999</v>
      </c>
    </row>
    <row r="342" spans="2:28">
      <c r="B342" s="106">
        <f>'114+320'!B343</f>
        <v>45372</v>
      </c>
      <c r="C342" s="75">
        <f t="shared" si="70"/>
        <v>1</v>
      </c>
      <c r="D342" s="74">
        <f t="shared" si="71"/>
        <v>842</v>
      </c>
      <c r="E342" s="73">
        <f>VLOOKUP(B342,'114+320'!B343:AB444,3,FALSE)</f>
        <v>1884</v>
      </c>
      <c r="F342" s="69">
        <f t="shared" si="66"/>
        <v>2726</v>
      </c>
      <c r="G342" s="72">
        <f>VLOOKUP(B342,'114+320'!$B$15:$AB$785,20,FALSE)</f>
        <v>694</v>
      </c>
      <c r="H342" s="72">
        <f>VLOOKUP(B342,'114+320'!$B$15:$AB$785,4,FALSE)</f>
        <v>1012</v>
      </c>
      <c r="I342" s="68">
        <f t="shared" si="67"/>
        <v>1714</v>
      </c>
      <c r="J342" s="68">
        <f>VLOOKUP(B342,'114+320'!$B$15:$AB$785,13,FALSE)</f>
        <v>-286</v>
      </c>
      <c r="K342" s="66">
        <f>'114+320'!Q343</f>
        <v>0</v>
      </c>
      <c r="L342" s="65">
        <f t="shared" si="72"/>
        <v>106</v>
      </c>
      <c r="M342" s="70">
        <f>VLOOKUP(B342,'114+320'!$B$14:$AB$785,21,FALSE)</f>
        <v>677</v>
      </c>
      <c r="N342" s="69">
        <f>VLOOKUP(B342,'114+320'!$B$15:$AB$785,5,FALSE)</f>
        <v>1029</v>
      </c>
      <c r="O342" s="68">
        <f t="shared" si="68"/>
        <v>1697</v>
      </c>
      <c r="P342" s="68">
        <f>VLOOKUP(B342,'114+320'!$B$15:$AB$785,14,FALSE)</f>
        <v>-303</v>
      </c>
      <c r="Q342" s="66">
        <f>'114+320'!R343</f>
        <v>0</v>
      </c>
      <c r="R342" s="65">
        <f t="shared" si="73"/>
        <v>123</v>
      </c>
      <c r="S342" s="70">
        <f>VLOOKUP(B342,'114+320'!$B$14:$AB$785,22,FALSE)</f>
        <v>689</v>
      </c>
      <c r="T342" s="69">
        <f>VLOOKUP(B342,'114+320'!$B$15:$AB$785,6,FALSE)</f>
        <v>957</v>
      </c>
      <c r="U342" s="68">
        <f t="shared" si="69"/>
        <v>1769</v>
      </c>
      <c r="V342" s="77">
        <f>VLOOKUP(B342,'114+320'!$B$15:$AB$785,15,FALSE)</f>
        <v>-231</v>
      </c>
      <c r="W342" s="66">
        <f>'114+320'!S343</f>
        <v>0</v>
      </c>
      <c r="X342" s="65">
        <f t="shared" si="74"/>
        <v>111</v>
      </c>
      <c r="Y342" s="64">
        <f t="shared" si="75"/>
        <v>0</v>
      </c>
      <c r="Z342" s="63">
        <f t="shared" si="76"/>
        <v>0</v>
      </c>
      <c r="AA342" s="62">
        <f t="shared" si="77"/>
        <v>0.89900000000000002</v>
      </c>
      <c r="AB342" s="62">
        <f t="shared" si="78"/>
        <v>0.73399999999999999</v>
      </c>
    </row>
    <row r="343" spans="2:28">
      <c r="B343" s="106">
        <f>'114+320'!B344</f>
        <v>45373</v>
      </c>
      <c r="C343" s="75">
        <f t="shared" si="70"/>
        <v>1</v>
      </c>
      <c r="D343" s="74">
        <f t="shared" si="71"/>
        <v>842</v>
      </c>
      <c r="E343" s="73">
        <f>VLOOKUP(B343,'114+320'!B344:AB445,3,FALSE)</f>
        <v>1886</v>
      </c>
      <c r="F343" s="69">
        <f t="shared" si="66"/>
        <v>2728</v>
      </c>
      <c r="G343" s="72">
        <f>VLOOKUP(B343,'114+320'!$B$15:$AB$785,20,FALSE)</f>
        <v>694</v>
      </c>
      <c r="H343" s="72">
        <f>VLOOKUP(B343,'114+320'!$B$15:$AB$785,4,FALSE)</f>
        <v>1014</v>
      </c>
      <c r="I343" s="68">
        <f t="shared" si="67"/>
        <v>1714</v>
      </c>
      <c r="J343" s="68">
        <f>VLOOKUP(B343,'114+320'!$B$15:$AB$785,13,FALSE)</f>
        <v>-286</v>
      </c>
      <c r="K343" s="66">
        <f>'114+320'!Q344</f>
        <v>0</v>
      </c>
      <c r="L343" s="65">
        <f t="shared" si="72"/>
        <v>106</v>
      </c>
      <c r="M343" s="70">
        <f>VLOOKUP(B343,'114+320'!$B$14:$AB$785,21,FALSE)</f>
        <v>677</v>
      </c>
      <c r="N343" s="69">
        <f>VLOOKUP(B343,'114+320'!$B$15:$AB$785,5,FALSE)</f>
        <v>1031</v>
      </c>
      <c r="O343" s="68">
        <f t="shared" si="68"/>
        <v>1697</v>
      </c>
      <c r="P343" s="68">
        <f>VLOOKUP(B343,'114+320'!$B$15:$AB$785,14,FALSE)</f>
        <v>-303</v>
      </c>
      <c r="Q343" s="66">
        <f>'114+320'!R344</f>
        <v>0</v>
      </c>
      <c r="R343" s="65">
        <f t="shared" si="73"/>
        <v>123</v>
      </c>
      <c r="S343" s="70">
        <f>VLOOKUP(B343,'114+320'!$B$14:$AB$785,22,FALSE)</f>
        <v>689</v>
      </c>
      <c r="T343" s="69">
        <f>VLOOKUP(B343,'114+320'!$B$15:$AB$785,6,FALSE)</f>
        <v>959</v>
      </c>
      <c r="U343" s="68">
        <f t="shared" si="69"/>
        <v>1769</v>
      </c>
      <c r="V343" s="77">
        <f>VLOOKUP(B343,'114+320'!$B$15:$AB$785,15,FALSE)</f>
        <v>-231</v>
      </c>
      <c r="W343" s="66">
        <f>'114+320'!S344</f>
        <v>0</v>
      </c>
      <c r="X343" s="65">
        <f t="shared" si="74"/>
        <v>111</v>
      </c>
      <c r="Y343" s="64">
        <f t="shared" si="75"/>
        <v>0</v>
      </c>
      <c r="Z343" s="63">
        <f t="shared" si="76"/>
        <v>0</v>
      </c>
      <c r="AA343" s="62">
        <f t="shared" si="77"/>
        <v>0.89900000000000002</v>
      </c>
      <c r="AB343" s="62">
        <f t="shared" si="78"/>
        <v>0.73399999999999999</v>
      </c>
    </row>
    <row r="344" spans="2:28">
      <c r="B344" s="106">
        <f>'114+320'!B345</f>
        <v>45374</v>
      </c>
      <c r="C344" s="75">
        <f t="shared" si="70"/>
        <v>1</v>
      </c>
      <c r="D344" s="74">
        <f t="shared" si="71"/>
        <v>842</v>
      </c>
      <c r="E344" s="73">
        <f>VLOOKUP(B344,'114+320'!B345:AB446,3,FALSE)</f>
        <v>1888</v>
      </c>
      <c r="F344" s="69">
        <f t="shared" si="66"/>
        <v>2730</v>
      </c>
      <c r="G344" s="72">
        <f>VLOOKUP(B344,'114+320'!$B$15:$AB$785,20,FALSE)</f>
        <v>694</v>
      </c>
      <c r="H344" s="72">
        <f>VLOOKUP(B344,'114+320'!$B$15:$AB$785,4,FALSE)</f>
        <v>1016</v>
      </c>
      <c r="I344" s="68">
        <f t="shared" si="67"/>
        <v>1714</v>
      </c>
      <c r="J344" s="68">
        <f>VLOOKUP(B344,'114+320'!$B$15:$AB$785,13,FALSE)</f>
        <v>-286</v>
      </c>
      <c r="K344" s="66">
        <f>'114+320'!Q345</f>
        <v>0</v>
      </c>
      <c r="L344" s="65">
        <f t="shared" si="72"/>
        <v>106</v>
      </c>
      <c r="M344" s="70">
        <f>VLOOKUP(B344,'114+320'!$B$14:$AB$785,21,FALSE)</f>
        <v>677</v>
      </c>
      <c r="N344" s="69">
        <f>VLOOKUP(B344,'114+320'!$B$15:$AB$785,5,FALSE)</f>
        <v>1033</v>
      </c>
      <c r="O344" s="68">
        <f t="shared" si="68"/>
        <v>1697</v>
      </c>
      <c r="P344" s="68">
        <f>VLOOKUP(B344,'114+320'!$B$15:$AB$785,14,FALSE)</f>
        <v>-303</v>
      </c>
      <c r="Q344" s="66">
        <f>'114+320'!R345</f>
        <v>0</v>
      </c>
      <c r="R344" s="65">
        <f t="shared" si="73"/>
        <v>123</v>
      </c>
      <c r="S344" s="70">
        <f>VLOOKUP(B344,'114+320'!$B$14:$AB$785,22,FALSE)</f>
        <v>689</v>
      </c>
      <c r="T344" s="69">
        <f>VLOOKUP(B344,'114+320'!$B$15:$AB$785,6,FALSE)</f>
        <v>961</v>
      </c>
      <c r="U344" s="68">
        <f t="shared" si="69"/>
        <v>1769</v>
      </c>
      <c r="V344" s="77">
        <f>VLOOKUP(B344,'114+320'!$B$15:$AB$785,15,FALSE)</f>
        <v>-231</v>
      </c>
      <c r="W344" s="66">
        <f>'114+320'!S345</f>
        <v>0</v>
      </c>
      <c r="X344" s="65">
        <f t="shared" si="74"/>
        <v>111</v>
      </c>
      <c r="Y344" s="64">
        <f t="shared" si="75"/>
        <v>0</v>
      </c>
      <c r="Z344" s="63">
        <f t="shared" si="76"/>
        <v>0</v>
      </c>
      <c r="AA344" s="62">
        <f t="shared" si="77"/>
        <v>0.89900000000000002</v>
      </c>
      <c r="AB344" s="62">
        <f t="shared" si="78"/>
        <v>0.73399999999999999</v>
      </c>
    </row>
    <row r="345" spans="2:28">
      <c r="B345" s="106">
        <f>'114+320'!B346</f>
        <v>45375</v>
      </c>
      <c r="C345" s="75">
        <f t="shared" si="70"/>
        <v>1</v>
      </c>
      <c r="D345" s="74">
        <f t="shared" si="71"/>
        <v>842</v>
      </c>
      <c r="E345" s="73">
        <f>VLOOKUP(B345,'114+320'!B346:AB447,3,FALSE)</f>
        <v>1890</v>
      </c>
      <c r="F345" s="69">
        <f t="shared" si="66"/>
        <v>2732</v>
      </c>
      <c r="G345" s="72">
        <f>VLOOKUP(B345,'114+320'!$B$15:$AB$785,20,FALSE)</f>
        <v>694</v>
      </c>
      <c r="H345" s="72">
        <f>VLOOKUP(B345,'114+320'!$B$15:$AB$785,4,FALSE)</f>
        <v>1018</v>
      </c>
      <c r="I345" s="68">
        <f t="shared" si="67"/>
        <v>1714</v>
      </c>
      <c r="J345" s="68">
        <f>VLOOKUP(B345,'114+320'!$B$15:$AB$785,13,FALSE)</f>
        <v>-286</v>
      </c>
      <c r="K345" s="66">
        <f>'114+320'!Q346</f>
        <v>0</v>
      </c>
      <c r="L345" s="65">
        <f t="shared" si="72"/>
        <v>106</v>
      </c>
      <c r="M345" s="70">
        <f>VLOOKUP(B345,'114+320'!$B$14:$AB$785,21,FALSE)</f>
        <v>677</v>
      </c>
      <c r="N345" s="69">
        <f>VLOOKUP(B345,'114+320'!$B$15:$AB$785,5,FALSE)</f>
        <v>1035</v>
      </c>
      <c r="O345" s="68">
        <f t="shared" si="68"/>
        <v>1697</v>
      </c>
      <c r="P345" s="68">
        <f>VLOOKUP(B345,'114+320'!$B$15:$AB$785,14,FALSE)</f>
        <v>-303</v>
      </c>
      <c r="Q345" s="66">
        <f>'114+320'!R346</f>
        <v>0</v>
      </c>
      <c r="R345" s="65">
        <f t="shared" si="73"/>
        <v>123</v>
      </c>
      <c r="S345" s="70">
        <f>VLOOKUP(B345,'114+320'!$B$14:$AB$785,22,FALSE)</f>
        <v>689</v>
      </c>
      <c r="T345" s="69">
        <f>VLOOKUP(B345,'114+320'!$B$15:$AB$785,6,FALSE)</f>
        <v>963</v>
      </c>
      <c r="U345" s="68">
        <f t="shared" si="69"/>
        <v>1769</v>
      </c>
      <c r="V345" s="77">
        <f>VLOOKUP(B345,'114+320'!$B$15:$AB$785,15,FALSE)</f>
        <v>-231</v>
      </c>
      <c r="W345" s="66">
        <f>'114+320'!S346</f>
        <v>0</v>
      </c>
      <c r="X345" s="65">
        <f t="shared" si="74"/>
        <v>111</v>
      </c>
      <c r="Y345" s="64">
        <f t="shared" si="75"/>
        <v>0</v>
      </c>
      <c r="Z345" s="63">
        <f t="shared" si="76"/>
        <v>0</v>
      </c>
      <c r="AA345" s="62">
        <f t="shared" si="77"/>
        <v>0.89900000000000002</v>
      </c>
      <c r="AB345" s="62">
        <f t="shared" si="78"/>
        <v>0.73399999999999999</v>
      </c>
    </row>
    <row r="346" spans="2:28">
      <c r="B346" s="106">
        <f>'114+320'!B347</f>
        <v>45376</v>
      </c>
      <c r="C346" s="75">
        <f t="shared" si="70"/>
        <v>1</v>
      </c>
      <c r="D346" s="74">
        <f t="shared" si="71"/>
        <v>842</v>
      </c>
      <c r="E346" s="73">
        <f>VLOOKUP(B346,'114+320'!B347:AB448,3,FALSE)</f>
        <v>1892</v>
      </c>
      <c r="F346" s="69">
        <f t="shared" si="66"/>
        <v>2734</v>
      </c>
      <c r="G346" s="72">
        <f>VLOOKUP(B346,'114+320'!$B$15:$AB$785,20,FALSE)</f>
        <v>694</v>
      </c>
      <c r="H346" s="72">
        <f>VLOOKUP(B346,'114+320'!$B$15:$AB$785,4,FALSE)</f>
        <v>1020</v>
      </c>
      <c r="I346" s="68">
        <f t="shared" si="67"/>
        <v>1714</v>
      </c>
      <c r="J346" s="68">
        <f>VLOOKUP(B346,'114+320'!$B$15:$AB$785,13,FALSE)</f>
        <v>-286</v>
      </c>
      <c r="K346" s="66">
        <f>'114+320'!Q347</f>
        <v>0</v>
      </c>
      <c r="L346" s="65">
        <f t="shared" si="72"/>
        <v>106</v>
      </c>
      <c r="M346" s="70">
        <f>VLOOKUP(B346,'114+320'!$B$14:$AB$785,21,FALSE)</f>
        <v>677</v>
      </c>
      <c r="N346" s="69">
        <f>VLOOKUP(B346,'114+320'!$B$15:$AB$785,5,FALSE)</f>
        <v>1037</v>
      </c>
      <c r="O346" s="68">
        <f t="shared" si="68"/>
        <v>1697</v>
      </c>
      <c r="P346" s="68">
        <f>VLOOKUP(B346,'114+320'!$B$15:$AB$785,14,FALSE)</f>
        <v>-303</v>
      </c>
      <c r="Q346" s="66">
        <f>'114+320'!R347</f>
        <v>0</v>
      </c>
      <c r="R346" s="65">
        <f t="shared" si="73"/>
        <v>123</v>
      </c>
      <c r="S346" s="70">
        <f>VLOOKUP(B346,'114+320'!$B$14:$AB$785,22,FALSE)</f>
        <v>689</v>
      </c>
      <c r="T346" s="69">
        <f>VLOOKUP(B346,'114+320'!$B$15:$AB$785,6,FALSE)</f>
        <v>965</v>
      </c>
      <c r="U346" s="68">
        <f t="shared" si="69"/>
        <v>1769</v>
      </c>
      <c r="V346" s="77">
        <f>VLOOKUP(B346,'114+320'!$B$15:$AB$785,15,FALSE)</f>
        <v>-231</v>
      </c>
      <c r="W346" s="66">
        <f>'114+320'!S347</f>
        <v>0</v>
      </c>
      <c r="X346" s="65">
        <f t="shared" si="74"/>
        <v>111</v>
      </c>
      <c r="Y346" s="64">
        <f t="shared" si="75"/>
        <v>0</v>
      </c>
      <c r="Z346" s="63">
        <f t="shared" si="76"/>
        <v>0</v>
      </c>
      <c r="AA346" s="62">
        <f t="shared" si="77"/>
        <v>0.89900000000000002</v>
      </c>
      <c r="AB346" s="62">
        <f t="shared" si="78"/>
        <v>0.73399999999999999</v>
      </c>
    </row>
    <row r="347" spans="2:28">
      <c r="B347" s="106">
        <f>'114+320'!B348</f>
        <v>45377</v>
      </c>
      <c r="C347" s="75">
        <f t="shared" si="70"/>
        <v>1</v>
      </c>
      <c r="D347" s="74">
        <f t="shared" si="71"/>
        <v>842</v>
      </c>
      <c r="E347" s="73">
        <f>VLOOKUP(B347,'114+320'!B348:AB449,3,FALSE)</f>
        <v>1894</v>
      </c>
      <c r="F347" s="69">
        <f t="shared" si="66"/>
        <v>2736</v>
      </c>
      <c r="G347" s="72">
        <f>VLOOKUP(B347,'114+320'!$B$15:$AB$785,20,FALSE)</f>
        <v>694</v>
      </c>
      <c r="H347" s="72">
        <f>VLOOKUP(B347,'114+320'!$B$15:$AB$785,4,FALSE)</f>
        <v>1022</v>
      </c>
      <c r="I347" s="68">
        <f t="shared" si="67"/>
        <v>1714</v>
      </c>
      <c r="J347" s="68">
        <f>VLOOKUP(B347,'114+320'!$B$15:$AB$785,13,FALSE)</f>
        <v>-286</v>
      </c>
      <c r="K347" s="66">
        <f>'114+320'!Q348</f>
        <v>0</v>
      </c>
      <c r="L347" s="65">
        <f t="shared" si="72"/>
        <v>106</v>
      </c>
      <c r="M347" s="70">
        <f>VLOOKUP(B347,'114+320'!$B$14:$AB$785,21,FALSE)</f>
        <v>677</v>
      </c>
      <c r="N347" s="69">
        <f>VLOOKUP(B347,'114+320'!$B$15:$AB$785,5,FALSE)</f>
        <v>1039</v>
      </c>
      <c r="O347" s="68">
        <f t="shared" si="68"/>
        <v>1697</v>
      </c>
      <c r="P347" s="68">
        <f>VLOOKUP(B347,'114+320'!$B$15:$AB$785,14,FALSE)</f>
        <v>-303</v>
      </c>
      <c r="Q347" s="66">
        <f>'114+320'!R348</f>
        <v>0</v>
      </c>
      <c r="R347" s="65">
        <f t="shared" si="73"/>
        <v>123</v>
      </c>
      <c r="S347" s="70">
        <f>VLOOKUP(B347,'114+320'!$B$14:$AB$785,22,FALSE)</f>
        <v>689</v>
      </c>
      <c r="T347" s="69">
        <f>VLOOKUP(B347,'114+320'!$B$15:$AB$785,6,FALSE)</f>
        <v>967</v>
      </c>
      <c r="U347" s="68">
        <f t="shared" si="69"/>
        <v>1769</v>
      </c>
      <c r="V347" s="77">
        <f>VLOOKUP(B347,'114+320'!$B$15:$AB$785,15,FALSE)</f>
        <v>-231</v>
      </c>
      <c r="W347" s="66">
        <f>'114+320'!S348</f>
        <v>0</v>
      </c>
      <c r="X347" s="65">
        <f t="shared" si="74"/>
        <v>111</v>
      </c>
      <c r="Y347" s="64">
        <f t="shared" si="75"/>
        <v>0</v>
      </c>
      <c r="Z347" s="63">
        <f t="shared" si="76"/>
        <v>0</v>
      </c>
      <c r="AA347" s="62">
        <f t="shared" si="77"/>
        <v>0.89900000000000002</v>
      </c>
      <c r="AB347" s="62">
        <f t="shared" si="78"/>
        <v>0.73399999999999999</v>
      </c>
    </row>
    <row r="348" spans="2:28">
      <c r="B348" s="106">
        <f>'114+320'!B349</f>
        <v>45378</v>
      </c>
      <c r="C348" s="75">
        <f t="shared" si="70"/>
        <v>1</v>
      </c>
      <c r="D348" s="74">
        <f t="shared" si="71"/>
        <v>842</v>
      </c>
      <c r="E348" s="73">
        <f>VLOOKUP(B348,'114+320'!B349:AB450,3,FALSE)</f>
        <v>1896</v>
      </c>
      <c r="F348" s="69">
        <f t="shared" si="66"/>
        <v>2738</v>
      </c>
      <c r="G348" s="72">
        <f>VLOOKUP(B348,'114+320'!$B$15:$AB$785,20,FALSE)</f>
        <v>694</v>
      </c>
      <c r="H348" s="72">
        <f>VLOOKUP(B348,'114+320'!$B$15:$AB$785,4,FALSE)</f>
        <v>1024</v>
      </c>
      <c r="I348" s="68">
        <f t="shared" si="67"/>
        <v>1714</v>
      </c>
      <c r="J348" s="68">
        <f>VLOOKUP(B348,'114+320'!$B$15:$AB$785,13,FALSE)</f>
        <v>-286</v>
      </c>
      <c r="K348" s="66">
        <f>'114+320'!Q349</f>
        <v>0</v>
      </c>
      <c r="L348" s="65">
        <f t="shared" si="72"/>
        <v>106</v>
      </c>
      <c r="M348" s="70">
        <f>VLOOKUP(B348,'114+320'!$B$14:$AB$785,21,FALSE)</f>
        <v>677</v>
      </c>
      <c r="N348" s="69">
        <f>VLOOKUP(B348,'114+320'!$B$15:$AB$785,5,FALSE)</f>
        <v>1041</v>
      </c>
      <c r="O348" s="68">
        <f t="shared" si="68"/>
        <v>1697</v>
      </c>
      <c r="P348" s="68">
        <f>VLOOKUP(B348,'114+320'!$B$15:$AB$785,14,FALSE)</f>
        <v>-303</v>
      </c>
      <c r="Q348" s="66">
        <f>'114+320'!R349</f>
        <v>0</v>
      </c>
      <c r="R348" s="65">
        <f t="shared" si="73"/>
        <v>123</v>
      </c>
      <c r="S348" s="70">
        <f>VLOOKUP(B348,'114+320'!$B$14:$AB$785,22,FALSE)</f>
        <v>689</v>
      </c>
      <c r="T348" s="69">
        <f>VLOOKUP(B348,'114+320'!$B$15:$AB$785,6,FALSE)</f>
        <v>969</v>
      </c>
      <c r="U348" s="68">
        <f t="shared" si="69"/>
        <v>1769</v>
      </c>
      <c r="V348" s="77">
        <f>VLOOKUP(B348,'114+320'!$B$15:$AB$785,15,FALSE)</f>
        <v>-231</v>
      </c>
      <c r="W348" s="66">
        <f>'114+320'!S349</f>
        <v>0</v>
      </c>
      <c r="X348" s="65">
        <f t="shared" si="74"/>
        <v>111</v>
      </c>
      <c r="Y348" s="64">
        <f t="shared" si="75"/>
        <v>0</v>
      </c>
      <c r="Z348" s="63">
        <f t="shared" si="76"/>
        <v>0</v>
      </c>
      <c r="AA348" s="62">
        <f t="shared" si="77"/>
        <v>0.89900000000000002</v>
      </c>
      <c r="AB348" s="62">
        <f t="shared" si="78"/>
        <v>0.73399999999999999</v>
      </c>
    </row>
    <row r="349" spans="2:28">
      <c r="B349" s="106">
        <f>'114+320'!B350</f>
        <v>45379</v>
      </c>
      <c r="C349" s="75">
        <f t="shared" si="70"/>
        <v>1</v>
      </c>
      <c r="D349" s="74">
        <f t="shared" si="71"/>
        <v>842</v>
      </c>
      <c r="E349" s="73">
        <f>VLOOKUP(B349,'114+320'!B350:AB451,3,FALSE)</f>
        <v>1898</v>
      </c>
      <c r="F349" s="69">
        <f t="shared" si="66"/>
        <v>2740</v>
      </c>
      <c r="G349" s="72">
        <f>VLOOKUP(B349,'114+320'!$B$15:$AB$785,20,FALSE)</f>
        <v>694</v>
      </c>
      <c r="H349" s="72">
        <f>VLOOKUP(B349,'114+320'!$B$15:$AB$785,4,FALSE)</f>
        <v>1026</v>
      </c>
      <c r="I349" s="68">
        <f t="shared" si="67"/>
        <v>1714</v>
      </c>
      <c r="J349" s="68">
        <f>VLOOKUP(B349,'114+320'!$B$15:$AB$785,13,FALSE)</f>
        <v>-286</v>
      </c>
      <c r="K349" s="66">
        <f>'114+320'!Q350</f>
        <v>0</v>
      </c>
      <c r="L349" s="65">
        <f t="shared" si="72"/>
        <v>106</v>
      </c>
      <c r="M349" s="70">
        <f>VLOOKUP(B349,'114+320'!$B$14:$AB$785,21,FALSE)</f>
        <v>677</v>
      </c>
      <c r="N349" s="69">
        <f>VLOOKUP(B349,'114+320'!$B$15:$AB$785,5,FALSE)</f>
        <v>1043</v>
      </c>
      <c r="O349" s="68">
        <f t="shared" si="68"/>
        <v>1697</v>
      </c>
      <c r="P349" s="68">
        <f>VLOOKUP(B349,'114+320'!$B$15:$AB$785,14,FALSE)</f>
        <v>-303</v>
      </c>
      <c r="Q349" s="66">
        <f>'114+320'!R350</f>
        <v>0</v>
      </c>
      <c r="R349" s="65">
        <f t="shared" si="73"/>
        <v>123</v>
      </c>
      <c r="S349" s="70">
        <f>VLOOKUP(B349,'114+320'!$B$14:$AB$785,22,FALSE)</f>
        <v>689</v>
      </c>
      <c r="T349" s="69">
        <f>VLOOKUP(B349,'114+320'!$B$15:$AB$785,6,FALSE)</f>
        <v>971</v>
      </c>
      <c r="U349" s="68">
        <f t="shared" si="69"/>
        <v>1769</v>
      </c>
      <c r="V349" s="77">
        <f>VLOOKUP(B349,'114+320'!$B$15:$AB$785,15,FALSE)</f>
        <v>-231</v>
      </c>
      <c r="W349" s="66">
        <f>'114+320'!S350</f>
        <v>0</v>
      </c>
      <c r="X349" s="65">
        <f t="shared" si="74"/>
        <v>111</v>
      </c>
      <c r="Y349" s="64">
        <f t="shared" si="75"/>
        <v>0</v>
      </c>
      <c r="Z349" s="63">
        <f t="shared" si="76"/>
        <v>0</v>
      </c>
      <c r="AA349" s="62">
        <f t="shared" si="77"/>
        <v>0.89900000000000002</v>
      </c>
      <c r="AB349" s="62">
        <f t="shared" si="78"/>
        <v>0.73399999999999999</v>
      </c>
    </row>
    <row r="350" spans="2:28">
      <c r="B350" s="106">
        <f>'114+320'!B351</f>
        <v>45380</v>
      </c>
      <c r="C350" s="75">
        <f t="shared" si="70"/>
        <v>1</v>
      </c>
      <c r="D350" s="74">
        <f t="shared" si="71"/>
        <v>842</v>
      </c>
      <c r="E350" s="73">
        <f>VLOOKUP(B350,'114+320'!B351:AB452,3,FALSE)</f>
        <v>1900</v>
      </c>
      <c r="F350" s="69">
        <f t="shared" si="66"/>
        <v>2742</v>
      </c>
      <c r="G350" s="72">
        <f>VLOOKUP(B350,'114+320'!$B$15:$AB$785,20,FALSE)</f>
        <v>989</v>
      </c>
      <c r="H350" s="72">
        <f>VLOOKUP(B350,'114+320'!$B$15:$AB$785,4,FALSE)</f>
        <v>1033</v>
      </c>
      <c r="I350" s="68">
        <f t="shared" si="67"/>
        <v>1709</v>
      </c>
      <c r="J350" s="68">
        <f>VLOOKUP(B350,'114+320'!$B$15:$AB$785,13,FALSE)</f>
        <v>-291</v>
      </c>
      <c r="K350" s="66">
        <f>'114+320'!Q351</f>
        <v>5</v>
      </c>
      <c r="L350" s="65">
        <f t="shared" si="72"/>
        <v>111</v>
      </c>
      <c r="M350" s="70">
        <f>VLOOKUP(B350,'114+320'!$B$14:$AB$785,21,FALSE)</f>
        <v>973</v>
      </c>
      <c r="N350" s="69">
        <f>VLOOKUP(B350,'114+320'!$B$15:$AB$785,5,FALSE)</f>
        <v>1049</v>
      </c>
      <c r="O350" s="68">
        <f t="shared" si="68"/>
        <v>1693</v>
      </c>
      <c r="P350" s="68">
        <f>VLOOKUP(B350,'114+320'!$B$15:$AB$785,14,FALSE)</f>
        <v>-307</v>
      </c>
      <c r="Q350" s="66">
        <f>'114+320'!R351</f>
        <v>4</v>
      </c>
      <c r="R350" s="65">
        <f t="shared" si="73"/>
        <v>127</v>
      </c>
      <c r="S350" s="70">
        <f>VLOOKUP(B350,'114+320'!$B$14:$AB$785,22,FALSE)</f>
        <v>984</v>
      </c>
      <c r="T350" s="69">
        <f>VLOOKUP(B350,'114+320'!$B$15:$AB$785,6,FALSE)</f>
        <v>978</v>
      </c>
      <c r="U350" s="68">
        <f t="shared" si="69"/>
        <v>1764</v>
      </c>
      <c r="V350" s="77">
        <f>VLOOKUP(B350,'114+320'!$B$15:$AB$785,15,FALSE)</f>
        <v>-236</v>
      </c>
      <c r="W350" s="66">
        <f>'114+320'!S351</f>
        <v>5</v>
      </c>
      <c r="X350" s="65">
        <f t="shared" si="74"/>
        <v>116</v>
      </c>
      <c r="Y350" s="64">
        <f t="shared" si="75"/>
        <v>295</v>
      </c>
      <c r="Z350" s="63">
        <f t="shared" si="76"/>
        <v>0.29499999999999998</v>
      </c>
      <c r="AA350" s="62">
        <f t="shared" si="77"/>
        <v>1.194</v>
      </c>
      <c r="AB350" s="62">
        <f t="shared" si="78"/>
        <v>1.026</v>
      </c>
    </row>
    <row r="351" spans="2:28">
      <c r="B351" s="106">
        <f>'114+320'!B352</f>
        <v>45381</v>
      </c>
      <c r="C351" s="75">
        <f t="shared" si="70"/>
        <v>1</v>
      </c>
      <c r="D351" s="74">
        <f t="shared" si="71"/>
        <v>842</v>
      </c>
      <c r="E351" s="73">
        <f>VLOOKUP(B351,'114+320'!B352:AB453,3,FALSE)</f>
        <v>1902</v>
      </c>
      <c r="F351" s="69">
        <f t="shared" si="66"/>
        <v>2744</v>
      </c>
      <c r="G351" s="72">
        <f>VLOOKUP(B351,'114+320'!$B$15:$AB$785,20,FALSE)</f>
        <v>985</v>
      </c>
      <c r="H351" s="72">
        <f>VLOOKUP(B351,'114+320'!$B$15:$AB$785,4,FALSE)</f>
        <v>1039</v>
      </c>
      <c r="I351" s="68">
        <f t="shared" si="67"/>
        <v>1705</v>
      </c>
      <c r="J351" s="68">
        <f>VLOOKUP(B351,'114+320'!$B$15:$AB$785,13,FALSE)</f>
        <v>-295</v>
      </c>
      <c r="K351" s="66">
        <f>'114+320'!Q352</f>
        <v>4</v>
      </c>
      <c r="L351" s="65">
        <f t="shared" si="72"/>
        <v>115</v>
      </c>
      <c r="M351" s="70">
        <f>VLOOKUP(B351,'114+320'!$B$14:$AB$785,21,FALSE)</f>
        <v>966</v>
      </c>
      <c r="N351" s="69">
        <f>VLOOKUP(B351,'114+320'!$B$15:$AB$785,5,FALSE)</f>
        <v>1058</v>
      </c>
      <c r="O351" s="68">
        <f t="shared" si="68"/>
        <v>1686</v>
      </c>
      <c r="P351" s="68">
        <f>VLOOKUP(B351,'114+320'!$B$15:$AB$785,14,FALSE)</f>
        <v>-314</v>
      </c>
      <c r="Q351" s="66">
        <f>'114+320'!R352</f>
        <v>7</v>
      </c>
      <c r="R351" s="65">
        <f t="shared" si="73"/>
        <v>134</v>
      </c>
      <c r="S351" s="70">
        <f>VLOOKUP(B351,'114+320'!$B$14:$AB$785,22,FALSE)</f>
        <v>980</v>
      </c>
      <c r="T351" s="69">
        <f>VLOOKUP(B351,'114+320'!$B$15:$AB$785,6,FALSE)</f>
        <v>984</v>
      </c>
      <c r="U351" s="68">
        <f t="shared" si="69"/>
        <v>1760</v>
      </c>
      <c r="V351" s="77">
        <f>VLOOKUP(B351,'114+320'!$B$15:$AB$785,15,FALSE)</f>
        <v>-240</v>
      </c>
      <c r="W351" s="66">
        <f>'114+320'!S352</f>
        <v>4</v>
      </c>
      <c r="X351" s="65">
        <f t="shared" si="74"/>
        <v>120</v>
      </c>
      <c r="Y351" s="64">
        <f t="shared" si="75"/>
        <v>-4</v>
      </c>
      <c r="Z351" s="63">
        <f t="shared" si="76"/>
        <v>0</v>
      </c>
      <c r="AA351" s="62">
        <f t="shared" si="77"/>
        <v>1.194</v>
      </c>
      <c r="AB351" s="62">
        <f t="shared" si="78"/>
        <v>1.012</v>
      </c>
    </row>
    <row r="352" spans="2:28">
      <c r="B352" s="106">
        <f>'114+320'!B353</f>
        <v>45382</v>
      </c>
      <c r="C352" s="75">
        <f t="shared" si="70"/>
        <v>1</v>
      </c>
      <c r="D352" s="74">
        <f t="shared" si="71"/>
        <v>842</v>
      </c>
      <c r="E352" s="73">
        <f>VLOOKUP(B352,'114+320'!B353:AB454,3,FALSE)</f>
        <v>1904</v>
      </c>
      <c r="F352" s="69">
        <f t="shared" si="66"/>
        <v>2746</v>
      </c>
      <c r="G352" s="72">
        <f>VLOOKUP(B352,'114+320'!$B$15:$AB$785,20,FALSE)</f>
        <v>982</v>
      </c>
      <c r="H352" s="72">
        <f>VLOOKUP(B352,'114+320'!$B$15:$AB$785,4,FALSE)</f>
        <v>1044</v>
      </c>
      <c r="I352" s="68">
        <f t="shared" si="67"/>
        <v>1702</v>
      </c>
      <c r="J352" s="68">
        <f>VLOOKUP(B352,'114+320'!$B$15:$AB$785,13,FALSE)</f>
        <v>-298</v>
      </c>
      <c r="K352" s="66">
        <f>'114+320'!Q353</f>
        <v>3</v>
      </c>
      <c r="L352" s="65">
        <f t="shared" si="72"/>
        <v>118</v>
      </c>
      <c r="M352" s="70">
        <f>VLOOKUP(B352,'114+320'!$B$14:$AB$785,21,FALSE)</f>
        <v>961</v>
      </c>
      <c r="N352" s="69">
        <f>VLOOKUP(B352,'114+320'!$B$15:$AB$785,5,FALSE)</f>
        <v>1065</v>
      </c>
      <c r="O352" s="68">
        <f t="shared" si="68"/>
        <v>1681</v>
      </c>
      <c r="P352" s="68">
        <f>VLOOKUP(B352,'114+320'!$B$15:$AB$785,14,FALSE)</f>
        <v>-319</v>
      </c>
      <c r="Q352" s="66">
        <f>'114+320'!R353</f>
        <v>5</v>
      </c>
      <c r="R352" s="65">
        <f t="shared" si="73"/>
        <v>139</v>
      </c>
      <c r="S352" s="70">
        <f>VLOOKUP(B352,'114+320'!$B$14:$AB$785,22,FALSE)</f>
        <v>977</v>
      </c>
      <c r="T352" s="69">
        <f>VLOOKUP(B352,'114+320'!$B$15:$AB$785,6,FALSE)</f>
        <v>989</v>
      </c>
      <c r="U352" s="68">
        <f t="shared" si="69"/>
        <v>1757</v>
      </c>
      <c r="V352" s="77">
        <f>VLOOKUP(B352,'114+320'!$B$15:$AB$785,15,FALSE)</f>
        <v>-243</v>
      </c>
      <c r="W352" s="66">
        <f>'114+320'!S353</f>
        <v>3</v>
      </c>
      <c r="X352" s="65">
        <f t="shared" si="74"/>
        <v>123</v>
      </c>
      <c r="Y352" s="64">
        <f t="shared" si="75"/>
        <v>-3</v>
      </c>
      <c r="Z352" s="63">
        <f t="shared" si="76"/>
        <v>0</v>
      </c>
      <c r="AA352" s="62">
        <f t="shared" si="77"/>
        <v>1.194</v>
      </c>
      <c r="AB352" s="62">
        <f t="shared" si="78"/>
        <v>1.002</v>
      </c>
    </row>
    <row r="353" spans="2:28">
      <c r="B353" s="106">
        <f>'114+320'!B354</f>
        <v>45383</v>
      </c>
      <c r="C353" s="75">
        <f t="shared" si="70"/>
        <v>1</v>
      </c>
      <c r="D353" s="74">
        <f t="shared" si="71"/>
        <v>842</v>
      </c>
      <c r="E353" s="73">
        <f>VLOOKUP(B353,'114+320'!B354:AB455,3,FALSE)</f>
        <v>1906</v>
      </c>
      <c r="F353" s="69">
        <f t="shared" si="66"/>
        <v>2748</v>
      </c>
      <c r="G353" s="72">
        <f>VLOOKUP(B353,'114+320'!$B$15:$AB$785,20,FALSE)</f>
        <v>980</v>
      </c>
      <c r="H353" s="72">
        <f>VLOOKUP(B353,'114+320'!$B$15:$AB$785,4,FALSE)</f>
        <v>1048</v>
      </c>
      <c r="I353" s="68">
        <f t="shared" si="67"/>
        <v>1700</v>
      </c>
      <c r="J353" s="68">
        <f>VLOOKUP(B353,'114+320'!$B$15:$AB$785,13,FALSE)</f>
        <v>-300</v>
      </c>
      <c r="K353" s="66">
        <f>'114+320'!Q354</f>
        <v>2</v>
      </c>
      <c r="L353" s="65">
        <f t="shared" si="72"/>
        <v>120</v>
      </c>
      <c r="M353" s="70">
        <f>VLOOKUP(B353,'114+320'!$B$14:$AB$785,21,FALSE)</f>
        <v>956</v>
      </c>
      <c r="N353" s="69">
        <f>VLOOKUP(B353,'114+320'!$B$15:$AB$785,5,FALSE)</f>
        <v>1072</v>
      </c>
      <c r="O353" s="68">
        <f t="shared" si="68"/>
        <v>1676</v>
      </c>
      <c r="P353" s="68">
        <f>VLOOKUP(B353,'114+320'!$B$15:$AB$785,14,FALSE)</f>
        <v>-324</v>
      </c>
      <c r="Q353" s="66">
        <f>'114+320'!R354</f>
        <v>5</v>
      </c>
      <c r="R353" s="65">
        <f t="shared" si="73"/>
        <v>144</v>
      </c>
      <c r="S353" s="70">
        <f>VLOOKUP(B353,'114+320'!$B$14:$AB$785,22,FALSE)</f>
        <v>975</v>
      </c>
      <c r="T353" s="69">
        <f>VLOOKUP(B353,'114+320'!$B$15:$AB$785,6,FALSE)</f>
        <v>993</v>
      </c>
      <c r="U353" s="68">
        <f t="shared" si="69"/>
        <v>1755</v>
      </c>
      <c r="V353" s="77">
        <f>VLOOKUP(B353,'114+320'!$B$15:$AB$785,15,FALSE)</f>
        <v>-245</v>
      </c>
      <c r="W353" s="66">
        <f>'114+320'!S354</f>
        <v>2</v>
      </c>
      <c r="X353" s="65">
        <f t="shared" si="74"/>
        <v>125</v>
      </c>
      <c r="Y353" s="64">
        <f t="shared" si="75"/>
        <v>-2</v>
      </c>
      <c r="Z353" s="63">
        <f t="shared" si="76"/>
        <v>0</v>
      </c>
      <c r="AA353" s="62">
        <f t="shared" si="77"/>
        <v>1.194</v>
      </c>
      <c r="AB353" s="62">
        <f t="shared" si="78"/>
        <v>0.99199999999999999</v>
      </c>
    </row>
    <row r="354" spans="2:28">
      <c r="B354" s="106">
        <f>'114+320'!B355</f>
        <v>45384</v>
      </c>
      <c r="C354" s="75">
        <f t="shared" si="70"/>
        <v>1</v>
      </c>
      <c r="D354" s="74">
        <f t="shared" si="71"/>
        <v>842</v>
      </c>
      <c r="E354" s="73">
        <f>VLOOKUP(B354,'114+320'!B355:AB456,3,FALSE)</f>
        <v>1908</v>
      </c>
      <c r="F354" s="69">
        <f t="shared" si="66"/>
        <v>2750</v>
      </c>
      <c r="G354" s="72">
        <f>VLOOKUP(B354,'114+320'!$B$15:$AB$785,20,FALSE)</f>
        <v>1276</v>
      </c>
      <c r="H354" s="72">
        <f>VLOOKUP(B354,'114+320'!$B$15:$AB$785,4,FALSE)</f>
        <v>1054</v>
      </c>
      <c r="I354" s="68">
        <f t="shared" si="67"/>
        <v>1696</v>
      </c>
      <c r="J354" s="68">
        <f>VLOOKUP(B354,'114+320'!$B$15:$AB$785,13,FALSE)</f>
        <v>-304</v>
      </c>
      <c r="K354" s="66">
        <f>'114+320'!Q355</f>
        <v>4</v>
      </c>
      <c r="L354" s="65">
        <f t="shared" si="72"/>
        <v>124</v>
      </c>
      <c r="M354" s="70">
        <f>VLOOKUP(B354,'114+320'!$B$14:$AB$785,21,FALSE)</f>
        <v>1252</v>
      </c>
      <c r="N354" s="69">
        <f>VLOOKUP(B354,'114+320'!$B$15:$AB$785,5,FALSE)</f>
        <v>1078</v>
      </c>
      <c r="O354" s="68">
        <f t="shared" si="68"/>
        <v>1672</v>
      </c>
      <c r="P354" s="68">
        <f>VLOOKUP(B354,'114+320'!$B$15:$AB$785,14,FALSE)</f>
        <v>-328</v>
      </c>
      <c r="Q354" s="66">
        <f>'114+320'!R355</f>
        <v>4</v>
      </c>
      <c r="R354" s="65">
        <f t="shared" si="73"/>
        <v>148</v>
      </c>
      <c r="S354" s="70">
        <f>VLOOKUP(B354,'114+320'!$B$14:$AB$785,22,FALSE)</f>
        <v>1271</v>
      </c>
      <c r="T354" s="69">
        <f>VLOOKUP(B354,'114+320'!$B$15:$AB$785,6,FALSE)</f>
        <v>999</v>
      </c>
      <c r="U354" s="68">
        <f t="shared" si="69"/>
        <v>1751</v>
      </c>
      <c r="V354" s="77">
        <f>VLOOKUP(B354,'114+320'!$B$15:$AB$785,15,FALSE)</f>
        <v>-249</v>
      </c>
      <c r="W354" s="66">
        <f>'114+320'!S355</f>
        <v>4</v>
      </c>
      <c r="X354" s="65">
        <f t="shared" si="74"/>
        <v>129</v>
      </c>
      <c r="Y354" s="64">
        <f t="shared" si="75"/>
        <v>296</v>
      </c>
      <c r="Z354" s="63">
        <f t="shared" si="76"/>
        <v>0.29599999999999999</v>
      </c>
      <c r="AA354" s="62">
        <f t="shared" si="77"/>
        <v>1.49</v>
      </c>
      <c r="AB354" s="62">
        <f t="shared" si="78"/>
        <v>1.284</v>
      </c>
    </row>
    <row r="355" spans="2:28">
      <c r="B355" s="106">
        <f>'114+320'!B356</f>
        <v>45385</v>
      </c>
      <c r="C355" s="75">
        <f t="shared" si="70"/>
        <v>1</v>
      </c>
      <c r="D355" s="74">
        <f t="shared" si="71"/>
        <v>842</v>
      </c>
      <c r="E355" s="73">
        <f>VLOOKUP(B355,'114+320'!B356:AB457,3,FALSE)</f>
        <v>1910</v>
      </c>
      <c r="F355" s="69">
        <f t="shared" si="66"/>
        <v>2752</v>
      </c>
      <c r="G355" s="72">
        <f>VLOOKUP(B355,'114+320'!$B$15:$AB$785,20,FALSE)</f>
        <v>1273</v>
      </c>
      <c r="H355" s="72">
        <f>VLOOKUP(B355,'114+320'!$B$15:$AB$785,4,FALSE)</f>
        <v>1059</v>
      </c>
      <c r="I355" s="68">
        <f t="shared" si="67"/>
        <v>1693</v>
      </c>
      <c r="J355" s="68">
        <f>VLOOKUP(B355,'114+320'!$B$15:$AB$785,13,FALSE)</f>
        <v>-307</v>
      </c>
      <c r="K355" s="66">
        <f>'114+320'!Q356</f>
        <v>3</v>
      </c>
      <c r="L355" s="65">
        <f t="shared" si="72"/>
        <v>127</v>
      </c>
      <c r="M355" s="70">
        <f>VLOOKUP(B355,'114+320'!$B$14:$AB$785,21,FALSE)</f>
        <v>1249</v>
      </c>
      <c r="N355" s="69">
        <f>VLOOKUP(B355,'114+320'!$B$15:$AB$785,5,FALSE)</f>
        <v>1083</v>
      </c>
      <c r="O355" s="68">
        <f t="shared" si="68"/>
        <v>1669</v>
      </c>
      <c r="P355" s="68">
        <f>VLOOKUP(B355,'114+320'!$B$15:$AB$785,14,FALSE)</f>
        <v>-331</v>
      </c>
      <c r="Q355" s="66">
        <f>'114+320'!R356</f>
        <v>3</v>
      </c>
      <c r="R355" s="65">
        <f t="shared" si="73"/>
        <v>151</v>
      </c>
      <c r="S355" s="70">
        <f>VLOOKUP(B355,'114+320'!$B$14:$AB$785,22,FALSE)</f>
        <v>1268</v>
      </c>
      <c r="T355" s="69">
        <f>VLOOKUP(B355,'114+320'!$B$15:$AB$785,6,FALSE)</f>
        <v>1004</v>
      </c>
      <c r="U355" s="68">
        <f t="shared" si="69"/>
        <v>1748</v>
      </c>
      <c r="V355" s="77">
        <f>VLOOKUP(B355,'114+320'!$B$15:$AB$785,15,FALSE)</f>
        <v>-252</v>
      </c>
      <c r="W355" s="66">
        <f>'114+320'!S356</f>
        <v>3</v>
      </c>
      <c r="X355" s="65">
        <f t="shared" si="74"/>
        <v>132</v>
      </c>
      <c r="Y355" s="64">
        <f t="shared" si="75"/>
        <v>-3</v>
      </c>
      <c r="Z355" s="63">
        <f t="shared" si="76"/>
        <v>0</v>
      </c>
      <c r="AA355" s="62">
        <f t="shared" si="77"/>
        <v>1.49</v>
      </c>
      <c r="AB355" s="62">
        <f t="shared" si="78"/>
        <v>1.278</v>
      </c>
    </row>
    <row r="356" spans="2:28">
      <c r="B356" s="106">
        <f>'114+320'!B357</f>
        <v>45386</v>
      </c>
      <c r="C356" s="75">
        <f t="shared" si="70"/>
        <v>1</v>
      </c>
      <c r="D356" s="74">
        <f t="shared" si="71"/>
        <v>842</v>
      </c>
      <c r="E356" s="73">
        <f>VLOOKUP(B356,'114+320'!B357:AB458,3,FALSE)</f>
        <v>1912</v>
      </c>
      <c r="F356" s="69">
        <f t="shared" si="66"/>
        <v>2754</v>
      </c>
      <c r="G356" s="72">
        <f>VLOOKUP(B356,'114+320'!$B$15:$AB$785,20,FALSE)</f>
        <v>1271</v>
      </c>
      <c r="H356" s="72">
        <f>VLOOKUP(B356,'114+320'!$B$15:$AB$785,4,FALSE)</f>
        <v>1063</v>
      </c>
      <c r="I356" s="68">
        <f t="shared" si="67"/>
        <v>1691</v>
      </c>
      <c r="J356" s="68">
        <f>VLOOKUP(B356,'114+320'!$B$15:$AB$785,13,FALSE)</f>
        <v>-309</v>
      </c>
      <c r="K356" s="66">
        <f>'114+320'!Q357</f>
        <v>2</v>
      </c>
      <c r="L356" s="65">
        <f t="shared" si="72"/>
        <v>129</v>
      </c>
      <c r="M356" s="70">
        <f>VLOOKUP(B356,'114+320'!$B$14:$AB$785,21,FALSE)</f>
        <v>1247</v>
      </c>
      <c r="N356" s="69">
        <f>VLOOKUP(B356,'114+320'!$B$15:$AB$785,5,FALSE)</f>
        <v>1087</v>
      </c>
      <c r="O356" s="68">
        <f t="shared" si="68"/>
        <v>1667</v>
      </c>
      <c r="P356" s="68">
        <f>VLOOKUP(B356,'114+320'!$B$15:$AB$785,14,FALSE)</f>
        <v>-333</v>
      </c>
      <c r="Q356" s="66">
        <f>'114+320'!R357</f>
        <v>2</v>
      </c>
      <c r="R356" s="65">
        <f t="shared" si="73"/>
        <v>153</v>
      </c>
      <c r="S356" s="70">
        <f>VLOOKUP(B356,'114+320'!$B$14:$AB$785,22,FALSE)</f>
        <v>1266</v>
      </c>
      <c r="T356" s="69">
        <f>VLOOKUP(B356,'114+320'!$B$15:$AB$785,6,FALSE)</f>
        <v>1008</v>
      </c>
      <c r="U356" s="68">
        <f t="shared" si="69"/>
        <v>1746</v>
      </c>
      <c r="V356" s="77">
        <f>VLOOKUP(B356,'114+320'!$B$15:$AB$785,15,FALSE)</f>
        <v>-254</v>
      </c>
      <c r="W356" s="66">
        <f>'114+320'!S357</f>
        <v>2</v>
      </c>
      <c r="X356" s="65">
        <f t="shared" si="74"/>
        <v>134</v>
      </c>
      <c r="Y356" s="64">
        <f t="shared" si="75"/>
        <v>-2</v>
      </c>
      <c r="Z356" s="63">
        <f t="shared" si="76"/>
        <v>0</v>
      </c>
      <c r="AA356" s="62">
        <f t="shared" si="77"/>
        <v>1.49</v>
      </c>
      <c r="AB356" s="62">
        <f t="shared" si="78"/>
        <v>1.274</v>
      </c>
    </row>
    <row r="357" spans="2:28">
      <c r="B357" s="106">
        <f>'114+320'!B358</f>
        <v>45387</v>
      </c>
      <c r="C357" s="75">
        <f t="shared" si="70"/>
        <v>1</v>
      </c>
      <c r="D357" s="74">
        <f t="shared" si="71"/>
        <v>842</v>
      </c>
      <c r="E357" s="73">
        <f>VLOOKUP(B357,'114+320'!B358:AB459,3,FALSE)</f>
        <v>1914</v>
      </c>
      <c r="F357" s="69">
        <f t="shared" si="66"/>
        <v>2756</v>
      </c>
      <c r="G357" s="72">
        <f>VLOOKUP(B357,'114+320'!$B$15:$AB$785,20,FALSE)</f>
        <v>1267</v>
      </c>
      <c r="H357" s="72">
        <f>VLOOKUP(B357,'114+320'!$B$15:$AB$785,4,FALSE)</f>
        <v>1069</v>
      </c>
      <c r="I357" s="68">
        <f t="shared" si="67"/>
        <v>1687</v>
      </c>
      <c r="J357" s="68">
        <f>VLOOKUP(B357,'114+320'!$B$15:$AB$785,13,FALSE)</f>
        <v>-313</v>
      </c>
      <c r="K357" s="66">
        <f>'114+320'!Q358</f>
        <v>4</v>
      </c>
      <c r="L357" s="65">
        <f t="shared" si="72"/>
        <v>133</v>
      </c>
      <c r="M357" s="70">
        <f>VLOOKUP(B357,'114+320'!$B$14:$AB$785,21,FALSE)</f>
        <v>1243</v>
      </c>
      <c r="N357" s="69">
        <f>VLOOKUP(B357,'114+320'!$B$15:$AB$785,5,FALSE)</f>
        <v>1093</v>
      </c>
      <c r="O357" s="68">
        <f t="shared" si="68"/>
        <v>1663</v>
      </c>
      <c r="P357" s="68">
        <f>VLOOKUP(B357,'114+320'!$B$15:$AB$785,14,FALSE)</f>
        <v>-337</v>
      </c>
      <c r="Q357" s="66">
        <f>'114+320'!R358</f>
        <v>4</v>
      </c>
      <c r="R357" s="65">
        <f t="shared" si="73"/>
        <v>157</v>
      </c>
      <c r="S357" s="70">
        <f>VLOOKUP(B357,'114+320'!$B$14:$AB$785,22,FALSE)</f>
        <v>1262</v>
      </c>
      <c r="T357" s="69">
        <f>VLOOKUP(B357,'114+320'!$B$15:$AB$785,6,FALSE)</f>
        <v>1014</v>
      </c>
      <c r="U357" s="68">
        <f t="shared" si="69"/>
        <v>1742</v>
      </c>
      <c r="V357" s="77">
        <f>VLOOKUP(B357,'114+320'!$B$15:$AB$785,15,FALSE)</f>
        <v>-258</v>
      </c>
      <c r="W357" s="66">
        <f>'114+320'!S358</f>
        <v>4</v>
      </c>
      <c r="X357" s="65">
        <f t="shared" si="74"/>
        <v>138</v>
      </c>
      <c r="Y357" s="64">
        <f t="shared" si="75"/>
        <v>-4</v>
      </c>
      <c r="Z357" s="63">
        <f t="shared" si="76"/>
        <v>0</v>
      </c>
      <c r="AA357" s="62">
        <f t="shared" si="77"/>
        <v>1.49</v>
      </c>
      <c r="AB357" s="62">
        <f t="shared" si="78"/>
        <v>1.266</v>
      </c>
    </row>
    <row r="358" spans="2:28">
      <c r="B358" s="106">
        <f>'114+320'!B359</f>
        <v>45388</v>
      </c>
      <c r="C358" s="75">
        <f t="shared" si="70"/>
        <v>1</v>
      </c>
      <c r="D358" s="74">
        <f t="shared" si="71"/>
        <v>842</v>
      </c>
      <c r="E358" s="73">
        <f>VLOOKUP(B358,'114+320'!B359:AB460,3,FALSE)</f>
        <v>1916</v>
      </c>
      <c r="F358" s="69">
        <f t="shared" si="66"/>
        <v>2758</v>
      </c>
      <c r="G358" s="72">
        <f>VLOOKUP(B358,'114+320'!$B$15:$AB$785,20,FALSE)</f>
        <v>1260</v>
      </c>
      <c r="H358" s="72">
        <f>VLOOKUP(B358,'114+320'!$B$15:$AB$785,4,FALSE)</f>
        <v>1078</v>
      </c>
      <c r="I358" s="68">
        <f t="shared" si="67"/>
        <v>1680</v>
      </c>
      <c r="J358" s="68">
        <f>VLOOKUP(B358,'114+320'!$B$15:$AB$785,13,FALSE)</f>
        <v>-320</v>
      </c>
      <c r="K358" s="66">
        <f>'114+320'!Q359</f>
        <v>7</v>
      </c>
      <c r="L358" s="65">
        <f t="shared" si="72"/>
        <v>140</v>
      </c>
      <c r="M358" s="70">
        <f>VLOOKUP(B358,'114+320'!$B$14:$AB$785,21,FALSE)</f>
        <v>1236</v>
      </c>
      <c r="N358" s="69">
        <f>VLOOKUP(B358,'114+320'!$B$15:$AB$785,5,FALSE)</f>
        <v>1102</v>
      </c>
      <c r="O358" s="68">
        <f t="shared" si="68"/>
        <v>1656</v>
      </c>
      <c r="P358" s="68">
        <f>VLOOKUP(B358,'114+320'!$B$15:$AB$785,14,FALSE)</f>
        <v>-344</v>
      </c>
      <c r="Q358" s="66">
        <f>'114+320'!R359</f>
        <v>7</v>
      </c>
      <c r="R358" s="65">
        <f t="shared" si="73"/>
        <v>164</v>
      </c>
      <c r="S358" s="70">
        <f>VLOOKUP(B358,'114+320'!$B$14:$AB$785,22,FALSE)</f>
        <v>1255</v>
      </c>
      <c r="T358" s="69">
        <f>VLOOKUP(B358,'114+320'!$B$15:$AB$785,6,FALSE)</f>
        <v>1023</v>
      </c>
      <c r="U358" s="68">
        <f t="shared" si="69"/>
        <v>1735</v>
      </c>
      <c r="V358" s="77">
        <f>VLOOKUP(B358,'114+320'!$B$15:$AB$785,15,FALSE)</f>
        <v>-265</v>
      </c>
      <c r="W358" s="66">
        <f>'114+320'!S359</f>
        <v>7</v>
      </c>
      <c r="X358" s="65">
        <f t="shared" si="74"/>
        <v>145</v>
      </c>
      <c r="Y358" s="64">
        <f t="shared" si="75"/>
        <v>-7</v>
      </c>
      <c r="Z358" s="63">
        <f t="shared" si="76"/>
        <v>0</v>
      </c>
      <c r="AA358" s="62">
        <f t="shared" si="77"/>
        <v>1.49</v>
      </c>
      <c r="AB358" s="62">
        <f t="shared" si="78"/>
        <v>1.252</v>
      </c>
    </row>
    <row r="359" spans="2:28">
      <c r="B359" s="106">
        <f>'114+320'!B360</f>
        <v>45389</v>
      </c>
      <c r="C359" s="75">
        <f t="shared" si="70"/>
        <v>1</v>
      </c>
      <c r="D359" s="74">
        <f t="shared" si="71"/>
        <v>842</v>
      </c>
      <c r="E359" s="73">
        <f>VLOOKUP(B359,'114+320'!B360:AB461,3,FALSE)</f>
        <v>1918</v>
      </c>
      <c r="F359" s="69">
        <f t="shared" si="66"/>
        <v>2760</v>
      </c>
      <c r="G359" s="72">
        <f>VLOOKUP(B359,'114+320'!$B$15:$AB$785,20,FALSE)</f>
        <v>1555</v>
      </c>
      <c r="H359" s="72">
        <f>VLOOKUP(B359,'114+320'!$B$15:$AB$785,4,FALSE)</f>
        <v>1085</v>
      </c>
      <c r="I359" s="68">
        <f t="shared" si="67"/>
        <v>1675</v>
      </c>
      <c r="J359" s="68">
        <f>VLOOKUP(B359,'114+320'!$B$15:$AB$785,13,FALSE)</f>
        <v>-325</v>
      </c>
      <c r="K359" s="66">
        <f>'114+320'!Q360</f>
        <v>5</v>
      </c>
      <c r="L359" s="65">
        <f t="shared" si="72"/>
        <v>145</v>
      </c>
      <c r="M359" s="70">
        <f>VLOOKUP(B359,'114+320'!$B$14:$AB$785,21,FALSE)</f>
        <v>1531</v>
      </c>
      <c r="N359" s="69">
        <f>VLOOKUP(B359,'114+320'!$B$15:$AB$785,5,FALSE)</f>
        <v>1109</v>
      </c>
      <c r="O359" s="68">
        <f t="shared" si="68"/>
        <v>1651</v>
      </c>
      <c r="P359" s="68">
        <f>VLOOKUP(B359,'114+320'!$B$15:$AB$785,14,FALSE)</f>
        <v>-349</v>
      </c>
      <c r="Q359" s="66">
        <f>'114+320'!R360</f>
        <v>5</v>
      </c>
      <c r="R359" s="65">
        <f t="shared" si="73"/>
        <v>169</v>
      </c>
      <c r="S359" s="70">
        <f>VLOOKUP(B359,'114+320'!$B$14:$AB$785,22,FALSE)</f>
        <v>1550</v>
      </c>
      <c r="T359" s="69">
        <f>VLOOKUP(B359,'114+320'!$B$15:$AB$785,6,FALSE)</f>
        <v>1030</v>
      </c>
      <c r="U359" s="68">
        <f t="shared" si="69"/>
        <v>1730</v>
      </c>
      <c r="V359" s="77">
        <f>VLOOKUP(B359,'114+320'!$B$15:$AB$785,15,FALSE)</f>
        <v>-270</v>
      </c>
      <c r="W359" s="66">
        <f>'114+320'!S360</f>
        <v>5</v>
      </c>
      <c r="X359" s="65">
        <f t="shared" si="74"/>
        <v>150</v>
      </c>
      <c r="Y359" s="64">
        <f t="shared" si="75"/>
        <v>295</v>
      </c>
      <c r="Z359" s="63">
        <f t="shared" si="76"/>
        <v>0.29499999999999998</v>
      </c>
      <c r="AA359" s="62">
        <f t="shared" si="77"/>
        <v>1.7849999999999999</v>
      </c>
      <c r="AB359" s="62">
        <f t="shared" si="78"/>
        <v>1.542</v>
      </c>
    </row>
    <row r="360" spans="2:28">
      <c r="B360" s="106">
        <f>'114+320'!B361</f>
        <v>45390</v>
      </c>
      <c r="C360" s="75">
        <f t="shared" si="70"/>
        <v>1</v>
      </c>
      <c r="D360" s="74">
        <f t="shared" si="71"/>
        <v>842</v>
      </c>
      <c r="E360" s="73">
        <f>VLOOKUP(B360,'114+320'!B361:AB462,3,FALSE)</f>
        <v>1920</v>
      </c>
      <c r="F360" s="69">
        <f t="shared" si="66"/>
        <v>2762</v>
      </c>
      <c r="G360" s="72">
        <f>VLOOKUP(B360,'114+320'!$B$15:$AB$785,20,FALSE)</f>
        <v>1550</v>
      </c>
      <c r="H360" s="72">
        <f>VLOOKUP(B360,'114+320'!$B$15:$AB$785,4,FALSE)</f>
        <v>1092</v>
      </c>
      <c r="I360" s="68">
        <f t="shared" si="67"/>
        <v>1670</v>
      </c>
      <c r="J360" s="68">
        <f>VLOOKUP(B360,'114+320'!$B$15:$AB$785,13,FALSE)</f>
        <v>-330</v>
      </c>
      <c r="K360" s="66">
        <f>'114+320'!Q361</f>
        <v>5</v>
      </c>
      <c r="L360" s="65">
        <f t="shared" si="72"/>
        <v>150</v>
      </c>
      <c r="M360" s="70">
        <f>VLOOKUP(B360,'114+320'!$B$14:$AB$785,21,FALSE)</f>
        <v>1526</v>
      </c>
      <c r="N360" s="69">
        <f>VLOOKUP(B360,'114+320'!$B$15:$AB$785,5,FALSE)</f>
        <v>1116</v>
      </c>
      <c r="O360" s="68">
        <f t="shared" si="68"/>
        <v>1646</v>
      </c>
      <c r="P360" s="68">
        <f>VLOOKUP(B360,'114+320'!$B$15:$AB$785,14,FALSE)</f>
        <v>-354</v>
      </c>
      <c r="Q360" s="66">
        <f>'114+320'!R361</f>
        <v>5</v>
      </c>
      <c r="R360" s="65">
        <f t="shared" si="73"/>
        <v>174</v>
      </c>
      <c r="S360" s="70">
        <f>VLOOKUP(B360,'114+320'!$B$14:$AB$785,22,FALSE)</f>
        <v>1545</v>
      </c>
      <c r="T360" s="69">
        <f>VLOOKUP(B360,'114+320'!$B$15:$AB$785,6,FALSE)</f>
        <v>1037</v>
      </c>
      <c r="U360" s="68">
        <f t="shared" si="69"/>
        <v>1725</v>
      </c>
      <c r="V360" s="77">
        <f>VLOOKUP(B360,'114+320'!$B$15:$AB$785,15,FALSE)</f>
        <v>-275</v>
      </c>
      <c r="W360" s="66">
        <f>'114+320'!S361</f>
        <v>5</v>
      </c>
      <c r="X360" s="65">
        <f t="shared" si="74"/>
        <v>155</v>
      </c>
      <c r="Y360" s="64">
        <f t="shared" si="75"/>
        <v>-5</v>
      </c>
      <c r="Z360" s="63">
        <f t="shared" si="76"/>
        <v>0</v>
      </c>
      <c r="AA360" s="62">
        <f t="shared" si="77"/>
        <v>1.7849999999999999</v>
      </c>
      <c r="AB360" s="62">
        <f t="shared" si="78"/>
        <v>1.532</v>
      </c>
    </row>
    <row r="361" spans="2:28">
      <c r="B361" s="106">
        <f>'114+320'!B362</f>
        <v>45391</v>
      </c>
      <c r="C361" s="75">
        <f t="shared" si="70"/>
        <v>1</v>
      </c>
      <c r="D361" s="74">
        <f t="shared" si="71"/>
        <v>842</v>
      </c>
      <c r="E361" s="73">
        <f>VLOOKUP(B361,'114+320'!B362:AB463,3,FALSE)</f>
        <v>1922</v>
      </c>
      <c r="F361" s="69">
        <f t="shared" si="66"/>
        <v>2764</v>
      </c>
      <c r="G361" s="72">
        <f>VLOOKUP(B361,'114+320'!$B$15:$AB$785,20,FALSE)</f>
        <v>1546</v>
      </c>
      <c r="H361" s="72">
        <f>VLOOKUP(B361,'114+320'!$B$15:$AB$785,4,FALSE)</f>
        <v>1098</v>
      </c>
      <c r="I361" s="68">
        <f t="shared" si="67"/>
        <v>1666</v>
      </c>
      <c r="J361" s="68">
        <f>VLOOKUP(B361,'114+320'!$B$15:$AB$785,13,FALSE)</f>
        <v>-334</v>
      </c>
      <c r="K361" s="66">
        <f>'114+320'!Q362</f>
        <v>4</v>
      </c>
      <c r="L361" s="65">
        <f t="shared" si="72"/>
        <v>154</v>
      </c>
      <c r="M361" s="70">
        <f>VLOOKUP(B361,'114+320'!$B$14:$AB$785,21,FALSE)</f>
        <v>1522</v>
      </c>
      <c r="N361" s="69">
        <f>VLOOKUP(B361,'114+320'!$B$15:$AB$785,5,FALSE)</f>
        <v>1122</v>
      </c>
      <c r="O361" s="68">
        <f t="shared" si="68"/>
        <v>1642</v>
      </c>
      <c r="P361" s="68">
        <f>VLOOKUP(B361,'114+320'!$B$15:$AB$785,14,FALSE)</f>
        <v>-358</v>
      </c>
      <c r="Q361" s="66">
        <f>'114+320'!R362</f>
        <v>4</v>
      </c>
      <c r="R361" s="65">
        <f t="shared" si="73"/>
        <v>178</v>
      </c>
      <c r="S361" s="70">
        <f>VLOOKUP(B361,'114+320'!$B$14:$AB$785,22,FALSE)</f>
        <v>1541</v>
      </c>
      <c r="T361" s="69">
        <f>VLOOKUP(B361,'114+320'!$B$15:$AB$785,6,FALSE)</f>
        <v>1043</v>
      </c>
      <c r="U361" s="68">
        <f t="shared" si="69"/>
        <v>1721</v>
      </c>
      <c r="V361" s="77">
        <f>VLOOKUP(B361,'114+320'!$B$15:$AB$785,15,FALSE)</f>
        <v>-279</v>
      </c>
      <c r="W361" s="66">
        <f>'114+320'!S362</f>
        <v>4</v>
      </c>
      <c r="X361" s="65">
        <f t="shared" si="74"/>
        <v>159</v>
      </c>
      <c r="Y361" s="64">
        <f t="shared" si="75"/>
        <v>-4</v>
      </c>
      <c r="Z361" s="63">
        <f t="shared" si="76"/>
        <v>0</v>
      </c>
      <c r="AA361" s="62">
        <f t="shared" si="77"/>
        <v>1.7849999999999999</v>
      </c>
      <c r="AB361" s="62">
        <f t="shared" si="78"/>
        <v>1.524</v>
      </c>
    </row>
    <row r="362" spans="2:28">
      <c r="B362" s="106">
        <f>'114+320'!B363</f>
        <v>45392</v>
      </c>
      <c r="C362" s="75">
        <f t="shared" si="70"/>
        <v>1</v>
      </c>
      <c r="D362" s="74">
        <f t="shared" si="71"/>
        <v>842</v>
      </c>
      <c r="E362" s="73">
        <f>VLOOKUP(B362,'114+320'!B363:AB464,3,FALSE)</f>
        <v>1924</v>
      </c>
      <c r="F362" s="69">
        <f t="shared" si="66"/>
        <v>2766</v>
      </c>
      <c r="G362" s="72">
        <f>VLOOKUP(B362,'114+320'!$B$15:$AB$785,20,FALSE)</f>
        <v>1543</v>
      </c>
      <c r="H362" s="72">
        <f>VLOOKUP(B362,'114+320'!$B$15:$AB$785,4,FALSE)</f>
        <v>103</v>
      </c>
      <c r="I362" s="68">
        <f t="shared" si="67"/>
        <v>2663</v>
      </c>
      <c r="J362" s="68">
        <f>VLOOKUP(B362,'114+320'!$B$15:$AB$785,13,FALSE)</f>
        <v>-337</v>
      </c>
      <c r="K362" s="66">
        <f>'114+320'!Q363</f>
        <v>3</v>
      </c>
      <c r="L362" s="65">
        <f t="shared" si="72"/>
        <v>157</v>
      </c>
      <c r="M362" s="70">
        <f>VLOOKUP(B362,'114+320'!$B$14:$AB$785,21,FALSE)</f>
        <v>1519</v>
      </c>
      <c r="N362" s="69">
        <f>VLOOKUP(B362,'114+320'!$B$15:$AB$785,5,FALSE)</f>
        <v>127</v>
      </c>
      <c r="O362" s="68">
        <f t="shared" si="68"/>
        <v>2639</v>
      </c>
      <c r="P362" s="68">
        <f>VLOOKUP(B362,'114+320'!$B$15:$AB$785,14,FALSE)</f>
        <v>-361</v>
      </c>
      <c r="Q362" s="66">
        <f>'114+320'!R363</f>
        <v>3</v>
      </c>
      <c r="R362" s="65">
        <f t="shared" si="73"/>
        <v>181</v>
      </c>
      <c r="S362" s="70">
        <f>VLOOKUP(B362,'114+320'!$B$14:$AB$785,22,FALSE)</f>
        <v>1538</v>
      </c>
      <c r="T362" s="69">
        <f>VLOOKUP(B362,'114+320'!$B$15:$AB$785,6,FALSE)</f>
        <v>48</v>
      </c>
      <c r="U362" s="68">
        <f t="shared" si="69"/>
        <v>2718</v>
      </c>
      <c r="V362" s="77">
        <f>VLOOKUP(B362,'114+320'!$B$15:$AB$785,15,FALSE)</f>
        <v>-282</v>
      </c>
      <c r="W362" s="66">
        <f>'114+320'!S363</f>
        <v>3</v>
      </c>
      <c r="X362" s="65">
        <f t="shared" si="74"/>
        <v>162</v>
      </c>
      <c r="Y362" s="64">
        <f t="shared" si="75"/>
        <v>-3</v>
      </c>
      <c r="Z362" s="63">
        <f t="shared" si="76"/>
        <v>0</v>
      </c>
      <c r="AA362" s="62">
        <f t="shared" si="77"/>
        <v>1.7849999999999999</v>
      </c>
      <c r="AB362" s="62">
        <f t="shared" si="78"/>
        <v>1.518</v>
      </c>
    </row>
    <row r="363" spans="2:28">
      <c r="B363" s="106">
        <f>'114+320'!B364</f>
        <v>45393</v>
      </c>
      <c r="C363" s="75">
        <f t="shared" si="70"/>
        <v>1</v>
      </c>
      <c r="D363" s="74">
        <f t="shared" si="71"/>
        <v>842</v>
      </c>
      <c r="E363" s="73">
        <f>VLOOKUP(B363,'114+320'!B364:AB465,3,FALSE)</f>
        <v>1926</v>
      </c>
      <c r="F363" s="69">
        <f t="shared" si="66"/>
        <v>2768</v>
      </c>
      <c r="G363" s="72">
        <f>VLOOKUP(B363,'114+320'!$B$15:$AB$785,20,FALSE)</f>
        <v>1841</v>
      </c>
      <c r="H363" s="72">
        <f>VLOOKUP(B363,'114+320'!$B$15:$AB$785,4,FALSE)</f>
        <v>107</v>
      </c>
      <c r="I363" s="68">
        <f t="shared" si="67"/>
        <v>2661</v>
      </c>
      <c r="J363" s="68">
        <f>VLOOKUP(B363,'114+320'!$B$15:$AB$785,13,FALSE)</f>
        <v>-339</v>
      </c>
      <c r="K363" s="66">
        <f>'114+320'!Q364</f>
        <v>2</v>
      </c>
      <c r="L363" s="65">
        <f t="shared" si="72"/>
        <v>159</v>
      </c>
      <c r="M363" s="70">
        <f>VLOOKUP(B363,'114+320'!$B$14:$AB$785,21,FALSE)</f>
        <v>1817</v>
      </c>
      <c r="N363" s="69">
        <f>VLOOKUP(B363,'114+320'!$B$15:$AB$785,5,FALSE)</f>
        <v>131</v>
      </c>
      <c r="O363" s="68">
        <f t="shared" si="68"/>
        <v>2637</v>
      </c>
      <c r="P363" s="68">
        <f>VLOOKUP(B363,'114+320'!$B$15:$AB$785,14,FALSE)</f>
        <v>-363</v>
      </c>
      <c r="Q363" s="66">
        <f>'114+320'!R364</f>
        <v>2</v>
      </c>
      <c r="R363" s="65">
        <f t="shared" si="73"/>
        <v>183</v>
      </c>
      <c r="S363" s="70">
        <f>VLOOKUP(B363,'114+320'!$B$14:$AB$785,22,FALSE)</f>
        <v>1830</v>
      </c>
      <c r="T363" s="69">
        <f>VLOOKUP(B363,'114+320'!$B$15:$AB$785,6,FALSE)</f>
        <v>58</v>
      </c>
      <c r="U363" s="68">
        <f t="shared" si="69"/>
        <v>2710</v>
      </c>
      <c r="V363" s="77">
        <f>VLOOKUP(B363,'114+320'!$B$15:$AB$785,15,FALSE)</f>
        <v>-290</v>
      </c>
      <c r="W363" s="66">
        <f>'114+320'!S364</f>
        <v>8</v>
      </c>
      <c r="X363" s="65">
        <f t="shared" si="74"/>
        <v>170</v>
      </c>
      <c r="Y363" s="64">
        <f t="shared" si="75"/>
        <v>292</v>
      </c>
      <c r="Z363" s="63">
        <f t="shared" si="76"/>
        <v>0.29199999999999998</v>
      </c>
      <c r="AA363" s="62">
        <f t="shared" si="77"/>
        <v>2.077</v>
      </c>
      <c r="AB363" s="62">
        <f t="shared" si="78"/>
        <v>1.8140000000000001</v>
      </c>
    </row>
    <row r="364" spans="2:28">
      <c r="B364" s="106">
        <f>'114+320'!B365</f>
        <v>45394</v>
      </c>
      <c r="C364" s="75">
        <f t="shared" si="70"/>
        <v>1</v>
      </c>
      <c r="D364" s="74">
        <f t="shared" si="71"/>
        <v>842</v>
      </c>
      <c r="E364" s="73">
        <f>VLOOKUP(B364,'114+320'!B365:AB466,3,FALSE)</f>
        <v>1928</v>
      </c>
      <c r="F364" s="69">
        <f t="shared" si="66"/>
        <v>2770</v>
      </c>
      <c r="G364" s="72">
        <f>VLOOKUP(B364,'114+320'!$B$15:$AB$785,20,FALSE)</f>
        <v>1837</v>
      </c>
      <c r="H364" s="72">
        <f>VLOOKUP(B364,'114+320'!$B$15:$AB$785,4,FALSE)</f>
        <v>113</v>
      </c>
      <c r="I364" s="68">
        <f t="shared" si="67"/>
        <v>2657</v>
      </c>
      <c r="J364" s="68">
        <f>VLOOKUP(B364,'114+320'!$B$15:$AB$785,13,FALSE)</f>
        <v>-343</v>
      </c>
      <c r="K364" s="66">
        <f>'114+320'!Q365</f>
        <v>4</v>
      </c>
      <c r="L364" s="65">
        <f t="shared" si="72"/>
        <v>163</v>
      </c>
      <c r="M364" s="70">
        <f>VLOOKUP(B364,'114+320'!$B$14:$AB$785,21,FALSE)</f>
        <v>1813</v>
      </c>
      <c r="N364" s="69">
        <f>VLOOKUP(B364,'114+320'!$B$15:$AB$785,5,FALSE)</f>
        <v>137</v>
      </c>
      <c r="O364" s="68">
        <f t="shared" si="68"/>
        <v>2633</v>
      </c>
      <c r="P364" s="68">
        <f>VLOOKUP(B364,'114+320'!$B$15:$AB$785,14,FALSE)</f>
        <v>-367</v>
      </c>
      <c r="Q364" s="66">
        <f>'114+320'!R365</f>
        <v>4</v>
      </c>
      <c r="R364" s="65">
        <f t="shared" si="73"/>
        <v>187</v>
      </c>
      <c r="S364" s="70">
        <f>VLOOKUP(B364,'114+320'!$B$14:$AB$785,22,FALSE)</f>
        <v>1826</v>
      </c>
      <c r="T364" s="69">
        <f>VLOOKUP(B364,'114+320'!$B$15:$AB$785,6,FALSE)</f>
        <v>64</v>
      </c>
      <c r="U364" s="68">
        <f t="shared" si="69"/>
        <v>2706</v>
      </c>
      <c r="V364" s="77">
        <f>VLOOKUP(B364,'114+320'!$B$15:$AB$785,15,FALSE)</f>
        <v>-294</v>
      </c>
      <c r="W364" s="66">
        <f>'114+320'!S365</f>
        <v>4</v>
      </c>
      <c r="X364" s="65">
        <f t="shared" si="74"/>
        <v>174</v>
      </c>
      <c r="Y364" s="64">
        <f t="shared" si="75"/>
        <v>-4</v>
      </c>
      <c r="Z364" s="63">
        <f t="shared" si="76"/>
        <v>0</v>
      </c>
      <c r="AA364" s="62">
        <f t="shared" si="77"/>
        <v>2.077</v>
      </c>
      <c r="AB364" s="62">
        <f t="shared" si="78"/>
        <v>1.806</v>
      </c>
    </row>
    <row r="365" spans="2:28">
      <c r="B365" s="106">
        <f>'114+320'!B366</f>
        <v>45395</v>
      </c>
      <c r="C365" s="75">
        <f t="shared" si="70"/>
        <v>1</v>
      </c>
      <c r="D365" s="74">
        <f t="shared" si="71"/>
        <v>842</v>
      </c>
      <c r="E365" s="73">
        <f>VLOOKUP(B365,'114+320'!B366:AB467,3,FALSE)</f>
        <v>1930</v>
      </c>
      <c r="F365" s="69">
        <f t="shared" si="66"/>
        <v>2772</v>
      </c>
      <c r="G365" s="72">
        <f>VLOOKUP(B365,'114+320'!$B$15:$AB$785,20,FALSE)</f>
        <v>1834</v>
      </c>
      <c r="H365" s="72">
        <f>VLOOKUP(B365,'114+320'!$B$15:$AB$785,4,FALSE)</f>
        <v>118</v>
      </c>
      <c r="I365" s="68">
        <f t="shared" si="67"/>
        <v>2654</v>
      </c>
      <c r="J365" s="68">
        <f>VLOOKUP(B365,'114+320'!$B$15:$AB$785,13,FALSE)</f>
        <v>-346</v>
      </c>
      <c r="K365" s="66">
        <f>'114+320'!Q366</f>
        <v>3</v>
      </c>
      <c r="L365" s="65">
        <f t="shared" si="72"/>
        <v>166</v>
      </c>
      <c r="M365" s="70">
        <f>VLOOKUP(B365,'114+320'!$B$14:$AB$785,21,FALSE)</f>
        <v>1810</v>
      </c>
      <c r="N365" s="69">
        <f>VLOOKUP(B365,'114+320'!$B$15:$AB$785,5,FALSE)</f>
        <v>142</v>
      </c>
      <c r="O365" s="68">
        <f t="shared" si="68"/>
        <v>2630</v>
      </c>
      <c r="P365" s="68">
        <f>VLOOKUP(B365,'114+320'!$B$15:$AB$785,14,FALSE)</f>
        <v>-370</v>
      </c>
      <c r="Q365" s="66">
        <f>'114+320'!R366</f>
        <v>3</v>
      </c>
      <c r="R365" s="65">
        <f t="shared" si="73"/>
        <v>190</v>
      </c>
      <c r="S365" s="70">
        <f>VLOOKUP(B365,'114+320'!$B$14:$AB$785,22,FALSE)</f>
        <v>1823</v>
      </c>
      <c r="T365" s="69">
        <f>VLOOKUP(B365,'114+320'!$B$15:$AB$785,6,FALSE)</f>
        <v>69</v>
      </c>
      <c r="U365" s="68">
        <f t="shared" si="69"/>
        <v>2703</v>
      </c>
      <c r="V365" s="77">
        <f>VLOOKUP(B365,'114+320'!$B$15:$AB$785,15,FALSE)</f>
        <v>-297</v>
      </c>
      <c r="W365" s="66">
        <f>'114+320'!S366</f>
        <v>3</v>
      </c>
      <c r="X365" s="65">
        <f t="shared" si="74"/>
        <v>177</v>
      </c>
      <c r="Y365" s="64">
        <f t="shared" si="75"/>
        <v>-3</v>
      </c>
      <c r="Z365" s="63">
        <f t="shared" si="76"/>
        <v>0</v>
      </c>
      <c r="AA365" s="62">
        <f t="shared" si="77"/>
        <v>2.077</v>
      </c>
      <c r="AB365" s="62">
        <f t="shared" si="78"/>
        <v>1.8</v>
      </c>
    </row>
    <row r="366" spans="2:28">
      <c r="B366" s="106">
        <f>'114+320'!B367</f>
        <v>45396</v>
      </c>
      <c r="C366" s="75">
        <f t="shared" si="70"/>
        <v>1</v>
      </c>
      <c r="D366" s="74">
        <f t="shared" si="71"/>
        <v>842</v>
      </c>
      <c r="E366" s="73">
        <f>VLOOKUP(B366,'114+320'!B367:AB468,3,FALSE)</f>
        <v>1932</v>
      </c>
      <c r="F366" s="69">
        <f t="shared" si="66"/>
        <v>2774</v>
      </c>
      <c r="G366" s="72">
        <f>VLOOKUP(B366,'114+320'!$B$15:$AB$785,20,FALSE)</f>
        <v>1830</v>
      </c>
      <c r="H366" s="72">
        <f>VLOOKUP(B366,'114+320'!$B$15:$AB$785,4,FALSE)</f>
        <v>124</v>
      </c>
      <c r="I366" s="68">
        <f t="shared" si="67"/>
        <v>2650</v>
      </c>
      <c r="J366" s="68">
        <f>VLOOKUP(B366,'114+320'!$B$15:$AB$785,13,FALSE)</f>
        <v>-350</v>
      </c>
      <c r="K366" s="66">
        <f>'114+320'!Q367</f>
        <v>4</v>
      </c>
      <c r="L366" s="65">
        <f t="shared" si="72"/>
        <v>170</v>
      </c>
      <c r="M366" s="70">
        <f>VLOOKUP(B366,'114+320'!$B$14:$AB$785,21,FALSE)</f>
        <v>1806</v>
      </c>
      <c r="N366" s="69">
        <f>VLOOKUP(B366,'114+320'!$B$15:$AB$785,5,FALSE)</f>
        <v>148</v>
      </c>
      <c r="O366" s="68">
        <f t="shared" si="68"/>
        <v>2626</v>
      </c>
      <c r="P366" s="68">
        <f>VLOOKUP(B366,'114+320'!$B$15:$AB$785,14,FALSE)</f>
        <v>-374</v>
      </c>
      <c r="Q366" s="66">
        <f>'114+320'!R367</f>
        <v>4</v>
      </c>
      <c r="R366" s="65">
        <f t="shared" si="73"/>
        <v>194</v>
      </c>
      <c r="S366" s="70">
        <f>VLOOKUP(B366,'114+320'!$B$14:$AB$785,22,FALSE)</f>
        <v>1819</v>
      </c>
      <c r="T366" s="69">
        <f>VLOOKUP(B366,'114+320'!$B$15:$AB$785,6,FALSE)</f>
        <v>75</v>
      </c>
      <c r="U366" s="68">
        <f t="shared" si="69"/>
        <v>2699</v>
      </c>
      <c r="V366" s="77">
        <f>VLOOKUP(B366,'114+320'!$B$15:$AB$785,15,FALSE)</f>
        <v>-301</v>
      </c>
      <c r="W366" s="66">
        <f>'114+320'!S367</f>
        <v>4</v>
      </c>
      <c r="X366" s="65">
        <f t="shared" si="74"/>
        <v>181</v>
      </c>
      <c r="Y366" s="64">
        <f t="shared" si="75"/>
        <v>-4</v>
      </c>
      <c r="Z366" s="63">
        <f t="shared" si="76"/>
        <v>0</v>
      </c>
      <c r="AA366" s="62">
        <f t="shared" si="77"/>
        <v>2.077</v>
      </c>
      <c r="AB366" s="62">
        <f t="shared" si="78"/>
        <v>1.792</v>
      </c>
    </row>
    <row r="367" spans="2:28">
      <c r="B367" s="106">
        <f>'114+320'!B368</f>
        <v>45397</v>
      </c>
      <c r="C367" s="75">
        <f t="shared" si="70"/>
        <v>1</v>
      </c>
      <c r="D367" s="74">
        <f t="shared" si="71"/>
        <v>842</v>
      </c>
      <c r="E367" s="73">
        <f>VLOOKUP(B367,'114+320'!B368:AB469,3,FALSE)</f>
        <v>1934</v>
      </c>
      <c r="F367" s="69">
        <f t="shared" si="66"/>
        <v>2776</v>
      </c>
      <c r="G367" s="72">
        <f>VLOOKUP(B367,'114+320'!$B$15:$AB$785,20,FALSE)</f>
        <v>1823</v>
      </c>
      <c r="H367" s="72">
        <f>VLOOKUP(B367,'114+320'!$B$15:$AB$785,4,FALSE)</f>
        <v>133</v>
      </c>
      <c r="I367" s="68">
        <f t="shared" si="67"/>
        <v>2643</v>
      </c>
      <c r="J367" s="68">
        <f>VLOOKUP(B367,'114+320'!$B$15:$AB$785,13,FALSE)</f>
        <v>-357</v>
      </c>
      <c r="K367" s="66">
        <f>'114+320'!Q368</f>
        <v>7</v>
      </c>
      <c r="L367" s="65">
        <f t="shared" si="72"/>
        <v>177</v>
      </c>
      <c r="M367" s="70">
        <f>VLOOKUP(B367,'114+320'!$B$14:$AB$785,21,FALSE)</f>
        <v>1803</v>
      </c>
      <c r="N367" s="69">
        <f>VLOOKUP(B367,'114+320'!$B$15:$AB$785,5,FALSE)</f>
        <v>153</v>
      </c>
      <c r="O367" s="68">
        <f t="shared" si="68"/>
        <v>2623</v>
      </c>
      <c r="P367" s="68">
        <f>VLOOKUP(B367,'114+320'!$B$15:$AB$785,14,FALSE)</f>
        <v>-377</v>
      </c>
      <c r="Q367" s="66">
        <f>'114+320'!R368</f>
        <v>3</v>
      </c>
      <c r="R367" s="65">
        <f t="shared" si="73"/>
        <v>197</v>
      </c>
      <c r="S367" s="70">
        <f>VLOOKUP(B367,'114+320'!$B$14:$AB$785,22,FALSE)</f>
        <v>1812</v>
      </c>
      <c r="T367" s="69">
        <f>VLOOKUP(B367,'114+320'!$B$15:$AB$785,6,FALSE)</f>
        <v>84</v>
      </c>
      <c r="U367" s="68">
        <f t="shared" si="69"/>
        <v>2692</v>
      </c>
      <c r="V367" s="77">
        <f>VLOOKUP(B367,'114+320'!$B$15:$AB$785,15,FALSE)</f>
        <v>-308</v>
      </c>
      <c r="W367" s="66">
        <f>'114+320'!S368</f>
        <v>7</v>
      </c>
      <c r="X367" s="65">
        <f t="shared" si="74"/>
        <v>188</v>
      </c>
      <c r="Y367" s="64">
        <f t="shared" si="75"/>
        <v>-7</v>
      </c>
      <c r="Z367" s="63">
        <f t="shared" si="76"/>
        <v>0</v>
      </c>
      <c r="AA367" s="62">
        <f t="shared" si="77"/>
        <v>2.077</v>
      </c>
      <c r="AB367" s="62">
        <f t="shared" si="78"/>
        <v>1.786</v>
      </c>
    </row>
    <row r="368" spans="2:28">
      <c r="B368" s="106">
        <f>'114+320'!B369</f>
        <v>45398</v>
      </c>
      <c r="C368" s="75">
        <f t="shared" si="70"/>
        <v>1</v>
      </c>
      <c r="D368" s="74">
        <f t="shared" si="71"/>
        <v>842</v>
      </c>
      <c r="E368" s="73">
        <f>VLOOKUP(B368,'114+320'!B369:AB470,3,FALSE)</f>
        <v>1936</v>
      </c>
      <c r="F368" s="69">
        <f t="shared" si="66"/>
        <v>2778</v>
      </c>
      <c r="G368" s="72">
        <f>VLOOKUP(B368,'114+320'!$B$15:$AB$785,20,FALSE)</f>
        <v>2118</v>
      </c>
      <c r="H368" s="72">
        <f>VLOOKUP(B368,'114+320'!$B$15:$AB$785,4,FALSE)</f>
        <v>140</v>
      </c>
      <c r="I368" s="68">
        <f t="shared" si="67"/>
        <v>2638</v>
      </c>
      <c r="J368" s="68">
        <f>VLOOKUP(B368,'114+320'!$B$15:$AB$785,13,FALSE)</f>
        <v>-362</v>
      </c>
      <c r="K368" s="66">
        <f>'114+320'!Q369</f>
        <v>5</v>
      </c>
      <c r="L368" s="65">
        <f t="shared" si="72"/>
        <v>182</v>
      </c>
      <c r="M368" s="70">
        <f>VLOOKUP(B368,'114+320'!$B$14:$AB$785,21,FALSE)</f>
        <v>2101</v>
      </c>
      <c r="N368" s="69">
        <f>VLOOKUP(B368,'114+320'!$B$15:$AB$785,5,FALSE)</f>
        <v>157</v>
      </c>
      <c r="O368" s="68">
        <f t="shared" si="68"/>
        <v>2621</v>
      </c>
      <c r="P368" s="68">
        <f>VLOOKUP(B368,'114+320'!$B$15:$AB$785,14,FALSE)</f>
        <v>-379</v>
      </c>
      <c r="Q368" s="66">
        <f>'114+320'!R369</f>
        <v>2</v>
      </c>
      <c r="R368" s="65">
        <f t="shared" si="73"/>
        <v>199</v>
      </c>
      <c r="S368" s="70">
        <f>VLOOKUP(B368,'114+320'!$B$14:$AB$785,22,FALSE)</f>
        <v>2104</v>
      </c>
      <c r="T368" s="69">
        <f>VLOOKUP(B368,'114+320'!$B$15:$AB$785,6,FALSE)</f>
        <v>94</v>
      </c>
      <c r="U368" s="68">
        <f t="shared" si="69"/>
        <v>2684</v>
      </c>
      <c r="V368" s="77">
        <f>VLOOKUP(B368,'114+320'!$B$15:$AB$785,15,FALSE)</f>
        <v>-316</v>
      </c>
      <c r="W368" s="66">
        <f>'114+320'!S369</f>
        <v>8</v>
      </c>
      <c r="X368" s="65">
        <f t="shared" si="74"/>
        <v>196</v>
      </c>
      <c r="Y368" s="64">
        <f t="shared" si="75"/>
        <v>292</v>
      </c>
      <c r="Z368" s="63">
        <f t="shared" si="76"/>
        <v>0.29199999999999998</v>
      </c>
      <c r="AA368" s="62">
        <f t="shared" si="77"/>
        <v>2.3689999999999998</v>
      </c>
      <c r="AB368" s="62">
        <f t="shared" si="78"/>
        <v>2.0819999999999999</v>
      </c>
    </row>
    <row r="369" spans="2:28">
      <c r="B369" s="106">
        <f>'114+320'!B370</f>
        <v>45399</v>
      </c>
      <c r="C369" s="75">
        <f t="shared" si="70"/>
        <v>1</v>
      </c>
      <c r="D369" s="74">
        <f t="shared" si="71"/>
        <v>842</v>
      </c>
      <c r="E369" s="73">
        <f>VLOOKUP(B369,'114+320'!B370:AB471,3,FALSE)</f>
        <v>1938</v>
      </c>
      <c r="F369" s="69">
        <f t="shared" si="66"/>
        <v>2780</v>
      </c>
      <c r="G369" s="72">
        <f>VLOOKUP(B369,'114+320'!$B$15:$AB$785,20,FALSE)</f>
        <v>2113</v>
      </c>
      <c r="H369" s="72">
        <f>VLOOKUP(B369,'114+320'!$B$15:$AB$785,4,FALSE)</f>
        <v>147</v>
      </c>
      <c r="I369" s="68">
        <f t="shared" si="67"/>
        <v>2633</v>
      </c>
      <c r="J369" s="68">
        <f>VLOOKUP(B369,'114+320'!$B$15:$AB$785,13,FALSE)</f>
        <v>-367</v>
      </c>
      <c r="K369" s="66">
        <f>'114+320'!Q370</f>
        <v>5</v>
      </c>
      <c r="L369" s="65">
        <f t="shared" si="72"/>
        <v>187</v>
      </c>
      <c r="M369" s="70">
        <f>VLOOKUP(B369,'114+320'!$B$14:$AB$785,21,FALSE)</f>
        <v>2097</v>
      </c>
      <c r="N369" s="69">
        <f>VLOOKUP(B369,'114+320'!$B$15:$AB$785,5,FALSE)</f>
        <v>163</v>
      </c>
      <c r="O369" s="68">
        <f t="shared" si="68"/>
        <v>2617</v>
      </c>
      <c r="P369" s="68">
        <f>VLOOKUP(B369,'114+320'!$B$15:$AB$785,14,FALSE)</f>
        <v>-383</v>
      </c>
      <c r="Q369" s="66">
        <f>'114+320'!R370</f>
        <v>4</v>
      </c>
      <c r="R369" s="65">
        <f t="shared" si="73"/>
        <v>203</v>
      </c>
      <c r="S369" s="70">
        <f>VLOOKUP(B369,'114+320'!$B$14:$AB$785,22,FALSE)</f>
        <v>2099</v>
      </c>
      <c r="T369" s="69">
        <f>VLOOKUP(B369,'114+320'!$B$15:$AB$785,6,FALSE)</f>
        <v>101</v>
      </c>
      <c r="U369" s="68">
        <f t="shared" si="69"/>
        <v>2679</v>
      </c>
      <c r="V369" s="77">
        <f>VLOOKUP(B369,'114+320'!$B$15:$AB$785,15,FALSE)</f>
        <v>-321</v>
      </c>
      <c r="W369" s="66">
        <f>'114+320'!S370</f>
        <v>5</v>
      </c>
      <c r="X369" s="65">
        <f t="shared" si="74"/>
        <v>201</v>
      </c>
      <c r="Y369" s="64">
        <f t="shared" si="75"/>
        <v>-5</v>
      </c>
      <c r="Z369" s="63">
        <f t="shared" si="76"/>
        <v>0</v>
      </c>
      <c r="AA369" s="62">
        <f t="shared" si="77"/>
        <v>2.3689999999999998</v>
      </c>
      <c r="AB369" s="62">
        <f t="shared" si="78"/>
        <v>2.0739999999999998</v>
      </c>
    </row>
    <row r="370" spans="2:28">
      <c r="B370" s="106">
        <f>'114+320'!B371</f>
        <v>45400</v>
      </c>
      <c r="C370" s="75">
        <f t="shared" si="70"/>
        <v>1</v>
      </c>
      <c r="D370" s="74">
        <f t="shared" si="71"/>
        <v>842</v>
      </c>
      <c r="E370" s="73">
        <f>VLOOKUP(B370,'114+320'!B371:AB472,3,FALSE)</f>
        <v>1940</v>
      </c>
      <c r="F370" s="69">
        <f t="shared" si="66"/>
        <v>2782</v>
      </c>
      <c r="G370" s="72">
        <f>VLOOKUP(B370,'114+320'!$B$15:$AB$785,20,FALSE)</f>
        <v>2109</v>
      </c>
      <c r="H370" s="72">
        <f>VLOOKUP(B370,'114+320'!$B$15:$AB$785,4,FALSE)</f>
        <v>153</v>
      </c>
      <c r="I370" s="68">
        <f t="shared" si="67"/>
        <v>2629</v>
      </c>
      <c r="J370" s="68">
        <f>VLOOKUP(B370,'114+320'!$B$15:$AB$785,13,FALSE)</f>
        <v>-371</v>
      </c>
      <c r="K370" s="66">
        <f>'114+320'!Q371</f>
        <v>4</v>
      </c>
      <c r="L370" s="65">
        <f t="shared" si="72"/>
        <v>191</v>
      </c>
      <c r="M370" s="70">
        <f>VLOOKUP(B370,'114+320'!$B$14:$AB$785,21,FALSE)</f>
        <v>2090</v>
      </c>
      <c r="N370" s="69">
        <f>VLOOKUP(B370,'114+320'!$B$15:$AB$785,5,FALSE)</f>
        <v>172</v>
      </c>
      <c r="O370" s="68">
        <f t="shared" si="68"/>
        <v>2610</v>
      </c>
      <c r="P370" s="68">
        <f>VLOOKUP(B370,'114+320'!$B$15:$AB$785,14,FALSE)</f>
        <v>-390</v>
      </c>
      <c r="Q370" s="66">
        <f>'114+320'!R371</f>
        <v>7</v>
      </c>
      <c r="R370" s="65">
        <f t="shared" si="73"/>
        <v>210</v>
      </c>
      <c r="S370" s="70">
        <f>VLOOKUP(B370,'114+320'!$B$14:$AB$785,22,FALSE)</f>
        <v>2095</v>
      </c>
      <c r="T370" s="69">
        <f>VLOOKUP(B370,'114+320'!$B$15:$AB$785,6,FALSE)</f>
        <v>107</v>
      </c>
      <c r="U370" s="68">
        <f t="shared" si="69"/>
        <v>2675</v>
      </c>
      <c r="V370" s="77">
        <f>VLOOKUP(B370,'114+320'!$B$15:$AB$785,15,FALSE)</f>
        <v>-325</v>
      </c>
      <c r="W370" s="66">
        <f>'114+320'!S371</f>
        <v>4</v>
      </c>
      <c r="X370" s="65">
        <f t="shared" si="74"/>
        <v>205</v>
      </c>
      <c r="Y370" s="64">
        <f t="shared" si="75"/>
        <v>-4</v>
      </c>
      <c r="Z370" s="63">
        <f t="shared" si="76"/>
        <v>0</v>
      </c>
      <c r="AA370" s="62">
        <f t="shared" si="77"/>
        <v>2.3689999999999998</v>
      </c>
      <c r="AB370" s="62">
        <f t="shared" si="78"/>
        <v>2.06</v>
      </c>
    </row>
    <row r="371" spans="2:28">
      <c r="B371" s="106">
        <f>'114+320'!B372</f>
        <v>45401</v>
      </c>
      <c r="C371" s="75">
        <f t="shared" si="70"/>
        <v>1</v>
      </c>
      <c r="D371" s="74">
        <f t="shared" si="71"/>
        <v>842</v>
      </c>
      <c r="E371" s="73">
        <f>VLOOKUP(B371,'114+320'!B372:AB473,3,FALSE)</f>
        <v>1942</v>
      </c>
      <c r="F371" s="69">
        <f t="shared" si="66"/>
        <v>2784</v>
      </c>
      <c r="G371" s="72">
        <f>VLOOKUP(B371,'114+320'!$B$15:$AB$785,20,FALSE)</f>
        <v>2106</v>
      </c>
      <c r="H371" s="72">
        <f>VLOOKUP(B371,'114+320'!$B$15:$AB$785,4,FALSE)</f>
        <v>158</v>
      </c>
      <c r="I371" s="68">
        <f t="shared" si="67"/>
        <v>2626</v>
      </c>
      <c r="J371" s="68">
        <f>VLOOKUP(B371,'114+320'!$B$15:$AB$785,13,FALSE)</f>
        <v>-374</v>
      </c>
      <c r="K371" s="66">
        <f>'114+320'!Q372</f>
        <v>3</v>
      </c>
      <c r="L371" s="65">
        <f t="shared" si="72"/>
        <v>194</v>
      </c>
      <c r="M371" s="70">
        <f>VLOOKUP(B371,'114+320'!$B$14:$AB$785,21,FALSE)</f>
        <v>2085</v>
      </c>
      <c r="N371" s="69">
        <f>VLOOKUP(B371,'114+320'!$B$15:$AB$785,5,FALSE)</f>
        <v>179</v>
      </c>
      <c r="O371" s="68">
        <f t="shared" si="68"/>
        <v>2605</v>
      </c>
      <c r="P371" s="68">
        <f>VLOOKUP(B371,'114+320'!$B$15:$AB$785,14,FALSE)</f>
        <v>-395</v>
      </c>
      <c r="Q371" s="66">
        <f>'114+320'!R372</f>
        <v>5</v>
      </c>
      <c r="R371" s="65">
        <f t="shared" si="73"/>
        <v>215</v>
      </c>
      <c r="S371" s="70">
        <f>VLOOKUP(B371,'114+320'!$B$14:$AB$785,22,FALSE)</f>
        <v>2092</v>
      </c>
      <c r="T371" s="69">
        <f>VLOOKUP(B371,'114+320'!$B$15:$AB$785,6,FALSE)</f>
        <v>112</v>
      </c>
      <c r="U371" s="68">
        <f t="shared" si="69"/>
        <v>2672</v>
      </c>
      <c r="V371" s="77">
        <f>VLOOKUP(B371,'114+320'!$B$15:$AB$785,15,FALSE)</f>
        <v>-328</v>
      </c>
      <c r="W371" s="66">
        <f>'114+320'!S372</f>
        <v>3</v>
      </c>
      <c r="X371" s="65">
        <f t="shared" si="74"/>
        <v>208</v>
      </c>
      <c r="Y371" s="64">
        <f t="shared" si="75"/>
        <v>-3</v>
      </c>
      <c r="Z371" s="63">
        <f t="shared" si="76"/>
        <v>0</v>
      </c>
      <c r="AA371" s="62">
        <f t="shared" si="77"/>
        <v>2.3689999999999998</v>
      </c>
      <c r="AB371" s="62">
        <f t="shared" si="78"/>
        <v>2.0499999999999998</v>
      </c>
    </row>
    <row r="372" spans="2:28">
      <c r="B372" s="106">
        <f>'114+320'!B373</f>
        <v>45402</v>
      </c>
      <c r="C372" s="75">
        <f t="shared" si="70"/>
        <v>1</v>
      </c>
      <c r="D372" s="74">
        <f t="shared" si="71"/>
        <v>842</v>
      </c>
      <c r="E372" s="73">
        <f>VLOOKUP(B372,'114+320'!B373:AB474,3,FALSE)</f>
        <v>1944</v>
      </c>
      <c r="F372" s="69">
        <f t="shared" si="66"/>
        <v>2786</v>
      </c>
      <c r="G372" s="72">
        <f>VLOOKUP(B372,'114+320'!$B$15:$AB$785,20,FALSE)</f>
        <v>2104</v>
      </c>
      <c r="H372" s="72">
        <f>VLOOKUP(B372,'114+320'!$B$15:$AB$785,4,FALSE)</f>
        <v>162</v>
      </c>
      <c r="I372" s="68">
        <f t="shared" si="67"/>
        <v>2624</v>
      </c>
      <c r="J372" s="68">
        <f>VLOOKUP(B372,'114+320'!$B$15:$AB$785,13,FALSE)</f>
        <v>-376</v>
      </c>
      <c r="K372" s="66">
        <f>'114+320'!Q373</f>
        <v>2</v>
      </c>
      <c r="L372" s="65">
        <f t="shared" si="72"/>
        <v>196</v>
      </c>
      <c r="M372" s="70">
        <f>VLOOKUP(B372,'114+320'!$B$14:$AB$785,21,FALSE)</f>
        <v>2080</v>
      </c>
      <c r="N372" s="69">
        <f>VLOOKUP(B372,'114+320'!$B$15:$AB$785,5,FALSE)</f>
        <v>186</v>
      </c>
      <c r="O372" s="68">
        <f t="shared" si="68"/>
        <v>2600</v>
      </c>
      <c r="P372" s="68">
        <f>VLOOKUP(B372,'114+320'!$B$15:$AB$785,14,FALSE)</f>
        <v>-400</v>
      </c>
      <c r="Q372" s="66">
        <f>'114+320'!R373</f>
        <v>5</v>
      </c>
      <c r="R372" s="65">
        <f t="shared" si="73"/>
        <v>220</v>
      </c>
      <c r="S372" s="70">
        <f>VLOOKUP(B372,'114+320'!$B$14:$AB$785,22,FALSE)</f>
        <v>2090</v>
      </c>
      <c r="T372" s="69">
        <f>VLOOKUP(B372,'114+320'!$B$15:$AB$785,6,FALSE)</f>
        <v>116</v>
      </c>
      <c r="U372" s="68">
        <f t="shared" si="69"/>
        <v>2670</v>
      </c>
      <c r="V372" s="77">
        <f>VLOOKUP(B372,'114+320'!$B$15:$AB$785,15,FALSE)</f>
        <v>-330</v>
      </c>
      <c r="W372" s="66">
        <f>'114+320'!S373</f>
        <v>2</v>
      </c>
      <c r="X372" s="65">
        <f t="shared" si="74"/>
        <v>210</v>
      </c>
      <c r="Y372" s="64">
        <f t="shared" si="75"/>
        <v>-2</v>
      </c>
      <c r="Z372" s="63">
        <f t="shared" si="76"/>
        <v>0</v>
      </c>
      <c r="AA372" s="62">
        <f t="shared" si="77"/>
        <v>2.3689999999999998</v>
      </c>
      <c r="AB372" s="62">
        <f t="shared" si="78"/>
        <v>2.04</v>
      </c>
    </row>
    <row r="373" spans="2:28">
      <c r="B373" s="106">
        <f>'114+320'!B374</f>
        <v>45403</v>
      </c>
      <c r="C373" s="75">
        <f t="shared" si="70"/>
        <v>1</v>
      </c>
      <c r="D373" s="74">
        <f t="shared" si="71"/>
        <v>842</v>
      </c>
      <c r="E373" s="73">
        <f>VLOOKUP(B373,'114+320'!B374:AB475,3,FALSE)</f>
        <v>1946</v>
      </c>
      <c r="F373" s="69">
        <f t="shared" si="66"/>
        <v>2788</v>
      </c>
      <c r="G373" s="72">
        <f>VLOOKUP(B373,'114+320'!$B$15:$AB$785,20,FALSE)</f>
        <v>2100</v>
      </c>
      <c r="H373" s="72">
        <f>VLOOKUP(B373,'114+320'!$B$15:$AB$785,4,FALSE)</f>
        <v>168</v>
      </c>
      <c r="I373" s="68">
        <f t="shared" si="67"/>
        <v>2620</v>
      </c>
      <c r="J373" s="68">
        <f>VLOOKUP(B373,'114+320'!$B$15:$AB$785,13,FALSE)</f>
        <v>-380</v>
      </c>
      <c r="K373" s="66">
        <f>'114+320'!Q374</f>
        <v>4</v>
      </c>
      <c r="L373" s="65">
        <f t="shared" si="72"/>
        <v>200</v>
      </c>
      <c r="M373" s="70">
        <f>VLOOKUP(B373,'114+320'!$B$14:$AB$785,21,FALSE)</f>
        <v>2076</v>
      </c>
      <c r="N373" s="69">
        <f>VLOOKUP(B373,'114+320'!$B$15:$AB$785,5,FALSE)</f>
        <v>192</v>
      </c>
      <c r="O373" s="68">
        <f t="shared" si="68"/>
        <v>2596</v>
      </c>
      <c r="P373" s="68">
        <f>VLOOKUP(B373,'114+320'!$B$15:$AB$785,14,FALSE)</f>
        <v>-404</v>
      </c>
      <c r="Q373" s="66">
        <f>'114+320'!R374</f>
        <v>4</v>
      </c>
      <c r="R373" s="65">
        <f t="shared" si="73"/>
        <v>224</v>
      </c>
      <c r="S373" s="70">
        <f>VLOOKUP(B373,'114+320'!$B$14:$AB$785,22,FALSE)</f>
        <v>2089</v>
      </c>
      <c r="T373" s="69">
        <f>VLOOKUP(B373,'114+320'!$B$15:$AB$785,6,FALSE)</f>
        <v>119</v>
      </c>
      <c r="U373" s="68">
        <f t="shared" si="69"/>
        <v>2669</v>
      </c>
      <c r="V373" s="77">
        <f>VLOOKUP(B373,'114+320'!$B$15:$AB$785,15,FALSE)</f>
        <v>-331</v>
      </c>
      <c r="W373" s="66">
        <f>'114+320'!S374</f>
        <v>1</v>
      </c>
      <c r="X373" s="65">
        <f t="shared" si="74"/>
        <v>211</v>
      </c>
      <c r="Y373" s="64">
        <f t="shared" si="75"/>
        <v>-1</v>
      </c>
      <c r="Z373" s="63">
        <f t="shared" si="76"/>
        <v>0</v>
      </c>
      <c r="AA373" s="62">
        <f t="shared" si="77"/>
        <v>2.3689999999999998</v>
      </c>
      <c r="AB373" s="62">
        <f t="shared" si="78"/>
        <v>2.032</v>
      </c>
    </row>
    <row r="374" spans="2:28">
      <c r="B374" s="106">
        <f>'114+320'!B375</f>
        <v>45404</v>
      </c>
      <c r="C374" s="75">
        <f t="shared" si="70"/>
        <v>1</v>
      </c>
      <c r="D374" s="74">
        <f t="shared" si="71"/>
        <v>842</v>
      </c>
      <c r="E374" s="73">
        <f>VLOOKUP(B374,'114+320'!B375:AB476,3,FALSE)</f>
        <v>1948</v>
      </c>
      <c r="F374" s="69">
        <f t="shared" si="66"/>
        <v>2790</v>
      </c>
      <c r="G374" s="72">
        <f>VLOOKUP(B374,'114+320'!$B$15:$AB$785,20,FALSE)</f>
        <v>2097</v>
      </c>
      <c r="H374" s="72">
        <f>VLOOKUP(B374,'114+320'!$B$15:$AB$785,4,FALSE)</f>
        <v>173</v>
      </c>
      <c r="I374" s="68">
        <f t="shared" si="67"/>
        <v>2617</v>
      </c>
      <c r="J374" s="68">
        <f>VLOOKUP(B374,'114+320'!$B$15:$AB$785,13,FALSE)</f>
        <v>-383</v>
      </c>
      <c r="K374" s="66">
        <f>'114+320'!Q375</f>
        <v>3</v>
      </c>
      <c r="L374" s="65">
        <f t="shared" si="72"/>
        <v>203</v>
      </c>
      <c r="M374" s="70">
        <f>VLOOKUP(B374,'114+320'!$B$14:$AB$785,21,FALSE)</f>
        <v>2073</v>
      </c>
      <c r="N374" s="69">
        <f>VLOOKUP(B374,'114+320'!$B$15:$AB$785,5,FALSE)</f>
        <v>197</v>
      </c>
      <c r="O374" s="68">
        <f t="shared" si="68"/>
        <v>2593</v>
      </c>
      <c r="P374" s="68">
        <f>VLOOKUP(B374,'114+320'!$B$15:$AB$785,14,FALSE)</f>
        <v>-407</v>
      </c>
      <c r="Q374" s="66">
        <f>'114+320'!R375</f>
        <v>3</v>
      </c>
      <c r="R374" s="65">
        <f t="shared" si="73"/>
        <v>227</v>
      </c>
      <c r="S374" s="70">
        <f>VLOOKUP(B374,'114+320'!$B$14:$AB$785,22,FALSE)</f>
        <v>2088</v>
      </c>
      <c r="T374" s="69">
        <f>VLOOKUP(B374,'114+320'!$B$15:$AB$785,6,FALSE)</f>
        <v>122</v>
      </c>
      <c r="U374" s="68">
        <f t="shared" si="69"/>
        <v>2668</v>
      </c>
      <c r="V374" s="77">
        <f>VLOOKUP(B374,'114+320'!$B$15:$AB$785,15,FALSE)</f>
        <v>-332</v>
      </c>
      <c r="W374" s="66">
        <f>'114+320'!S375</f>
        <v>1</v>
      </c>
      <c r="X374" s="65">
        <f t="shared" si="74"/>
        <v>212</v>
      </c>
      <c r="Y374" s="64">
        <f t="shared" si="75"/>
        <v>-1</v>
      </c>
      <c r="Z374" s="63">
        <f t="shared" si="76"/>
        <v>0</v>
      </c>
      <c r="AA374" s="62">
        <f t="shared" si="77"/>
        <v>2.3689999999999998</v>
      </c>
      <c r="AB374" s="62">
        <f t="shared" si="78"/>
        <v>2.0259999999999998</v>
      </c>
    </row>
    <row r="375" spans="2:28">
      <c r="B375" s="106">
        <f>'114+320'!B376</f>
        <v>45405</v>
      </c>
      <c r="C375" s="75">
        <f t="shared" si="70"/>
        <v>1</v>
      </c>
      <c r="D375" s="74">
        <f t="shared" si="71"/>
        <v>842</v>
      </c>
      <c r="E375" s="73">
        <f>VLOOKUP(B375,'114+320'!B376:AB477,3,FALSE)</f>
        <v>1950</v>
      </c>
      <c r="F375" s="69">
        <f t="shared" si="66"/>
        <v>2792</v>
      </c>
      <c r="G375" s="72">
        <f>VLOOKUP(B375,'114+320'!$B$15:$AB$785,20,FALSE)</f>
        <v>2095</v>
      </c>
      <c r="H375" s="72">
        <f>VLOOKUP(B375,'114+320'!$B$15:$AB$785,4,FALSE)</f>
        <v>177</v>
      </c>
      <c r="I375" s="68">
        <f t="shared" si="67"/>
        <v>2615</v>
      </c>
      <c r="J375" s="68">
        <f>VLOOKUP(B375,'114+320'!$B$15:$AB$785,13,FALSE)</f>
        <v>-385</v>
      </c>
      <c r="K375" s="66">
        <f>'114+320'!Q376</f>
        <v>2</v>
      </c>
      <c r="L375" s="65">
        <f t="shared" si="72"/>
        <v>205</v>
      </c>
      <c r="M375" s="70">
        <f>VLOOKUP(B375,'114+320'!$B$14:$AB$785,21,FALSE)</f>
        <v>2071</v>
      </c>
      <c r="N375" s="69">
        <f>VLOOKUP(B375,'114+320'!$B$15:$AB$785,5,FALSE)</f>
        <v>201</v>
      </c>
      <c r="O375" s="68">
        <f t="shared" si="68"/>
        <v>2591</v>
      </c>
      <c r="P375" s="68">
        <f>VLOOKUP(B375,'114+320'!$B$15:$AB$785,14,FALSE)</f>
        <v>-409</v>
      </c>
      <c r="Q375" s="66">
        <f>'114+320'!R376</f>
        <v>2</v>
      </c>
      <c r="R375" s="65">
        <f t="shared" si="73"/>
        <v>229</v>
      </c>
      <c r="S375" s="70">
        <f>VLOOKUP(B375,'114+320'!$B$14:$AB$785,22,FALSE)</f>
        <v>2087</v>
      </c>
      <c r="T375" s="69">
        <f>VLOOKUP(B375,'114+320'!$B$15:$AB$785,6,FALSE)</f>
        <v>125</v>
      </c>
      <c r="U375" s="68">
        <f t="shared" si="69"/>
        <v>2667</v>
      </c>
      <c r="V375" s="77">
        <f>VLOOKUP(B375,'114+320'!$B$15:$AB$785,15,FALSE)</f>
        <v>-333</v>
      </c>
      <c r="W375" s="66">
        <f>'114+320'!S376</f>
        <v>1</v>
      </c>
      <c r="X375" s="65">
        <f t="shared" si="74"/>
        <v>213</v>
      </c>
      <c r="Y375" s="64">
        <f t="shared" si="75"/>
        <v>-1</v>
      </c>
      <c r="Z375" s="63">
        <f t="shared" si="76"/>
        <v>0</v>
      </c>
      <c r="AA375" s="62">
        <f t="shared" si="77"/>
        <v>2.3689999999999998</v>
      </c>
      <c r="AB375" s="62">
        <f t="shared" si="78"/>
        <v>2.0219999999999998</v>
      </c>
    </row>
    <row r="376" spans="2:28">
      <c r="B376" s="106">
        <f>'114+320'!B377</f>
        <v>45406</v>
      </c>
      <c r="C376" s="75">
        <f t="shared" si="70"/>
        <v>1</v>
      </c>
      <c r="D376" s="74">
        <f t="shared" si="71"/>
        <v>842</v>
      </c>
      <c r="E376" s="73">
        <f>VLOOKUP(B376,'114+320'!B377:AB478,3,FALSE)</f>
        <v>1952</v>
      </c>
      <c r="F376" s="69">
        <f t="shared" si="66"/>
        <v>2794</v>
      </c>
      <c r="G376" s="72">
        <f>VLOOKUP(B376,'114+320'!$B$15:$AB$785,20,FALSE)</f>
        <v>2092</v>
      </c>
      <c r="H376" s="72">
        <f>VLOOKUP(B376,'114+320'!$B$15:$AB$785,4,FALSE)</f>
        <v>182</v>
      </c>
      <c r="I376" s="68">
        <f t="shared" si="67"/>
        <v>2612</v>
      </c>
      <c r="J376" s="68">
        <f>VLOOKUP(B376,'114+320'!$B$15:$AB$785,13,FALSE)</f>
        <v>-388</v>
      </c>
      <c r="K376" s="66">
        <f>'114+320'!Q377</f>
        <v>3</v>
      </c>
      <c r="L376" s="65">
        <f t="shared" si="72"/>
        <v>208</v>
      </c>
      <c r="M376" s="70">
        <f>VLOOKUP(B376,'114+320'!$B$14:$AB$785,21,FALSE)</f>
        <v>2068</v>
      </c>
      <c r="N376" s="69">
        <f>VLOOKUP(B376,'114+320'!$B$15:$AB$785,5,FALSE)</f>
        <v>206</v>
      </c>
      <c r="O376" s="68">
        <f t="shared" si="68"/>
        <v>2588</v>
      </c>
      <c r="P376" s="68">
        <f>VLOOKUP(B376,'114+320'!$B$15:$AB$785,14,FALSE)</f>
        <v>-412</v>
      </c>
      <c r="Q376" s="66">
        <f>'114+320'!R377</f>
        <v>3</v>
      </c>
      <c r="R376" s="65">
        <f t="shared" si="73"/>
        <v>232</v>
      </c>
      <c r="S376" s="70">
        <f>VLOOKUP(B376,'114+320'!$B$14:$AB$785,22,FALSE)</f>
        <v>2087</v>
      </c>
      <c r="T376" s="69">
        <f>VLOOKUP(B376,'114+320'!$B$15:$AB$785,6,FALSE)</f>
        <v>127</v>
      </c>
      <c r="U376" s="68">
        <f t="shared" si="69"/>
        <v>2667</v>
      </c>
      <c r="V376" s="77">
        <f>VLOOKUP(B376,'114+320'!$B$15:$AB$785,15,FALSE)</f>
        <v>-333</v>
      </c>
      <c r="W376" s="66">
        <f>'114+320'!S377</f>
        <v>0</v>
      </c>
      <c r="X376" s="65">
        <f t="shared" si="74"/>
        <v>213</v>
      </c>
      <c r="Y376" s="64">
        <f t="shared" si="75"/>
        <v>0</v>
      </c>
      <c r="Z376" s="63">
        <f t="shared" si="76"/>
        <v>0</v>
      </c>
      <c r="AA376" s="62">
        <f t="shared" si="77"/>
        <v>2.3689999999999998</v>
      </c>
      <c r="AB376" s="62">
        <f t="shared" si="78"/>
        <v>2.016</v>
      </c>
    </row>
    <row r="377" spans="2:28">
      <c r="B377" s="106">
        <f>'114+320'!B378</f>
        <v>45407</v>
      </c>
      <c r="C377" s="75">
        <f t="shared" si="70"/>
        <v>1</v>
      </c>
      <c r="D377" s="74">
        <f t="shared" si="71"/>
        <v>842</v>
      </c>
      <c r="E377" s="73">
        <f>VLOOKUP(B377,'114+320'!B378:AB479,3,FALSE)</f>
        <v>1954</v>
      </c>
      <c r="F377" s="69">
        <f t="shared" si="66"/>
        <v>2796</v>
      </c>
      <c r="G377" s="72">
        <f>VLOOKUP(B377,'114+320'!$B$15:$AB$785,20,FALSE)</f>
        <v>2090</v>
      </c>
      <c r="H377" s="72">
        <f>VLOOKUP(B377,'114+320'!$B$15:$AB$785,4,FALSE)</f>
        <v>186</v>
      </c>
      <c r="I377" s="68">
        <f t="shared" si="67"/>
        <v>2610</v>
      </c>
      <c r="J377" s="68">
        <f>VLOOKUP(B377,'114+320'!$B$15:$AB$785,13,FALSE)</f>
        <v>-390</v>
      </c>
      <c r="K377" s="66">
        <f>'114+320'!Q378</f>
        <v>2</v>
      </c>
      <c r="L377" s="65">
        <f t="shared" si="72"/>
        <v>210</v>
      </c>
      <c r="M377" s="70">
        <f>VLOOKUP(B377,'114+320'!$B$14:$AB$785,21,FALSE)</f>
        <v>2066</v>
      </c>
      <c r="N377" s="69">
        <f>VLOOKUP(B377,'114+320'!$B$15:$AB$785,5,FALSE)</f>
        <v>210</v>
      </c>
      <c r="O377" s="68">
        <f t="shared" si="68"/>
        <v>2586</v>
      </c>
      <c r="P377" s="68">
        <f>VLOOKUP(B377,'114+320'!$B$15:$AB$785,14,FALSE)</f>
        <v>-414</v>
      </c>
      <c r="Q377" s="66">
        <f>'114+320'!R378</f>
        <v>2</v>
      </c>
      <c r="R377" s="65">
        <f t="shared" si="73"/>
        <v>234</v>
      </c>
      <c r="S377" s="70">
        <f>VLOOKUP(B377,'114+320'!$B$14:$AB$785,22,FALSE)</f>
        <v>2086</v>
      </c>
      <c r="T377" s="69">
        <f>VLOOKUP(B377,'114+320'!$B$15:$AB$785,6,FALSE)</f>
        <v>130</v>
      </c>
      <c r="U377" s="68">
        <f t="shared" si="69"/>
        <v>2666</v>
      </c>
      <c r="V377" s="77">
        <f>VLOOKUP(B377,'114+320'!$B$15:$AB$785,15,FALSE)</f>
        <v>-334</v>
      </c>
      <c r="W377" s="66">
        <f>'114+320'!S378</f>
        <v>1</v>
      </c>
      <c r="X377" s="65">
        <f t="shared" si="74"/>
        <v>214</v>
      </c>
      <c r="Y377" s="64">
        <f t="shared" si="75"/>
        <v>-1</v>
      </c>
      <c r="Z377" s="63">
        <f t="shared" si="76"/>
        <v>0</v>
      </c>
      <c r="AA377" s="62">
        <f t="shared" si="77"/>
        <v>2.3689999999999998</v>
      </c>
      <c r="AB377" s="62">
        <f t="shared" si="78"/>
        <v>2.012</v>
      </c>
    </row>
    <row r="378" spans="2:28">
      <c r="B378" s="106">
        <f>'114+320'!B379</f>
        <v>45408</v>
      </c>
      <c r="C378" s="75">
        <f t="shared" si="70"/>
        <v>1</v>
      </c>
      <c r="D378" s="74">
        <f t="shared" si="71"/>
        <v>842</v>
      </c>
      <c r="E378" s="73">
        <f>VLOOKUP(B378,'114+320'!B379:AB480,3,FALSE)</f>
        <v>1956</v>
      </c>
      <c r="F378" s="69">
        <f t="shared" si="66"/>
        <v>2798</v>
      </c>
      <c r="G378" s="72">
        <f>VLOOKUP(B378,'114+320'!$B$15:$AB$785,20,FALSE)</f>
        <v>2086</v>
      </c>
      <c r="H378" s="72">
        <f>VLOOKUP(B378,'114+320'!$B$15:$AB$785,4,FALSE)</f>
        <v>192</v>
      </c>
      <c r="I378" s="68">
        <f t="shared" si="67"/>
        <v>2606</v>
      </c>
      <c r="J378" s="68">
        <f>VLOOKUP(B378,'114+320'!$B$15:$AB$785,13,FALSE)</f>
        <v>-394</v>
      </c>
      <c r="K378" s="66">
        <f>'114+320'!Q379</f>
        <v>4</v>
      </c>
      <c r="L378" s="65">
        <f t="shared" si="72"/>
        <v>214</v>
      </c>
      <c r="M378" s="70">
        <f>VLOOKUP(B378,'114+320'!$B$14:$AB$785,21,FALSE)</f>
        <v>2062</v>
      </c>
      <c r="N378" s="69">
        <f>VLOOKUP(B378,'114+320'!$B$15:$AB$785,5,FALSE)</f>
        <v>216</v>
      </c>
      <c r="O378" s="68">
        <f t="shared" si="68"/>
        <v>2582</v>
      </c>
      <c r="P378" s="68">
        <f>VLOOKUP(B378,'114+320'!$B$15:$AB$785,14,FALSE)</f>
        <v>-418</v>
      </c>
      <c r="Q378" s="66">
        <f>'114+320'!R379</f>
        <v>4</v>
      </c>
      <c r="R378" s="65">
        <f t="shared" si="73"/>
        <v>238</v>
      </c>
      <c r="S378" s="70">
        <f>VLOOKUP(B378,'114+320'!$B$14:$AB$785,22,FALSE)</f>
        <v>2086</v>
      </c>
      <c r="T378" s="69">
        <f>VLOOKUP(B378,'114+320'!$B$15:$AB$785,6,FALSE)</f>
        <v>132</v>
      </c>
      <c r="U378" s="68">
        <f t="shared" si="69"/>
        <v>2666</v>
      </c>
      <c r="V378" s="77">
        <f>VLOOKUP(B378,'114+320'!$B$15:$AB$785,15,FALSE)</f>
        <v>-334</v>
      </c>
      <c r="W378" s="66">
        <f>'114+320'!S379</f>
        <v>0</v>
      </c>
      <c r="X378" s="65">
        <f t="shared" si="74"/>
        <v>214</v>
      </c>
      <c r="Y378" s="64">
        <f t="shared" si="75"/>
        <v>0</v>
      </c>
      <c r="Z378" s="63">
        <f t="shared" si="76"/>
        <v>0</v>
      </c>
      <c r="AA378" s="62">
        <f t="shared" si="77"/>
        <v>2.3689999999999998</v>
      </c>
      <c r="AB378" s="62">
        <f t="shared" si="78"/>
        <v>2.004</v>
      </c>
    </row>
    <row r="379" spans="2:28">
      <c r="B379" s="106">
        <f>'114+320'!B380</f>
        <v>45409</v>
      </c>
      <c r="C379" s="75">
        <f t="shared" si="70"/>
        <v>1</v>
      </c>
      <c r="D379" s="74">
        <f t="shared" si="71"/>
        <v>842</v>
      </c>
      <c r="E379" s="73">
        <f>VLOOKUP(B379,'114+320'!B380:AB481,3,FALSE)</f>
        <v>1958</v>
      </c>
      <c r="F379" s="69">
        <f t="shared" si="66"/>
        <v>2800</v>
      </c>
      <c r="G379" s="72">
        <f>VLOOKUP(B379,'114+320'!$B$15:$AB$785,20,FALSE)</f>
        <v>2083</v>
      </c>
      <c r="H379" s="72">
        <f>VLOOKUP(B379,'114+320'!$B$15:$AB$785,4,FALSE)</f>
        <v>197</v>
      </c>
      <c r="I379" s="68">
        <f t="shared" si="67"/>
        <v>2603</v>
      </c>
      <c r="J379" s="68">
        <f>VLOOKUP(B379,'114+320'!$B$15:$AB$785,13,FALSE)</f>
        <v>-397</v>
      </c>
      <c r="K379" s="66">
        <f>'114+320'!Q380</f>
        <v>3</v>
      </c>
      <c r="L379" s="65">
        <f t="shared" si="72"/>
        <v>217</v>
      </c>
      <c r="M379" s="70">
        <f>VLOOKUP(B379,'114+320'!$B$14:$AB$785,21,FALSE)</f>
        <v>2059</v>
      </c>
      <c r="N379" s="69">
        <f>VLOOKUP(B379,'114+320'!$B$15:$AB$785,5,FALSE)</f>
        <v>221</v>
      </c>
      <c r="O379" s="68">
        <f t="shared" si="68"/>
        <v>2579</v>
      </c>
      <c r="P379" s="68">
        <f>VLOOKUP(B379,'114+320'!$B$15:$AB$785,14,FALSE)</f>
        <v>-421</v>
      </c>
      <c r="Q379" s="66">
        <f>'114+320'!R380</f>
        <v>3</v>
      </c>
      <c r="R379" s="65">
        <f t="shared" si="73"/>
        <v>241</v>
      </c>
      <c r="S379" s="70">
        <f>VLOOKUP(B379,'114+320'!$B$14:$AB$785,22,FALSE)</f>
        <v>2085</v>
      </c>
      <c r="T379" s="69">
        <f>VLOOKUP(B379,'114+320'!$B$15:$AB$785,6,FALSE)</f>
        <v>135</v>
      </c>
      <c r="U379" s="68">
        <f t="shared" si="69"/>
        <v>2665</v>
      </c>
      <c r="V379" s="77">
        <f>VLOOKUP(B379,'114+320'!$B$15:$AB$785,15,FALSE)</f>
        <v>-335</v>
      </c>
      <c r="W379" s="66">
        <f>'114+320'!S380</f>
        <v>1</v>
      </c>
      <c r="X379" s="65">
        <f t="shared" si="74"/>
        <v>215</v>
      </c>
      <c r="Y379" s="64">
        <f t="shared" si="75"/>
        <v>-1</v>
      </c>
      <c r="Z379" s="63">
        <f t="shared" si="76"/>
        <v>0</v>
      </c>
      <c r="AA379" s="62">
        <f t="shared" si="77"/>
        <v>2.3689999999999998</v>
      </c>
      <c r="AB379" s="62">
        <f t="shared" si="78"/>
        <v>1.998</v>
      </c>
    </row>
    <row r="380" spans="2:28">
      <c r="B380" s="106">
        <f>'114+320'!B381</f>
        <v>45410</v>
      </c>
      <c r="C380" s="75">
        <f t="shared" si="70"/>
        <v>1</v>
      </c>
      <c r="D380" s="74">
        <f t="shared" si="71"/>
        <v>842</v>
      </c>
      <c r="E380" s="73">
        <f>VLOOKUP(B380,'114+320'!B381:AB767,3,FALSE)</f>
        <v>1960</v>
      </c>
      <c r="F380" s="69">
        <f t="shared" si="66"/>
        <v>2802</v>
      </c>
      <c r="G380" s="72">
        <f>VLOOKUP(B380,'114+320'!$B$15:$AB$785,20,FALSE)</f>
        <v>2079</v>
      </c>
      <c r="H380" s="72">
        <f>VLOOKUP(B380,'114+320'!$B$15:$AB$785,4,FALSE)</f>
        <v>203</v>
      </c>
      <c r="I380" s="68">
        <f t="shared" si="67"/>
        <v>2599</v>
      </c>
      <c r="J380" s="68">
        <f>VLOOKUP(B380,'114+320'!$B$15:$AB$785,13,FALSE)</f>
        <v>-401</v>
      </c>
      <c r="K380" s="66">
        <f>'114+320'!Q381</f>
        <v>4</v>
      </c>
      <c r="L380" s="65">
        <f t="shared" si="72"/>
        <v>221</v>
      </c>
      <c r="M380" s="70">
        <f>VLOOKUP(B380,'114+320'!$B$14:$AB$785,21,FALSE)</f>
        <v>2055</v>
      </c>
      <c r="N380" s="69">
        <f>VLOOKUP(B380,'114+320'!$B$15:$AB$785,5,FALSE)</f>
        <v>227</v>
      </c>
      <c r="O380" s="68">
        <f t="shared" si="68"/>
        <v>2575</v>
      </c>
      <c r="P380" s="68">
        <f>VLOOKUP(B380,'114+320'!$B$15:$AB$785,14,FALSE)</f>
        <v>-425</v>
      </c>
      <c r="Q380" s="66">
        <f>'114+320'!R381</f>
        <v>4</v>
      </c>
      <c r="R380" s="65">
        <f t="shared" si="73"/>
        <v>245</v>
      </c>
      <c r="S380" s="70">
        <f>VLOOKUP(B380,'114+320'!$B$14:$AB$785,22,FALSE)</f>
        <v>2084</v>
      </c>
      <c r="T380" s="69">
        <f>VLOOKUP(B380,'114+320'!$B$15:$AB$785,6,FALSE)</f>
        <v>138</v>
      </c>
      <c r="U380" s="68">
        <f t="shared" si="69"/>
        <v>2664</v>
      </c>
      <c r="V380" s="77">
        <f>VLOOKUP(B380,'114+320'!$B$15:$AB$785,15,FALSE)</f>
        <v>-336</v>
      </c>
      <c r="W380" s="66">
        <f>'114+320'!S381</f>
        <v>1</v>
      </c>
      <c r="X380" s="65">
        <f t="shared" si="74"/>
        <v>216</v>
      </c>
      <c r="Y380" s="64">
        <f t="shared" si="75"/>
        <v>-1</v>
      </c>
      <c r="Z380" s="63">
        <f t="shared" si="76"/>
        <v>0</v>
      </c>
      <c r="AA380" s="62">
        <f t="shared" si="77"/>
        <v>2.3689999999999998</v>
      </c>
      <c r="AB380" s="62">
        <f t="shared" si="78"/>
        <v>1.99</v>
      </c>
    </row>
    <row r="381" spans="2:28">
      <c r="B381" s="106">
        <f>'114+320'!B382</f>
        <v>45411</v>
      </c>
      <c r="C381" s="75">
        <f t="shared" si="70"/>
        <v>1</v>
      </c>
      <c r="D381" s="74">
        <f t="shared" si="71"/>
        <v>842</v>
      </c>
      <c r="E381" s="73">
        <f>VLOOKUP(B381,'114+320'!B382:AB768,3,FALSE)</f>
        <v>1962</v>
      </c>
      <c r="F381" s="69">
        <f t="shared" si="66"/>
        <v>2804</v>
      </c>
      <c r="G381" s="72">
        <f>VLOOKUP(B381,'114+320'!$B$15:$AB$785,20,FALSE)</f>
        <v>2072</v>
      </c>
      <c r="H381" s="72">
        <f>VLOOKUP(B381,'114+320'!$B$15:$AB$785,4,FALSE)</f>
        <v>212</v>
      </c>
      <c r="I381" s="68">
        <f t="shared" si="67"/>
        <v>2592</v>
      </c>
      <c r="J381" s="68">
        <f>VLOOKUP(B381,'114+320'!$B$15:$AB$785,13,FALSE)</f>
        <v>-408</v>
      </c>
      <c r="K381" s="66">
        <f>'114+320'!Q382</f>
        <v>7</v>
      </c>
      <c r="L381" s="65">
        <f t="shared" si="72"/>
        <v>228</v>
      </c>
      <c r="M381" s="70">
        <f>VLOOKUP(B381,'114+320'!$B$14:$AB$785,21,FALSE)</f>
        <v>2052</v>
      </c>
      <c r="N381" s="69">
        <f>VLOOKUP(B381,'114+320'!$B$15:$AB$785,5,FALSE)</f>
        <v>232</v>
      </c>
      <c r="O381" s="68">
        <f t="shared" si="68"/>
        <v>2572</v>
      </c>
      <c r="P381" s="68">
        <f>VLOOKUP(B381,'114+320'!$B$15:$AB$785,14,FALSE)</f>
        <v>-428</v>
      </c>
      <c r="Q381" s="66">
        <f>'114+320'!R382</f>
        <v>3</v>
      </c>
      <c r="R381" s="65">
        <f t="shared" si="73"/>
        <v>248</v>
      </c>
      <c r="S381" s="70">
        <f>VLOOKUP(B381,'114+320'!$B$14:$AB$785,22,FALSE)</f>
        <v>2084</v>
      </c>
      <c r="T381" s="69">
        <f>VLOOKUP(B381,'114+320'!$B$15:$AB$785,6,FALSE)</f>
        <v>140</v>
      </c>
      <c r="U381" s="68">
        <f t="shared" si="69"/>
        <v>2664</v>
      </c>
      <c r="V381" s="77">
        <f>VLOOKUP(B381,'114+320'!$B$15:$AB$785,15,FALSE)</f>
        <v>-336</v>
      </c>
      <c r="W381" s="66">
        <f>'114+320'!S382</f>
        <v>0</v>
      </c>
      <c r="X381" s="65">
        <f t="shared" si="74"/>
        <v>216</v>
      </c>
      <c r="Y381" s="64">
        <f t="shared" si="75"/>
        <v>0</v>
      </c>
      <c r="Z381" s="63">
        <f t="shared" si="76"/>
        <v>0</v>
      </c>
      <c r="AA381" s="62">
        <f t="shared" si="77"/>
        <v>2.3689999999999998</v>
      </c>
      <c r="AB381" s="62">
        <f t="shared" si="78"/>
        <v>1.984</v>
      </c>
    </row>
    <row r="382" spans="2:28">
      <c r="B382" s="106">
        <f>'114+320'!B383</f>
        <v>45412</v>
      </c>
      <c r="C382" s="75">
        <f t="shared" si="70"/>
        <v>1</v>
      </c>
      <c r="D382" s="74">
        <f t="shared" si="71"/>
        <v>842</v>
      </c>
      <c r="E382" s="73">
        <f>VLOOKUP(B382,'114+320'!B383:AB769,3,FALSE)</f>
        <v>1964</v>
      </c>
      <c r="F382" s="69">
        <f t="shared" si="66"/>
        <v>2806</v>
      </c>
      <c r="G382" s="72">
        <f>VLOOKUP(B382,'114+320'!$B$15:$AB$785,20,FALSE)</f>
        <v>2067</v>
      </c>
      <c r="H382" s="72">
        <f>VLOOKUP(B382,'114+320'!$B$15:$AB$785,4,FALSE)</f>
        <v>219</v>
      </c>
      <c r="I382" s="68">
        <f t="shared" si="67"/>
        <v>2587</v>
      </c>
      <c r="J382" s="68">
        <f>VLOOKUP(B382,'114+320'!$B$15:$AB$785,13,FALSE)</f>
        <v>-413</v>
      </c>
      <c r="K382" s="66">
        <f>'114+320'!Q383</f>
        <v>5</v>
      </c>
      <c r="L382" s="65">
        <f t="shared" si="72"/>
        <v>233</v>
      </c>
      <c r="M382" s="70">
        <f>VLOOKUP(B382,'114+320'!$B$14:$AB$785,21,FALSE)</f>
        <v>2050</v>
      </c>
      <c r="N382" s="69">
        <f>VLOOKUP(B382,'114+320'!$B$15:$AB$785,5,FALSE)</f>
        <v>236</v>
      </c>
      <c r="O382" s="68">
        <f t="shared" si="68"/>
        <v>2570</v>
      </c>
      <c r="P382" s="68">
        <f>VLOOKUP(B382,'114+320'!$B$15:$AB$785,14,FALSE)</f>
        <v>-430</v>
      </c>
      <c r="Q382" s="66">
        <f>'114+320'!R383</f>
        <v>2</v>
      </c>
      <c r="R382" s="65">
        <f t="shared" si="73"/>
        <v>250</v>
      </c>
      <c r="S382" s="70">
        <f>VLOOKUP(B382,'114+320'!$B$14:$AB$785,22,FALSE)</f>
        <v>2083</v>
      </c>
      <c r="T382" s="69">
        <f>VLOOKUP(B382,'114+320'!$B$15:$AB$785,6,FALSE)</f>
        <v>143</v>
      </c>
      <c r="U382" s="68">
        <f t="shared" si="69"/>
        <v>2663</v>
      </c>
      <c r="V382" s="77">
        <f>VLOOKUP(B382,'114+320'!$B$15:$AB$785,15,FALSE)</f>
        <v>-337</v>
      </c>
      <c r="W382" s="66">
        <f>'114+320'!S383</f>
        <v>1</v>
      </c>
      <c r="X382" s="65">
        <f t="shared" si="74"/>
        <v>217</v>
      </c>
      <c r="Y382" s="64">
        <f t="shared" si="75"/>
        <v>-1</v>
      </c>
      <c r="Z382" s="63">
        <f t="shared" si="76"/>
        <v>0</v>
      </c>
      <c r="AA382" s="62">
        <f t="shared" si="77"/>
        <v>2.3689999999999998</v>
      </c>
      <c r="AB382" s="62">
        <f t="shared" si="78"/>
        <v>1.98</v>
      </c>
    </row>
    <row r="383" spans="2:28">
      <c r="B383" s="106">
        <f>'114+320'!B384</f>
        <v>45413</v>
      </c>
      <c r="C383" s="75">
        <f t="shared" si="70"/>
        <v>1</v>
      </c>
      <c r="D383" s="74">
        <f t="shared" si="71"/>
        <v>842</v>
      </c>
      <c r="E383" s="73">
        <f>VLOOKUP(B383,'114+320'!B384:AB770,3,FALSE)</f>
        <v>1966</v>
      </c>
      <c r="F383" s="69">
        <f t="shared" si="66"/>
        <v>2808</v>
      </c>
      <c r="G383" s="72">
        <f>VLOOKUP(B383,'114+320'!$B$15:$AB$785,20,FALSE)</f>
        <v>2062</v>
      </c>
      <c r="H383" s="72">
        <f>VLOOKUP(B383,'114+320'!$B$15:$AB$785,4,FALSE)</f>
        <v>226</v>
      </c>
      <c r="I383" s="68">
        <f t="shared" si="67"/>
        <v>2582</v>
      </c>
      <c r="J383" s="68">
        <f>VLOOKUP(B383,'114+320'!$B$15:$AB$785,13,FALSE)</f>
        <v>-418</v>
      </c>
      <c r="K383" s="66">
        <f>'114+320'!Q384</f>
        <v>5</v>
      </c>
      <c r="L383" s="65">
        <f t="shared" si="72"/>
        <v>238</v>
      </c>
      <c r="M383" s="70">
        <f>VLOOKUP(B383,'114+320'!$B$14:$AB$785,21,FALSE)</f>
        <v>2046</v>
      </c>
      <c r="N383" s="69">
        <f>VLOOKUP(B383,'114+320'!$B$15:$AB$785,5,FALSE)</f>
        <v>242</v>
      </c>
      <c r="O383" s="68">
        <f t="shared" si="68"/>
        <v>2566</v>
      </c>
      <c r="P383" s="68">
        <f>VLOOKUP(B383,'114+320'!$B$15:$AB$785,14,FALSE)</f>
        <v>-434</v>
      </c>
      <c r="Q383" s="66">
        <f>'114+320'!R384</f>
        <v>4</v>
      </c>
      <c r="R383" s="65">
        <f t="shared" si="73"/>
        <v>254</v>
      </c>
      <c r="S383" s="70">
        <f>VLOOKUP(B383,'114+320'!$B$14:$AB$785,22,FALSE)</f>
        <v>2083</v>
      </c>
      <c r="T383" s="69">
        <f>VLOOKUP(B383,'114+320'!$B$15:$AB$785,6,FALSE)</f>
        <v>145</v>
      </c>
      <c r="U383" s="68">
        <f t="shared" si="69"/>
        <v>2663</v>
      </c>
      <c r="V383" s="77">
        <f>VLOOKUP(B383,'114+320'!$B$15:$AB$785,15,FALSE)</f>
        <v>-337</v>
      </c>
      <c r="W383" s="66">
        <f>'114+320'!S384</f>
        <v>0</v>
      </c>
      <c r="X383" s="65">
        <f t="shared" si="74"/>
        <v>217</v>
      </c>
      <c r="Y383" s="64">
        <f t="shared" si="75"/>
        <v>0</v>
      </c>
      <c r="Z383" s="63">
        <f t="shared" si="76"/>
        <v>0</v>
      </c>
      <c r="AA383" s="62">
        <f t="shared" si="77"/>
        <v>2.3689999999999998</v>
      </c>
      <c r="AB383" s="62">
        <f t="shared" si="78"/>
        <v>1.972</v>
      </c>
    </row>
    <row r="384" spans="2:28">
      <c r="B384" s="106">
        <f>'114+320'!B385</f>
        <v>45414</v>
      </c>
      <c r="C384" s="75">
        <f t="shared" si="70"/>
        <v>1</v>
      </c>
      <c r="D384" s="74">
        <f t="shared" si="71"/>
        <v>842</v>
      </c>
      <c r="E384" s="73">
        <f>VLOOKUP(B384,'114+320'!B385:AB771,3,FALSE)</f>
        <v>1968</v>
      </c>
      <c r="F384" s="69">
        <f t="shared" si="66"/>
        <v>2810</v>
      </c>
      <c r="G384" s="72">
        <f>VLOOKUP(B384,'114+320'!$B$15:$AB$785,20,FALSE)</f>
        <v>2058</v>
      </c>
      <c r="H384" s="72">
        <f>VLOOKUP(B384,'114+320'!$B$15:$AB$785,4,FALSE)</f>
        <v>232</v>
      </c>
      <c r="I384" s="68">
        <f t="shared" si="67"/>
        <v>2578</v>
      </c>
      <c r="J384" s="68">
        <f>VLOOKUP(B384,'114+320'!$B$15:$AB$785,13,FALSE)</f>
        <v>-422</v>
      </c>
      <c r="K384" s="66">
        <f>'114+320'!Q385</f>
        <v>4</v>
      </c>
      <c r="L384" s="65">
        <f t="shared" si="72"/>
        <v>242</v>
      </c>
      <c r="M384" s="70">
        <f>VLOOKUP(B384,'114+320'!$B$14:$AB$785,21,FALSE)</f>
        <v>2039</v>
      </c>
      <c r="N384" s="69">
        <f>VLOOKUP(B384,'114+320'!$B$15:$AB$785,5,FALSE)</f>
        <v>251</v>
      </c>
      <c r="O384" s="68">
        <f t="shared" si="68"/>
        <v>2559</v>
      </c>
      <c r="P384" s="68">
        <f>VLOOKUP(B384,'114+320'!$B$15:$AB$785,14,FALSE)</f>
        <v>-441</v>
      </c>
      <c r="Q384" s="66">
        <f>'114+320'!R385</f>
        <v>7</v>
      </c>
      <c r="R384" s="65">
        <f t="shared" si="73"/>
        <v>261</v>
      </c>
      <c r="S384" s="70">
        <f>VLOOKUP(B384,'114+320'!$B$14:$AB$785,22,FALSE)</f>
        <v>2082</v>
      </c>
      <c r="T384" s="69">
        <f>VLOOKUP(B384,'114+320'!$B$15:$AB$785,6,FALSE)</f>
        <v>148</v>
      </c>
      <c r="U384" s="68">
        <f t="shared" si="69"/>
        <v>2662</v>
      </c>
      <c r="V384" s="77">
        <f>VLOOKUP(B384,'114+320'!$B$15:$AB$785,15,FALSE)</f>
        <v>-338</v>
      </c>
      <c r="W384" s="66">
        <f>'114+320'!S385</f>
        <v>1</v>
      </c>
      <c r="X384" s="65">
        <f t="shared" si="74"/>
        <v>218</v>
      </c>
      <c r="Y384" s="64">
        <f t="shared" si="75"/>
        <v>-1</v>
      </c>
      <c r="Z384" s="63">
        <f t="shared" si="76"/>
        <v>0</v>
      </c>
      <c r="AA384" s="62">
        <f t="shared" si="77"/>
        <v>2.3689999999999998</v>
      </c>
      <c r="AB384" s="62">
        <f t="shared" si="78"/>
        <v>1.958</v>
      </c>
    </row>
    <row r="385" spans="2:28">
      <c r="B385" s="106">
        <f>'114+320'!B386</f>
        <v>45415</v>
      </c>
      <c r="C385" s="75">
        <f t="shared" si="70"/>
        <v>1</v>
      </c>
      <c r="D385" s="74">
        <f t="shared" si="71"/>
        <v>842</v>
      </c>
      <c r="E385" s="73">
        <f>VLOOKUP(B385,'114+320'!B386:AB772,3,FALSE)</f>
        <v>1970</v>
      </c>
      <c r="F385" s="69">
        <f t="shared" si="66"/>
        <v>2812</v>
      </c>
      <c r="G385" s="72">
        <f>VLOOKUP(B385,'114+320'!$B$15:$AB$785,20,FALSE)</f>
        <v>2055</v>
      </c>
      <c r="H385" s="72">
        <f>VLOOKUP(B385,'114+320'!$B$15:$AB$785,4,FALSE)</f>
        <v>237</v>
      </c>
      <c r="I385" s="68">
        <f t="shared" si="67"/>
        <v>2575</v>
      </c>
      <c r="J385" s="68">
        <f>VLOOKUP(B385,'114+320'!$B$15:$AB$785,13,FALSE)</f>
        <v>-425</v>
      </c>
      <c r="K385" s="66">
        <f>'114+320'!Q386</f>
        <v>3</v>
      </c>
      <c r="L385" s="65">
        <f t="shared" si="72"/>
        <v>245</v>
      </c>
      <c r="M385" s="70">
        <f>VLOOKUP(B385,'114+320'!$B$14:$AB$785,21,FALSE)</f>
        <v>2034</v>
      </c>
      <c r="N385" s="69">
        <f>VLOOKUP(B385,'114+320'!$B$15:$AB$785,5,FALSE)</f>
        <v>258</v>
      </c>
      <c r="O385" s="68">
        <f t="shared" si="68"/>
        <v>2554</v>
      </c>
      <c r="P385" s="68">
        <f>VLOOKUP(B385,'114+320'!$B$15:$AB$785,14,FALSE)</f>
        <v>-446</v>
      </c>
      <c r="Q385" s="66">
        <f>'114+320'!R386</f>
        <v>5</v>
      </c>
      <c r="R385" s="65">
        <f t="shared" si="73"/>
        <v>266</v>
      </c>
      <c r="S385" s="70">
        <f>VLOOKUP(B385,'114+320'!$B$14:$AB$785,22,FALSE)</f>
        <v>2082</v>
      </c>
      <c r="T385" s="69">
        <f>VLOOKUP(B385,'114+320'!$B$15:$AB$785,6,FALSE)</f>
        <v>150</v>
      </c>
      <c r="U385" s="68">
        <f t="shared" si="69"/>
        <v>2662</v>
      </c>
      <c r="V385" s="77">
        <f>VLOOKUP(B385,'114+320'!$B$15:$AB$785,15,FALSE)</f>
        <v>-338</v>
      </c>
      <c r="W385" s="66">
        <f>'114+320'!S386</f>
        <v>0</v>
      </c>
      <c r="X385" s="65">
        <f t="shared" si="74"/>
        <v>218</v>
      </c>
      <c r="Y385" s="64">
        <f t="shared" si="75"/>
        <v>0</v>
      </c>
      <c r="Z385" s="63">
        <f t="shared" si="76"/>
        <v>0</v>
      </c>
      <c r="AA385" s="62">
        <f t="shared" si="77"/>
        <v>2.3689999999999998</v>
      </c>
      <c r="AB385" s="62">
        <f t="shared" si="78"/>
        <v>1.948</v>
      </c>
    </row>
    <row r="386" spans="2:28">
      <c r="B386" s="106">
        <f>'114+320'!B387</f>
        <v>45416</v>
      </c>
      <c r="C386" s="75">
        <f t="shared" si="70"/>
        <v>1</v>
      </c>
      <c r="D386" s="74">
        <f t="shared" si="71"/>
        <v>842</v>
      </c>
      <c r="E386" s="73">
        <f>VLOOKUP(B386,'114+320'!B387:AB773,3,FALSE)</f>
        <v>1972</v>
      </c>
      <c r="F386" s="69">
        <f t="shared" si="66"/>
        <v>2814</v>
      </c>
      <c r="G386" s="72">
        <f>VLOOKUP(B386,'114+320'!$B$15:$AB$785,20,FALSE)</f>
        <v>2053</v>
      </c>
      <c r="H386" s="72">
        <f>VLOOKUP(B386,'114+320'!$B$15:$AB$785,4,FALSE)</f>
        <v>241</v>
      </c>
      <c r="I386" s="68">
        <f t="shared" si="67"/>
        <v>2573</v>
      </c>
      <c r="J386" s="68">
        <f>VLOOKUP(B386,'114+320'!$B$15:$AB$785,13,FALSE)</f>
        <v>-427</v>
      </c>
      <c r="K386" s="66">
        <f>'114+320'!Q387</f>
        <v>2</v>
      </c>
      <c r="L386" s="65">
        <f t="shared" si="72"/>
        <v>247</v>
      </c>
      <c r="M386" s="70">
        <f>VLOOKUP(B386,'114+320'!$B$14:$AB$785,21,FALSE)</f>
        <v>2029</v>
      </c>
      <c r="N386" s="69">
        <f>VLOOKUP(B386,'114+320'!$B$15:$AB$785,5,FALSE)</f>
        <v>265</v>
      </c>
      <c r="O386" s="68">
        <f t="shared" si="68"/>
        <v>2549</v>
      </c>
      <c r="P386" s="68">
        <f>VLOOKUP(B386,'114+320'!$B$15:$AB$785,14,FALSE)</f>
        <v>-451</v>
      </c>
      <c r="Q386" s="66">
        <f>'114+320'!R387</f>
        <v>5</v>
      </c>
      <c r="R386" s="65">
        <f t="shared" si="73"/>
        <v>271</v>
      </c>
      <c r="S386" s="70">
        <f>VLOOKUP(B386,'114+320'!$B$14:$AB$785,22,FALSE)</f>
        <v>2081</v>
      </c>
      <c r="T386" s="69">
        <f>VLOOKUP(B386,'114+320'!$B$15:$AB$785,6,FALSE)</f>
        <v>153</v>
      </c>
      <c r="U386" s="68">
        <f t="shared" si="69"/>
        <v>2661</v>
      </c>
      <c r="V386" s="77">
        <f>VLOOKUP(B386,'114+320'!$B$15:$AB$785,15,FALSE)</f>
        <v>-339</v>
      </c>
      <c r="W386" s="66">
        <f>'114+320'!S387</f>
        <v>1</v>
      </c>
      <c r="X386" s="65">
        <f t="shared" si="74"/>
        <v>219</v>
      </c>
      <c r="Y386" s="64">
        <f t="shared" si="75"/>
        <v>-1</v>
      </c>
      <c r="Z386" s="63">
        <f t="shared" si="76"/>
        <v>0</v>
      </c>
      <c r="AA386" s="62">
        <f t="shared" si="77"/>
        <v>2.3689999999999998</v>
      </c>
      <c r="AB386" s="62">
        <f t="shared" si="78"/>
        <v>1.9379999999999999</v>
      </c>
    </row>
    <row r="387" spans="2:28">
      <c r="B387" s="106">
        <f>'114+320'!B388</f>
        <v>45417</v>
      </c>
      <c r="C387" s="75">
        <f t="shared" si="70"/>
        <v>1</v>
      </c>
      <c r="D387" s="74">
        <f t="shared" si="71"/>
        <v>842</v>
      </c>
      <c r="E387" s="73">
        <f>VLOOKUP(B387,'114+320'!B388:AB774,3,FALSE)</f>
        <v>1974</v>
      </c>
      <c r="F387" s="69">
        <f t="shared" si="66"/>
        <v>2816</v>
      </c>
      <c r="G387" s="72">
        <f>VLOOKUP(B387,'114+320'!$B$15:$AB$785,20,FALSE)</f>
        <v>2049</v>
      </c>
      <c r="H387" s="72">
        <f>VLOOKUP(B387,'114+320'!$B$15:$AB$785,4,FALSE)</f>
        <v>247</v>
      </c>
      <c r="I387" s="68">
        <f t="shared" si="67"/>
        <v>2569</v>
      </c>
      <c r="J387" s="68">
        <f>VLOOKUP(B387,'114+320'!$B$15:$AB$785,13,FALSE)</f>
        <v>-431</v>
      </c>
      <c r="K387" s="66">
        <f>'114+320'!Q388</f>
        <v>4</v>
      </c>
      <c r="L387" s="65">
        <f t="shared" si="72"/>
        <v>251</v>
      </c>
      <c r="M387" s="70">
        <f>VLOOKUP(B387,'114+320'!$B$14:$AB$785,21,FALSE)</f>
        <v>2025</v>
      </c>
      <c r="N387" s="69">
        <f>VLOOKUP(B387,'114+320'!$B$15:$AB$785,5,FALSE)</f>
        <v>271</v>
      </c>
      <c r="O387" s="68">
        <f t="shared" si="68"/>
        <v>2545</v>
      </c>
      <c r="P387" s="68">
        <f>VLOOKUP(B387,'114+320'!$B$15:$AB$785,14,FALSE)</f>
        <v>-455</v>
      </c>
      <c r="Q387" s="66">
        <f>'114+320'!R388</f>
        <v>4</v>
      </c>
      <c r="R387" s="65">
        <f t="shared" si="73"/>
        <v>275</v>
      </c>
      <c r="S387" s="70">
        <f>VLOOKUP(B387,'114+320'!$B$14:$AB$785,22,FALSE)</f>
        <v>2081</v>
      </c>
      <c r="T387" s="69">
        <f>VLOOKUP(B387,'114+320'!$B$15:$AB$785,6,FALSE)</f>
        <v>155</v>
      </c>
      <c r="U387" s="68">
        <f t="shared" si="69"/>
        <v>2661</v>
      </c>
      <c r="V387" s="77">
        <f>VLOOKUP(B387,'114+320'!$B$15:$AB$785,15,FALSE)</f>
        <v>-339</v>
      </c>
      <c r="W387" s="66">
        <f>'114+320'!S388</f>
        <v>0</v>
      </c>
      <c r="X387" s="65">
        <f t="shared" si="74"/>
        <v>219</v>
      </c>
      <c r="Y387" s="64">
        <f t="shared" si="75"/>
        <v>0</v>
      </c>
      <c r="Z387" s="63">
        <f t="shared" si="76"/>
        <v>0</v>
      </c>
      <c r="AA387" s="62">
        <f t="shared" si="77"/>
        <v>2.3689999999999998</v>
      </c>
      <c r="AB387" s="62">
        <f t="shared" si="78"/>
        <v>1.93</v>
      </c>
    </row>
    <row r="388" spans="2:28">
      <c r="B388" s="106">
        <f>'114+320'!B389</f>
        <v>45418</v>
      </c>
      <c r="C388" s="75">
        <f t="shared" si="70"/>
        <v>1</v>
      </c>
      <c r="D388" s="74">
        <f t="shared" si="71"/>
        <v>842</v>
      </c>
      <c r="E388" s="73">
        <f>VLOOKUP(B388,'114+320'!B389:AB775,3,FALSE)</f>
        <v>1976</v>
      </c>
      <c r="F388" s="69">
        <f t="shared" si="66"/>
        <v>2818</v>
      </c>
      <c r="G388" s="72">
        <f>VLOOKUP(B388,'114+320'!$B$15:$AB$785,20,FALSE)</f>
        <v>2046</v>
      </c>
      <c r="H388" s="72">
        <f>VLOOKUP(B388,'114+320'!$B$15:$AB$785,4,FALSE)</f>
        <v>252</v>
      </c>
      <c r="I388" s="68">
        <f t="shared" si="67"/>
        <v>2566</v>
      </c>
      <c r="J388" s="68">
        <f>VLOOKUP(B388,'114+320'!$B$15:$AB$785,13,FALSE)</f>
        <v>-434</v>
      </c>
      <c r="K388" s="66">
        <f>'114+320'!Q389</f>
        <v>3</v>
      </c>
      <c r="L388" s="65">
        <f t="shared" si="72"/>
        <v>254</v>
      </c>
      <c r="M388" s="70">
        <f>VLOOKUP(B388,'114+320'!$B$14:$AB$785,21,FALSE)</f>
        <v>2022</v>
      </c>
      <c r="N388" s="69">
        <f>VLOOKUP(B388,'114+320'!$B$15:$AB$785,5,FALSE)</f>
        <v>276</v>
      </c>
      <c r="O388" s="68">
        <f t="shared" si="68"/>
        <v>2542</v>
      </c>
      <c r="P388" s="68">
        <f>VLOOKUP(B388,'114+320'!$B$15:$AB$785,14,FALSE)</f>
        <v>-458</v>
      </c>
      <c r="Q388" s="66">
        <f>'114+320'!R389</f>
        <v>3</v>
      </c>
      <c r="R388" s="65">
        <f t="shared" si="73"/>
        <v>278</v>
      </c>
      <c r="S388" s="70">
        <f>VLOOKUP(B388,'114+320'!$B$14:$AB$785,22,FALSE)</f>
        <v>2080</v>
      </c>
      <c r="T388" s="69">
        <f>VLOOKUP(B388,'114+320'!$B$15:$AB$785,6,FALSE)</f>
        <v>158</v>
      </c>
      <c r="U388" s="68">
        <f t="shared" si="69"/>
        <v>2660</v>
      </c>
      <c r="V388" s="77">
        <f>VLOOKUP(B388,'114+320'!$B$15:$AB$785,15,FALSE)</f>
        <v>-340</v>
      </c>
      <c r="W388" s="66">
        <f>'114+320'!S389</f>
        <v>1</v>
      </c>
      <c r="X388" s="65">
        <f t="shared" si="74"/>
        <v>220</v>
      </c>
      <c r="Y388" s="64">
        <f t="shared" si="75"/>
        <v>-1</v>
      </c>
      <c r="Z388" s="63">
        <f t="shared" si="76"/>
        <v>0</v>
      </c>
      <c r="AA388" s="62">
        <f t="shared" si="77"/>
        <v>2.3689999999999998</v>
      </c>
      <c r="AB388" s="62">
        <f t="shared" si="78"/>
        <v>1.9239999999999999</v>
      </c>
    </row>
    <row r="389" spans="2:28">
      <c r="B389" s="106">
        <f>'114+320'!B390</f>
        <v>45419</v>
      </c>
      <c r="C389" s="75">
        <f t="shared" si="70"/>
        <v>1</v>
      </c>
      <c r="D389" s="74">
        <f t="shared" si="71"/>
        <v>842</v>
      </c>
      <c r="E389" s="73">
        <f>VLOOKUP(B389,'114+320'!B390:AB776,3,FALSE)</f>
        <v>1978</v>
      </c>
      <c r="F389" s="69">
        <f t="shared" si="66"/>
        <v>2820</v>
      </c>
      <c r="G389" s="72">
        <f>VLOOKUP(B389,'114+320'!$B$15:$AB$785,20,FALSE)</f>
        <v>2044</v>
      </c>
      <c r="H389" s="72">
        <f>VLOOKUP(B389,'114+320'!$B$15:$AB$785,4,FALSE)</f>
        <v>256</v>
      </c>
      <c r="I389" s="68">
        <f t="shared" si="67"/>
        <v>2564</v>
      </c>
      <c r="J389" s="68">
        <f>VLOOKUP(B389,'114+320'!$B$15:$AB$785,13,FALSE)</f>
        <v>-436</v>
      </c>
      <c r="K389" s="66">
        <f>'114+320'!Q390</f>
        <v>2</v>
      </c>
      <c r="L389" s="65">
        <f t="shared" si="72"/>
        <v>256</v>
      </c>
      <c r="M389" s="70">
        <f>VLOOKUP(B389,'114+320'!$B$14:$AB$785,21,FALSE)</f>
        <v>2020</v>
      </c>
      <c r="N389" s="69">
        <f>VLOOKUP(B389,'114+320'!$B$15:$AB$785,5,FALSE)</f>
        <v>280</v>
      </c>
      <c r="O389" s="68">
        <f t="shared" si="68"/>
        <v>2540</v>
      </c>
      <c r="P389" s="68">
        <f>VLOOKUP(B389,'114+320'!$B$15:$AB$785,14,FALSE)</f>
        <v>-460</v>
      </c>
      <c r="Q389" s="66">
        <f>'114+320'!R390</f>
        <v>2</v>
      </c>
      <c r="R389" s="65">
        <f t="shared" si="73"/>
        <v>280</v>
      </c>
      <c r="S389" s="70">
        <f>VLOOKUP(B389,'114+320'!$B$14:$AB$785,22,FALSE)</f>
        <v>2080</v>
      </c>
      <c r="T389" s="69">
        <f>VLOOKUP(B389,'114+320'!$B$15:$AB$785,6,FALSE)</f>
        <v>160</v>
      </c>
      <c r="U389" s="68">
        <f t="shared" si="69"/>
        <v>2660</v>
      </c>
      <c r="V389" s="77">
        <f>VLOOKUP(B389,'114+320'!$B$15:$AB$785,15,FALSE)</f>
        <v>-340</v>
      </c>
      <c r="W389" s="66">
        <f>'114+320'!S390</f>
        <v>0</v>
      </c>
      <c r="X389" s="65">
        <f t="shared" si="74"/>
        <v>220</v>
      </c>
      <c r="Y389" s="64">
        <f t="shared" si="75"/>
        <v>0</v>
      </c>
      <c r="Z389" s="63">
        <f t="shared" si="76"/>
        <v>0</v>
      </c>
      <c r="AA389" s="62">
        <f t="shared" si="77"/>
        <v>2.3689999999999998</v>
      </c>
      <c r="AB389" s="62">
        <f t="shared" si="78"/>
        <v>1.92</v>
      </c>
    </row>
    <row r="390" spans="2:28">
      <c r="B390" s="106">
        <f>'114+320'!B391</f>
        <v>45420</v>
      </c>
      <c r="C390" s="75">
        <f t="shared" si="70"/>
        <v>1</v>
      </c>
      <c r="D390" s="74">
        <f t="shared" si="71"/>
        <v>842</v>
      </c>
      <c r="E390" s="73">
        <f>VLOOKUP(B390,'114+320'!B391:AB777,3,FALSE)</f>
        <v>1980</v>
      </c>
      <c r="F390" s="69">
        <f t="shared" si="66"/>
        <v>2822</v>
      </c>
      <c r="G390" s="72">
        <f>VLOOKUP(B390,'114+320'!$B$15:$AB$785,20,FALSE)</f>
        <v>2044</v>
      </c>
      <c r="H390" s="72">
        <f>VLOOKUP(B390,'114+320'!$B$15:$AB$785,4,FALSE)</f>
        <v>258</v>
      </c>
      <c r="I390" s="68">
        <f t="shared" si="67"/>
        <v>2564</v>
      </c>
      <c r="J390" s="68">
        <f>VLOOKUP(B390,'114+320'!$B$15:$AB$785,13,FALSE)</f>
        <v>-436</v>
      </c>
      <c r="K390" s="66">
        <f>'114+320'!Q391</f>
        <v>0</v>
      </c>
      <c r="L390" s="65">
        <f t="shared" si="72"/>
        <v>256</v>
      </c>
      <c r="M390" s="70">
        <f>VLOOKUP(B390,'114+320'!$B$14:$AB$785,21,FALSE)</f>
        <v>2020</v>
      </c>
      <c r="N390" s="69">
        <f>VLOOKUP(B390,'114+320'!$B$15:$AB$785,5,FALSE)</f>
        <v>282</v>
      </c>
      <c r="O390" s="68">
        <f t="shared" si="68"/>
        <v>2540</v>
      </c>
      <c r="P390" s="68">
        <f>VLOOKUP(B390,'114+320'!$B$15:$AB$785,14,FALSE)</f>
        <v>-460</v>
      </c>
      <c r="Q390" s="66">
        <f>'114+320'!R391</f>
        <v>0</v>
      </c>
      <c r="R390" s="65">
        <f t="shared" si="73"/>
        <v>280</v>
      </c>
      <c r="S390" s="70">
        <f>VLOOKUP(B390,'114+320'!$B$14:$AB$785,22,FALSE)</f>
        <v>2080</v>
      </c>
      <c r="T390" s="69">
        <f>VLOOKUP(B390,'114+320'!$B$15:$AB$785,6,FALSE)</f>
        <v>162</v>
      </c>
      <c r="U390" s="68">
        <f t="shared" si="69"/>
        <v>2660</v>
      </c>
      <c r="V390" s="77">
        <f>VLOOKUP(B390,'114+320'!$B$15:$AB$785,15,FALSE)</f>
        <v>-340</v>
      </c>
      <c r="W390" s="66">
        <f>'114+320'!S391</f>
        <v>0</v>
      </c>
      <c r="X390" s="65">
        <f t="shared" si="74"/>
        <v>220</v>
      </c>
      <c r="Y390" s="64">
        <f t="shared" si="75"/>
        <v>0</v>
      </c>
      <c r="Z390" s="63">
        <f t="shared" si="76"/>
        <v>0</v>
      </c>
      <c r="AA390" s="62">
        <f t="shared" si="77"/>
        <v>2.3689999999999998</v>
      </c>
      <c r="AB390" s="62">
        <f t="shared" si="78"/>
        <v>1.92</v>
      </c>
    </row>
    <row r="391" spans="2:28">
      <c r="B391" s="106">
        <f>'114+320'!B392</f>
        <v>45421</v>
      </c>
      <c r="C391" s="75">
        <f t="shared" si="70"/>
        <v>1</v>
      </c>
      <c r="D391" s="74">
        <f t="shared" si="71"/>
        <v>842</v>
      </c>
      <c r="E391" s="73">
        <f>VLOOKUP(B391,'114+320'!B392:AB778,3,FALSE)</f>
        <v>1982</v>
      </c>
      <c r="F391" s="69">
        <f t="shared" si="66"/>
        <v>2824</v>
      </c>
      <c r="G391" s="72">
        <f>VLOOKUP(B391,'114+320'!$B$15:$AB$785,20,FALSE)</f>
        <v>2044</v>
      </c>
      <c r="H391" s="72">
        <f>VLOOKUP(B391,'114+320'!$B$15:$AB$785,4,FALSE)</f>
        <v>260</v>
      </c>
      <c r="I391" s="68">
        <f t="shared" si="67"/>
        <v>2564</v>
      </c>
      <c r="J391" s="68">
        <f>VLOOKUP(B391,'114+320'!$B$15:$AB$785,13,FALSE)</f>
        <v>-436</v>
      </c>
      <c r="K391" s="66">
        <f>'114+320'!Q392</f>
        <v>0</v>
      </c>
      <c r="L391" s="65">
        <f t="shared" si="72"/>
        <v>256</v>
      </c>
      <c r="M391" s="70">
        <f>VLOOKUP(B391,'114+320'!$B$14:$AB$785,21,FALSE)</f>
        <v>2020</v>
      </c>
      <c r="N391" s="69">
        <f>VLOOKUP(B391,'114+320'!$B$15:$AB$785,5,FALSE)</f>
        <v>284</v>
      </c>
      <c r="O391" s="68">
        <f t="shared" si="68"/>
        <v>2540</v>
      </c>
      <c r="P391" s="68">
        <f>VLOOKUP(B391,'114+320'!$B$15:$AB$785,14,FALSE)</f>
        <v>-460</v>
      </c>
      <c r="Q391" s="66">
        <f>'114+320'!R392</f>
        <v>0</v>
      </c>
      <c r="R391" s="65">
        <f t="shared" si="73"/>
        <v>280</v>
      </c>
      <c r="S391" s="70">
        <f>VLOOKUP(B391,'114+320'!$B$14:$AB$785,22,FALSE)</f>
        <v>2080</v>
      </c>
      <c r="T391" s="69">
        <f>VLOOKUP(B391,'114+320'!$B$15:$AB$785,6,FALSE)</f>
        <v>164</v>
      </c>
      <c r="U391" s="68">
        <f t="shared" si="69"/>
        <v>2660</v>
      </c>
      <c r="V391" s="77">
        <f>VLOOKUP(B391,'114+320'!$B$15:$AB$785,15,FALSE)</f>
        <v>-340</v>
      </c>
      <c r="W391" s="66">
        <f>'114+320'!S392</f>
        <v>0</v>
      </c>
      <c r="X391" s="65">
        <f t="shared" si="74"/>
        <v>220</v>
      </c>
      <c r="Y391" s="64">
        <f t="shared" si="75"/>
        <v>0</v>
      </c>
      <c r="Z391" s="63">
        <f t="shared" si="76"/>
        <v>0</v>
      </c>
      <c r="AA391" s="62">
        <f t="shared" si="77"/>
        <v>2.3689999999999998</v>
      </c>
      <c r="AB391" s="62">
        <f t="shared" si="78"/>
        <v>1.92</v>
      </c>
    </row>
    <row r="392" spans="2:28">
      <c r="B392" s="106">
        <f>'114+320'!B393</f>
        <v>45422</v>
      </c>
      <c r="C392" s="75">
        <f t="shared" si="70"/>
        <v>1</v>
      </c>
      <c r="D392" s="74">
        <f t="shared" si="71"/>
        <v>842</v>
      </c>
      <c r="E392" s="73">
        <f>VLOOKUP(B392,'114+320'!B393:AB779,3,FALSE)</f>
        <v>1984</v>
      </c>
      <c r="F392" s="69">
        <f t="shared" si="66"/>
        <v>2826</v>
      </c>
      <c r="G392" s="72">
        <f>VLOOKUP(B392,'114+320'!$B$15:$AB$785,20,FALSE)</f>
        <v>2044</v>
      </c>
      <c r="H392" s="72">
        <f>VLOOKUP(B392,'114+320'!$B$15:$AB$785,4,FALSE)</f>
        <v>262</v>
      </c>
      <c r="I392" s="68">
        <f t="shared" si="67"/>
        <v>2564</v>
      </c>
      <c r="J392" s="68">
        <f>VLOOKUP(B392,'114+320'!$B$15:$AB$785,13,FALSE)</f>
        <v>-436</v>
      </c>
      <c r="K392" s="66">
        <f>'114+320'!Q393</f>
        <v>0</v>
      </c>
      <c r="L392" s="65">
        <f t="shared" si="72"/>
        <v>256</v>
      </c>
      <c r="M392" s="70">
        <f>VLOOKUP(B392,'114+320'!$B$14:$AB$785,21,FALSE)</f>
        <v>2020</v>
      </c>
      <c r="N392" s="69">
        <f>VLOOKUP(B392,'114+320'!$B$15:$AB$785,5,FALSE)</f>
        <v>286</v>
      </c>
      <c r="O392" s="68">
        <f t="shared" si="68"/>
        <v>2540</v>
      </c>
      <c r="P392" s="68">
        <f>VLOOKUP(B392,'114+320'!$B$15:$AB$785,14,FALSE)</f>
        <v>-460</v>
      </c>
      <c r="Q392" s="66">
        <f>'114+320'!R393</f>
        <v>0</v>
      </c>
      <c r="R392" s="65">
        <f t="shared" si="73"/>
        <v>280</v>
      </c>
      <c r="S392" s="70">
        <f>VLOOKUP(B392,'114+320'!$B$14:$AB$785,22,FALSE)</f>
        <v>2080</v>
      </c>
      <c r="T392" s="69">
        <f>VLOOKUP(B392,'114+320'!$B$15:$AB$785,6,FALSE)</f>
        <v>166</v>
      </c>
      <c r="U392" s="68">
        <f t="shared" si="69"/>
        <v>2660</v>
      </c>
      <c r="V392" s="77">
        <f>VLOOKUP(B392,'114+320'!$B$15:$AB$785,15,FALSE)</f>
        <v>-340</v>
      </c>
      <c r="W392" s="66">
        <f>'114+320'!S393</f>
        <v>0</v>
      </c>
      <c r="X392" s="65">
        <f t="shared" si="74"/>
        <v>220</v>
      </c>
      <c r="Y392" s="64">
        <f t="shared" si="75"/>
        <v>0</v>
      </c>
      <c r="Z392" s="63">
        <f t="shared" si="76"/>
        <v>0</v>
      </c>
      <c r="AA392" s="62">
        <f t="shared" si="77"/>
        <v>2.3689999999999998</v>
      </c>
      <c r="AB392" s="62">
        <f t="shared" si="78"/>
        <v>1.92</v>
      </c>
    </row>
    <row r="393" spans="2:28">
      <c r="B393" s="106">
        <f>'114+320'!B394</f>
        <v>45423</v>
      </c>
      <c r="C393" s="75">
        <f t="shared" si="70"/>
        <v>1</v>
      </c>
      <c r="D393" s="74">
        <f t="shared" si="71"/>
        <v>842</v>
      </c>
      <c r="E393" s="73">
        <f>VLOOKUP(B393,'114+320'!B394:AB780,3,FALSE)</f>
        <v>1986</v>
      </c>
      <c r="F393" s="69">
        <f t="shared" si="66"/>
        <v>2828</v>
      </c>
      <c r="G393" s="72">
        <f>VLOOKUP(B393,'114+320'!$B$15:$AB$785,20,FALSE)</f>
        <v>2044</v>
      </c>
      <c r="H393" s="72">
        <f>VLOOKUP(B393,'114+320'!$B$15:$AB$785,4,FALSE)</f>
        <v>264</v>
      </c>
      <c r="I393" s="68">
        <f t="shared" si="67"/>
        <v>2564</v>
      </c>
      <c r="J393" s="68">
        <f>VLOOKUP(B393,'114+320'!$B$15:$AB$785,13,FALSE)</f>
        <v>-436</v>
      </c>
      <c r="K393" s="66">
        <f>'114+320'!Q394</f>
        <v>0</v>
      </c>
      <c r="L393" s="65">
        <f t="shared" si="72"/>
        <v>256</v>
      </c>
      <c r="M393" s="70">
        <f>VLOOKUP(B393,'114+320'!$B$14:$AB$785,21,FALSE)</f>
        <v>2020</v>
      </c>
      <c r="N393" s="69">
        <f>VLOOKUP(B393,'114+320'!$B$15:$AB$785,5,FALSE)</f>
        <v>288</v>
      </c>
      <c r="O393" s="68">
        <f t="shared" si="68"/>
        <v>2540</v>
      </c>
      <c r="P393" s="68">
        <f>VLOOKUP(B393,'114+320'!$B$15:$AB$785,14,FALSE)</f>
        <v>-460</v>
      </c>
      <c r="Q393" s="66">
        <f>'114+320'!R394</f>
        <v>0</v>
      </c>
      <c r="R393" s="65">
        <f t="shared" si="73"/>
        <v>280</v>
      </c>
      <c r="S393" s="70">
        <f>VLOOKUP(B393,'114+320'!$B$14:$AB$785,22,FALSE)</f>
        <v>2080</v>
      </c>
      <c r="T393" s="69">
        <f>VLOOKUP(B393,'114+320'!$B$15:$AB$785,6,FALSE)</f>
        <v>168</v>
      </c>
      <c r="U393" s="68">
        <f t="shared" si="69"/>
        <v>2660</v>
      </c>
      <c r="V393" s="77">
        <f>VLOOKUP(B393,'114+320'!$B$15:$AB$785,15,FALSE)</f>
        <v>-340</v>
      </c>
      <c r="W393" s="66">
        <f>'114+320'!S394</f>
        <v>0</v>
      </c>
      <c r="X393" s="65">
        <f t="shared" si="74"/>
        <v>220</v>
      </c>
      <c r="Y393" s="64">
        <f t="shared" si="75"/>
        <v>0</v>
      </c>
      <c r="Z393" s="63">
        <f t="shared" si="76"/>
        <v>0</v>
      </c>
      <c r="AA393" s="62">
        <f t="shared" si="77"/>
        <v>2.3689999999999998</v>
      </c>
      <c r="AB393" s="62">
        <f t="shared" si="78"/>
        <v>1.92</v>
      </c>
    </row>
    <row r="394" spans="2:28">
      <c r="B394" s="106">
        <f>'114+320'!B395</f>
        <v>45424</v>
      </c>
      <c r="C394" s="75">
        <f t="shared" si="70"/>
        <v>1</v>
      </c>
      <c r="D394" s="74">
        <f t="shared" si="71"/>
        <v>842</v>
      </c>
      <c r="E394" s="73">
        <f>VLOOKUP(B394,'114+320'!B395:AB781,3,FALSE)</f>
        <v>1988</v>
      </c>
      <c r="F394" s="69">
        <f t="shared" si="66"/>
        <v>2830</v>
      </c>
      <c r="G394" s="72">
        <f>VLOOKUP(B394,'114+320'!$B$15:$AB$785,20,FALSE)</f>
        <v>2044</v>
      </c>
      <c r="H394" s="72">
        <f>VLOOKUP(B394,'114+320'!$B$15:$AB$785,4,FALSE)</f>
        <v>266</v>
      </c>
      <c r="I394" s="68">
        <f t="shared" si="67"/>
        <v>2564</v>
      </c>
      <c r="J394" s="68">
        <f>VLOOKUP(B394,'114+320'!$B$15:$AB$785,13,FALSE)</f>
        <v>-436</v>
      </c>
      <c r="K394" s="66">
        <f>'114+320'!Q395</f>
        <v>0</v>
      </c>
      <c r="L394" s="65">
        <f t="shared" si="72"/>
        <v>256</v>
      </c>
      <c r="M394" s="70">
        <f>VLOOKUP(B394,'114+320'!$B$14:$AB$785,21,FALSE)</f>
        <v>2020</v>
      </c>
      <c r="N394" s="69">
        <f>VLOOKUP(B394,'114+320'!$B$15:$AB$785,5,FALSE)</f>
        <v>290</v>
      </c>
      <c r="O394" s="68">
        <f t="shared" si="68"/>
        <v>2540</v>
      </c>
      <c r="P394" s="68">
        <f>VLOOKUP(B394,'114+320'!$B$15:$AB$785,14,FALSE)</f>
        <v>-460</v>
      </c>
      <c r="Q394" s="66">
        <f>'114+320'!R395</f>
        <v>0</v>
      </c>
      <c r="R394" s="65">
        <f t="shared" si="73"/>
        <v>280</v>
      </c>
      <c r="S394" s="70">
        <f>VLOOKUP(B394,'114+320'!$B$14:$AB$785,22,FALSE)</f>
        <v>2080</v>
      </c>
      <c r="T394" s="69">
        <f>VLOOKUP(B394,'114+320'!$B$15:$AB$785,6,FALSE)</f>
        <v>170</v>
      </c>
      <c r="U394" s="68">
        <f t="shared" si="69"/>
        <v>2660</v>
      </c>
      <c r="V394" s="77">
        <f>VLOOKUP(B394,'114+320'!$B$15:$AB$785,15,FALSE)</f>
        <v>-340</v>
      </c>
      <c r="W394" s="66">
        <f>'114+320'!S395</f>
        <v>0</v>
      </c>
      <c r="X394" s="65">
        <f t="shared" si="74"/>
        <v>220</v>
      </c>
      <c r="Y394" s="64">
        <f t="shared" si="75"/>
        <v>0</v>
      </c>
      <c r="Z394" s="63">
        <f t="shared" si="76"/>
        <v>0</v>
      </c>
      <c r="AA394" s="62">
        <f t="shared" si="77"/>
        <v>2.3689999999999998</v>
      </c>
      <c r="AB394" s="62">
        <f t="shared" si="78"/>
        <v>1.92</v>
      </c>
    </row>
    <row r="395" spans="2:28">
      <c r="B395" s="106">
        <f>'114+320'!B396</f>
        <v>45425</v>
      </c>
      <c r="C395" s="75">
        <f t="shared" si="70"/>
        <v>1</v>
      </c>
      <c r="D395" s="74">
        <f t="shared" si="71"/>
        <v>842</v>
      </c>
      <c r="E395" s="73">
        <f>VLOOKUP(B395,'114+320'!B396:AB782,3,FALSE)</f>
        <v>1990</v>
      </c>
      <c r="F395" s="69">
        <f t="shared" si="66"/>
        <v>2832</v>
      </c>
      <c r="G395" s="72">
        <f>VLOOKUP(B395,'114+320'!$B$15:$AB$785,20,FALSE)</f>
        <v>2044</v>
      </c>
      <c r="H395" s="72">
        <f>VLOOKUP(B395,'114+320'!$B$15:$AB$785,4,FALSE)</f>
        <v>268</v>
      </c>
      <c r="I395" s="68">
        <f t="shared" si="67"/>
        <v>2564</v>
      </c>
      <c r="J395" s="68">
        <f>VLOOKUP(B395,'114+320'!$B$15:$AB$785,13,FALSE)</f>
        <v>-436</v>
      </c>
      <c r="K395" s="66">
        <f>'114+320'!Q396</f>
        <v>0</v>
      </c>
      <c r="L395" s="65">
        <f t="shared" si="72"/>
        <v>256</v>
      </c>
      <c r="M395" s="70">
        <f>VLOOKUP(B395,'114+320'!$B$14:$AB$785,21,FALSE)</f>
        <v>2020</v>
      </c>
      <c r="N395" s="69">
        <f>VLOOKUP(B395,'114+320'!$B$15:$AB$785,5,FALSE)</f>
        <v>292</v>
      </c>
      <c r="O395" s="68">
        <f t="shared" si="68"/>
        <v>2540</v>
      </c>
      <c r="P395" s="68">
        <f>VLOOKUP(B395,'114+320'!$B$15:$AB$785,14,FALSE)</f>
        <v>-460</v>
      </c>
      <c r="Q395" s="66">
        <f>'114+320'!R396</f>
        <v>0</v>
      </c>
      <c r="R395" s="65">
        <f t="shared" si="73"/>
        <v>280</v>
      </c>
      <c r="S395" s="70">
        <f>VLOOKUP(B395,'114+320'!$B$14:$AB$785,22,FALSE)</f>
        <v>2080</v>
      </c>
      <c r="T395" s="69">
        <f>VLOOKUP(B395,'114+320'!$B$15:$AB$785,6,FALSE)</f>
        <v>172</v>
      </c>
      <c r="U395" s="68">
        <f t="shared" si="69"/>
        <v>2660</v>
      </c>
      <c r="V395" s="77">
        <f>VLOOKUP(B395,'114+320'!$B$15:$AB$785,15,FALSE)</f>
        <v>-340</v>
      </c>
      <c r="W395" s="66">
        <f>'114+320'!S396</f>
        <v>0</v>
      </c>
      <c r="X395" s="65">
        <f t="shared" si="74"/>
        <v>220</v>
      </c>
      <c r="Y395" s="64">
        <f t="shared" si="75"/>
        <v>0</v>
      </c>
      <c r="Z395" s="63">
        <f t="shared" si="76"/>
        <v>0</v>
      </c>
      <c r="AA395" s="62">
        <f t="shared" si="77"/>
        <v>2.3689999999999998</v>
      </c>
      <c r="AB395" s="62">
        <f t="shared" si="78"/>
        <v>1.92</v>
      </c>
    </row>
    <row r="396" spans="2:28">
      <c r="B396" s="106">
        <f>'114+320'!B397</f>
        <v>45426</v>
      </c>
      <c r="C396" s="75">
        <f t="shared" si="70"/>
        <v>1</v>
      </c>
      <c r="D396" s="74">
        <f t="shared" si="71"/>
        <v>842</v>
      </c>
      <c r="E396" s="73">
        <f>VLOOKUP(B396,'114+320'!B397:AB783,3,FALSE)</f>
        <v>1992</v>
      </c>
      <c r="F396" s="69">
        <f t="shared" si="66"/>
        <v>2834</v>
      </c>
      <c r="G396" s="72">
        <f>VLOOKUP(B396,'114+320'!$B$15:$AB$785,20,FALSE)</f>
        <v>2044</v>
      </c>
      <c r="H396" s="72">
        <f>VLOOKUP(B396,'114+320'!$B$15:$AB$785,4,FALSE)</f>
        <v>270</v>
      </c>
      <c r="I396" s="68">
        <f t="shared" si="67"/>
        <v>2564</v>
      </c>
      <c r="J396" s="68">
        <f>VLOOKUP(B396,'114+320'!$B$15:$AB$785,13,FALSE)</f>
        <v>-436</v>
      </c>
      <c r="K396" s="66">
        <f>'114+320'!Q397</f>
        <v>0</v>
      </c>
      <c r="L396" s="65">
        <f t="shared" si="72"/>
        <v>256</v>
      </c>
      <c r="M396" s="70">
        <f>VLOOKUP(B396,'114+320'!$B$14:$AB$785,21,FALSE)</f>
        <v>2020</v>
      </c>
      <c r="N396" s="69">
        <f>VLOOKUP(B396,'114+320'!$B$15:$AB$785,5,FALSE)</f>
        <v>294</v>
      </c>
      <c r="O396" s="68">
        <f t="shared" si="68"/>
        <v>2540</v>
      </c>
      <c r="P396" s="68">
        <f>VLOOKUP(B396,'114+320'!$B$15:$AB$785,14,FALSE)</f>
        <v>-460</v>
      </c>
      <c r="Q396" s="66">
        <f>'114+320'!R397</f>
        <v>0</v>
      </c>
      <c r="R396" s="65">
        <f t="shared" si="73"/>
        <v>280</v>
      </c>
      <c r="S396" s="70">
        <f>VLOOKUP(B396,'114+320'!$B$14:$AB$785,22,FALSE)</f>
        <v>2080</v>
      </c>
      <c r="T396" s="69">
        <f>VLOOKUP(B396,'114+320'!$B$15:$AB$785,6,FALSE)</f>
        <v>174</v>
      </c>
      <c r="U396" s="68">
        <f t="shared" si="69"/>
        <v>2660</v>
      </c>
      <c r="V396" s="77">
        <f>VLOOKUP(B396,'114+320'!$B$15:$AB$785,15,FALSE)</f>
        <v>-340</v>
      </c>
      <c r="W396" s="66">
        <f>'114+320'!S397</f>
        <v>0</v>
      </c>
      <c r="X396" s="65">
        <f t="shared" si="74"/>
        <v>220</v>
      </c>
      <c r="Y396" s="64">
        <f t="shared" si="75"/>
        <v>0</v>
      </c>
      <c r="Z396" s="63">
        <f t="shared" si="76"/>
        <v>0</v>
      </c>
      <c r="AA396" s="62">
        <f t="shared" si="77"/>
        <v>2.3689999999999998</v>
      </c>
      <c r="AB396" s="62">
        <f t="shared" si="78"/>
        <v>1.92</v>
      </c>
    </row>
    <row r="397" spans="2:28">
      <c r="B397" s="106">
        <f>'114+320'!B398</f>
        <v>45427</v>
      </c>
      <c r="C397" s="75">
        <f t="shared" si="70"/>
        <v>1</v>
      </c>
      <c r="D397" s="74">
        <f t="shared" si="71"/>
        <v>842</v>
      </c>
      <c r="E397" s="73">
        <f>VLOOKUP(B397,'114+320'!B398:AB784,3,FALSE)</f>
        <v>1994</v>
      </c>
      <c r="F397" s="69">
        <f t="shared" ref="F397:F460" si="79">D397+E397</f>
        <v>2836</v>
      </c>
      <c r="G397" s="72">
        <f>VLOOKUP(B397,'114+320'!$B$15:$AB$785,20,FALSE)</f>
        <v>2044</v>
      </c>
      <c r="H397" s="72">
        <f>VLOOKUP(B397,'114+320'!$B$15:$AB$785,4,FALSE)</f>
        <v>272</v>
      </c>
      <c r="I397" s="68">
        <f t="shared" ref="I397:I460" si="80">F397-H397</f>
        <v>2564</v>
      </c>
      <c r="J397" s="68">
        <f>VLOOKUP(B397,'114+320'!$B$15:$AB$785,13,FALSE)</f>
        <v>-436</v>
      </c>
      <c r="K397" s="66">
        <f>'114+320'!Q398</f>
        <v>0</v>
      </c>
      <c r="L397" s="65">
        <f t="shared" si="72"/>
        <v>256</v>
      </c>
      <c r="M397" s="70">
        <f>VLOOKUP(B397,'114+320'!$B$14:$AB$785,21,FALSE)</f>
        <v>2020</v>
      </c>
      <c r="N397" s="69">
        <f>VLOOKUP(B397,'114+320'!$B$15:$AB$785,5,FALSE)</f>
        <v>296</v>
      </c>
      <c r="O397" s="68">
        <f t="shared" ref="O397:O460" si="81">F397-N397</f>
        <v>2540</v>
      </c>
      <c r="P397" s="68">
        <f>VLOOKUP(B397,'114+320'!$B$15:$AB$785,14,FALSE)</f>
        <v>-460</v>
      </c>
      <c r="Q397" s="66">
        <f>'114+320'!R398</f>
        <v>0</v>
      </c>
      <c r="R397" s="65">
        <f t="shared" si="73"/>
        <v>280</v>
      </c>
      <c r="S397" s="70">
        <f>VLOOKUP(B397,'114+320'!$B$14:$AB$785,22,FALSE)</f>
        <v>2080</v>
      </c>
      <c r="T397" s="69">
        <f>VLOOKUP(B397,'114+320'!$B$15:$AB$785,6,FALSE)</f>
        <v>176</v>
      </c>
      <c r="U397" s="68">
        <f t="shared" ref="U397:U460" si="82">F397-T397</f>
        <v>2660</v>
      </c>
      <c r="V397" s="77">
        <f>VLOOKUP(B397,'114+320'!$B$15:$AB$785,15,FALSE)</f>
        <v>-340</v>
      </c>
      <c r="W397" s="66">
        <f>'114+320'!S398</f>
        <v>0</v>
      </c>
      <c r="X397" s="65">
        <f t="shared" si="74"/>
        <v>220</v>
      </c>
      <c r="Y397" s="64">
        <f t="shared" si="75"/>
        <v>0</v>
      </c>
      <c r="Z397" s="63">
        <f t="shared" si="76"/>
        <v>0</v>
      </c>
      <c r="AA397" s="62">
        <f t="shared" si="77"/>
        <v>2.3689999999999998</v>
      </c>
      <c r="AB397" s="62">
        <f t="shared" si="78"/>
        <v>1.92</v>
      </c>
    </row>
    <row r="398" spans="2:28">
      <c r="B398" s="106">
        <f>'114+320'!B399</f>
        <v>45428</v>
      </c>
      <c r="C398" s="75">
        <f t="shared" ref="C398:C461" si="83">B398-B397</f>
        <v>1</v>
      </c>
      <c r="D398" s="74">
        <f t="shared" ref="D398:D461" si="84">D397</f>
        <v>842</v>
      </c>
      <c r="E398" s="73">
        <f>VLOOKUP(B398,'114+320'!B399:AB785,3,FALSE)</f>
        <v>1996</v>
      </c>
      <c r="F398" s="69">
        <f t="shared" si="79"/>
        <v>2838</v>
      </c>
      <c r="G398" s="72">
        <f>VLOOKUP(B398,'114+320'!$B$15:$AB$785,20,FALSE)</f>
        <v>2044</v>
      </c>
      <c r="H398" s="72">
        <f>VLOOKUP(B398,'114+320'!$B$15:$AB$785,4,FALSE)</f>
        <v>274</v>
      </c>
      <c r="I398" s="68">
        <f t="shared" si="80"/>
        <v>2564</v>
      </c>
      <c r="J398" s="68">
        <f>VLOOKUP(B398,'114+320'!$B$15:$AB$785,13,FALSE)</f>
        <v>-436</v>
      </c>
      <c r="K398" s="66">
        <f>'114+320'!Q399</f>
        <v>0</v>
      </c>
      <c r="L398" s="65">
        <f t="shared" ref="L398:L461" si="85">+K398+L397</f>
        <v>256</v>
      </c>
      <c r="M398" s="70">
        <f>VLOOKUP(B398,'114+320'!$B$14:$AB$785,21,FALSE)</f>
        <v>2020</v>
      </c>
      <c r="N398" s="69">
        <f>VLOOKUP(B398,'114+320'!$B$15:$AB$785,5,FALSE)</f>
        <v>298</v>
      </c>
      <c r="O398" s="68">
        <f t="shared" si="81"/>
        <v>2540</v>
      </c>
      <c r="P398" s="68">
        <f>VLOOKUP(B398,'114+320'!$B$15:$AB$785,14,FALSE)</f>
        <v>-460</v>
      </c>
      <c r="Q398" s="66">
        <f>'114+320'!R399</f>
        <v>0</v>
      </c>
      <c r="R398" s="65">
        <f t="shared" ref="R398:R461" si="86">+Q398+R397</f>
        <v>280</v>
      </c>
      <c r="S398" s="70">
        <f>VLOOKUP(B398,'114+320'!$B$14:$AB$785,22,FALSE)</f>
        <v>2080</v>
      </c>
      <c r="T398" s="69">
        <f>VLOOKUP(B398,'114+320'!$B$15:$AB$785,6,FALSE)</f>
        <v>178</v>
      </c>
      <c r="U398" s="68">
        <f t="shared" si="82"/>
        <v>2660</v>
      </c>
      <c r="V398" s="77">
        <f>VLOOKUP(B398,'114+320'!$B$15:$AB$785,15,FALSE)</f>
        <v>-340</v>
      </c>
      <c r="W398" s="66">
        <f>'114+320'!S399</f>
        <v>0</v>
      </c>
      <c r="X398" s="65">
        <f t="shared" ref="X398:X461" si="87">+W398+X397</f>
        <v>220</v>
      </c>
      <c r="Y398" s="64">
        <f t="shared" ref="Y398:Y461" si="88">S398-S397</f>
        <v>0</v>
      </c>
      <c r="Z398" s="63">
        <f t="shared" ref="Z398:Z461" si="89">IF(Y398&gt;0,Y398,0)/1000</f>
        <v>0</v>
      </c>
      <c r="AA398" s="62">
        <f t="shared" ref="AA398:AA461" si="90">AA397+Z398</f>
        <v>2.3689999999999998</v>
      </c>
      <c r="AB398" s="62">
        <f t="shared" ref="AB398:AB461" si="91">(M398-$M$13-R398)/1000</f>
        <v>1.92</v>
      </c>
    </row>
    <row r="399" spans="2:28">
      <c r="B399" s="106">
        <f>'114+320'!B400</f>
        <v>45429</v>
      </c>
      <c r="C399" s="75">
        <f t="shared" si="83"/>
        <v>1</v>
      </c>
      <c r="D399" s="74">
        <f t="shared" si="84"/>
        <v>842</v>
      </c>
      <c r="E399" s="73">
        <f>VLOOKUP(B399,'114+320'!B400:AB786,3,FALSE)</f>
        <v>1998</v>
      </c>
      <c r="F399" s="69">
        <f t="shared" si="79"/>
        <v>2840</v>
      </c>
      <c r="G399" s="72">
        <f>VLOOKUP(B399,'114+320'!$B$15:$AB$785,20,FALSE)</f>
        <v>2044</v>
      </c>
      <c r="H399" s="72">
        <f>VLOOKUP(B399,'114+320'!$B$15:$AB$785,4,FALSE)</f>
        <v>276</v>
      </c>
      <c r="I399" s="68">
        <f t="shared" si="80"/>
        <v>2564</v>
      </c>
      <c r="J399" s="68">
        <f>VLOOKUP(B399,'114+320'!$B$15:$AB$785,13,FALSE)</f>
        <v>-436</v>
      </c>
      <c r="K399" s="66">
        <f>'114+320'!Q400</f>
        <v>0</v>
      </c>
      <c r="L399" s="65">
        <f t="shared" si="85"/>
        <v>256</v>
      </c>
      <c r="M399" s="70">
        <f>VLOOKUP(B399,'114+320'!$B$14:$AB$785,21,FALSE)</f>
        <v>2020</v>
      </c>
      <c r="N399" s="69">
        <f>VLOOKUP(B399,'114+320'!$B$15:$AB$785,5,FALSE)</f>
        <v>300</v>
      </c>
      <c r="O399" s="68">
        <f t="shared" si="81"/>
        <v>2540</v>
      </c>
      <c r="P399" s="68">
        <f>VLOOKUP(B399,'114+320'!$B$15:$AB$785,14,FALSE)</f>
        <v>-460</v>
      </c>
      <c r="Q399" s="66">
        <f>'114+320'!R400</f>
        <v>0</v>
      </c>
      <c r="R399" s="65">
        <f t="shared" si="86"/>
        <v>280</v>
      </c>
      <c r="S399" s="70">
        <f>VLOOKUP(B399,'114+320'!$B$14:$AB$785,22,FALSE)</f>
        <v>2080</v>
      </c>
      <c r="T399" s="69">
        <f>VLOOKUP(B399,'114+320'!$B$15:$AB$785,6,FALSE)</f>
        <v>180</v>
      </c>
      <c r="U399" s="68">
        <f t="shared" si="82"/>
        <v>2660</v>
      </c>
      <c r="V399" s="77">
        <f>VLOOKUP(B399,'114+320'!$B$15:$AB$785,15,FALSE)</f>
        <v>-340</v>
      </c>
      <c r="W399" s="66">
        <f>'114+320'!S400</f>
        <v>0</v>
      </c>
      <c r="X399" s="65">
        <f t="shared" si="87"/>
        <v>220</v>
      </c>
      <c r="Y399" s="64">
        <f t="shared" si="88"/>
        <v>0</v>
      </c>
      <c r="Z399" s="63">
        <f t="shared" si="89"/>
        <v>0</v>
      </c>
      <c r="AA399" s="62">
        <f t="shared" si="90"/>
        <v>2.3689999999999998</v>
      </c>
      <c r="AB399" s="62">
        <f t="shared" si="91"/>
        <v>1.92</v>
      </c>
    </row>
    <row r="400" spans="2:28">
      <c r="B400" s="106">
        <f>'114+320'!B401</f>
        <v>45430</v>
      </c>
      <c r="C400" s="75">
        <f t="shared" si="83"/>
        <v>1</v>
      </c>
      <c r="D400" s="74">
        <f t="shared" si="84"/>
        <v>842</v>
      </c>
      <c r="E400" s="73">
        <f>VLOOKUP(B400,'114+320'!B401:AB787,3,FALSE)</f>
        <v>2000</v>
      </c>
      <c r="F400" s="69">
        <f t="shared" si="79"/>
        <v>2842</v>
      </c>
      <c r="G400" s="72">
        <f>VLOOKUP(B400,'114+320'!$B$15:$AB$785,20,FALSE)</f>
        <v>2044</v>
      </c>
      <c r="H400" s="72">
        <f>VLOOKUP(B400,'114+320'!$B$15:$AB$785,4,FALSE)</f>
        <v>278</v>
      </c>
      <c r="I400" s="68">
        <f t="shared" si="80"/>
        <v>2564</v>
      </c>
      <c r="J400" s="68">
        <f>VLOOKUP(B400,'114+320'!$B$15:$AB$785,13,FALSE)</f>
        <v>-436</v>
      </c>
      <c r="K400" s="66">
        <f>'114+320'!Q401</f>
        <v>0</v>
      </c>
      <c r="L400" s="65">
        <f t="shared" si="85"/>
        <v>256</v>
      </c>
      <c r="M400" s="70">
        <f>VLOOKUP(B400,'114+320'!$B$14:$AB$785,21,FALSE)</f>
        <v>2020</v>
      </c>
      <c r="N400" s="69">
        <f>VLOOKUP(B400,'114+320'!$B$15:$AB$785,5,FALSE)</f>
        <v>302</v>
      </c>
      <c r="O400" s="68">
        <f t="shared" si="81"/>
        <v>2540</v>
      </c>
      <c r="P400" s="68">
        <f>VLOOKUP(B400,'114+320'!$B$15:$AB$785,14,FALSE)</f>
        <v>-460</v>
      </c>
      <c r="Q400" s="66">
        <f>'114+320'!R401</f>
        <v>0</v>
      </c>
      <c r="R400" s="65">
        <f t="shared" si="86"/>
        <v>280</v>
      </c>
      <c r="S400" s="70">
        <f>VLOOKUP(B400,'114+320'!$B$14:$AB$785,22,FALSE)</f>
        <v>2080</v>
      </c>
      <c r="T400" s="69">
        <f>VLOOKUP(B400,'114+320'!$B$15:$AB$785,6,FALSE)</f>
        <v>182</v>
      </c>
      <c r="U400" s="68">
        <f t="shared" si="82"/>
        <v>2660</v>
      </c>
      <c r="V400" s="77">
        <f>VLOOKUP(B400,'114+320'!$B$15:$AB$785,15,FALSE)</f>
        <v>-340</v>
      </c>
      <c r="W400" s="66">
        <f>'114+320'!S401</f>
        <v>0</v>
      </c>
      <c r="X400" s="65">
        <f t="shared" si="87"/>
        <v>220</v>
      </c>
      <c r="Y400" s="64">
        <f t="shared" si="88"/>
        <v>0</v>
      </c>
      <c r="Z400" s="63">
        <f t="shared" si="89"/>
        <v>0</v>
      </c>
      <c r="AA400" s="62">
        <f t="shared" si="90"/>
        <v>2.3689999999999998</v>
      </c>
      <c r="AB400" s="62">
        <f t="shared" si="91"/>
        <v>1.92</v>
      </c>
    </row>
    <row r="401" spans="2:28">
      <c r="B401" s="106">
        <f>'114+320'!B402</f>
        <v>45431</v>
      </c>
      <c r="C401" s="75">
        <f t="shared" si="83"/>
        <v>1</v>
      </c>
      <c r="D401" s="74">
        <f t="shared" si="84"/>
        <v>842</v>
      </c>
      <c r="E401" s="73">
        <f>VLOOKUP(B401,'114+320'!B402:AB788,3,FALSE)</f>
        <v>2002</v>
      </c>
      <c r="F401" s="69">
        <f t="shared" si="79"/>
        <v>2844</v>
      </c>
      <c r="G401" s="72">
        <f>VLOOKUP(B401,'114+320'!$B$15:$AB$785,20,FALSE)</f>
        <v>2044</v>
      </c>
      <c r="H401" s="72">
        <f>VLOOKUP(B401,'114+320'!$B$15:$AB$785,4,FALSE)</f>
        <v>280</v>
      </c>
      <c r="I401" s="68">
        <f t="shared" si="80"/>
        <v>2564</v>
      </c>
      <c r="J401" s="68">
        <f>VLOOKUP(B401,'114+320'!$B$15:$AB$785,13,FALSE)</f>
        <v>-436</v>
      </c>
      <c r="K401" s="66">
        <f>'114+320'!Q402</f>
        <v>0</v>
      </c>
      <c r="L401" s="65">
        <f t="shared" si="85"/>
        <v>256</v>
      </c>
      <c r="M401" s="70">
        <f>VLOOKUP(B401,'114+320'!$B$14:$AB$785,21,FALSE)</f>
        <v>2020</v>
      </c>
      <c r="N401" s="69">
        <f>VLOOKUP(B401,'114+320'!$B$15:$AB$785,5,FALSE)</f>
        <v>304</v>
      </c>
      <c r="O401" s="68">
        <f t="shared" si="81"/>
        <v>2540</v>
      </c>
      <c r="P401" s="68">
        <f>VLOOKUP(B401,'114+320'!$B$15:$AB$785,14,FALSE)</f>
        <v>-460</v>
      </c>
      <c r="Q401" s="66">
        <f>'114+320'!R402</f>
        <v>0</v>
      </c>
      <c r="R401" s="65">
        <f t="shared" si="86"/>
        <v>280</v>
      </c>
      <c r="S401" s="70">
        <f>VLOOKUP(B401,'114+320'!$B$14:$AB$785,22,FALSE)</f>
        <v>2080</v>
      </c>
      <c r="T401" s="69">
        <f>VLOOKUP(B401,'114+320'!$B$15:$AB$785,6,FALSE)</f>
        <v>184</v>
      </c>
      <c r="U401" s="68">
        <f t="shared" si="82"/>
        <v>2660</v>
      </c>
      <c r="V401" s="77">
        <f>VLOOKUP(B401,'114+320'!$B$15:$AB$785,15,FALSE)</f>
        <v>-340</v>
      </c>
      <c r="W401" s="66">
        <f>'114+320'!S402</f>
        <v>0</v>
      </c>
      <c r="X401" s="65">
        <f t="shared" si="87"/>
        <v>220</v>
      </c>
      <c r="Y401" s="64">
        <f t="shared" si="88"/>
        <v>0</v>
      </c>
      <c r="Z401" s="63">
        <f t="shared" si="89"/>
        <v>0</v>
      </c>
      <c r="AA401" s="62">
        <f t="shared" si="90"/>
        <v>2.3689999999999998</v>
      </c>
      <c r="AB401" s="62">
        <f t="shared" si="91"/>
        <v>1.92</v>
      </c>
    </row>
    <row r="402" spans="2:28">
      <c r="B402" s="106">
        <f>'114+320'!B403</f>
        <v>45432</v>
      </c>
      <c r="C402" s="75">
        <f t="shared" si="83"/>
        <v>1</v>
      </c>
      <c r="D402" s="74">
        <f t="shared" si="84"/>
        <v>842</v>
      </c>
      <c r="E402" s="73">
        <f>VLOOKUP(B402,'114+320'!B403:AB789,3,FALSE)</f>
        <v>2004</v>
      </c>
      <c r="F402" s="69">
        <f t="shared" si="79"/>
        <v>2846</v>
      </c>
      <c r="G402" s="72">
        <f>VLOOKUP(B402,'114+320'!$B$15:$AB$785,20,FALSE)</f>
        <v>2044</v>
      </c>
      <c r="H402" s="72">
        <f>VLOOKUP(B402,'114+320'!$B$15:$AB$785,4,FALSE)</f>
        <v>282</v>
      </c>
      <c r="I402" s="68">
        <f t="shared" si="80"/>
        <v>2564</v>
      </c>
      <c r="J402" s="68">
        <f>VLOOKUP(B402,'114+320'!$B$15:$AB$785,13,FALSE)</f>
        <v>-436</v>
      </c>
      <c r="K402" s="66">
        <f>'114+320'!Q403</f>
        <v>0</v>
      </c>
      <c r="L402" s="65">
        <f t="shared" si="85"/>
        <v>256</v>
      </c>
      <c r="M402" s="70">
        <f>VLOOKUP(B402,'114+320'!$B$14:$AB$785,21,FALSE)</f>
        <v>2020</v>
      </c>
      <c r="N402" s="69">
        <f>VLOOKUP(B402,'114+320'!$B$15:$AB$785,5,FALSE)</f>
        <v>306</v>
      </c>
      <c r="O402" s="68">
        <f t="shared" si="81"/>
        <v>2540</v>
      </c>
      <c r="P402" s="68">
        <f>VLOOKUP(B402,'114+320'!$B$15:$AB$785,14,FALSE)</f>
        <v>-460</v>
      </c>
      <c r="Q402" s="66">
        <f>'114+320'!R403</f>
        <v>0</v>
      </c>
      <c r="R402" s="65">
        <f t="shared" si="86"/>
        <v>280</v>
      </c>
      <c r="S402" s="70">
        <f>VLOOKUP(B402,'114+320'!$B$14:$AB$785,22,FALSE)</f>
        <v>2080</v>
      </c>
      <c r="T402" s="69">
        <f>VLOOKUP(B402,'114+320'!$B$15:$AB$785,6,FALSE)</f>
        <v>186</v>
      </c>
      <c r="U402" s="68">
        <f t="shared" si="82"/>
        <v>2660</v>
      </c>
      <c r="V402" s="77">
        <f>VLOOKUP(B402,'114+320'!$B$15:$AB$785,15,FALSE)</f>
        <v>-340</v>
      </c>
      <c r="W402" s="66">
        <f>'114+320'!S403</f>
        <v>0</v>
      </c>
      <c r="X402" s="65">
        <f t="shared" si="87"/>
        <v>220</v>
      </c>
      <c r="Y402" s="64">
        <f t="shared" si="88"/>
        <v>0</v>
      </c>
      <c r="Z402" s="63">
        <f t="shared" si="89"/>
        <v>0</v>
      </c>
      <c r="AA402" s="62">
        <f t="shared" si="90"/>
        <v>2.3689999999999998</v>
      </c>
      <c r="AB402" s="62">
        <f t="shared" si="91"/>
        <v>1.92</v>
      </c>
    </row>
    <row r="403" spans="2:28">
      <c r="B403" s="106">
        <f>'114+320'!B404</f>
        <v>45433</v>
      </c>
      <c r="C403" s="75">
        <f t="shared" si="83"/>
        <v>1</v>
      </c>
      <c r="D403" s="74">
        <f t="shared" si="84"/>
        <v>842</v>
      </c>
      <c r="E403" s="73">
        <f>VLOOKUP(B403,'114+320'!B404:AB790,3,FALSE)</f>
        <v>2006</v>
      </c>
      <c r="F403" s="69">
        <f t="shared" si="79"/>
        <v>2848</v>
      </c>
      <c r="G403" s="72">
        <f>VLOOKUP(B403,'114+320'!$B$15:$AB$785,20,FALSE)</f>
        <v>2044</v>
      </c>
      <c r="H403" s="72">
        <f>VLOOKUP(B403,'114+320'!$B$15:$AB$785,4,FALSE)</f>
        <v>284</v>
      </c>
      <c r="I403" s="68">
        <f t="shared" si="80"/>
        <v>2564</v>
      </c>
      <c r="J403" s="68">
        <f>VLOOKUP(B403,'114+320'!$B$15:$AB$785,13,FALSE)</f>
        <v>-436</v>
      </c>
      <c r="K403" s="66">
        <f>'114+320'!Q404</f>
        <v>0</v>
      </c>
      <c r="L403" s="65">
        <f t="shared" si="85"/>
        <v>256</v>
      </c>
      <c r="M403" s="70">
        <f>VLOOKUP(B403,'114+320'!$B$14:$AB$785,21,FALSE)</f>
        <v>2020</v>
      </c>
      <c r="N403" s="69">
        <f>VLOOKUP(B403,'114+320'!$B$15:$AB$785,5,FALSE)</f>
        <v>308</v>
      </c>
      <c r="O403" s="68">
        <f t="shared" si="81"/>
        <v>2540</v>
      </c>
      <c r="P403" s="68">
        <f>VLOOKUP(B403,'114+320'!$B$15:$AB$785,14,FALSE)</f>
        <v>-460</v>
      </c>
      <c r="Q403" s="66">
        <f>'114+320'!R404</f>
        <v>0</v>
      </c>
      <c r="R403" s="65">
        <f t="shared" si="86"/>
        <v>280</v>
      </c>
      <c r="S403" s="70">
        <f>VLOOKUP(B403,'114+320'!$B$14:$AB$785,22,FALSE)</f>
        <v>2080</v>
      </c>
      <c r="T403" s="69">
        <f>VLOOKUP(B403,'114+320'!$B$15:$AB$785,6,FALSE)</f>
        <v>188</v>
      </c>
      <c r="U403" s="68">
        <f t="shared" si="82"/>
        <v>2660</v>
      </c>
      <c r="V403" s="77">
        <f>VLOOKUP(B403,'114+320'!$B$15:$AB$785,15,FALSE)</f>
        <v>-340</v>
      </c>
      <c r="W403" s="66">
        <f>'114+320'!S404</f>
        <v>0</v>
      </c>
      <c r="X403" s="65">
        <f t="shared" si="87"/>
        <v>220</v>
      </c>
      <c r="Y403" s="64">
        <f t="shared" si="88"/>
        <v>0</v>
      </c>
      <c r="Z403" s="63">
        <f t="shared" si="89"/>
        <v>0</v>
      </c>
      <c r="AA403" s="62">
        <f t="shared" si="90"/>
        <v>2.3689999999999998</v>
      </c>
      <c r="AB403" s="62">
        <f t="shared" si="91"/>
        <v>1.92</v>
      </c>
    </row>
    <row r="404" spans="2:28">
      <c r="B404" s="106">
        <f>'114+320'!B405</f>
        <v>45434</v>
      </c>
      <c r="C404" s="75">
        <f t="shared" si="83"/>
        <v>1</v>
      </c>
      <c r="D404" s="74">
        <f t="shared" si="84"/>
        <v>842</v>
      </c>
      <c r="E404" s="73">
        <f>VLOOKUP(B404,'114+320'!B405:AB791,3,FALSE)</f>
        <v>2008</v>
      </c>
      <c r="F404" s="69">
        <f t="shared" si="79"/>
        <v>2850</v>
      </c>
      <c r="G404" s="72">
        <f>VLOOKUP(B404,'114+320'!$B$15:$AB$785,20,FALSE)</f>
        <v>2044</v>
      </c>
      <c r="H404" s="72">
        <f>VLOOKUP(B404,'114+320'!$B$15:$AB$785,4,FALSE)</f>
        <v>286</v>
      </c>
      <c r="I404" s="68">
        <f t="shared" si="80"/>
        <v>2564</v>
      </c>
      <c r="J404" s="68">
        <f>VLOOKUP(B404,'114+320'!$B$15:$AB$785,13,FALSE)</f>
        <v>-436</v>
      </c>
      <c r="K404" s="66">
        <f>'114+320'!Q405</f>
        <v>0</v>
      </c>
      <c r="L404" s="65">
        <f t="shared" si="85"/>
        <v>256</v>
      </c>
      <c r="M404" s="70">
        <f>VLOOKUP(B404,'114+320'!$B$14:$AB$785,21,FALSE)</f>
        <v>2020</v>
      </c>
      <c r="N404" s="69">
        <f>VLOOKUP(B404,'114+320'!$B$15:$AB$785,5,FALSE)</f>
        <v>310</v>
      </c>
      <c r="O404" s="68">
        <f t="shared" si="81"/>
        <v>2540</v>
      </c>
      <c r="P404" s="68">
        <f>VLOOKUP(B404,'114+320'!$B$15:$AB$785,14,FALSE)</f>
        <v>-460</v>
      </c>
      <c r="Q404" s="66">
        <f>'114+320'!R405</f>
        <v>0</v>
      </c>
      <c r="R404" s="65">
        <f t="shared" si="86"/>
        <v>280</v>
      </c>
      <c r="S404" s="70">
        <f>VLOOKUP(B404,'114+320'!$B$14:$AB$785,22,FALSE)</f>
        <v>2080</v>
      </c>
      <c r="T404" s="69">
        <f>VLOOKUP(B404,'114+320'!$B$15:$AB$785,6,FALSE)</f>
        <v>190</v>
      </c>
      <c r="U404" s="68">
        <f t="shared" si="82"/>
        <v>2660</v>
      </c>
      <c r="V404" s="77">
        <f>VLOOKUP(B404,'114+320'!$B$15:$AB$785,15,FALSE)</f>
        <v>-340</v>
      </c>
      <c r="W404" s="66">
        <f>'114+320'!S405</f>
        <v>0</v>
      </c>
      <c r="X404" s="65">
        <f t="shared" si="87"/>
        <v>220</v>
      </c>
      <c r="Y404" s="64">
        <f t="shared" si="88"/>
        <v>0</v>
      </c>
      <c r="Z404" s="63">
        <f t="shared" si="89"/>
        <v>0</v>
      </c>
      <c r="AA404" s="62">
        <f t="shared" si="90"/>
        <v>2.3689999999999998</v>
      </c>
      <c r="AB404" s="62">
        <f t="shared" si="91"/>
        <v>1.92</v>
      </c>
    </row>
    <row r="405" spans="2:28">
      <c r="B405" s="106">
        <f>'114+320'!B406</f>
        <v>45435</v>
      </c>
      <c r="C405" s="75">
        <f t="shared" si="83"/>
        <v>1</v>
      </c>
      <c r="D405" s="74">
        <f t="shared" si="84"/>
        <v>842</v>
      </c>
      <c r="E405" s="73">
        <f>VLOOKUP(B405,'114+320'!B406:AB792,3,FALSE)</f>
        <v>2010</v>
      </c>
      <c r="F405" s="69">
        <f t="shared" si="79"/>
        <v>2852</v>
      </c>
      <c r="G405" s="72">
        <f>VLOOKUP(B405,'114+320'!$B$15:$AB$785,20,FALSE)</f>
        <v>2044</v>
      </c>
      <c r="H405" s="72">
        <f>VLOOKUP(B405,'114+320'!$B$15:$AB$785,4,FALSE)</f>
        <v>288</v>
      </c>
      <c r="I405" s="68">
        <f t="shared" si="80"/>
        <v>2564</v>
      </c>
      <c r="J405" s="68">
        <f>VLOOKUP(B405,'114+320'!$B$15:$AB$785,13,FALSE)</f>
        <v>-436</v>
      </c>
      <c r="K405" s="66">
        <f>'114+320'!Q406</f>
        <v>0</v>
      </c>
      <c r="L405" s="65">
        <f t="shared" si="85"/>
        <v>256</v>
      </c>
      <c r="M405" s="70">
        <f>VLOOKUP(B405,'114+320'!$B$14:$AB$785,21,FALSE)</f>
        <v>2020</v>
      </c>
      <c r="N405" s="69">
        <f>VLOOKUP(B405,'114+320'!$B$15:$AB$785,5,FALSE)</f>
        <v>312</v>
      </c>
      <c r="O405" s="68">
        <f t="shared" si="81"/>
        <v>2540</v>
      </c>
      <c r="P405" s="68">
        <f>VLOOKUP(B405,'114+320'!$B$15:$AB$785,14,FALSE)</f>
        <v>-460</v>
      </c>
      <c r="Q405" s="66">
        <f>'114+320'!R406</f>
        <v>0</v>
      </c>
      <c r="R405" s="65">
        <f t="shared" si="86"/>
        <v>280</v>
      </c>
      <c r="S405" s="70">
        <f>VLOOKUP(B405,'114+320'!$B$14:$AB$785,22,FALSE)</f>
        <v>2080</v>
      </c>
      <c r="T405" s="69">
        <f>VLOOKUP(B405,'114+320'!$B$15:$AB$785,6,FALSE)</f>
        <v>192</v>
      </c>
      <c r="U405" s="68">
        <f t="shared" si="82"/>
        <v>2660</v>
      </c>
      <c r="V405" s="77">
        <f>VLOOKUP(B405,'114+320'!$B$15:$AB$785,15,FALSE)</f>
        <v>-340</v>
      </c>
      <c r="W405" s="66">
        <f>'114+320'!S406</f>
        <v>0</v>
      </c>
      <c r="X405" s="65">
        <f t="shared" si="87"/>
        <v>220</v>
      </c>
      <c r="Y405" s="64">
        <f t="shared" si="88"/>
        <v>0</v>
      </c>
      <c r="Z405" s="63">
        <f t="shared" si="89"/>
        <v>0</v>
      </c>
      <c r="AA405" s="62">
        <f t="shared" si="90"/>
        <v>2.3689999999999998</v>
      </c>
      <c r="AB405" s="62">
        <f t="shared" si="91"/>
        <v>1.92</v>
      </c>
    </row>
    <row r="406" spans="2:28">
      <c r="B406" s="106">
        <f>'114+320'!B407</f>
        <v>45436</v>
      </c>
      <c r="C406" s="75">
        <f t="shared" si="83"/>
        <v>1</v>
      </c>
      <c r="D406" s="74">
        <f t="shared" si="84"/>
        <v>842</v>
      </c>
      <c r="E406" s="73">
        <f>VLOOKUP(B406,'114+320'!B407:AB793,3,FALSE)</f>
        <v>2012</v>
      </c>
      <c r="F406" s="69">
        <f t="shared" si="79"/>
        <v>2854</v>
      </c>
      <c r="G406" s="72">
        <f>VLOOKUP(B406,'114+320'!$B$15:$AB$785,20,FALSE)</f>
        <v>2044</v>
      </c>
      <c r="H406" s="72">
        <f>VLOOKUP(B406,'114+320'!$B$15:$AB$785,4,FALSE)</f>
        <v>290</v>
      </c>
      <c r="I406" s="68">
        <f t="shared" si="80"/>
        <v>2564</v>
      </c>
      <c r="J406" s="68">
        <f>VLOOKUP(B406,'114+320'!$B$15:$AB$785,13,FALSE)</f>
        <v>-436</v>
      </c>
      <c r="K406" s="66">
        <f>'114+320'!Q407</f>
        <v>0</v>
      </c>
      <c r="L406" s="65">
        <f t="shared" si="85"/>
        <v>256</v>
      </c>
      <c r="M406" s="70">
        <f>VLOOKUP(B406,'114+320'!$B$14:$AB$785,21,FALSE)</f>
        <v>2020</v>
      </c>
      <c r="N406" s="69">
        <f>VLOOKUP(B406,'114+320'!$B$15:$AB$785,5,FALSE)</f>
        <v>314</v>
      </c>
      <c r="O406" s="68">
        <f t="shared" si="81"/>
        <v>2540</v>
      </c>
      <c r="P406" s="68">
        <f>VLOOKUP(B406,'114+320'!$B$15:$AB$785,14,FALSE)</f>
        <v>-460</v>
      </c>
      <c r="Q406" s="66">
        <f>'114+320'!R407</f>
        <v>0</v>
      </c>
      <c r="R406" s="65">
        <f t="shared" si="86"/>
        <v>280</v>
      </c>
      <c r="S406" s="70">
        <f>VLOOKUP(B406,'114+320'!$B$14:$AB$785,22,FALSE)</f>
        <v>2080</v>
      </c>
      <c r="T406" s="69">
        <f>VLOOKUP(B406,'114+320'!$B$15:$AB$785,6,FALSE)</f>
        <v>194</v>
      </c>
      <c r="U406" s="68">
        <f t="shared" si="82"/>
        <v>2660</v>
      </c>
      <c r="V406" s="77">
        <f>VLOOKUP(B406,'114+320'!$B$15:$AB$785,15,FALSE)</f>
        <v>-340</v>
      </c>
      <c r="W406" s="66">
        <f>'114+320'!S407</f>
        <v>0</v>
      </c>
      <c r="X406" s="65">
        <f t="shared" si="87"/>
        <v>220</v>
      </c>
      <c r="Y406" s="64">
        <f t="shared" si="88"/>
        <v>0</v>
      </c>
      <c r="Z406" s="63">
        <f t="shared" si="89"/>
        <v>0</v>
      </c>
      <c r="AA406" s="62">
        <f t="shared" si="90"/>
        <v>2.3689999999999998</v>
      </c>
      <c r="AB406" s="62">
        <f t="shared" si="91"/>
        <v>1.92</v>
      </c>
    </row>
    <row r="407" spans="2:28">
      <c r="B407" s="106">
        <f>'114+320'!B408</f>
        <v>45437</v>
      </c>
      <c r="C407" s="75">
        <f t="shared" si="83"/>
        <v>1</v>
      </c>
      <c r="D407" s="74">
        <f t="shared" si="84"/>
        <v>842</v>
      </c>
      <c r="E407" s="73">
        <f>VLOOKUP(B407,'114+320'!B408:AB794,3,FALSE)</f>
        <v>2014</v>
      </c>
      <c r="F407" s="69">
        <f t="shared" si="79"/>
        <v>2856</v>
      </c>
      <c r="G407" s="72">
        <f>VLOOKUP(B407,'114+320'!$B$15:$AB$785,20,FALSE)</f>
        <v>2044</v>
      </c>
      <c r="H407" s="72">
        <f>VLOOKUP(B407,'114+320'!$B$15:$AB$785,4,FALSE)</f>
        <v>292</v>
      </c>
      <c r="I407" s="68">
        <f t="shared" si="80"/>
        <v>2564</v>
      </c>
      <c r="J407" s="68">
        <f>VLOOKUP(B407,'114+320'!$B$15:$AB$785,13,FALSE)</f>
        <v>-436</v>
      </c>
      <c r="K407" s="66">
        <f>'114+320'!Q408</f>
        <v>0</v>
      </c>
      <c r="L407" s="65">
        <f t="shared" si="85"/>
        <v>256</v>
      </c>
      <c r="M407" s="70">
        <f>VLOOKUP(B407,'114+320'!$B$14:$AB$785,21,FALSE)</f>
        <v>2020</v>
      </c>
      <c r="N407" s="69">
        <f>VLOOKUP(B407,'114+320'!$B$15:$AB$785,5,FALSE)</f>
        <v>316</v>
      </c>
      <c r="O407" s="68">
        <f t="shared" si="81"/>
        <v>2540</v>
      </c>
      <c r="P407" s="68">
        <f>VLOOKUP(B407,'114+320'!$B$15:$AB$785,14,FALSE)</f>
        <v>-460</v>
      </c>
      <c r="Q407" s="66">
        <f>'114+320'!R408</f>
        <v>0</v>
      </c>
      <c r="R407" s="65">
        <f t="shared" si="86"/>
        <v>280</v>
      </c>
      <c r="S407" s="70">
        <f>VLOOKUP(B407,'114+320'!$B$14:$AB$785,22,FALSE)</f>
        <v>2080</v>
      </c>
      <c r="T407" s="69">
        <f>VLOOKUP(B407,'114+320'!$B$15:$AB$785,6,FALSE)</f>
        <v>196</v>
      </c>
      <c r="U407" s="68">
        <f t="shared" si="82"/>
        <v>2660</v>
      </c>
      <c r="V407" s="77">
        <f>VLOOKUP(B407,'114+320'!$B$15:$AB$785,15,FALSE)</f>
        <v>-340</v>
      </c>
      <c r="W407" s="66">
        <f>'114+320'!S408</f>
        <v>0</v>
      </c>
      <c r="X407" s="65">
        <f t="shared" si="87"/>
        <v>220</v>
      </c>
      <c r="Y407" s="64">
        <f t="shared" si="88"/>
        <v>0</v>
      </c>
      <c r="Z407" s="63">
        <f t="shared" si="89"/>
        <v>0</v>
      </c>
      <c r="AA407" s="62">
        <f t="shared" si="90"/>
        <v>2.3689999999999998</v>
      </c>
      <c r="AB407" s="62">
        <f t="shared" si="91"/>
        <v>1.92</v>
      </c>
    </row>
    <row r="408" spans="2:28">
      <c r="B408" s="106">
        <f>'114+320'!B409</f>
        <v>45438</v>
      </c>
      <c r="C408" s="75">
        <f t="shared" si="83"/>
        <v>1</v>
      </c>
      <c r="D408" s="74">
        <f t="shared" si="84"/>
        <v>842</v>
      </c>
      <c r="E408" s="73">
        <f>VLOOKUP(B408,'114+320'!B409:AB795,3,FALSE)</f>
        <v>2016</v>
      </c>
      <c r="F408" s="69">
        <f t="shared" si="79"/>
        <v>2858</v>
      </c>
      <c r="G408" s="72">
        <f>VLOOKUP(B408,'114+320'!$B$15:$AB$785,20,FALSE)</f>
        <v>2044</v>
      </c>
      <c r="H408" s="72">
        <f>VLOOKUP(B408,'114+320'!$B$15:$AB$785,4,FALSE)</f>
        <v>294</v>
      </c>
      <c r="I408" s="68">
        <f t="shared" si="80"/>
        <v>2564</v>
      </c>
      <c r="J408" s="68">
        <f>VLOOKUP(B408,'114+320'!$B$15:$AB$785,13,FALSE)</f>
        <v>-436</v>
      </c>
      <c r="K408" s="66">
        <f>'114+320'!Q409</f>
        <v>0</v>
      </c>
      <c r="L408" s="65">
        <f t="shared" si="85"/>
        <v>256</v>
      </c>
      <c r="M408" s="70">
        <f>VLOOKUP(B408,'114+320'!$B$14:$AB$785,21,FALSE)</f>
        <v>2020</v>
      </c>
      <c r="N408" s="69">
        <f>VLOOKUP(B408,'114+320'!$B$15:$AB$785,5,FALSE)</f>
        <v>318</v>
      </c>
      <c r="O408" s="68">
        <f t="shared" si="81"/>
        <v>2540</v>
      </c>
      <c r="P408" s="68">
        <f>VLOOKUP(B408,'114+320'!$B$15:$AB$785,14,FALSE)</f>
        <v>-460</v>
      </c>
      <c r="Q408" s="66">
        <f>'114+320'!R409</f>
        <v>0</v>
      </c>
      <c r="R408" s="65">
        <f t="shared" si="86"/>
        <v>280</v>
      </c>
      <c r="S408" s="70">
        <f>VLOOKUP(B408,'114+320'!$B$14:$AB$785,22,FALSE)</f>
        <v>2080</v>
      </c>
      <c r="T408" s="69">
        <f>VLOOKUP(B408,'114+320'!$B$15:$AB$785,6,FALSE)</f>
        <v>198</v>
      </c>
      <c r="U408" s="68">
        <f t="shared" si="82"/>
        <v>2660</v>
      </c>
      <c r="V408" s="77">
        <f>VLOOKUP(B408,'114+320'!$B$15:$AB$785,15,FALSE)</f>
        <v>-340</v>
      </c>
      <c r="W408" s="66">
        <f>'114+320'!S409</f>
        <v>0</v>
      </c>
      <c r="X408" s="65">
        <f t="shared" si="87"/>
        <v>220</v>
      </c>
      <c r="Y408" s="64">
        <f t="shared" si="88"/>
        <v>0</v>
      </c>
      <c r="Z408" s="63">
        <f t="shared" si="89"/>
        <v>0</v>
      </c>
      <c r="AA408" s="62">
        <f t="shared" si="90"/>
        <v>2.3689999999999998</v>
      </c>
      <c r="AB408" s="62">
        <f t="shared" si="91"/>
        <v>1.92</v>
      </c>
    </row>
    <row r="409" spans="2:28">
      <c r="B409" s="106">
        <f>'114+320'!B410</f>
        <v>45439</v>
      </c>
      <c r="C409" s="75">
        <f t="shared" si="83"/>
        <v>1</v>
      </c>
      <c r="D409" s="74">
        <f t="shared" si="84"/>
        <v>842</v>
      </c>
      <c r="E409" s="73">
        <f>VLOOKUP(B409,'114+320'!B410:AB796,3,FALSE)</f>
        <v>2018</v>
      </c>
      <c r="F409" s="69">
        <f t="shared" si="79"/>
        <v>2860</v>
      </c>
      <c r="G409" s="72">
        <f>VLOOKUP(B409,'114+320'!$B$15:$AB$785,20,FALSE)</f>
        <v>2044</v>
      </c>
      <c r="H409" s="72">
        <f>VLOOKUP(B409,'114+320'!$B$15:$AB$785,4,FALSE)</f>
        <v>296</v>
      </c>
      <c r="I409" s="68">
        <f t="shared" si="80"/>
        <v>2564</v>
      </c>
      <c r="J409" s="68">
        <f>VLOOKUP(B409,'114+320'!$B$15:$AB$785,13,FALSE)</f>
        <v>-436</v>
      </c>
      <c r="K409" s="66">
        <f>'114+320'!Q410</f>
        <v>0</v>
      </c>
      <c r="L409" s="65">
        <f t="shared" si="85"/>
        <v>256</v>
      </c>
      <c r="M409" s="70">
        <f>VLOOKUP(B409,'114+320'!$B$14:$AB$785,21,FALSE)</f>
        <v>2020</v>
      </c>
      <c r="N409" s="69">
        <f>VLOOKUP(B409,'114+320'!$B$15:$AB$785,5,FALSE)</f>
        <v>320</v>
      </c>
      <c r="O409" s="68">
        <f t="shared" si="81"/>
        <v>2540</v>
      </c>
      <c r="P409" s="68">
        <f>VLOOKUP(B409,'114+320'!$B$15:$AB$785,14,FALSE)</f>
        <v>-460</v>
      </c>
      <c r="Q409" s="66">
        <f>'114+320'!R410</f>
        <v>0</v>
      </c>
      <c r="R409" s="65">
        <f t="shared" si="86"/>
        <v>280</v>
      </c>
      <c r="S409" s="70">
        <f>VLOOKUP(B409,'114+320'!$B$14:$AB$785,22,FALSE)</f>
        <v>2080</v>
      </c>
      <c r="T409" s="69">
        <f>VLOOKUP(B409,'114+320'!$B$15:$AB$785,6,FALSE)</f>
        <v>200</v>
      </c>
      <c r="U409" s="68">
        <f t="shared" si="82"/>
        <v>2660</v>
      </c>
      <c r="V409" s="77">
        <f>VLOOKUP(B409,'114+320'!$B$15:$AB$785,15,FALSE)</f>
        <v>-340</v>
      </c>
      <c r="W409" s="66">
        <f>'114+320'!S410</f>
        <v>0</v>
      </c>
      <c r="X409" s="65">
        <f t="shared" si="87"/>
        <v>220</v>
      </c>
      <c r="Y409" s="64">
        <f t="shared" si="88"/>
        <v>0</v>
      </c>
      <c r="Z409" s="63">
        <f t="shared" si="89"/>
        <v>0</v>
      </c>
      <c r="AA409" s="62">
        <f t="shared" si="90"/>
        <v>2.3689999999999998</v>
      </c>
      <c r="AB409" s="62">
        <f t="shared" si="91"/>
        <v>1.92</v>
      </c>
    </row>
    <row r="410" spans="2:28">
      <c r="B410" s="106">
        <f>'114+320'!B411</f>
        <v>45440</v>
      </c>
      <c r="C410" s="75">
        <f t="shared" si="83"/>
        <v>1</v>
      </c>
      <c r="D410" s="74">
        <f t="shared" si="84"/>
        <v>842</v>
      </c>
      <c r="E410" s="73">
        <f>VLOOKUP(B410,'114+320'!B411:AB797,3,FALSE)</f>
        <v>2020</v>
      </c>
      <c r="F410" s="69">
        <f t="shared" si="79"/>
        <v>2862</v>
      </c>
      <c r="G410" s="72">
        <f>VLOOKUP(B410,'114+320'!$B$15:$AB$785,20,FALSE)</f>
        <v>2044</v>
      </c>
      <c r="H410" s="72">
        <f>VLOOKUP(B410,'114+320'!$B$15:$AB$785,4,FALSE)</f>
        <v>298</v>
      </c>
      <c r="I410" s="68">
        <f t="shared" si="80"/>
        <v>2564</v>
      </c>
      <c r="J410" s="68">
        <f>VLOOKUP(B410,'114+320'!$B$15:$AB$785,13,FALSE)</f>
        <v>-436</v>
      </c>
      <c r="K410" s="66">
        <f>'114+320'!Q411</f>
        <v>0</v>
      </c>
      <c r="L410" s="65">
        <f t="shared" si="85"/>
        <v>256</v>
      </c>
      <c r="M410" s="70">
        <f>VLOOKUP(B410,'114+320'!$B$14:$AB$785,21,FALSE)</f>
        <v>2020</v>
      </c>
      <c r="N410" s="69">
        <f>VLOOKUP(B410,'114+320'!$B$15:$AB$785,5,FALSE)</f>
        <v>322</v>
      </c>
      <c r="O410" s="68">
        <f t="shared" si="81"/>
        <v>2540</v>
      </c>
      <c r="P410" s="68">
        <f>VLOOKUP(B410,'114+320'!$B$15:$AB$785,14,FALSE)</f>
        <v>-460</v>
      </c>
      <c r="Q410" s="66">
        <f>'114+320'!R411</f>
        <v>0</v>
      </c>
      <c r="R410" s="65">
        <f t="shared" si="86"/>
        <v>280</v>
      </c>
      <c r="S410" s="70">
        <f>VLOOKUP(B410,'114+320'!$B$14:$AB$785,22,FALSE)</f>
        <v>2080</v>
      </c>
      <c r="T410" s="69">
        <f>VLOOKUP(B410,'114+320'!$B$15:$AB$785,6,FALSE)</f>
        <v>202</v>
      </c>
      <c r="U410" s="68">
        <f t="shared" si="82"/>
        <v>2660</v>
      </c>
      <c r="V410" s="77">
        <f>VLOOKUP(B410,'114+320'!$B$15:$AB$785,15,FALSE)</f>
        <v>-340</v>
      </c>
      <c r="W410" s="66">
        <f>'114+320'!S411</f>
        <v>0</v>
      </c>
      <c r="X410" s="65">
        <f t="shared" si="87"/>
        <v>220</v>
      </c>
      <c r="Y410" s="64">
        <f t="shared" si="88"/>
        <v>0</v>
      </c>
      <c r="Z410" s="63">
        <f t="shared" si="89"/>
        <v>0</v>
      </c>
      <c r="AA410" s="62">
        <f t="shared" si="90"/>
        <v>2.3689999999999998</v>
      </c>
      <c r="AB410" s="62">
        <f t="shared" si="91"/>
        <v>1.92</v>
      </c>
    </row>
    <row r="411" spans="2:28">
      <c r="B411" s="106">
        <f>'114+320'!B412</f>
        <v>45441</v>
      </c>
      <c r="C411" s="75">
        <f t="shared" si="83"/>
        <v>1</v>
      </c>
      <c r="D411" s="74">
        <f t="shared" si="84"/>
        <v>842</v>
      </c>
      <c r="E411" s="73">
        <f>VLOOKUP(B411,'114+320'!B412:AB798,3,FALSE)</f>
        <v>2022</v>
      </c>
      <c r="F411" s="69">
        <f t="shared" si="79"/>
        <v>2864</v>
      </c>
      <c r="G411" s="72">
        <f>VLOOKUP(B411,'114+320'!$B$15:$AB$785,20,FALSE)</f>
        <v>2044</v>
      </c>
      <c r="H411" s="72">
        <f>VLOOKUP(B411,'114+320'!$B$15:$AB$785,4,FALSE)</f>
        <v>300</v>
      </c>
      <c r="I411" s="68">
        <f t="shared" si="80"/>
        <v>2564</v>
      </c>
      <c r="J411" s="68">
        <f>VLOOKUP(B411,'114+320'!$B$15:$AB$785,13,FALSE)</f>
        <v>-436</v>
      </c>
      <c r="K411" s="66">
        <f>'114+320'!Q412</f>
        <v>0</v>
      </c>
      <c r="L411" s="65">
        <f t="shared" si="85"/>
        <v>256</v>
      </c>
      <c r="M411" s="70">
        <f>VLOOKUP(B411,'114+320'!$B$14:$AB$785,21,FALSE)</f>
        <v>2020</v>
      </c>
      <c r="N411" s="69">
        <f>VLOOKUP(B411,'114+320'!$B$15:$AB$785,5,FALSE)</f>
        <v>324</v>
      </c>
      <c r="O411" s="68">
        <f t="shared" si="81"/>
        <v>2540</v>
      </c>
      <c r="P411" s="68">
        <f>VLOOKUP(B411,'114+320'!$B$15:$AB$785,14,FALSE)</f>
        <v>-460</v>
      </c>
      <c r="Q411" s="66">
        <f>'114+320'!R412</f>
        <v>0</v>
      </c>
      <c r="R411" s="65">
        <f t="shared" si="86"/>
        <v>280</v>
      </c>
      <c r="S411" s="70">
        <f>VLOOKUP(B411,'114+320'!$B$14:$AB$785,22,FALSE)</f>
        <v>2080</v>
      </c>
      <c r="T411" s="69">
        <f>VLOOKUP(B411,'114+320'!$B$15:$AB$785,6,FALSE)</f>
        <v>204</v>
      </c>
      <c r="U411" s="68">
        <f t="shared" si="82"/>
        <v>2660</v>
      </c>
      <c r="V411" s="77">
        <f>VLOOKUP(B411,'114+320'!$B$15:$AB$785,15,FALSE)</f>
        <v>-340</v>
      </c>
      <c r="W411" s="66">
        <f>'114+320'!S412</f>
        <v>0</v>
      </c>
      <c r="X411" s="65">
        <f t="shared" si="87"/>
        <v>220</v>
      </c>
      <c r="Y411" s="64">
        <f t="shared" si="88"/>
        <v>0</v>
      </c>
      <c r="Z411" s="63">
        <f t="shared" si="89"/>
        <v>0</v>
      </c>
      <c r="AA411" s="62">
        <f t="shared" si="90"/>
        <v>2.3689999999999998</v>
      </c>
      <c r="AB411" s="62">
        <f t="shared" si="91"/>
        <v>1.92</v>
      </c>
    </row>
    <row r="412" spans="2:28">
      <c r="B412" s="106">
        <f>'114+320'!B413</f>
        <v>45442</v>
      </c>
      <c r="C412" s="75">
        <f t="shared" si="83"/>
        <v>1</v>
      </c>
      <c r="D412" s="74">
        <f t="shared" si="84"/>
        <v>842</v>
      </c>
      <c r="E412" s="73">
        <f>VLOOKUP(B412,'114+320'!B413:AB799,3,FALSE)</f>
        <v>2024</v>
      </c>
      <c r="F412" s="69">
        <f t="shared" si="79"/>
        <v>2866</v>
      </c>
      <c r="G412" s="72">
        <f>VLOOKUP(B412,'114+320'!$B$15:$AB$785,20,FALSE)</f>
        <v>2044</v>
      </c>
      <c r="H412" s="72">
        <f>VLOOKUP(B412,'114+320'!$B$15:$AB$785,4,FALSE)</f>
        <v>302</v>
      </c>
      <c r="I412" s="68">
        <f t="shared" si="80"/>
        <v>2564</v>
      </c>
      <c r="J412" s="68">
        <f>VLOOKUP(B412,'114+320'!$B$15:$AB$785,13,FALSE)</f>
        <v>-436</v>
      </c>
      <c r="K412" s="66">
        <f>'114+320'!Q413</f>
        <v>0</v>
      </c>
      <c r="L412" s="65">
        <f t="shared" si="85"/>
        <v>256</v>
      </c>
      <c r="M412" s="70">
        <f>VLOOKUP(B412,'114+320'!$B$14:$AB$785,21,FALSE)</f>
        <v>2020</v>
      </c>
      <c r="N412" s="69">
        <f>VLOOKUP(B412,'114+320'!$B$15:$AB$785,5,FALSE)</f>
        <v>326</v>
      </c>
      <c r="O412" s="68">
        <f t="shared" si="81"/>
        <v>2540</v>
      </c>
      <c r="P412" s="68">
        <f>VLOOKUP(B412,'114+320'!$B$15:$AB$785,14,FALSE)</f>
        <v>-460</v>
      </c>
      <c r="Q412" s="66">
        <f>'114+320'!R413</f>
        <v>0</v>
      </c>
      <c r="R412" s="65">
        <f t="shared" si="86"/>
        <v>280</v>
      </c>
      <c r="S412" s="70">
        <f>VLOOKUP(B412,'114+320'!$B$14:$AB$785,22,FALSE)</f>
        <v>2080</v>
      </c>
      <c r="T412" s="69">
        <f>VLOOKUP(B412,'114+320'!$B$15:$AB$785,6,FALSE)</f>
        <v>206</v>
      </c>
      <c r="U412" s="68">
        <f t="shared" si="82"/>
        <v>2660</v>
      </c>
      <c r="V412" s="77">
        <f>VLOOKUP(B412,'114+320'!$B$15:$AB$785,15,FALSE)</f>
        <v>-340</v>
      </c>
      <c r="W412" s="66">
        <f>'114+320'!S413</f>
        <v>0</v>
      </c>
      <c r="X412" s="65">
        <f t="shared" si="87"/>
        <v>220</v>
      </c>
      <c r="Y412" s="64">
        <f t="shared" si="88"/>
        <v>0</v>
      </c>
      <c r="Z412" s="63">
        <f t="shared" si="89"/>
        <v>0</v>
      </c>
      <c r="AA412" s="62">
        <f t="shared" si="90"/>
        <v>2.3689999999999998</v>
      </c>
      <c r="AB412" s="62">
        <f t="shared" si="91"/>
        <v>1.92</v>
      </c>
    </row>
    <row r="413" spans="2:28">
      <c r="B413" s="106">
        <f>'114+320'!B414</f>
        <v>45443</v>
      </c>
      <c r="C413" s="75">
        <f t="shared" si="83"/>
        <v>1</v>
      </c>
      <c r="D413" s="74">
        <f t="shared" si="84"/>
        <v>842</v>
      </c>
      <c r="E413" s="73">
        <f>VLOOKUP(B413,'114+320'!B414:AB800,3,FALSE)</f>
        <v>2026</v>
      </c>
      <c r="F413" s="69">
        <f t="shared" si="79"/>
        <v>2868</v>
      </c>
      <c r="G413" s="72">
        <f>VLOOKUP(B413,'114+320'!$B$15:$AB$785,20,FALSE)</f>
        <v>2044</v>
      </c>
      <c r="H413" s="72">
        <f>VLOOKUP(B413,'114+320'!$B$15:$AB$785,4,FALSE)</f>
        <v>304</v>
      </c>
      <c r="I413" s="68">
        <f t="shared" si="80"/>
        <v>2564</v>
      </c>
      <c r="J413" s="68">
        <f>VLOOKUP(B413,'114+320'!$B$15:$AB$785,13,FALSE)</f>
        <v>-436</v>
      </c>
      <c r="K413" s="66">
        <f>'114+320'!Q414</f>
        <v>0</v>
      </c>
      <c r="L413" s="65">
        <f t="shared" si="85"/>
        <v>256</v>
      </c>
      <c r="M413" s="70">
        <f>VLOOKUP(B413,'114+320'!$B$14:$AB$785,21,FALSE)</f>
        <v>2020</v>
      </c>
      <c r="N413" s="69">
        <f>VLOOKUP(B413,'114+320'!$B$15:$AB$785,5,FALSE)</f>
        <v>328</v>
      </c>
      <c r="O413" s="68">
        <f t="shared" si="81"/>
        <v>2540</v>
      </c>
      <c r="P413" s="68">
        <f>VLOOKUP(B413,'114+320'!$B$15:$AB$785,14,FALSE)</f>
        <v>-460</v>
      </c>
      <c r="Q413" s="66">
        <f>'114+320'!R414</f>
        <v>0</v>
      </c>
      <c r="R413" s="65">
        <f t="shared" si="86"/>
        <v>280</v>
      </c>
      <c r="S413" s="70">
        <f>VLOOKUP(B413,'114+320'!$B$14:$AB$785,22,FALSE)</f>
        <v>2080</v>
      </c>
      <c r="T413" s="69">
        <f>VLOOKUP(B413,'114+320'!$B$15:$AB$785,6,FALSE)</f>
        <v>208</v>
      </c>
      <c r="U413" s="68">
        <f t="shared" si="82"/>
        <v>2660</v>
      </c>
      <c r="V413" s="77">
        <f>VLOOKUP(B413,'114+320'!$B$15:$AB$785,15,FALSE)</f>
        <v>-340</v>
      </c>
      <c r="W413" s="66">
        <f>'114+320'!S414</f>
        <v>0</v>
      </c>
      <c r="X413" s="65">
        <f t="shared" si="87"/>
        <v>220</v>
      </c>
      <c r="Y413" s="64">
        <f t="shared" si="88"/>
        <v>0</v>
      </c>
      <c r="Z413" s="63">
        <f t="shared" si="89"/>
        <v>0</v>
      </c>
      <c r="AA413" s="62">
        <f t="shared" si="90"/>
        <v>2.3689999999999998</v>
      </c>
      <c r="AB413" s="62">
        <f t="shared" si="91"/>
        <v>1.92</v>
      </c>
    </row>
    <row r="414" spans="2:28">
      <c r="B414" s="106">
        <f>'114+320'!B415</f>
        <v>45444</v>
      </c>
      <c r="C414" s="75">
        <f t="shared" si="83"/>
        <v>1</v>
      </c>
      <c r="D414" s="74">
        <f t="shared" si="84"/>
        <v>842</v>
      </c>
      <c r="E414" s="73">
        <f>VLOOKUP(B414,'114+320'!B415:AB801,3,FALSE)</f>
        <v>2028</v>
      </c>
      <c r="F414" s="69">
        <f t="shared" si="79"/>
        <v>2870</v>
      </c>
      <c r="G414" s="72">
        <f>VLOOKUP(B414,'114+320'!$B$15:$AB$785,20,FALSE)</f>
        <v>2044</v>
      </c>
      <c r="H414" s="72">
        <f>VLOOKUP(B414,'114+320'!$B$15:$AB$785,4,FALSE)</f>
        <v>306</v>
      </c>
      <c r="I414" s="68">
        <f t="shared" si="80"/>
        <v>2564</v>
      </c>
      <c r="J414" s="68">
        <f>VLOOKUP(B414,'114+320'!$B$15:$AB$785,13,FALSE)</f>
        <v>-436</v>
      </c>
      <c r="K414" s="66">
        <f>'114+320'!Q415</f>
        <v>0</v>
      </c>
      <c r="L414" s="65">
        <f t="shared" si="85"/>
        <v>256</v>
      </c>
      <c r="M414" s="70">
        <f>VLOOKUP(B414,'114+320'!$B$14:$AB$785,21,FALSE)</f>
        <v>2020</v>
      </c>
      <c r="N414" s="69">
        <f>VLOOKUP(B414,'114+320'!$B$15:$AB$785,5,FALSE)</f>
        <v>330</v>
      </c>
      <c r="O414" s="68">
        <f t="shared" si="81"/>
        <v>2540</v>
      </c>
      <c r="P414" s="68">
        <f>VLOOKUP(B414,'114+320'!$B$15:$AB$785,14,FALSE)</f>
        <v>-460</v>
      </c>
      <c r="Q414" s="66">
        <f>'114+320'!R415</f>
        <v>0</v>
      </c>
      <c r="R414" s="65">
        <f t="shared" si="86"/>
        <v>280</v>
      </c>
      <c r="S414" s="70">
        <f>VLOOKUP(B414,'114+320'!$B$14:$AB$785,22,FALSE)</f>
        <v>2080</v>
      </c>
      <c r="T414" s="69">
        <f>VLOOKUP(B414,'114+320'!$B$15:$AB$785,6,FALSE)</f>
        <v>210</v>
      </c>
      <c r="U414" s="68">
        <f t="shared" si="82"/>
        <v>2660</v>
      </c>
      <c r="V414" s="77">
        <f>VLOOKUP(B414,'114+320'!$B$15:$AB$785,15,FALSE)</f>
        <v>-340</v>
      </c>
      <c r="W414" s="66">
        <f>'114+320'!S415</f>
        <v>0</v>
      </c>
      <c r="X414" s="65">
        <f t="shared" si="87"/>
        <v>220</v>
      </c>
      <c r="Y414" s="64">
        <f t="shared" si="88"/>
        <v>0</v>
      </c>
      <c r="Z414" s="63">
        <f t="shared" si="89"/>
        <v>0</v>
      </c>
      <c r="AA414" s="62">
        <f t="shared" si="90"/>
        <v>2.3689999999999998</v>
      </c>
      <c r="AB414" s="62">
        <f t="shared" si="91"/>
        <v>1.92</v>
      </c>
    </row>
    <row r="415" spans="2:28">
      <c r="B415" s="106">
        <f>'114+320'!B416</f>
        <v>45445</v>
      </c>
      <c r="C415" s="75">
        <f t="shared" si="83"/>
        <v>1</v>
      </c>
      <c r="D415" s="74">
        <f t="shared" si="84"/>
        <v>842</v>
      </c>
      <c r="E415" s="73">
        <f>VLOOKUP(B415,'114+320'!B416:AB802,3,FALSE)</f>
        <v>2030</v>
      </c>
      <c r="F415" s="69">
        <f t="shared" si="79"/>
        <v>2872</v>
      </c>
      <c r="G415" s="72">
        <f>VLOOKUP(B415,'114+320'!$B$15:$AB$785,20,FALSE)</f>
        <v>2044</v>
      </c>
      <c r="H415" s="72">
        <f>VLOOKUP(B415,'114+320'!$B$15:$AB$785,4,FALSE)</f>
        <v>308</v>
      </c>
      <c r="I415" s="68">
        <f t="shared" si="80"/>
        <v>2564</v>
      </c>
      <c r="J415" s="68">
        <f>VLOOKUP(B415,'114+320'!$B$15:$AB$785,13,FALSE)</f>
        <v>-436</v>
      </c>
      <c r="K415" s="66">
        <f>'114+320'!Q416</f>
        <v>0</v>
      </c>
      <c r="L415" s="65">
        <f t="shared" si="85"/>
        <v>256</v>
      </c>
      <c r="M415" s="70">
        <f>VLOOKUP(B415,'114+320'!$B$14:$AB$785,21,FALSE)</f>
        <v>2020</v>
      </c>
      <c r="N415" s="69">
        <f>VLOOKUP(B415,'114+320'!$B$15:$AB$785,5,FALSE)</f>
        <v>332</v>
      </c>
      <c r="O415" s="68">
        <f t="shared" si="81"/>
        <v>2540</v>
      </c>
      <c r="P415" s="68">
        <f>VLOOKUP(B415,'114+320'!$B$15:$AB$785,14,FALSE)</f>
        <v>-460</v>
      </c>
      <c r="Q415" s="66">
        <f>'114+320'!R416</f>
        <v>0</v>
      </c>
      <c r="R415" s="65">
        <f t="shared" si="86"/>
        <v>280</v>
      </c>
      <c r="S415" s="70">
        <f>VLOOKUP(B415,'114+320'!$B$14:$AB$785,22,FALSE)</f>
        <v>2080</v>
      </c>
      <c r="T415" s="69">
        <f>VLOOKUP(B415,'114+320'!$B$15:$AB$785,6,FALSE)</f>
        <v>212</v>
      </c>
      <c r="U415" s="68">
        <f t="shared" si="82"/>
        <v>2660</v>
      </c>
      <c r="V415" s="77">
        <f>VLOOKUP(B415,'114+320'!$B$15:$AB$785,15,FALSE)</f>
        <v>-340</v>
      </c>
      <c r="W415" s="66">
        <f>'114+320'!S416</f>
        <v>0</v>
      </c>
      <c r="X415" s="65">
        <f t="shared" si="87"/>
        <v>220</v>
      </c>
      <c r="Y415" s="64">
        <f t="shared" si="88"/>
        <v>0</v>
      </c>
      <c r="Z415" s="63">
        <f t="shared" si="89"/>
        <v>0</v>
      </c>
      <c r="AA415" s="62">
        <f t="shared" si="90"/>
        <v>2.3689999999999998</v>
      </c>
      <c r="AB415" s="62">
        <f t="shared" si="91"/>
        <v>1.92</v>
      </c>
    </row>
    <row r="416" spans="2:28">
      <c r="B416" s="106">
        <f>'114+320'!B417</f>
        <v>45446</v>
      </c>
      <c r="C416" s="75">
        <f t="shared" si="83"/>
        <v>1</v>
      </c>
      <c r="D416" s="74">
        <f t="shared" si="84"/>
        <v>842</v>
      </c>
      <c r="E416" s="73">
        <f>VLOOKUP(B416,'114+320'!B417:AB803,3,FALSE)</f>
        <v>2032</v>
      </c>
      <c r="F416" s="69">
        <f t="shared" si="79"/>
        <v>2874</v>
      </c>
      <c r="G416" s="72">
        <f>VLOOKUP(B416,'114+320'!$B$15:$AB$785,20,FALSE)</f>
        <v>2044</v>
      </c>
      <c r="H416" s="72">
        <f>VLOOKUP(B416,'114+320'!$B$15:$AB$785,4,FALSE)</f>
        <v>310</v>
      </c>
      <c r="I416" s="68">
        <f t="shared" si="80"/>
        <v>2564</v>
      </c>
      <c r="J416" s="68">
        <f>VLOOKUP(B416,'114+320'!$B$15:$AB$785,13,FALSE)</f>
        <v>-436</v>
      </c>
      <c r="K416" s="66">
        <f>'114+320'!Q417</f>
        <v>0</v>
      </c>
      <c r="L416" s="65">
        <f t="shared" si="85"/>
        <v>256</v>
      </c>
      <c r="M416" s="70">
        <f>VLOOKUP(B416,'114+320'!$B$14:$AB$785,21,FALSE)</f>
        <v>2020</v>
      </c>
      <c r="N416" s="69">
        <f>VLOOKUP(B416,'114+320'!$B$15:$AB$785,5,FALSE)</f>
        <v>334</v>
      </c>
      <c r="O416" s="68">
        <f t="shared" si="81"/>
        <v>2540</v>
      </c>
      <c r="P416" s="68">
        <f>VLOOKUP(B416,'114+320'!$B$15:$AB$785,14,FALSE)</f>
        <v>-460</v>
      </c>
      <c r="Q416" s="66">
        <f>'114+320'!R417</f>
        <v>0</v>
      </c>
      <c r="R416" s="65">
        <f t="shared" si="86"/>
        <v>280</v>
      </c>
      <c r="S416" s="70">
        <f>VLOOKUP(B416,'114+320'!$B$14:$AB$785,22,FALSE)</f>
        <v>2080</v>
      </c>
      <c r="T416" s="69">
        <f>VLOOKUP(B416,'114+320'!$B$15:$AB$785,6,FALSE)</f>
        <v>214</v>
      </c>
      <c r="U416" s="68">
        <f t="shared" si="82"/>
        <v>2660</v>
      </c>
      <c r="V416" s="77">
        <f>VLOOKUP(B416,'114+320'!$B$15:$AB$785,15,FALSE)</f>
        <v>-340</v>
      </c>
      <c r="W416" s="66">
        <f>'114+320'!S417</f>
        <v>0</v>
      </c>
      <c r="X416" s="65">
        <f t="shared" si="87"/>
        <v>220</v>
      </c>
      <c r="Y416" s="64">
        <f t="shared" si="88"/>
        <v>0</v>
      </c>
      <c r="Z416" s="63">
        <f t="shared" si="89"/>
        <v>0</v>
      </c>
      <c r="AA416" s="62">
        <f t="shared" si="90"/>
        <v>2.3689999999999998</v>
      </c>
      <c r="AB416" s="62">
        <f t="shared" si="91"/>
        <v>1.92</v>
      </c>
    </row>
    <row r="417" spans="2:28">
      <c r="B417" s="106">
        <f>'114+320'!B418</f>
        <v>45447</v>
      </c>
      <c r="C417" s="75">
        <f t="shared" si="83"/>
        <v>1</v>
      </c>
      <c r="D417" s="74">
        <f t="shared" si="84"/>
        <v>842</v>
      </c>
      <c r="E417" s="73">
        <f>VLOOKUP(B417,'114+320'!B418:AB804,3,FALSE)</f>
        <v>2034</v>
      </c>
      <c r="F417" s="69">
        <f t="shared" si="79"/>
        <v>2876</v>
      </c>
      <c r="G417" s="72">
        <f>VLOOKUP(B417,'114+320'!$B$15:$AB$785,20,FALSE)</f>
        <v>2044</v>
      </c>
      <c r="H417" s="72">
        <f>VLOOKUP(B417,'114+320'!$B$15:$AB$785,4,FALSE)</f>
        <v>312</v>
      </c>
      <c r="I417" s="68">
        <f t="shared" si="80"/>
        <v>2564</v>
      </c>
      <c r="J417" s="68">
        <f>VLOOKUP(B417,'114+320'!$B$15:$AB$785,13,FALSE)</f>
        <v>-436</v>
      </c>
      <c r="K417" s="66">
        <f>'114+320'!Q418</f>
        <v>0</v>
      </c>
      <c r="L417" s="65">
        <f t="shared" si="85"/>
        <v>256</v>
      </c>
      <c r="M417" s="70">
        <f>VLOOKUP(B417,'114+320'!$B$14:$AB$785,21,FALSE)</f>
        <v>2020</v>
      </c>
      <c r="N417" s="69">
        <f>VLOOKUP(B417,'114+320'!$B$15:$AB$785,5,FALSE)</f>
        <v>336</v>
      </c>
      <c r="O417" s="68">
        <f t="shared" si="81"/>
        <v>2540</v>
      </c>
      <c r="P417" s="68">
        <f>VLOOKUP(B417,'114+320'!$B$15:$AB$785,14,FALSE)</f>
        <v>-460</v>
      </c>
      <c r="Q417" s="66">
        <f>'114+320'!R418</f>
        <v>0</v>
      </c>
      <c r="R417" s="65">
        <f t="shared" si="86"/>
        <v>280</v>
      </c>
      <c r="S417" s="70">
        <f>VLOOKUP(B417,'114+320'!$B$14:$AB$785,22,FALSE)</f>
        <v>2080</v>
      </c>
      <c r="T417" s="69">
        <f>VLOOKUP(B417,'114+320'!$B$15:$AB$785,6,FALSE)</f>
        <v>216</v>
      </c>
      <c r="U417" s="68">
        <f t="shared" si="82"/>
        <v>2660</v>
      </c>
      <c r="V417" s="77">
        <f>VLOOKUP(B417,'114+320'!$B$15:$AB$785,15,FALSE)</f>
        <v>-340</v>
      </c>
      <c r="W417" s="66">
        <f>'114+320'!S418</f>
        <v>0</v>
      </c>
      <c r="X417" s="65">
        <f t="shared" si="87"/>
        <v>220</v>
      </c>
      <c r="Y417" s="64">
        <f t="shared" si="88"/>
        <v>0</v>
      </c>
      <c r="Z417" s="63">
        <f t="shared" si="89"/>
        <v>0</v>
      </c>
      <c r="AA417" s="62">
        <f t="shared" si="90"/>
        <v>2.3689999999999998</v>
      </c>
      <c r="AB417" s="62">
        <f t="shared" si="91"/>
        <v>1.92</v>
      </c>
    </row>
    <row r="418" spans="2:28">
      <c r="B418" s="106">
        <f>'114+320'!B419</f>
        <v>45448</v>
      </c>
      <c r="C418" s="75">
        <f t="shared" si="83"/>
        <v>1</v>
      </c>
      <c r="D418" s="74">
        <f t="shared" si="84"/>
        <v>842</v>
      </c>
      <c r="E418" s="73">
        <f>VLOOKUP(B418,'114+320'!B419:AB805,3,FALSE)</f>
        <v>2036</v>
      </c>
      <c r="F418" s="69">
        <f t="shared" si="79"/>
        <v>2878</v>
      </c>
      <c r="G418" s="72">
        <f>VLOOKUP(B418,'114+320'!$B$15:$AB$785,20,FALSE)</f>
        <v>2044</v>
      </c>
      <c r="H418" s="72">
        <f>VLOOKUP(B418,'114+320'!$B$15:$AB$785,4,FALSE)</f>
        <v>314</v>
      </c>
      <c r="I418" s="68">
        <f t="shared" si="80"/>
        <v>2564</v>
      </c>
      <c r="J418" s="68">
        <f>VLOOKUP(B418,'114+320'!$B$15:$AB$785,13,FALSE)</f>
        <v>-436</v>
      </c>
      <c r="K418" s="66">
        <f>'114+320'!Q419</f>
        <v>0</v>
      </c>
      <c r="L418" s="65">
        <f t="shared" si="85"/>
        <v>256</v>
      </c>
      <c r="M418" s="70">
        <f>VLOOKUP(B418,'114+320'!$B$14:$AB$785,21,FALSE)</f>
        <v>2020</v>
      </c>
      <c r="N418" s="69">
        <f>VLOOKUP(B418,'114+320'!$B$15:$AB$785,5,FALSE)</f>
        <v>338</v>
      </c>
      <c r="O418" s="68">
        <f t="shared" si="81"/>
        <v>2540</v>
      </c>
      <c r="P418" s="68">
        <f>VLOOKUP(B418,'114+320'!$B$15:$AB$785,14,FALSE)</f>
        <v>-460</v>
      </c>
      <c r="Q418" s="66">
        <f>'114+320'!R419</f>
        <v>0</v>
      </c>
      <c r="R418" s="65">
        <f t="shared" si="86"/>
        <v>280</v>
      </c>
      <c r="S418" s="70">
        <f>VLOOKUP(B418,'114+320'!$B$14:$AB$785,22,FALSE)</f>
        <v>2080</v>
      </c>
      <c r="T418" s="69">
        <f>VLOOKUP(B418,'114+320'!$B$15:$AB$785,6,FALSE)</f>
        <v>218</v>
      </c>
      <c r="U418" s="68">
        <f t="shared" si="82"/>
        <v>2660</v>
      </c>
      <c r="V418" s="77">
        <f>VLOOKUP(B418,'114+320'!$B$15:$AB$785,15,FALSE)</f>
        <v>-340</v>
      </c>
      <c r="W418" s="66">
        <f>'114+320'!S419</f>
        <v>0</v>
      </c>
      <c r="X418" s="65">
        <f t="shared" si="87"/>
        <v>220</v>
      </c>
      <c r="Y418" s="64">
        <f t="shared" si="88"/>
        <v>0</v>
      </c>
      <c r="Z418" s="63">
        <f t="shared" si="89"/>
        <v>0</v>
      </c>
      <c r="AA418" s="62">
        <f t="shared" si="90"/>
        <v>2.3689999999999998</v>
      </c>
      <c r="AB418" s="62">
        <f t="shared" si="91"/>
        <v>1.92</v>
      </c>
    </row>
    <row r="419" spans="2:28">
      <c r="B419" s="106">
        <f>'114+320'!B420</f>
        <v>45449</v>
      </c>
      <c r="C419" s="75">
        <f t="shared" si="83"/>
        <v>1</v>
      </c>
      <c r="D419" s="74">
        <f t="shared" si="84"/>
        <v>842</v>
      </c>
      <c r="E419" s="73">
        <f>VLOOKUP(B419,'114+320'!B420:AB806,3,FALSE)</f>
        <v>2038</v>
      </c>
      <c r="F419" s="69">
        <f t="shared" si="79"/>
        <v>2880</v>
      </c>
      <c r="G419" s="72">
        <f>VLOOKUP(B419,'114+320'!$B$15:$AB$785,20,FALSE)</f>
        <v>2044</v>
      </c>
      <c r="H419" s="72">
        <f>VLOOKUP(B419,'114+320'!$B$15:$AB$785,4,FALSE)</f>
        <v>316</v>
      </c>
      <c r="I419" s="68">
        <f t="shared" si="80"/>
        <v>2564</v>
      </c>
      <c r="J419" s="68">
        <f>VLOOKUP(B419,'114+320'!$B$15:$AB$785,13,FALSE)</f>
        <v>-436</v>
      </c>
      <c r="K419" s="66">
        <f>'114+320'!Q420</f>
        <v>0</v>
      </c>
      <c r="L419" s="65">
        <f t="shared" si="85"/>
        <v>256</v>
      </c>
      <c r="M419" s="70">
        <f>VLOOKUP(B419,'114+320'!$B$14:$AB$785,21,FALSE)</f>
        <v>2020</v>
      </c>
      <c r="N419" s="69">
        <f>VLOOKUP(B419,'114+320'!$B$15:$AB$785,5,FALSE)</f>
        <v>340</v>
      </c>
      <c r="O419" s="68">
        <f t="shared" si="81"/>
        <v>2540</v>
      </c>
      <c r="P419" s="68">
        <f>VLOOKUP(B419,'114+320'!$B$15:$AB$785,14,FALSE)</f>
        <v>-460</v>
      </c>
      <c r="Q419" s="66">
        <f>'114+320'!R420</f>
        <v>0</v>
      </c>
      <c r="R419" s="65">
        <f t="shared" si="86"/>
        <v>280</v>
      </c>
      <c r="S419" s="70">
        <f>VLOOKUP(B419,'114+320'!$B$14:$AB$785,22,FALSE)</f>
        <v>2080</v>
      </c>
      <c r="T419" s="69">
        <f>VLOOKUP(B419,'114+320'!$B$15:$AB$785,6,FALSE)</f>
        <v>220</v>
      </c>
      <c r="U419" s="68">
        <f t="shared" si="82"/>
        <v>2660</v>
      </c>
      <c r="V419" s="77">
        <f>VLOOKUP(B419,'114+320'!$B$15:$AB$785,15,FALSE)</f>
        <v>-340</v>
      </c>
      <c r="W419" s="66">
        <f>'114+320'!S420</f>
        <v>0</v>
      </c>
      <c r="X419" s="65">
        <f t="shared" si="87"/>
        <v>220</v>
      </c>
      <c r="Y419" s="64">
        <f t="shared" si="88"/>
        <v>0</v>
      </c>
      <c r="Z419" s="63">
        <f t="shared" si="89"/>
        <v>0</v>
      </c>
      <c r="AA419" s="62">
        <f t="shared" si="90"/>
        <v>2.3689999999999998</v>
      </c>
      <c r="AB419" s="62">
        <f t="shared" si="91"/>
        <v>1.92</v>
      </c>
    </row>
    <row r="420" spans="2:28">
      <c r="B420" s="106">
        <f>'114+320'!B421</f>
        <v>45450</v>
      </c>
      <c r="C420" s="75">
        <f t="shared" si="83"/>
        <v>1</v>
      </c>
      <c r="D420" s="74">
        <f t="shared" si="84"/>
        <v>842</v>
      </c>
      <c r="E420" s="73">
        <f>VLOOKUP(B420,'114+320'!B421:AB807,3,FALSE)</f>
        <v>2040</v>
      </c>
      <c r="F420" s="69">
        <f t="shared" si="79"/>
        <v>2882</v>
      </c>
      <c r="G420" s="72">
        <f>VLOOKUP(B420,'114+320'!$B$15:$AB$785,20,FALSE)</f>
        <v>2044</v>
      </c>
      <c r="H420" s="72">
        <f>VLOOKUP(B420,'114+320'!$B$15:$AB$785,4,FALSE)</f>
        <v>318</v>
      </c>
      <c r="I420" s="68">
        <f t="shared" si="80"/>
        <v>2564</v>
      </c>
      <c r="J420" s="68">
        <f>VLOOKUP(B420,'114+320'!$B$15:$AB$785,13,FALSE)</f>
        <v>-436</v>
      </c>
      <c r="K420" s="66">
        <f>'114+320'!Q421</f>
        <v>0</v>
      </c>
      <c r="L420" s="65">
        <f t="shared" si="85"/>
        <v>256</v>
      </c>
      <c r="M420" s="70">
        <f>VLOOKUP(B420,'114+320'!$B$14:$AB$785,21,FALSE)</f>
        <v>2020</v>
      </c>
      <c r="N420" s="69">
        <f>VLOOKUP(B420,'114+320'!$B$15:$AB$785,5,FALSE)</f>
        <v>342</v>
      </c>
      <c r="O420" s="68">
        <f t="shared" si="81"/>
        <v>2540</v>
      </c>
      <c r="P420" s="68">
        <f>VLOOKUP(B420,'114+320'!$B$15:$AB$785,14,FALSE)</f>
        <v>-460</v>
      </c>
      <c r="Q420" s="66">
        <f>'114+320'!R421</f>
        <v>0</v>
      </c>
      <c r="R420" s="65">
        <f t="shared" si="86"/>
        <v>280</v>
      </c>
      <c r="S420" s="70">
        <f>VLOOKUP(B420,'114+320'!$B$14:$AB$785,22,FALSE)</f>
        <v>2080</v>
      </c>
      <c r="T420" s="69">
        <f>VLOOKUP(B420,'114+320'!$B$15:$AB$785,6,FALSE)</f>
        <v>222</v>
      </c>
      <c r="U420" s="68">
        <f t="shared" si="82"/>
        <v>2660</v>
      </c>
      <c r="V420" s="77">
        <f>VLOOKUP(B420,'114+320'!$B$15:$AB$785,15,FALSE)</f>
        <v>-340</v>
      </c>
      <c r="W420" s="66">
        <f>'114+320'!S421</f>
        <v>0</v>
      </c>
      <c r="X420" s="65">
        <f t="shared" si="87"/>
        <v>220</v>
      </c>
      <c r="Y420" s="64">
        <f t="shared" si="88"/>
        <v>0</v>
      </c>
      <c r="Z420" s="63">
        <f t="shared" si="89"/>
        <v>0</v>
      </c>
      <c r="AA420" s="62">
        <f t="shared" si="90"/>
        <v>2.3689999999999998</v>
      </c>
      <c r="AB420" s="62">
        <f t="shared" si="91"/>
        <v>1.92</v>
      </c>
    </row>
    <row r="421" spans="2:28">
      <c r="B421" s="106">
        <f>'114+320'!B422</f>
        <v>45451</v>
      </c>
      <c r="C421" s="75">
        <f t="shared" si="83"/>
        <v>1</v>
      </c>
      <c r="D421" s="74">
        <f t="shared" si="84"/>
        <v>842</v>
      </c>
      <c r="E421" s="73">
        <f>VLOOKUP(B421,'114+320'!B422:AB808,3,FALSE)</f>
        <v>2042</v>
      </c>
      <c r="F421" s="69">
        <f t="shared" si="79"/>
        <v>2884</v>
      </c>
      <c r="G421" s="72">
        <f>VLOOKUP(B421,'114+320'!$B$15:$AB$785,20,FALSE)</f>
        <v>2044</v>
      </c>
      <c r="H421" s="72">
        <f>VLOOKUP(B421,'114+320'!$B$15:$AB$785,4,FALSE)</f>
        <v>320</v>
      </c>
      <c r="I421" s="68">
        <f t="shared" si="80"/>
        <v>2564</v>
      </c>
      <c r="J421" s="68">
        <f>VLOOKUP(B421,'114+320'!$B$15:$AB$785,13,FALSE)</f>
        <v>-436</v>
      </c>
      <c r="K421" s="66">
        <f>'114+320'!Q422</f>
        <v>0</v>
      </c>
      <c r="L421" s="65">
        <f t="shared" si="85"/>
        <v>256</v>
      </c>
      <c r="M421" s="70">
        <f>VLOOKUP(B421,'114+320'!$B$14:$AB$785,21,FALSE)</f>
        <v>2020</v>
      </c>
      <c r="N421" s="69">
        <f>VLOOKUP(B421,'114+320'!$B$15:$AB$785,5,FALSE)</f>
        <v>344</v>
      </c>
      <c r="O421" s="68">
        <f t="shared" si="81"/>
        <v>2540</v>
      </c>
      <c r="P421" s="68">
        <f>VLOOKUP(B421,'114+320'!$B$15:$AB$785,14,FALSE)</f>
        <v>-460</v>
      </c>
      <c r="Q421" s="66">
        <f>'114+320'!R422</f>
        <v>0</v>
      </c>
      <c r="R421" s="65">
        <f t="shared" si="86"/>
        <v>280</v>
      </c>
      <c r="S421" s="70">
        <f>VLOOKUP(B421,'114+320'!$B$14:$AB$785,22,FALSE)</f>
        <v>2080</v>
      </c>
      <c r="T421" s="69">
        <f>VLOOKUP(B421,'114+320'!$B$15:$AB$785,6,FALSE)</f>
        <v>224</v>
      </c>
      <c r="U421" s="68">
        <f t="shared" si="82"/>
        <v>2660</v>
      </c>
      <c r="V421" s="77">
        <f>VLOOKUP(B421,'114+320'!$B$15:$AB$785,15,FALSE)</f>
        <v>-340</v>
      </c>
      <c r="W421" s="66">
        <f>'114+320'!S422</f>
        <v>0</v>
      </c>
      <c r="X421" s="65">
        <f t="shared" si="87"/>
        <v>220</v>
      </c>
      <c r="Y421" s="64">
        <f t="shared" si="88"/>
        <v>0</v>
      </c>
      <c r="Z421" s="63">
        <f t="shared" si="89"/>
        <v>0</v>
      </c>
      <c r="AA421" s="62">
        <f t="shared" si="90"/>
        <v>2.3689999999999998</v>
      </c>
      <c r="AB421" s="62">
        <f t="shared" si="91"/>
        <v>1.92</v>
      </c>
    </row>
    <row r="422" spans="2:28">
      <c r="B422" s="106">
        <f>'114+320'!B423</f>
        <v>45452</v>
      </c>
      <c r="C422" s="75">
        <f t="shared" si="83"/>
        <v>1</v>
      </c>
      <c r="D422" s="74">
        <f t="shared" si="84"/>
        <v>842</v>
      </c>
      <c r="E422" s="73">
        <f>VLOOKUP(B422,'114+320'!B423:AB809,3,FALSE)</f>
        <v>2044</v>
      </c>
      <c r="F422" s="69">
        <f t="shared" si="79"/>
        <v>2886</v>
      </c>
      <c r="G422" s="72">
        <f>VLOOKUP(B422,'114+320'!$B$15:$AB$785,20,FALSE)</f>
        <v>2044</v>
      </c>
      <c r="H422" s="72">
        <f>VLOOKUP(B422,'114+320'!$B$15:$AB$785,4,FALSE)</f>
        <v>322</v>
      </c>
      <c r="I422" s="68">
        <f t="shared" si="80"/>
        <v>2564</v>
      </c>
      <c r="J422" s="68">
        <f>VLOOKUP(B422,'114+320'!$B$15:$AB$785,13,FALSE)</f>
        <v>-436</v>
      </c>
      <c r="K422" s="66">
        <f>'114+320'!Q423</f>
        <v>0</v>
      </c>
      <c r="L422" s="65">
        <f t="shared" si="85"/>
        <v>256</v>
      </c>
      <c r="M422" s="70">
        <f>VLOOKUP(B422,'114+320'!$B$14:$AB$785,21,FALSE)</f>
        <v>2020</v>
      </c>
      <c r="N422" s="69">
        <f>VLOOKUP(B422,'114+320'!$B$15:$AB$785,5,FALSE)</f>
        <v>346</v>
      </c>
      <c r="O422" s="68">
        <f t="shared" si="81"/>
        <v>2540</v>
      </c>
      <c r="P422" s="68">
        <f>VLOOKUP(B422,'114+320'!$B$15:$AB$785,14,FALSE)</f>
        <v>-460</v>
      </c>
      <c r="Q422" s="66">
        <f>'114+320'!R423</f>
        <v>0</v>
      </c>
      <c r="R422" s="65">
        <f t="shared" si="86"/>
        <v>280</v>
      </c>
      <c r="S422" s="70">
        <f>VLOOKUP(B422,'114+320'!$B$14:$AB$785,22,FALSE)</f>
        <v>2080</v>
      </c>
      <c r="T422" s="69">
        <f>VLOOKUP(B422,'114+320'!$B$15:$AB$785,6,FALSE)</f>
        <v>226</v>
      </c>
      <c r="U422" s="68">
        <f t="shared" si="82"/>
        <v>2660</v>
      </c>
      <c r="V422" s="77">
        <f>VLOOKUP(B422,'114+320'!$B$15:$AB$785,15,FALSE)</f>
        <v>-340</v>
      </c>
      <c r="W422" s="66">
        <f>'114+320'!S423</f>
        <v>0</v>
      </c>
      <c r="X422" s="65">
        <f t="shared" si="87"/>
        <v>220</v>
      </c>
      <c r="Y422" s="64">
        <f t="shared" si="88"/>
        <v>0</v>
      </c>
      <c r="Z422" s="63">
        <f t="shared" si="89"/>
        <v>0</v>
      </c>
      <c r="AA422" s="62">
        <f t="shared" si="90"/>
        <v>2.3689999999999998</v>
      </c>
      <c r="AB422" s="62">
        <f t="shared" si="91"/>
        <v>1.92</v>
      </c>
    </row>
    <row r="423" spans="2:28">
      <c r="B423" s="106">
        <f>'114+320'!B424</f>
        <v>45453</v>
      </c>
      <c r="C423" s="75">
        <f t="shared" si="83"/>
        <v>1</v>
      </c>
      <c r="D423" s="74">
        <f t="shared" si="84"/>
        <v>842</v>
      </c>
      <c r="E423" s="73">
        <f>VLOOKUP(B423,'114+320'!B424:AB810,3,FALSE)</f>
        <v>2046</v>
      </c>
      <c r="F423" s="69">
        <f t="shared" si="79"/>
        <v>2888</v>
      </c>
      <c r="G423" s="72">
        <f>VLOOKUP(B423,'114+320'!$B$15:$AB$785,20,FALSE)</f>
        <v>2044</v>
      </c>
      <c r="H423" s="72">
        <f>VLOOKUP(B423,'114+320'!$B$15:$AB$785,4,FALSE)</f>
        <v>324</v>
      </c>
      <c r="I423" s="68">
        <f t="shared" si="80"/>
        <v>2564</v>
      </c>
      <c r="J423" s="68">
        <f>VLOOKUP(B423,'114+320'!$B$15:$AB$785,13,FALSE)</f>
        <v>-436</v>
      </c>
      <c r="K423" s="66">
        <f>'114+320'!Q424</f>
        <v>0</v>
      </c>
      <c r="L423" s="65">
        <f t="shared" si="85"/>
        <v>256</v>
      </c>
      <c r="M423" s="70">
        <f>VLOOKUP(B423,'114+320'!$B$14:$AB$785,21,FALSE)</f>
        <v>2020</v>
      </c>
      <c r="N423" s="69">
        <f>VLOOKUP(B423,'114+320'!$B$15:$AB$785,5,FALSE)</f>
        <v>348</v>
      </c>
      <c r="O423" s="68">
        <f t="shared" si="81"/>
        <v>2540</v>
      </c>
      <c r="P423" s="68">
        <f>VLOOKUP(B423,'114+320'!$B$15:$AB$785,14,FALSE)</f>
        <v>-460</v>
      </c>
      <c r="Q423" s="66">
        <f>'114+320'!R424</f>
        <v>0</v>
      </c>
      <c r="R423" s="65">
        <f t="shared" si="86"/>
        <v>280</v>
      </c>
      <c r="S423" s="70">
        <f>VLOOKUP(B423,'114+320'!$B$14:$AB$785,22,FALSE)</f>
        <v>2080</v>
      </c>
      <c r="T423" s="69">
        <f>VLOOKUP(B423,'114+320'!$B$15:$AB$785,6,FALSE)</f>
        <v>228</v>
      </c>
      <c r="U423" s="68">
        <f t="shared" si="82"/>
        <v>2660</v>
      </c>
      <c r="V423" s="77">
        <f>VLOOKUP(B423,'114+320'!$B$15:$AB$785,15,FALSE)</f>
        <v>-340</v>
      </c>
      <c r="W423" s="66">
        <f>'114+320'!S424</f>
        <v>0</v>
      </c>
      <c r="X423" s="65">
        <f t="shared" si="87"/>
        <v>220</v>
      </c>
      <c r="Y423" s="64">
        <f t="shared" si="88"/>
        <v>0</v>
      </c>
      <c r="Z423" s="63">
        <f t="shared" si="89"/>
        <v>0</v>
      </c>
      <c r="AA423" s="62">
        <f t="shared" si="90"/>
        <v>2.3689999999999998</v>
      </c>
      <c r="AB423" s="62">
        <f t="shared" si="91"/>
        <v>1.92</v>
      </c>
    </row>
    <row r="424" spans="2:28">
      <c r="B424" s="106">
        <f>'114+320'!B425</f>
        <v>45454</v>
      </c>
      <c r="C424" s="75">
        <f t="shared" si="83"/>
        <v>1</v>
      </c>
      <c r="D424" s="74">
        <f t="shared" si="84"/>
        <v>842</v>
      </c>
      <c r="E424" s="73">
        <f>VLOOKUP(B424,'114+320'!B425:AB811,3,FALSE)</f>
        <v>2048</v>
      </c>
      <c r="F424" s="69">
        <f t="shared" si="79"/>
        <v>2890</v>
      </c>
      <c r="G424" s="72">
        <f>VLOOKUP(B424,'114+320'!$B$15:$AB$785,20,FALSE)</f>
        <v>2044</v>
      </c>
      <c r="H424" s="72">
        <f>VLOOKUP(B424,'114+320'!$B$15:$AB$785,4,FALSE)</f>
        <v>326</v>
      </c>
      <c r="I424" s="68">
        <f t="shared" si="80"/>
        <v>2564</v>
      </c>
      <c r="J424" s="68">
        <f>VLOOKUP(B424,'114+320'!$B$15:$AB$785,13,FALSE)</f>
        <v>-436</v>
      </c>
      <c r="K424" s="66">
        <f>'114+320'!Q425</f>
        <v>0</v>
      </c>
      <c r="L424" s="65">
        <f t="shared" si="85"/>
        <v>256</v>
      </c>
      <c r="M424" s="70">
        <f>VLOOKUP(B424,'114+320'!$B$14:$AB$785,21,FALSE)</f>
        <v>2020</v>
      </c>
      <c r="N424" s="69">
        <f>VLOOKUP(B424,'114+320'!$B$15:$AB$785,5,FALSE)</f>
        <v>350</v>
      </c>
      <c r="O424" s="68">
        <f t="shared" si="81"/>
        <v>2540</v>
      </c>
      <c r="P424" s="68">
        <f>VLOOKUP(B424,'114+320'!$B$15:$AB$785,14,FALSE)</f>
        <v>-460</v>
      </c>
      <c r="Q424" s="66">
        <f>'114+320'!R425</f>
        <v>0</v>
      </c>
      <c r="R424" s="65">
        <f t="shared" si="86"/>
        <v>280</v>
      </c>
      <c r="S424" s="70">
        <f>VLOOKUP(B424,'114+320'!$B$14:$AB$785,22,FALSE)</f>
        <v>2080</v>
      </c>
      <c r="T424" s="69">
        <f>VLOOKUP(B424,'114+320'!$B$15:$AB$785,6,FALSE)</f>
        <v>230</v>
      </c>
      <c r="U424" s="68">
        <f t="shared" si="82"/>
        <v>2660</v>
      </c>
      <c r="V424" s="77">
        <f>VLOOKUP(B424,'114+320'!$B$15:$AB$785,15,FALSE)</f>
        <v>-340</v>
      </c>
      <c r="W424" s="66">
        <f>'114+320'!S425</f>
        <v>0</v>
      </c>
      <c r="X424" s="65">
        <f t="shared" si="87"/>
        <v>220</v>
      </c>
      <c r="Y424" s="64">
        <f t="shared" si="88"/>
        <v>0</v>
      </c>
      <c r="Z424" s="63">
        <f t="shared" si="89"/>
        <v>0</v>
      </c>
      <c r="AA424" s="62">
        <f t="shared" si="90"/>
        <v>2.3689999999999998</v>
      </c>
      <c r="AB424" s="62">
        <f t="shared" si="91"/>
        <v>1.92</v>
      </c>
    </row>
    <row r="425" spans="2:28">
      <c r="B425" s="106">
        <f>'114+320'!B426</f>
        <v>45455</v>
      </c>
      <c r="C425" s="75">
        <f t="shared" si="83"/>
        <v>1</v>
      </c>
      <c r="D425" s="74">
        <f t="shared" si="84"/>
        <v>842</v>
      </c>
      <c r="E425" s="73">
        <f>VLOOKUP(B425,'114+320'!B426:AB812,3,FALSE)</f>
        <v>2050</v>
      </c>
      <c r="F425" s="69">
        <f t="shared" si="79"/>
        <v>2892</v>
      </c>
      <c r="G425" s="72">
        <f>VLOOKUP(B425,'114+320'!$B$15:$AB$785,20,FALSE)</f>
        <v>2044</v>
      </c>
      <c r="H425" s="72">
        <f>VLOOKUP(B425,'114+320'!$B$15:$AB$785,4,FALSE)</f>
        <v>328</v>
      </c>
      <c r="I425" s="68">
        <f t="shared" si="80"/>
        <v>2564</v>
      </c>
      <c r="J425" s="68">
        <f>VLOOKUP(B425,'114+320'!$B$15:$AB$785,13,FALSE)</f>
        <v>-436</v>
      </c>
      <c r="K425" s="66">
        <f>'114+320'!Q426</f>
        <v>0</v>
      </c>
      <c r="L425" s="65">
        <f t="shared" si="85"/>
        <v>256</v>
      </c>
      <c r="M425" s="70">
        <f>VLOOKUP(B425,'114+320'!$B$14:$AB$785,21,FALSE)</f>
        <v>2020</v>
      </c>
      <c r="N425" s="69">
        <f>VLOOKUP(B425,'114+320'!$B$15:$AB$785,5,FALSE)</f>
        <v>352</v>
      </c>
      <c r="O425" s="68">
        <f t="shared" si="81"/>
        <v>2540</v>
      </c>
      <c r="P425" s="68">
        <f>VLOOKUP(B425,'114+320'!$B$15:$AB$785,14,FALSE)</f>
        <v>-460</v>
      </c>
      <c r="Q425" s="66">
        <f>'114+320'!R426</f>
        <v>0</v>
      </c>
      <c r="R425" s="65">
        <f t="shared" si="86"/>
        <v>280</v>
      </c>
      <c r="S425" s="70">
        <f>VLOOKUP(B425,'114+320'!$B$14:$AB$785,22,FALSE)</f>
        <v>2080</v>
      </c>
      <c r="T425" s="69">
        <f>VLOOKUP(B425,'114+320'!$B$15:$AB$785,6,FALSE)</f>
        <v>232</v>
      </c>
      <c r="U425" s="68">
        <f t="shared" si="82"/>
        <v>2660</v>
      </c>
      <c r="V425" s="77">
        <f>VLOOKUP(B425,'114+320'!$B$15:$AB$785,15,FALSE)</f>
        <v>-340</v>
      </c>
      <c r="W425" s="66">
        <f>'114+320'!S426</f>
        <v>0</v>
      </c>
      <c r="X425" s="65">
        <f t="shared" si="87"/>
        <v>220</v>
      </c>
      <c r="Y425" s="64">
        <f t="shared" si="88"/>
        <v>0</v>
      </c>
      <c r="Z425" s="63">
        <f t="shared" si="89"/>
        <v>0</v>
      </c>
      <c r="AA425" s="62">
        <f t="shared" si="90"/>
        <v>2.3689999999999998</v>
      </c>
      <c r="AB425" s="62">
        <f t="shared" si="91"/>
        <v>1.92</v>
      </c>
    </row>
    <row r="426" spans="2:28">
      <c r="B426" s="106">
        <f>'114+320'!B427</f>
        <v>45456</v>
      </c>
      <c r="C426" s="75">
        <f t="shared" si="83"/>
        <v>1</v>
      </c>
      <c r="D426" s="74">
        <f t="shared" si="84"/>
        <v>842</v>
      </c>
      <c r="E426" s="73">
        <f>VLOOKUP(B426,'114+320'!B427:AB813,3,FALSE)</f>
        <v>2052</v>
      </c>
      <c r="F426" s="69">
        <f t="shared" si="79"/>
        <v>2894</v>
      </c>
      <c r="G426" s="72">
        <f>VLOOKUP(B426,'114+320'!$B$15:$AB$785,20,FALSE)</f>
        <v>2044</v>
      </c>
      <c r="H426" s="72">
        <f>VLOOKUP(B426,'114+320'!$B$15:$AB$785,4,FALSE)</f>
        <v>330</v>
      </c>
      <c r="I426" s="68">
        <f t="shared" si="80"/>
        <v>2564</v>
      </c>
      <c r="J426" s="68">
        <f>VLOOKUP(B426,'114+320'!$B$15:$AB$785,13,FALSE)</f>
        <v>-436</v>
      </c>
      <c r="K426" s="66">
        <f>'114+320'!Q427</f>
        <v>0</v>
      </c>
      <c r="L426" s="65">
        <f t="shared" si="85"/>
        <v>256</v>
      </c>
      <c r="M426" s="70">
        <f>VLOOKUP(B426,'114+320'!$B$14:$AB$785,21,FALSE)</f>
        <v>2020</v>
      </c>
      <c r="N426" s="69">
        <f>VLOOKUP(B426,'114+320'!$B$15:$AB$785,5,FALSE)</f>
        <v>354</v>
      </c>
      <c r="O426" s="68">
        <f t="shared" si="81"/>
        <v>2540</v>
      </c>
      <c r="P426" s="68">
        <f>VLOOKUP(B426,'114+320'!$B$15:$AB$785,14,FALSE)</f>
        <v>-460</v>
      </c>
      <c r="Q426" s="66">
        <f>'114+320'!R427</f>
        <v>0</v>
      </c>
      <c r="R426" s="65">
        <f t="shared" si="86"/>
        <v>280</v>
      </c>
      <c r="S426" s="70">
        <f>VLOOKUP(B426,'114+320'!$B$14:$AB$785,22,FALSE)</f>
        <v>2080</v>
      </c>
      <c r="T426" s="69">
        <f>VLOOKUP(B426,'114+320'!$B$15:$AB$785,6,FALSE)</f>
        <v>234</v>
      </c>
      <c r="U426" s="68">
        <f t="shared" si="82"/>
        <v>2660</v>
      </c>
      <c r="V426" s="77">
        <f>VLOOKUP(B426,'114+320'!$B$15:$AB$785,15,FALSE)</f>
        <v>-340</v>
      </c>
      <c r="W426" s="66">
        <f>'114+320'!S427</f>
        <v>0</v>
      </c>
      <c r="X426" s="65">
        <f t="shared" si="87"/>
        <v>220</v>
      </c>
      <c r="Y426" s="64">
        <f t="shared" si="88"/>
        <v>0</v>
      </c>
      <c r="Z426" s="63">
        <f t="shared" si="89"/>
        <v>0</v>
      </c>
      <c r="AA426" s="62">
        <f t="shared" si="90"/>
        <v>2.3689999999999998</v>
      </c>
      <c r="AB426" s="62">
        <f t="shared" si="91"/>
        <v>1.92</v>
      </c>
    </row>
    <row r="427" spans="2:28">
      <c r="B427" s="106">
        <f>'114+320'!B428</f>
        <v>45457</v>
      </c>
      <c r="C427" s="75">
        <f t="shared" si="83"/>
        <v>1</v>
      </c>
      <c r="D427" s="74">
        <f t="shared" si="84"/>
        <v>842</v>
      </c>
      <c r="E427" s="73">
        <f>VLOOKUP(B427,'114+320'!B428:AB814,3,FALSE)</f>
        <v>2054</v>
      </c>
      <c r="F427" s="69">
        <f t="shared" si="79"/>
        <v>2896</v>
      </c>
      <c r="G427" s="72">
        <f>VLOOKUP(B427,'114+320'!$B$15:$AB$785,20,FALSE)</f>
        <v>2044</v>
      </c>
      <c r="H427" s="72">
        <f>VLOOKUP(B427,'114+320'!$B$15:$AB$785,4,FALSE)</f>
        <v>332</v>
      </c>
      <c r="I427" s="68">
        <f t="shared" si="80"/>
        <v>2564</v>
      </c>
      <c r="J427" s="68">
        <f>VLOOKUP(B427,'114+320'!$B$15:$AB$785,13,FALSE)</f>
        <v>-436</v>
      </c>
      <c r="K427" s="66">
        <f>'114+320'!Q428</f>
        <v>0</v>
      </c>
      <c r="L427" s="65">
        <f t="shared" si="85"/>
        <v>256</v>
      </c>
      <c r="M427" s="70">
        <f>VLOOKUP(B427,'114+320'!$B$14:$AB$785,21,FALSE)</f>
        <v>2020</v>
      </c>
      <c r="N427" s="69">
        <f>VLOOKUP(B427,'114+320'!$B$15:$AB$785,5,FALSE)</f>
        <v>356</v>
      </c>
      <c r="O427" s="68">
        <f t="shared" si="81"/>
        <v>2540</v>
      </c>
      <c r="P427" s="68">
        <f>VLOOKUP(B427,'114+320'!$B$15:$AB$785,14,FALSE)</f>
        <v>-460</v>
      </c>
      <c r="Q427" s="66">
        <f>'114+320'!R428</f>
        <v>0</v>
      </c>
      <c r="R427" s="65">
        <f t="shared" si="86"/>
        <v>280</v>
      </c>
      <c r="S427" s="70">
        <f>VLOOKUP(B427,'114+320'!$B$14:$AB$785,22,FALSE)</f>
        <v>2080</v>
      </c>
      <c r="T427" s="69">
        <f>VLOOKUP(B427,'114+320'!$B$15:$AB$785,6,FALSE)</f>
        <v>236</v>
      </c>
      <c r="U427" s="68">
        <f t="shared" si="82"/>
        <v>2660</v>
      </c>
      <c r="V427" s="77">
        <f>VLOOKUP(B427,'114+320'!$B$15:$AB$785,15,FALSE)</f>
        <v>-340</v>
      </c>
      <c r="W427" s="66">
        <f>'114+320'!S428</f>
        <v>0</v>
      </c>
      <c r="X427" s="65">
        <f t="shared" si="87"/>
        <v>220</v>
      </c>
      <c r="Y427" s="64">
        <f t="shared" si="88"/>
        <v>0</v>
      </c>
      <c r="Z427" s="63">
        <f t="shared" si="89"/>
        <v>0</v>
      </c>
      <c r="AA427" s="62">
        <f t="shared" si="90"/>
        <v>2.3689999999999998</v>
      </c>
      <c r="AB427" s="62">
        <f t="shared" si="91"/>
        <v>1.92</v>
      </c>
    </row>
    <row r="428" spans="2:28">
      <c r="B428" s="106">
        <f>'114+320'!B429</f>
        <v>45458</v>
      </c>
      <c r="C428" s="75">
        <f t="shared" si="83"/>
        <v>1</v>
      </c>
      <c r="D428" s="74">
        <f t="shared" si="84"/>
        <v>842</v>
      </c>
      <c r="E428" s="73">
        <f>VLOOKUP(B428,'114+320'!B429:AB815,3,FALSE)</f>
        <v>2056</v>
      </c>
      <c r="F428" s="69">
        <f t="shared" si="79"/>
        <v>2898</v>
      </c>
      <c r="G428" s="72">
        <f>VLOOKUP(B428,'114+320'!$B$15:$AB$785,20,FALSE)</f>
        <v>2044</v>
      </c>
      <c r="H428" s="72">
        <f>VLOOKUP(B428,'114+320'!$B$15:$AB$785,4,FALSE)</f>
        <v>334</v>
      </c>
      <c r="I428" s="68">
        <f t="shared" si="80"/>
        <v>2564</v>
      </c>
      <c r="J428" s="68">
        <f>VLOOKUP(B428,'114+320'!$B$15:$AB$785,13,FALSE)</f>
        <v>-436</v>
      </c>
      <c r="K428" s="66">
        <f>'114+320'!Q429</f>
        <v>0</v>
      </c>
      <c r="L428" s="65">
        <f t="shared" si="85"/>
        <v>256</v>
      </c>
      <c r="M428" s="70">
        <f>VLOOKUP(B428,'114+320'!$B$14:$AB$785,21,FALSE)</f>
        <v>2020</v>
      </c>
      <c r="N428" s="69">
        <f>VLOOKUP(B428,'114+320'!$B$15:$AB$785,5,FALSE)</f>
        <v>358</v>
      </c>
      <c r="O428" s="68">
        <f t="shared" si="81"/>
        <v>2540</v>
      </c>
      <c r="P428" s="68">
        <f>VLOOKUP(B428,'114+320'!$B$15:$AB$785,14,FALSE)</f>
        <v>-460</v>
      </c>
      <c r="Q428" s="66">
        <f>'114+320'!R429</f>
        <v>0</v>
      </c>
      <c r="R428" s="65">
        <f t="shared" si="86"/>
        <v>280</v>
      </c>
      <c r="S428" s="70">
        <f>VLOOKUP(B428,'114+320'!$B$14:$AB$785,22,FALSE)</f>
        <v>2080</v>
      </c>
      <c r="T428" s="69">
        <f>VLOOKUP(B428,'114+320'!$B$15:$AB$785,6,FALSE)</f>
        <v>238</v>
      </c>
      <c r="U428" s="68">
        <f t="shared" si="82"/>
        <v>2660</v>
      </c>
      <c r="V428" s="77">
        <f>VLOOKUP(B428,'114+320'!$B$15:$AB$785,15,FALSE)</f>
        <v>-340</v>
      </c>
      <c r="W428" s="66">
        <f>'114+320'!S429</f>
        <v>0</v>
      </c>
      <c r="X428" s="65">
        <f t="shared" si="87"/>
        <v>220</v>
      </c>
      <c r="Y428" s="64">
        <f t="shared" si="88"/>
        <v>0</v>
      </c>
      <c r="Z428" s="63">
        <f t="shared" si="89"/>
        <v>0</v>
      </c>
      <c r="AA428" s="62">
        <f t="shared" si="90"/>
        <v>2.3689999999999998</v>
      </c>
      <c r="AB428" s="62">
        <f t="shared" si="91"/>
        <v>1.92</v>
      </c>
    </row>
    <row r="429" spans="2:28">
      <c r="B429" s="106">
        <f>'114+320'!B430</f>
        <v>45459</v>
      </c>
      <c r="C429" s="75">
        <f t="shared" si="83"/>
        <v>1</v>
      </c>
      <c r="D429" s="74">
        <f t="shared" si="84"/>
        <v>842</v>
      </c>
      <c r="E429" s="73">
        <f>VLOOKUP(B429,'114+320'!B430:AB816,3,FALSE)</f>
        <v>2058</v>
      </c>
      <c r="F429" s="69">
        <f t="shared" si="79"/>
        <v>2900</v>
      </c>
      <c r="G429" s="72">
        <f>VLOOKUP(B429,'114+320'!$B$15:$AB$785,20,FALSE)</f>
        <v>2044</v>
      </c>
      <c r="H429" s="72">
        <f>VLOOKUP(B429,'114+320'!$B$15:$AB$785,4,FALSE)</f>
        <v>336</v>
      </c>
      <c r="I429" s="68">
        <f t="shared" si="80"/>
        <v>2564</v>
      </c>
      <c r="J429" s="68">
        <f>VLOOKUP(B429,'114+320'!$B$15:$AB$785,13,FALSE)</f>
        <v>-436</v>
      </c>
      <c r="K429" s="66">
        <f>'114+320'!Q430</f>
        <v>0</v>
      </c>
      <c r="L429" s="65">
        <f t="shared" si="85"/>
        <v>256</v>
      </c>
      <c r="M429" s="70">
        <f>VLOOKUP(B429,'114+320'!$B$14:$AB$785,21,FALSE)</f>
        <v>2020</v>
      </c>
      <c r="N429" s="69">
        <f>VLOOKUP(B429,'114+320'!$B$15:$AB$785,5,FALSE)</f>
        <v>360</v>
      </c>
      <c r="O429" s="68">
        <f t="shared" si="81"/>
        <v>2540</v>
      </c>
      <c r="P429" s="68">
        <f>VLOOKUP(B429,'114+320'!$B$15:$AB$785,14,FALSE)</f>
        <v>-460</v>
      </c>
      <c r="Q429" s="66">
        <f>'114+320'!R430</f>
        <v>0</v>
      </c>
      <c r="R429" s="65">
        <f t="shared" si="86"/>
        <v>280</v>
      </c>
      <c r="S429" s="70">
        <f>VLOOKUP(B429,'114+320'!$B$14:$AB$785,22,FALSE)</f>
        <v>2080</v>
      </c>
      <c r="T429" s="69">
        <f>VLOOKUP(B429,'114+320'!$B$15:$AB$785,6,FALSE)</f>
        <v>240</v>
      </c>
      <c r="U429" s="68">
        <f t="shared" si="82"/>
        <v>2660</v>
      </c>
      <c r="V429" s="77">
        <f>VLOOKUP(B429,'114+320'!$B$15:$AB$785,15,FALSE)</f>
        <v>-340</v>
      </c>
      <c r="W429" s="66">
        <f>'114+320'!S430</f>
        <v>0</v>
      </c>
      <c r="X429" s="65">
        <f t="shared" si="87"/>
        <v>220</v>
      </c>
      <c r="Y429" s="64">
        <f t="shared" si="88"/>
        <v>0</v>
      </c>
      <c r="Z429" s="63">
        <f t="shared" si="89"/>
        <v>0</v>
      </c>
      <c r="AA429" s="62">
        <f t="shared" si="90"/>
        <v>2.3689999999999998</v>
      </c>
      <c r="AB429" s="62">
        <f t="shared" si="91"/>
        <v>1.92</v>
      </c>
    </row>
    <row r="430" spans="2:28">
      <c r="B430" s="106">
        <f>'114+320'!B431</f>
        <v>45460</v>
      </c>
      <c r="C430" s="75">
        <f t="shared" si="83"/>
        <v>1</v>
      </c>
      <c r="D430" s="74">
        <f t="shared" si="84"/>
        <v>842</v>
      </c>
      <c r="E430" s="73">
        <f>VLOOKUP(B430,'114+320'!B431:AB817,3,FALSE)</f>
        <v>2060</v>
      </c>
      <c r="F430" s="69">
        <f t="shared" si="79"/>
        <v>2902</v>
      </c>
      <c r="G430" s="72">
        <f>VLOOKUP(B430,'114+320'!$B$15:$AB$785,20,FALSE)</f>
        <v>2044</v>
      </c>
      <c r="H430" s="72">
        <f>VLOOKUP(B430,'114+320'!$B$15:$AB$785,4,FALSE)</f>
        <v>338</v>
      </c>
      <c r="I430" s="68">
        <f t="shared" si="80"/>
        <v>2564</v>
      </c>
      <c r="J430" s="68">
        <f>VLOOKUP(B430,'114+320'!$B$15:$AB$785,13,FALSE)</f>
        <v>-436</v>
      </c>
      <c r="K430" s="66">
        <f>'114+320'!Q431</f>
        <v>0</v>
      </c>
      <c r="L430" s="65">
        <f t="shared" si="85"/>
        <v>256</v>
      </c>
      <c r="M430" s="70">
        <f>VLOOKUP(B430,'114+320'!$B$14:$AB$785,21,FALSE)</f>
        <v>2020</v>
      </c>
      <c r="N430" s="69">
        <f>VLOOKUP(B430,'114+320'!$B$15:$AB$785,5,FALSE)</f>
        <v>362</v>
      </c>
      <c r="O430" s="68">
        <f t="shared" si="81"/>
        <v>2540</v>
      </c>
      <c r="P430" s="68">
        <f>VLOOKUP(B430,'114+320'!$B$15:$AB$785,14,FALSE)</f>
        <v>-460</v>
      </c>
      <c r="Q430" s="66">
        <f>'114+320'!R431</f>
        <v>0</v>
      </c>
      <c r="R430" s="65">
        <f t="shared" si="86"/>
        <v>280</v>
      </c>
      <c r="S430" s="70">
        <f>VLOOKUP(B430,'114+320'!$B$14:$AB$785,22,FALSE)</f>
        <v>2080</v>
      </c>
      <c r="T430" s="69">
        <f>VLOOKUP(B430,'114+320'!$B$15:$AB$785,6,FALSE)</f>
        <v>242</v>
      </c>
      <c r="U430" s="68">
        <f t="shared" si="82"/>
        <v>2660</v>
      </c>
      <c r="V430" s="77">
        <f>VLOOKUP(B430,'114+320'!$B$15:$AB$785,15,FALSE)</f>
        <v>-340</v>
      </c>
      <c r="W430" s="66">
        <f>'114+320'!S431</f>
        <v>0</v>
      </c>
      <c r="X430" s="65">
        <f t="shared" si="87"/>
        <v>220</v>
      </c>
      <c r="Y430" s="64">
        <f t="shared" si="88"/>
        <v>0</v>
      </c>
      <c r="Z430" s="63">
        <f t="shared" si="89"/>
        <v>0</v>
      </c>
      <c r="AA430" s="62">
        <f t="shared" si="90"/>
        <v>2.3689999999999998</v>
      </c>
      <c r="AB430" s="62">
        <f t="shared" si="91"/>
        <v>1.92</v>
      </c>
    </row>
    <row r="431" spans="2:28">
      <c r="B431" s="106">
        <f>'114+320'!B432</f>
        <v>45461</v>
      </c>
      <c r="C431" s="75">
        <f t="shared" si="83"/>
        <v>1</v>
      </c>
      <c r="D431" s="74">
        <f t="shared" si="84"/>
        <v>842</v>
      </c>
      <c r="E431" s="73">
        <f>VLOOKUP(B431,'114+320'!B432:AB818,3,FALSE)</f>
        <v>2062</v>
      </c>
      <c r="F431" s="69">
        <f t="shared" si="79"/>
        <v>2904</v>
      </c>
      <c r="G431" s="72">
        <f>VLOOKUP(B431,'114+320'!$B$15:$AB$785,20,FALSE)</f>
        <v>2044</v>
      </c>
      <c r="H431" s="72">
        <f>VLOOKUP(B431,'114+320'!$B$15:$AB$785,4,FALSE)</f>
        <v>340</v>
      </c>
      <c r="I431" s="68">
        <f t="shared" si="80"/>
        <v>2564</v>
      </c>
      <c r="J431" s="68">
        <f>VLOOKUP(B431,'114+320'!$B$15:$AB$785,13,FALSE)</f>
        <v>-436</v>
      </c>
      <c r="K431" s="66">
        <f>'114+320'!Q432</f>
        <v>0</v>
      </c>
      <c r="L431" s="65">
        <f t="shared" si="85"/>
        <v>256</v>
      </c>
      <c r="M431" s="70">
        <f>VLOOKUP(B431,'114+320'!$B$14:$AB$785,21,FALSE)</f>
        <v>2020</v>
      </c>
      <c r="N431" s="69">
        <f>VLOOKUP(B431,'114+320'!$B$15:$AB$785,5,FALSE)</f>
        <v>364</v>
      </c>
      <c r="O431" s="68">
        <f t="shared" si="81"/>
        <v>2540</v>
      </c>
      <c r="P431" s="68">
        <f>VLOOKUP(B431,'114+320'!$B$15:$AB$785,14,FALSE)</f>
        <v>-460</v>
      </c>
      <c r="Q431" s="66">
        <f>'114+320'!R432</f>
        <v>0</v>
      </c>
      <c r="R431" s="65">
        <f t="shared" si="86"/>
        <v>280</v>
      </c>
      <c r="S431" s="70">
        <f>VLOOKUP(B431,'114+320'!$B$14:$AB$785,22,FALSE)</f>
        <v>2080</v>
      </c>
      <c r="T431" s="69">
        <f>VLOOKUP(B431,'114+320'!$B$15:$AB$785,6,FALSE)</f>
        <v>244</v>
      </c>
      <c r="U431" s="68">
        <f t="shared" si="82"/>
        <v>2660</v>
      </c>
      <c r="V431" s="77">
        <f>VLOOKUP(B431,'114+320'!$B$15:$AB$785,15,FALSE)</f>
        <v>-340</v>
      </c>
      <c r="W431" s="66">
        <f>'114+320'!S432</f>
        <v>0</v>
      </c>
      <c r="X431" s="65">
        <f t="shared" si="87"/>
        <v>220</v>
      </c>
      <c r="Y431" s="64">
        <f t="shared" si="88"/>
        <v>0</v>
      </c>
      <c r="Z431" s="63">
        <f t="shared" si="89"/>
        <v>0</v>
      </c>
      <c r="AA431" s="62">
        <f t="shared" si="90"/>
        <v>2.3689999999999998</v>
      </c>
      <c r="AB431" s="62">
        <f t="shared" si="91"/>
        <v>1.92</v>
      </c>
    </row>
    <row r="432" spans="2:28">
      <c r="B432" s="106">
        <f>'114+320'!B433</f>
        <v>45462</v>
      </c>
      <c r="C432" s="75">
        <f t="shared" si="83"/>
        <v>1</v>
      </c>
      <c r="D432" s="74">
        <f t="shared" si="84"/>
        <v>842</v>
      </c>
      <c r="E432" s="73">
        <f>VLOOKUP(B432,'114+320'!B433:AB819,3,FALSE)</f>
        <v>2064</v>
      </c>
      <c r="F432" s="69">
        <f t="shared" si="79"/>
        <v>2906</v>
      </c>
      <c r="G432" s="72">
        <f>VLOOKUP(B432,'114+320'!$B$15:$AB$785,20,FALSE)</f>
        <v>2044</v>
      </c>
      <c r="H432" s="72">
        <f>VLOOKUP(B432,'114+320'!$B$15:$AB$785,4,FALSE)</f>
        <v>342</v>
      </c>
      <c r="I432" s="68">
        <f t="shared" si="80"/>
        <v>2564</v>
      </c>
      <c r="J432" s="68">
        <f>VLOOKUP(B432,'114+320'!$B$15:$AB$785,13,FALSE)</f>
        <v>-436</v>
      </c>
      <c r="K432" s="66">
        <f>'114+320'!Q433</f>
        <v>0</v>
      </c>
      <c r="L432" s="65">
        <f t="shared" si="85"/>
        <v>256</v>
      </c>
      <c r="M432" s="70">
        <f>VLOOKUP(B432,'114+320'!$B$14:$AB$785,21,FALSE)</f>
        <v>2020</v>
      </c>
      <c r="N432" s="69">
        <f>VLOOKUP(B432,'114+320'!$B$15:$AB$785,5,FALSE)</f>
        <v>366</v>
      </c>
      <c r="O432" s="68">
        <f t="shared" si="81"/>
        <v>2540</v>
      </c>
      <c r="P432" s="68">
        <f>VLOOKUP(B432,'114+320'!$B$15:$AB$785,14,FALSE)</f>
        <v>-460</v>
      </c>
      <c r="Q432" s="66">
        <f>'114+320'!R433</f>
        <v>0</v>
      </c>
      <c r="R432" s="65">
        <f t="shared" si="86"/>
        <v>280</v>
      </c>
      <c r="S432" s="70">
        <f>VLOOKUP(B432,'114+320'!$B$14:$AB$785,22,FALSE)</f>
        <v>2080</v>
      </c>
      <c r="T432" s="69">
        <f>VLOOKUP(B432,'114+320'!$B$15:$AB$785,6,FALSE)</f>
        <v>246</v>
      </c>
      <c r="U432" s="68">
        <f t="shared" si="82"/>
        <v>2660</v>
      </c>
      <c r="V432" s="77">
        <f>VLOOKUP(B432,'114+320'!$B$15:$AB$785,15,FALSE)</f>
        <v>-340</v>
      </c>
      <c r="W432" s="66">
        <f>'114+320'!S433</f>
        <v>0</v>
      </c>
      <c r="X432" s="65">
        <f t="shared" si="87"/>
        <v>220</v>
      </c>
      <c r="Y432" s="64">
        <f t="shared" si="88"/>
        <v>0</v>
      </c>
      <c r="Z432" s="63">
        <f t="shared" si="89"/>
        <v>0</v>
      </c>
      <c r="AA432" s="62">
        <f t="shared" si="90"/>
        <v>2.3689999999999998</v>
      </c>
      <c r="AB432" s="62">
        <f t="shared" si="91"/>
        <v>1.92</v>
      </c>
    </row>
    <row r="433" spans="2:28">
      <c r="B433" s="106">
        <f>'114+320'!B434</f>
        <v>45463</v>
      </c>
      <c r="C433" s="75">
        <f t="shared" si="83"/>
        <v>1</v>
      </c>
      <c r="D433" s="74">
        <f t="shared" si="84"/>
        <v>842</v>
      </c>
      <c r="E433" s="73">
        <f>VLOOKUP(B433,'114+320'!B434:AB820,3,FALSE)</f>
        <v>2066</v>
      </c>
      <c r="F433" s="69">
        <f t="shared" si="79"/>
        <v>2908</v>
      </c>
      <c r="G433" s="72">
        <f>VLOOKUP(B433,'114+320'!$B$15:$AB$785,20,FALSE)</f>
        <v>2044</v>
      </c>
      <c r="H433" s="72">
        <f>VLOOKUP(B433,'114+320'!$B$15:$AB$785,4,FALSE)</f>
        <v>344</v>
      </c>
      <c r="I433" s="68">
        <f t="shared" si="80"/>
        <v>2564</v>
      </c>
      <c r="J433" s="68">
        <f>VLOOKUP(B433,'114+320'!$B$15:$AB$785,13,FALSE)</f>
        <v>-436</v>
      </c>
      <c r="K433" s="66">
        <f>'114+320'!Q434</f>
        <v>0</v>
      </c>
      <c r="L433" s="65">
        <f t="shared" si="85"/>
        <v>256</v>
      </c>
      <c r="M433" s="70">
        <f>VLOOKUP(B433,'114+320'!$B$14:$AB$785,21,FALSE)</f>
        <v>2020</v>
      </c>
      <c r="N433" s="69">
        <f>VLOOKUP(B433,'114+320'!$B$15:$AB$785,5,FALSE)</f>
        <v>368</v>
      </c>
      <c r="O433" s="68">
        <f t="shared" si="81"/>
        <v>2540</v>
      </c>
      <c r="P433" s="68">
        <f>VLOOKUP(B433,'114+320'!$B$15:$AB$785,14,FALSE)</f>
        <v>-460</v>
      </c>
      <c r="Q433" s="66">
        <f>'114+320'!R434</f>
        <v>0</v>
      </c>
      <c r="R433" s="65">
        <f t="shared" si="86"/>
        <v>280</v>
      </c>
      <c r="S433" s="70">
        <f>VLOOKUP(B433,'114+320'!$B$14:$AB$785,22,FALSE)</f>
        <v>2080</v>
      </c>
      <c r="T433" s="69">
        <f>VLOOKUP(B433,'114+320'!$B$15:$AB$785,6,FALSE)</f>
        <v>248</v>
      </c>
      <c r="U433" s="68">
        <f t="shared" si="82"/>
        <v>2660</v>
      </c>
      <c r="V433" s="77">
        <f>VLOOKUP(B433,'114+320'!$B$15:$AB$785,15,FALSE)</f>
        <v>-340</v>
      </c>
      <c r="W433" s="66">
        <f>'114+320'!S434</f>
        <v>0</v>
      </c>
      <c r="X433" s="65">
        <f t="shared" si="87"/>
        <v>220</v>
      </c>
      <c r="Y433" s="64">
        <f t="shared" si="88"/>
        <v>0</v>
      </c>
      <c r="Z433" s="63">
        <f t="shared" si="89"/>
        <v>0</v>
      </c>
      <c r="AA433" s="62">
        <f t="shared" si="90"/>
        <v>2.3689999999999998</v>
      </c>
      <c r="AB433" s="62">
        <f t="shared" si="91"/>
        <v>1.92</v>
      </c>
    </row>
    <row r="434" spans="2:28">
      <c r="B434" s="106">
        <f>'114+320'!B435</f>
        <v>45464</v>
      </c>
      <c r="C434" s="75">
        <f t="shared" si="83"/>
        <v>1</v>
      </c>
      <c r="D434" s="74">
        <f t="shared" si="84"/>
        <v>842</v>
      </c>
      <c r="E434" s="73">
        <f>VLOOKUP(B434,'114+320'!B435:AB821,3,FALSE)</f>
        <v>2068</v>
      </c>
      <c r="F434" s="69">
        <f t="shared" si="79"/>
        <v>2910</v>
      </c>
      <c r="G434" s="72">
        <f>VLOOKUP(B434,'114+320'!$B$15:$AB$785,20,FALSE)</f>
        <v>2044</v>
      </c>
      <c r="H434" s="72">
        <f>VLOOKUP(B434,'114+320'!$B$15:$AB$785,4,FALSE)</f>
        <v>346</v>
      </c>
      <c r="I434" s="68">
        <f t="shared" si="80"/>
        <v>2564</v>
      </c>
      <c r="J434" s="68">
        <f>VLOOKUP(B434,'114+320'!$B$15:$AB$785,13,FALSE)</f>
        <v>-436</v>
      </c>
      <c r="K434" s="66">
        <f>'114+320'!Q435</f>
        <v>0</v>
      </c>
      <c r="L434" s="65">
        <f t="shared" si="85"/>
        <v>256</v>
      </c>
      <c r="M434" s="70">
        <f>VLOOKUP(B434,'114+320'!$B$14:$AB$785,21,FALSE)</f>
        <v>2020</v>
      </c>
      <c r="N434" s="69">
        <f>VLOOKUP(B434,'114+320'!$B$15:$AB$785,5,FALSE)</f>
        <v>370</v>
      </c>
      <c r="O434" s="68">
        <f t="shared" si="81"/>
        <v>2540</v>
      </c>
      <c r="P434" s="68">
        <f>VLOOKUP(B434,'114+320'!$B$15:$AB$785,14,FALSE)</f>
        <v>-460</v>
      </c>
      <c r="Q434" s="66">
        <f>'114+320'!R435</f>
        <v>0</v>
      </c>
      <c r="R434" s="65">
        <f t="shared" si="86"/>
        <v>280</v>
      </c>
      <c r="S434" s="70">
        <f>VLOOKUP(B434,'114+320'!$B$14:$AB$785,22,FALSE)</f>
        <v>2080</v>
      </c>
      <c r="T434" s="69">
        <f>VLOOKUP(B434,'114+320'!$B$15:$AB$785,6,FALSE)</f>
        <v>250</v>
      </c>
      <c r="U434" s="68">
        <f t="shared" si="82"/>
        <v>2660</v>
      </c>
      <c r="V434" s="77">
        <f>VLOOKUP(B434,'114+320'!$B$15:$AB$785,15,FALSE)</f>
        <v>-340</v>
      </c>
      <c r="W434" s="66">
        <f>'114+320'!S435</f>
        <v>0</v>
      </c>
      <c r="X434" s="65">
        <f t="shared" si="87"/>
        <v>220</v>
      </c>
      <c r="Y434" s="64">
        <f t="shared" si="88"/>
        <v>0</v>
      </c>
      <c r="Z434" s="63">
        <f t="shared" si="89"/>
        <v>0</v>
      </c>
      <c r="AA434" s="62">
        <f t="shared" si="90"/>
        <v>2.3689999999999998</v>
      </c>
      <c r="AB434" s="62">
        <f t="shared" si="91"/>
        <v>1.92</v>
      </c>
    </row>
    <row r="435" spans="2:28">
      <c r="B435" s="106">
        <f>'114+320'!B436</f>
        <v>45465</v>
      </c>
      <c r="C435" s="75">
        <f t="shared" si="83"/>
        <v>1</v>
      </c>
      <c r="D435" s="74">
        <f t="shared" si="84"/>
        <v>842</v>
      </c>
      <c r="E435" s="73">
        <f>VLOOKUP(B435,'114+320'!B436:AB822,3,FALSE)</f>
        <v>2070</v>
      </c>
      <c r="F435" s="69">
        <f t="shared" si="79"/>
        <v>2912</v>
      </c>
      <c r="G435" s="72">
        <f>VLOOKUP(B435,'114+320'!$B$15:$AB$785,20,FALSE)</f>
        <v>2044</v>
      </c>
      <c r="H435" s="72">
        <f>VLOOKUP(B435,'114+320'!$B$15:$AB$785,4,FALSE)</f>
        <v>348</v>
      </c>
      <c r="I435" s="68">
        <f t="shared" si="80"/>
        <v>2564</v>
      </c>
      <c r="J435" s="68">
        <f>VLOOKUP(B435,'114+320'!$B$15:$AB$785,13,FALSE)</f>
        <v>-436</v>
      </c>
      <c r="K435" s="66">
        <f>'114+320'!Q436</f>
        <v>0</v>
      </c>
      <c r="L435" s="65">
        <f t="shared" si="85"/>
        <v>256</v>
      </c>
      <c r="M435" s="70">
        <f>VLOOKUP(B435,'114+320'!$B$14:$AB$785,21,FALSE)</f>
        <v>2020</v>
      </c>
      <c r="N435" s="69">
        <f>VLOOKUP(B435,'114+320'!$B$15:$AB$785,5,FALSE)</f>
        <v>372</v>
      </c>
      <c r="O435" s="68">
        <f t="shared" si="81"/>
        <v>2540</v>
      </c>
      <c r="P435" s="68">
        <f>VLOOKUP(B435,'114+320'!$B$15:$AB$785,14,FALSE)</f>
        <v>-460</v>
      </c>
      <c r="Q435" s="66">
        <f>'114+320'!R436</f>
        <v>0</v>
      </c>
      <c r="R435" s="65">
        <f t="shared" si="86"/>
        <v>280</v>
      </c>
      <c r="S435" s="70">
        <f>VLOOKUP(B435,'114+320'!$B$14:$AB$785,22,FALSE)</f>
        <v>2080</v>
      </c>
      <c r="T435" s="69">
        <f>VLOOKUP(B435,'114+320'!$B$15:$AB$785,6,FALSE)</f>
        <v>252</v>
      </c>
      <c r="U435" s="68">
        <f t="shared" si="82"/>
        <v>2660</v>
      </c>
      <c r="V435" s="77">
        <f>VLOOKUP(B435,'114+320'!$B$15:$AB$785,15,FALSE)</f>
        <v>-340</v>
      </c>
      <c r="W435" s="66">
        <f>'114+320'!S436</f>
        <v>0</v>
      </c>
      <c r="X435" s="65">
        <f t="shared" si="87"/>
        <v>220</v>
      </c>
      <c r="Y435" s="64">
        <f t="shared" si="88"/>
        <v>0</v>
      </c>
      <c r="Z435" s="63">
        <f t="shared" si="89"/>
        <v>0</v>
      </c>
      <c r="AA435" s="62">
        <f t="shared" si="90"/>
        <v>2.3689999999999998</v>
      </c>
      <c r="AB435" s="62">
        <f t="shared" si="91"/>
        <v>1.92</v>
      </c>
    </row>
    <row r="436" spans="2:28">
      <c r="B436" s="106">
        <f>'114+320'!B437</f>
        <v>45466</v>
      </c>
      <c r="C436" s="75">
        <f t="shared" si="83"/>
        <v>1</v>
      </c>
      <c r="D436" s="74">
        <f t="shared" si="84"/>
        <v>842</v>
      </c>
      <c r="E436" s="73">
        <f>VLOOKUP(B436,'114+320'!B437:AB823,3,FALSE)</f>
        <v>2072</v>
      </c>
      <c r="F436" s="69">
        <f t="shared" si="79"/>
        <v>2914</v>
      </c>
      <c r="G436" s="72">
        <f>VLOOKUP(B436,'114+320'!$B$15:$AB$785,20,FALSE)</f>
        <v>2044</v>
      </c>
      <c r="H436" s="72">
        <f>VLOOKUP(B436,'114+320'!$B$15:$AB$785,4,FALSE)</f>
        <v>350</v>
      </c>
      <c r="I436" s="68">
        <f t="shared" si="80"/>
        <v>2564</v>
      </c>
      <c r="J436" s="68">
        <f>VLOOKUP(B436,'114+320'!$B$15:$AB$785,13,FALSE)</f>
        <v>-436</v>
      </c>
      <c r="K436" s="66">
        <f>'114+320'!Q437</f>
        <v>0</v>
      </c>
      <c r="L436" s="65">
        <f t="shared" si="85"/>
        <v>256</v>
      </c>
      <c r="M436" s="70">
        <f>VLOOKUP(B436,'114+320'!$B$14:$AB$785,21,FALSE)</f>
        <v>2020</v>
      </c>
      <c r="N436" s="69">
        <f>VLOOKUP(B436,'114+320'!$B$15:$AB$785,5,FALSE)</f>
        <v>374</v>
      </c>
      <c r="O436" s="68">
        <f t="shared" si="81"/>
        <v>2540</v>
      </c>
      <c r="P436" s="68">
        <f>VLOOKUP(B436,'114+320'!$B$15:$AB$785,14,FALSE)</f>
        <v>-460</v>
      </c>
      <c r="Q436" s="66">
        <f>'114+320'!R437</f>
        <v>0</v>
      </c>
      <c r="R436" s="65">
        <f t="shared" si="86"/>
        <v>280</v>
      </c>
      <c r="S436" s="70">
        <f>VLOOKUP(B436,'114+320'!$B$14:$AB$785,22,FALSE)</f>
        <v>2080</v>
      </c>
      <c r="T436" s="69">
        <f>VLOOKUP(B436,'114+320'!$B$15:$AB$785,6,FALSE)</f>
        <v>254</v>
      </c>
      <c r="U436" s="68">
        <f t="shared" si="82"/>
        <v>2660</v>
      </c>
      <c r="V436" s="77">
        <f>VLOOKUP(B436,'114+320'!$B$15:$AB$785,15,FALSE)</f>
        <v>-340</v>
      </c>
      <c r="W436" s="66">
        <f>'114+320'!S437</f>
        <v>0</v>
      </c>
      <c r="X436" s="65">
        <f t="shared" si="87"/>
        <v>220</v>
      </c>
      <c r="Y436" s="64">
        <f t="shared" si="88"/>
        <v>0</v>
      </c>
      <c r="Z436" s="63">
        <f t="shared" si="89"/>
        <v>0</v>
      </c>
      <c r="AA436" s="62">
        <f t="shared" si="90"/>
        <v>2.3689999999999998</v>
      </c>
      <c r="AB436" s="62">
        <f t="shared" si="91"/>
        <v>1.92</v>
      </c>
    </row>
    <row r="437" spans="2:28">
      <c r="B437" s="106">
        <f>'114+320'!B438</f>
        <v>45467</v>
      </c>
      <c r="C437" s="75">
        <f t="shared" si="83"/>
        <v>1</v>
      </c>
      <c r="D437" s="74">
        <f t="shared" si="84"/>
        <v>842</v>
      </c>
      <c r="E437" s="73">
        <f>VLOOKUP(B437,'114+320'!B438:AB824,3,FALSE)</f>
        <v>2074</v>
      </c>
      <c r="F437" s="69">
        <f t="shared" si="79"/>
        <v>2916</v>
      </c>
      <c r="G437" s="72">
        <f>VLOOKUP(B437,'114+320'!$B$15:$AB$785,20,FALSE)</f>
        <v>2044</v>
      </c>
      <c r="H437" s="72">
        <f>VLOOKUP(B437,'114+320'!$B$15:$AB$785,4,FALSE)</f>
        <v>352</v>
      </c>
      <c r="I437" s="68">
        <f t="shared" si="80"/>
        <v>2564</v>
      </c>
      <c r="J437" s="68">
        <f>VLOOKUP(B437,'114+320'!$B$15:$AB$785,13,FALSE)</f>
        <v>-436</v>
      </c>
      <c r="K437" s="66">
        <f>'114+320'!Q438</f>
        <v>0</v>
      </c>
      <c r="L437" s="65">
        <f t="shared" si="85"/>
        <v>256</v>
      </c>
      <c r="M437" s="70">
        <f>VLOOKUP(B437,'114+320'!$B$14:$AB$785,21,FALSE)</f>
        <v>2020</v>
      </c>
      <c r="N437" s="69">
        <f>VLOOKUP(B437,'114+320'!$B$15:$AB$785,5,FALSE)</f>
        <v>376</v>
      </c>
      <c r="O437" s="68">
        <f t="shared" si="81"/>
        <v>2540</v>
      </c>
      <c r="P437" s="68">
        <f>VLOOKUP(B437,'114+320'!$B$15:$AB$785,14,FALSE)</f>
        <v>-460</v>
      </c>
      <c r="Q437" s="66">
        <f>'114+320'!R438</f>
        <v>0</v>
      </c>
      <c r="R437" s="65">
        <f t="shared" si="86"/>
        <v>280</v>
      </c>
      <c r="S437" s="70">
        <f>VLOOKUP(B437,'114+320'!$B$14:$AB$785,22,FALSE)</f>
        <v>2080</v>
      </c>
      <c r="T437" s="69">
        <f>VLOOKUP(B437,'114+320'!$B$15:$AB$785,6,FALSE)</f>
        <v>256</v>
      </c>
      <c r="U437" s="68">
        <f t="shared" si="82"/>
        <v>2660</v>
      </c>
      <c r="V437" s="77">
        <f>VLOOKUP(B437,'114+320'!$B$15:$AB$785,15,FALSE)</f>
        <v>-340</v>
      </c>
      <c r="W437" s="66">
        <f>'114+320'!S438</f>
        <v>0</v>
      </c>
      <c r="X437" s="65">
        <f t="shared" si="87"/>
        <v>220</v>
      </c>
      <c r="Y437" s="64">
        <f t="shared" si="88"/>
        <v>0</v>
      </c>
      <c r="Z437" s="63">
        <f t="shared" si="89"/>
        <v>0</v>
      </c>
      <c r="AA437" s="62">
        <f t="shared" si="90"/>
        <v>2.3689999999999998</v>
      </c>
      <c r="AB437" s="62">
        <f t="shared" si="91"/>
        <v>1.92</v>
      </c>
    </row>
    <row r="438" spans="2:28">
      <c r="B438" s="106">
        <f>'114+320'!B439</f>
        <v>45468</v>
      </c>
      <c r="C438" s="75">
        <f t="shared" si="83"/>
        <v>1</v>
      </c>
      <c r="D438" s="74">
        <f t="shared" si="84"/>
        <v>842</v>
      </c>
      <c r="E438" s="73">
        <f>VLOOKUP(B438,'114+320'!B439:AB825,3,FALSE)</f>
        <v>2076</v>
      </c>
      <c r="F438" s="69">
        <f t="shared" si="79"/>
        <v>2918</v>
      </c>
      <c r="G438" s="72">
        <f>VLOOKUP(B438,'114+320'!$B$15:$AB$785,20,FALSE)</f>
        <v>2044</v>
      </c>
      <c r="H438" s="72">
        <f>VLOOKUP(B438,'114+320'!$B$15:$AB$785,4,FALSE)</f>
        <v>354</v>
      </c>
      <c r="I438" s="68">
        <f t="shared" si="80"/>
        <v>2564</v>
      </c>
      <c r="J438" s="68">
        <f>VLOOKUP(B438,'114+320'!$B$15:$AB$785,13,FALSE)</f>
        <v>-436</v>
      </c>
      <c r="K438" s="66">
        <f>'114+320'!Q439</f>
        <v>0</v>
      </c>
      <c r="L438" s="65">
        <f t="shared" si="85"/>
        <v>256</v>
      </c>
      <c r="M438" s="70">
        <f>VLOOKUP(B438,'114+320'!$B$14:$AB$785,21,FALSE)</f>
        <v>2020</v>
      </c>
      <c r="N438" s="69">
        <f>VLOOKUP(B438,'114+320'!$B$15:$AB$785,5,FALSE)</f>
        <v>378</v>
      </c>
      <c r="O438" s="68">
        <f t="shared" si="81"/>
        <v>2540</v>
      </c>
      <c r="P438" s="68">
        <f>VLOOKUP(B438,'114+320'!$B$15:$AB$785,14,FALSE)</f>
        <v>-460</v>
      </c>
      <c r="Q438" s="66">
        <f>'114+320'!R439</f>
        <v>0</v>
      </c>
      <c r="R438" s="65">
        <f t="shared" si="86"/>
        <v>280</v>
      </c>
      <c r="S438" s="70">
        <f>VLOOKUP(B438,'114+320'!$B$14:$AB$785,22,FALSE)</f>
        <v>2080</v>
      </c>
      <c r="T438" s="69">
        <f>VLOOKUP(B438,'114+320'!$B$15:$AB$785,6,FALSE)</f>
        <v>258</v>
      </c>
      <c r="U438" s="68">
        <f t="shared" si="82"/>
        <v>2660</v>
      </c>
      <c r="V438" s="77">
        <f>VLOOKUP(B438,'114+320'!$B$15:$AB$785,15,FALSE)</f>
        <v>-340</v>
      </c>
      <c r="W438" s="66">
        <f>'114+320'!S439</f>
        <v>0</v>
      </c>
      <c r="X438" s="65">
        <f t="shared" si="87"/>
        <v>220</v>
      </c>
      <c r="Y438" s="64">
        <f t="shared" si="88"/>
        <v>0</v>
      </c>
      <c r="Z438" s="63">
        <f t="shared" si="89"/>
        <v>0</v>
      </c>
      <c r="AA438" s="62">
        <f t="shared" si="90"/>
        <v>2.3689999999999998</v>
      </c>
      <c r="AB438" s="62">
        <f t="shared" si="91"/>
        <v>1.92</v>
      </c>
    </row>
    <row r="439" spans="2:28">
      <c r="B439" s="106">
        <f>'114+320'!B440</f>
        <v>45469</v>
      </c>
      <c r="C439" s="75">
        <f t="shared" si="83"/>
        <v>1</v>
      </c>
      <c r="D439" s="74">
        <f t="shared" si="84"/>
        <v>842</v>
      </c>
      <c r="E439" s="73">
        <f>VLOOKUP(B439,'114+320'!B440:AB826,3,FALSE)</f>
        <v>2078</v>
      </c>
      <c r="F439" s="69">
        <f t="shared" si="79"/>
        <v>2920</v>
      </c>
      <c r="G439" s="72">
        <f>VLOOKUP(B439,'114+320'!$B$15:$AB$785,20,FALSE)</f>
        <v>2044</v>
      </c>
      <c r="H439" s="72">
        <f>VLOOKUP(B439,'114+320'!$B$15:$AB$785,4,FALSE)</f>
        <v>356</v>
      </c>
      <c r="I439" s="68">
        <f t="shared" si="80"/>
        <v>2564</v>
      </c>
      <c r="J439" s="68">
        <f>VLOOKUP(B439,'114+320'!$B$15:$AB$785,13,FALSE)</f>
        <v>-436</v>
      </c>
      <c r="K439" s="66">
        <f>'114+320'!Q440</f>
        <v>0</v>
      </c>
      <c r="L439" s="65">
        <f t="shared" si="85"/>
        <v>256</v>
      </c>
      <c r="M439" s="70">
        <f>VLOOKUP(B439,'114+320'!$B$14:$AB$785,21,FALSE)</f>
        <v>2020</v>
      </c>
      <c r="N439" s="69">
        <f>VLOOKUP(B439,'114+320'!$B$15:$AB$785,5,FALSE)</f>
        <v>380</v>
      </c>
      <c r="O439" s="68">
        <f t="shared" si="81"/>
        <v>2540</v>
      </c>
      <c r="P439" s="68">
        <f>VLOOKUP(B439,'114+320'!$B$15:$AB$785,14,FALSE)</f>
        <v>-460</v>
      </c>
      <c r="Q439" s="66">
        <f>'114+320'!R440</f>
        <v>0</v>
      </c>
      <c r="R439" s="65">
        <f t="shared" si="86"/>
        <v>280</v>
      </c>
      <c r="S439" s="70">
        <f>VLOOKUP(B439,'114+320'!$B$14:$AB$785,22,FALSE)</f>
        <v>2080</v>
      </c>
      <c r="T439" s="69">
        <f>VLOOKUP(B439,'114+320'!$B$15:$AB$785,6,FALSE)</f>
        <v>260</v>
      </c>
      <c r="U439" s="68">
        <f t="shared" si="82"/>
        <v>2660</v>
      </c>
      <c r="V439" s="77">
        <f>VLOOKUP(B439,'114+320'!$B$15:$AB$785,15,FALSE)</f>
        <v>-340</v>
      </c>
      <c r="W439" s="66">
        <f>'114+320'!S440</f>
        <v>0</v>
      </c>
      <c r="X439" s="65">
        <f t="shared" si="87"/>
        <v>220</v>
      </c>
      <c r="Y439" s="64">
        <f t="shared" si="88"/>
        <v>0</v>
      </c>
      <c r="Z439" s="63">
        <f t="shared" si="89"/>
        <v>0</v>
      </c>
      <c r="AA439" s="62">
        <f t="shared" si="90"/>
        <v>2.3689999999999998</v>
      </c>
      <c r="AB439" s="62">
        <f t="shared" si="91"/>
        <v>1.92</v>
      </c>
    </row>
    <row r="440" spans="2:28">
      <c r="B440" s="106">
        <f>'114+320'!B441</f>
        <v>45470</v>
      </c>
      <c r="C440" s="75">
        <f t="shared" si="83"/>
        <v>1</v>
      </c>
      <c r="D440" s="74">
        <f t="shared" si="84"/>
        <v>842</v>
      </c>
      <c r="E440" s="73">
        <f>VLOOKUP(B440,'114+320'!B441:AB827,3,FALSE)</f>
        <v>2080</v>
      </c>
      <c r="F440" s="69">
        <f t="shared" si="79"/>
        <v>2922</v>
      </c>
      <c r="G440" s="72">
        <f>VLOOKUP(B440,'114+320'!$B$15:$AB$785,20,FALSE)</f>
        <v>2044</v>
      </c>
      <c r="H440" s="72">
        <f>VLOOKUP(B440,'114+320'!$B$15:$AB$785,4,FALSE)</f>
        <v>358</v>
      </c>
      <c r="I440" s="68">
        <f t="shared" si="80"/>
        <v>2564</v>
      </c>
      <c r="J440" s="68">
        <f>VLOOKUP(B440,'114+320'!$B$15:$AB$785,13,FALSE)</f>
        <v>-436</v>
      </c>
      <c r="K440" s="66">
        <f>'114+320'!Q441</f>
        <v>0</v>
      </c>
      <c r="L440" s="65">
        <f t="shared" si="85"/>
        <v>256</v>
      </c>
      <c r="M440" s="70">
        <f>VLOOKUP(B440,'114+320'!$B$14:$AB$785,21,FALSE)</f>
        <v>2020</v>
      </c>
      <c r="N440" s="69">
        <f>VLOOKUP(B440,'114+320'!$B$15:$AB$785,5,FALSE)</f>
        <v>382</v>
      </c>
      <c r="O440" s="68">
        <f t="shared" si="81"/>
        <v>2540</v>
      </c>
      <c r="P440" s="68">
        <f>VLOOKUP(B440,'114+320'!$B$15:$AB$785,14,FALSE)</f>
        <v>-460</v>
      </c>
      <c r="Q440" s="66">
        <f>'114+320'!R441</f>
        <v>0</v>
      </c>
      <c r="R440" s="65">
        <f t="shared" si="86"/>
        <v>280</v>
      </c>
      <c r="S440" s="70">
        <f>VLOOKUP(B440,'114+320'!$B$14:$AB$785,22,FALSE)</f>
        <v>2080</v>
      </c>
      <c r="T440" s="69">
        <f>VLOOKUP(B440,'114+320'!$B$15:$AB$785,6,FALSE)</f>
        <v>262</v>
      </c>
      <c r="U440" s="68">
        <f t="shared" si="82"/>
        <v>2660</v>
      </c>
      <c r="V440" s="77">
        <f>VLOOKUP(B440,'114+320'!$B$15:$AB$785,15,FALSE)</f>
        <v>-340</v>
      </c>
      <c r="W440" s="66">
        <f>'114+320'!S441</f>
        <v>0</v>
      </c>
      <c r="X440" s="65">
        <f t="shared" si="87"/>
        <v>220</v>
      </c>
      <c r="Y440" s="64">
        <f t="shared" si="88"/>
        <v>0</v>
      </c>
      <c r="Z440" s="63">
        <f t="shared" si="89"/>
        <v>0</v>
      </c>
      <c r="AA440" s="62">
        <f t="shared" si="90"/>
        <v>2.3689999999999998</v>
      </c>
      <c r="AB440" s="62">
        <f t="shared" si="91"/>
        <v>1.92</v>
      </c>
    </row>
    <row r="441" spans="2:28">
      <c r="B441" s="106">
        <f>'114+320'!B442</f>
        <v>45471</v>
      </c>
      <c r="C441" s="75">
        <f t="shared" si="83"/>
        <v>1</v>
      </c>
      <c r="D441" s="74">
        <f t="shared" si="84"/>
        <v>842</v>
      </c>
      <c r="E441" s="73">
        <f>VLOOKUP(B441,'114+320'!B442:AB828,3,FALSE)</f>
        <v>2082</v>
      </c>
      <c r="F441" s="69">
        <f t="shared" si="79"/>
        <v>2924</v>
      </c>
      <c r="G441" s="72">
        <f>VLOOKUP(B441,'114+320'!$B$15:$AB$785,20,FALSE)</f>
        <v>2044</v>
      </c>
      <c r="H441" s="72">
        <f>VLOOKUP(B441,'114+320'!$B$15:$AB$785,4,FALSE)</f>
        <v>360</v>
      </c>
      <c r="I441" s="68">
        <f t="shared" si="80"/>
        <v>2564</v>
      </c>
      <c r="J441" s="68">
        <f>VLOOKUP(B441,'114+320'!$B$15:$AB$785,13,FALSE)</f>
        <v>-436</v>
      </c>
      <c r="K441" s="66">
        <f>'114+320'!Q442</f>
        <v>0</v>
      </c>
      <c r="L441" s="65">
        <f t="shared" si="85"/>
        <v>256</v>
      </c>
      <c r="M441" s="70">
        <f>VLOOKUP(B441,'114+320'!$B$14:$AB$785,21,FALSE)</f>
        <v>2020</v>
      </c>
      <c r="N441" s="69">
        <f>VLOOKUP(B441,'114+320'!$B$15:$AB$785,5,FALSE)</f>
        <v>384</v>
      </c>
      <c r="O441" s="68">
        <f t="shared" si="81"/>
        <v>2540</v>
      </c>
      <c r="P441" s="68">
        <f>VLOOKUP(B441,'114+320'!$B$15:$AB$785,14,FALSE)</f>
        <v>-460</v>
      </c>
      <c r="Q441" s="66">
        <f>'114+320'!R442</f>
        <v>0</v>
      </c>
      <c r="R441" s="65">
        <f t="shared" si="86"/>
        <v>280</v>
      </c>
      <c r="S441" s="70">
        <f>VLOOKUP(B441,'114+320'!$B$14:$AB$785,22,FALSE)</f>
        <v>2080</v>
      </c>
      <c r="T441" s="69">
        <f>VLOOKUP(B441,'114+320'!$B$15:$AB$785,6,FALSE)</f>
        <v>264</v>
      </c>
      <c r="U441" s="68">
        <f t="shared" si="82"/>
        <v>2660</v>
      </c>
      <c r="V441" s="77">
        <f>VLOOKUP(B441,'114+320'!$B$15:$AB$785,15,FALSE)</f>
        <v>-340</v>
      </c>
      <c r="W441" s="66">
        <f>'114+320'!S442</f>
        <v>0</v>
      </c>
      <c r="X441" s="65">
        <f t="shared" si="87"/>
        <v>220</v>
      </c>
      <c r="Y441" s="64">
        <f t="shared" si="88"/>
        <v>0</v>
      </c>
      <c r="Z441" s="63">
        <f t="shared" si="89"/>
        <v>0</v>
      </c>
      <c r="AA441" s="62">
        <f t="shared" si="90"/>
        <v>2.3689999999999998</v>
      </c>
      <c r="AB441" s="62">
        <f t="shared" si="91"/>
        <v>1.92</v>
      </c>
    </row>
    <row r="442" spans="2:28">
      <c r="B442" s="106">
        <f>'114+320'!B443</f>
        <v>45472</v>
      </c>
      <c r="C442" s="75">
        <f t="shared" si="83"/>
        <v>1</v>
      </c>
      <c r="D442" s="74">
        <f t="shared" si="84"/>
        <v>842</v>
      </c>
      <c r="E442" s="73">
        <f>VLOOKUP(B442,'114+320'!B443:AB829,3,FALSE)</f>
        <v>2084</v>
      </c>
      <c r="F442" s="69">
        <f t="shared" si="79"/>
        <v>2926</v>
      </c>
      <c r="G442" s="72">
        <f>VLOOKUP(B442,'114+320'!$B$15:$AB$785,20,FALSE)</f>
        <v>2044</v>
      </c>
      <c r="H442" s="72">
        <f>VLOOKUP(B442,'114+320'!$B$15:$AB$785,4,FALSE)</f>
        <v>362</v>
      </c>
      <c r="I442" s="68">
        <f t="shared" si="80"/>
        <v>2564</v>
      </c>
      <c r="J442" s="68">
        <f>VLOOKUP(B442,'114+320'!$B$15:$AB$785,13,FALSE)</f>
        <v>-436</v>
      </c>
      <c r="K442" s="66">
        <f>'114+320'!Q443</f>
        <v>0</v>
      </c>
      <c r="L442" s="65">
        <f t="shared" si="85"/>
        <v>256</v>
      </c>
      <c r="M442" s="70">
        <f>VLOOKUP(B442,'114+320'!$B$14:$AB$785,21,FALSE)</f>
        <v>2020</v>
      </c>
      <c r="N442" s="69">
        <f>VLOOKUP(B442,'114+320'!$B$15:$AB$785,5,FALSE)</f>
        <v>386</v>
      </c>
      <c r="O442" s="68">
        <f t="shared" si="81"/>
        <v>2540</v>
      </c>
      <c r="P442" s="68">
        <f>VLOOKUP(B442,'114+320'!$B$15:$AB$785,14,FALSE)</f>
        <v>-460</v>
      </c>
      <c r="Q442" s="66">
        <f>'114+320'!R443</f>
        <v>0</v>
      </c>
      <c r="R442" s="65">
        <f t="shared" si="86"/>
        <v>280</v>
      </c>
      <c r="S442" s="70">
        <f>VLOOKUP(B442,'114+320'!$B$14:$AB$785,22,FALSE)</f>
        <v>2080</v>
      </c>
      <c r="T442" s="69">
        <f>VLOOKUP(B442,'114+320'!$B$15:$AB$785,6,FALSE)</f>
        <v>266</v>
      </c>
      <c r="U442" s="68">
        <f t="shared" si="82"/>
        <v>2660</v>
      </c>
      <c r="V442" s="77">
        <f>VLOOKUP(B442,'114+320'!$B$15:$AB$785,15,FALSE)</f>
        <v>-340</v>
      </c>
      <c r="W442" s="66">
        <f>'114+320'!S443</f>
        <v>0</v>
      </c>
      <c r="X442" s="65">
        <f t="shared" si="87"/>
        <v>220</v>
      </c>
      <c r="Y442" s="64">
        <f t="shared" si="88"/>
        <v>0</v>
      </c>
      <c r="Z442" s="63">
        <f t="shared" si="89"/>
        <v>0</v>
      </c>
      <c r="AA442" s="62">
        <f t="shared" si="90"/>
        <v>2.3689999999999998</v>
      </c>
      <c r="AB442" s="62">
        <f t="shared" si="91"/>
        <v>1.92</v>
      </c>
    </row>
    <row r="443" spans="2:28">
      <c r="B443" s="106">
        <f>'114+320'!B444</f>
        <v>45473</v>
      </c>
      <c r="C443" s="75">
        <f t="shared" si="83"/>
        <v>1</v>
      </c>
      <c r="D443" s="74">
        <f t="shared" si="84"/>
        <v>842</v>
      </c>
      <c r="E443" s="73">
        <f>VLOOKUP(B443,'114+320'!B444:AB830,3,FALSE)</f>
        <v>2086</v>
      </c>
      <c r="F443" s="69">
        <f t="shared" si="79"/>
        <v>2928</v>
      </c>
      <c r="G443" s="72">
        <f>VLOOKUP(B443,'114+320'!$B$15:$AB$785,20,FALSE)</f>
        <v>2044</v>
      </c>
      <c r="H443" s="72">
        <f>VLOOKUP(B443,'114+320'!$B$15:$AB$785,4,FALSE)</f>
        <v>364</v>
      </c>
      <c r="I443" s="68">
        <f t="shared" si="80"/>
        <v>2564</v>
      </c>
      <c r="J443" s="68">
        <f>VLOOKUP(B443,'114+320'!$B$15:$AB$785,13,FALSE)</f>
        <v>-436</v>
      </c>
      <c r="K443" s="66">
        <f>'114+320'!Q444</f>
        <v>0</v>
      </c>
      <c r="L443" s="65">
        <f t="shared" si="85"/>
        <v>256</v>
      </c>
      <c r="M443" s="70">
        <f>VLOOKUP(B443,'114+320'!$B$14:$AB$785,21,FALSE)</f>
        <v>2020</v>
      </c>
      <c r="N443" s="69">
        <f>VLOOKUP(B443,'114+320'!$B$15:$AB$785,5,FALSE)</f>
        <v>388</v>
      </c>
      <c r="O443" s="68">
        <f t="shared" si="81"/>
        <v>2540</v>
      </c>
      <c r="P443" s="68">
        <f>VLOOKUP(B443,'114+320'!$B$15:$AB$785,14,FALSE)</f>
        <v>-460</v>
      </c>
      <c r="Q443" s="66">
        <f>'114+320'!R444</f>
        <v>0</v>
      </c>
      <c r="R443" s="65">
        <f t="shared" si="86"/>
        <v>280</v>
      </c>
      <c r="S443" s="70">
        <f>VLOOKUP(B443,'114+320'!$B$14:$AB$785,22,FALSE)</f>
        <v>2080</v>
      </c>
      <c r="T443" s="69">
        <f>VLOOKUP(B443,'114+320'!$B$15:$AB$785,6,FALSE)</f>
        <v>268</v>
      </c>
      <c r="U443" s="68">
        <f t="shared" si="82"/>
        <v>2660</v>
      </c>
      <c r="V443" s="77">
        <f>VLOOKUP(B443,'114+320'!$B$15:$AB$785,15,FALSE)</f>
        <v>-340</v>
      </c>
      <c r="W443" s="66">
        <f>'114+320'!S444</f>
        <v>0</v>
      </c>
      <c r="X443" s="65">
        <f t="shared" si="87"/>
        <v>220</v>
      </c>
      <c r="Y443" s="64">
        <f t="shared" si="88"/>
        <v>0</v>
      </c>
      <c r="Z443" s="63">
        <f t="shared" si="89"/>
        <v>0</v>
      </c>
      <c r="AA443" s="62">
        <f t="shared" si="90"/>
        <v>2.3689999999999998</v>
      </c>
      <c r="AB443" s="62">
        <f t="shared" si="91"/>
        <v>1.92</v>
      </c>
    </row>
    <row r="444" spans="2:28">
      <c r="B444" s="106">
        <f>'114+320'!B445</f>
        <v>45474</v>
      </c>
      <c r="C444" s="75">
        <f t="shared" si="83"/>
        <v>1</v>
      </c>
      <c r="D444" s="74">
        <f t="shared" si="84"/>
        <v>842</v>
      </c>
      <c r="E444" s="73">
        <f>VLOOKUP(B444,'114+320'!B445:AB831,3,FALSE)</f>
        <v>2088</v>
      </c>
      <c r="F444" s="69">
        <f t="shared" si="79"/>
        <v>2930</v>
      </c>
      <c r="G444" s="72">
        <f>VLOOKUP(B444,'114+320'!$B$15:$AB$785,20,FALSE)</f>
        <v>2044</v>
      </c>
      <c r="H444" s="72">
        <f>VLOOKUP(B444,'114+320'!$B$15:$AB$785,4,FALSE)</f>
        <v>366</v>
      </c>
      <c r="I444" s="68">
        <f t="shared" si="80"/>
        <v>2564</v>
      </c>
      <c r="J444" s="68">
        <f>VLOOKUP(B444,'114+320'!$B$15:$AB$785,13,FALSE)</f>
        <v>-436</v>
      </c>
      <c r="K444" s="66">
        <f>'114+320'!Q445</f>
        <v>0</v>
      </c>
      <c r="L444" s="65">
        <f t="shared" si="85"/>
        <v>256</v>
      </c>
      <c r="M444" s="70">
        <f>VLOOKUP(B444,'114+320'!$B$14:$AB$785,21,FALSE)</f>
        <v>2020</v>
      </c>
      <c r="N444" s="69">
        <f>VLOOKUP(B444,'114+320'!$B$15:$AB$785,5,FALSE)</f>
        <v>390</v>
      </c>
      <c r="O444" s="68">
        <f t="shared" si="81"/>
        <v>2540</v>
      </c>
      <c r="P444" s="68">
        <f>VLOOKUP(B444,'114+320'!$B$15:$AB$785,14,FALSE)</f>
        <v>-460</v>
      </c>
      <c r="Q444" s="66">
        <f>'114+320'!R445</f>
        <v>0</v>
      </c>
      <c r="R444" s="65">
        <f t="shared" si="86"/>
        <v>280</v>
      </c>
      <c r="S444" s="70">
        <f>VLOOKUP(B444,'114+320'!$B$14:$AB$785,22,FALSE)</f>
        <v>2080</v>
      </c>
      <c r="T444" s="69">
        <f>VLOOKUP(B444,'114+320'!$B$15:$AB$785,6,FALSE)</f>
        <v>270</v>
      </c>
      <c r="U444" s="68">
        <f t="shared" si="82"/>
        <v>2660</v>
      </c>
      <c r="V444" s="77">
        <f>VLOOKUP(B444,'114+320'!$B$15:$AB$785,15,FALSE)</f>
        <v>-340</v>
      </c>
      <c r="W444" s="66">
        <f>'114+320'!S445</f>
        <v>0</v>
      </c>
      <c r="X444" s="65">
        <f t="shared" si="87"/>
        <v>220</v>
      </c>
      <c r="Y444" s="64">
        <f t="shared" si="88"/>
        <v>0</v>
      </c>
      <c r="Z444" s="63">
        <f t="shared" si="89"/>
        <v>0</v>
      </c>
      <c r="AA444" s="62">
        <f t="shared" si="90"/>
        <v>2.3689999999999998</v>
      </c>
      <c r="AB444" s="62">
        <f t="shared" si="91"/>
        <v>1.92</v>
      </c>
    </row>
    <row r="445" spans="2:28">
      <c r="B445" s="106">
        <f>'114+320'!B446</f>
        <v>45475</v>
      </c>
      <c r="C445" s="75">
        <f t="shared" si="83"/>
        <v>1</v>
      </c>
      <c r="D445" s="74">
        <f t="shared" si="84"/>
        <v>842</v>
      </c>
      <c r="E445" s="73">
        <f>VLOOKUP(B445,'114+320'!B446:AB832,3,FALSE)</f>
        <v>2090</v>
      </c>
      <c r="F445" s="69">
        <f t="shared" si="79"/>
        <v>2932</v>
      </c>
      <c r="G445" s="72">
        <f>VLOOKUP(B445,'114+320'!$B$15:$AB$785,20,FALSE)</f>
        <v>2044</v>
      </c>
      <c r="H445" s="72">
        <f>VLOOKUP(B445,'114+320'!$B$15:$AB$785,4,FALSE)</f>
        <v>368</v>
      </c>
      <c r="I445" s="68">
        <f t="shared" si="80"/>
        <v>2564</v>
      </c>
      <c r="J445" s="68">
        <f>VLOOKUP(B445,'114+320'!$B$15:$AB$785,13,FALSE)</f>
        <v>-436</v>
      </c>
      <c r="K445" s="66">
        <f>'114+320'!Q446</f>
        <v>0</v>
      </c>
      <c r="L445" s="65">
        <f t="shared" si="85"/>
        <v>256</v>
      </c>
      <c r="M445" s="70">
        <f>VLOOKUP(B445,'114+320'!$B$14:$AB$785,21,FALSE)</f>
        <v>2020</v>
      </c>
      <c r="N445" s="69">
        <f>VLOOKUP(B445,'114+320'!$B$15:$AB$785,5,FALSE)</f>
        <v>392</v>
      </c>
      <c r="O445" s="68">
        <f t="shared" si="81"/>
        <v>2540</v>
      </c>
      <c r="P445" s="68">
        <f>VLOOKUP(B445,'114+320'!$B$15:$AB$785,14,FALSE)</f>
        <v>-460</v>
      </c>
      <c r="Q445" s="66">
        <f>'114+320'!R446</f>
        <v>0</v>
      </c>
      <c r="R445" s="65">
        <f t="shared" si="86"/>
        <v>280</v>
      </c>
      <c r="S445" s="70">
        <f>VLOOKUP(B445,'114+320'!$B$14:$AB$785,22,FALSE)</f>
        <v>2080</v>
      </c>
      <c r="T445" s="69">
        <f>VLOOKUP(B445,'114+320'!$B$15:$AB$785,6,FALSE)</f>
        <v>272</v>
      </c>
      <c r="U445" s="68">
        <f t="shared" si="82"/>
        <v>2660</v>
      </c>
      <c r="V445" s="77">
        <f>VLOOKUP(B445,'114+320'!$B$15:$AB$785,15,FALSE)</f>
        <v>-340</v>
      </c>
      <c r="W445" s="66">
        <f>'114+320'!S446</f>
        <v>0</v>
      </c>
      <c r="X445" s="65">
        <f t="shared" si="87"/>
        <v>220</v>
      </c>
      <c r="Y445" s="64">
        <f t="shared" si="88"/>
        <v>0</v>
      </c>
      <c r="Z445" s="63">
        <f t="shared" si="89"/>
        <v>0</v>
      </c>
      <c r="AA445" s="62">
        <f t="shared" si="90"/>
        <v>2.3689999999999998</v>
      </c>
      <c r="AB445" s="62">
        <f t="shared" si="91"/>
        <v>1.92</v>
      </c>
    </row>
    <row r="446" spans="2:28">
      <c r="B446" s="106">
        <f>'114+320'!B447</f>
        <v>45476</v>
      </c>
      <c r="C446" s="75">
        <f t="shared" si="83"/>
        <v>1</v>
      </c>
      <c r="D446" s="74">
        <f t="shared" si="84"/>
        <v>842</v>
      </c>
      <c r="E446" s="73">
        <f>VLOOKUP(B446,'114+320'!B447:AB833,3,FALSE)</f>
        <v>2092</v>
      </c>
      <c r="F446" s="69">
        <f t="shared" si="79"/>
        <v>2934</v>
      </c>
      <c r="G446" s="72">
        <f>VLOOKUP(B446,'114+320'!$B$15:$AB$785,20,FALSE)</f>
        <v>2044</v>
      </c>
      <c r="H446" s="72">
        <f>VLOOKUP(B446,'114+320'!$B$15:$AB$785,4,FALSE)</f>
        <v>370</v>
      </c>
      <c r="I446" s="68">
        <f t="shared" si="80"/>
        <v>2564</v>
      </c>
      <c r="J446" s="68">
        <f>VLOOKUP(B446,'114+320'!$B$15:$AB$785,13,FALSE)</f>
        <v>-436</v>
      </c>
      <c r="K446" s="66">
        <f>'114+320'!Q447</f>
        <v>0</v>
      </c>
      <c r="L446" s="65">
        <f t="shared" si="85"/>
        <v>256</v>
      </c>
      <c r="M446" s="70">
        <f>VLOOKUP(B446,'114+320'!$B$14:$AB$785,21,FALSE)</f>
        <v>2020</v>
      </c>
      <c r="N446" s="69">
        <f>VLOOKUP(B446,'114+320'!$B$15:$AB$785,5,FALSE)</f>
        <v>394</v>
      </c>
      <c r="O446" s="68">
        <f t="shared" si="81"/>
        <v>2540</v>
      </c>
      <c r="P446" s="68">
        <f>VLOOKUP(B446,'114+320'!$B$15:$AB$785,14,FALSE)</f>
        <v>-460</v>
      </c>
      <c r="Q446" s="66">
        <f>'114+320'!R447</f>
        <v>0</v>
      </c>
      <c r="R446" s="65">
        <f t="shared" si="86"/>
        <v>280</v>
      </c>
      <c r="S446" s="70">
        <f>VLOOKUP(B446,'114+320'!$B$14:$AB$785,22,FALSE)</f>
        <v>2080</v>
      </c>
      <c r="T446" s="69">
        <f>VLOOKUP(B446,'114+320'!$B$15:$AB$785,6,FALSE)</f>
        <v>274</v>
      </c>
      <c r="U446" s="68">
        <f t="shared" si="82"/>
        <v>2660</v>
      </c>
      <c r="V446" s="77">
        <f>VLOOKUP(B446,'114+320'!$B$15:$AB$785,15,FALSE)</f>
        <v>-340</v>
      </c>
      <c r="W446" s="66">
        <f>'114+320'!S447</f>
        <v>0</v>
      </c>
      <c r="X446" s="65">
        <f t="shared" si="87"/>
        <v>220</v>
      </c>
      <c r="Y446" s="64">
        <f t="shared" si="88"/>
        <v>0</v>
      </c>
      <c r="Z446" s="63">
        <f t="shared" si="89"/>
        <v>0</v>
      </c>
      <c r="AA446" s="62">
        <f t="shared" si="90"/>
        <v>2.3689999999999998</v>
      </c>
      <c r="AB446" s="62">
        <f t="shared" si="91"/>
        <v>1.92</v>
      </c>
    </row>
    <row r="447" spans="2:28">
      <c r="B447" s="106">
        <f>'114+320'!B448</f>
        <v>45477</v>
      </c>
      <c r="C447" s="75">
        <f t="shared" si="83"/>
        <v>1</v>
      </c>
      <c r="D447" s="74">
        <f t="shared" si="84"/>
        <v>842</v>
      </c>
      <c r="E447" s="73">
        <f>VLOOKUP(B447,'114+320'!B448:AB834,3,FALSE)</f>
        <v>2094</v>
      </c>
      <c r="F447" s="69">
        <f t="shared" si="79"/>
        <v>2936</v>
      </c>
      <c r="G447" s="72">
        <f>VLOOKUP(B447,'114+320'!$B$15:$AB$785,20,FALSE)</f>
        <v>2044</v>
      </c>
      <c r="H447" s="72">
        <f>VLOOKUP(B447,'114+320'!$B$15:$AB$785,4,FALSE)</f>
        <v>372</v>
      </c>
      <c r="I447" s="68">
        <f t="shared" si="80"/>
        <v>2564</v>
      </c>
      <c r="J447" s="68">
        <f>VLOOKUP(B447,'114+320'!$B$15:$AB$785,13,FALSE)</f>
        <v>-436</v>
      </c>
      <c r="K447" s="66">
        <f>'114+320'!Q448</f>
        <v>0</v>
      </c>
      <c r="L447" s="65">
        <f t="shared" si="85"/>
        <v>256</v>
      </c>
      <c r="M447" s="70">
        <f>VLOOKUP(B447,'114+320'!$B$14:$AB$785,21,FALSE)</f>
        <v>2020</v>
      </c>
      <c r="N447" s="69">
        <f>VLOOKUP(B447,'114+320'!$B$15:$AB$785,5,FALSE)</f>
        <v>396</v>
      </c>
      <c r="O447" s="68">
        <f t="shared" si="81"/>
        <v>2540</v>
      </c>
      <c r="P447" s="68">
        <f>VLOOKUP(B447,'114+320'!$B$15:$AB$785,14,FALSE)</f>
        <v>-460</v>
      </c>
      <c r="Q447" s="66">
        <f>'114+320'!R448</f>
        <v>0</v>
      </c>
      <c r="R447" s="65">
        <f t="shared" si="86"/>
        <v>280</v>
      </c>
      <c r="S447" s="70">
        <f>VLOOKUP(B447,'114+320'!$B$14:$AB$785,22,FALSE)</f>
        <v>2080</v>
      </c>
      <c r="T447" s="69">
        <f>VLOOKUP(B447,'114+320'!$B$15:$AB$785,6,FALSE)</f>
        <v>276</v>
      </c>
      <c r="U447" s="68">
        <f t="shared" si="82"/>
        <v>2660</v>
      </c>
      <c r="V447" s="77">
        <f>VLOOKUP(B447,'114+320'!$B$15:$AB$785,15,FALSE)</f>
        <v>-340</v>
      </c>
      <c r="W447" s="66">
        <f>'114+320'!S448</f>
        <v>0</v>
      </c>
      <c r="X447" s="65">
        <f t="shared" si="87"/>
        <v>220</v>
      </c>
      <c r="Y447" s="64">
        <f t="shared" si="88"/>
        <v>0</v>
      </c>
      <c r="Z447" s="63">
        <f t="shared" si="89"/>
        <v>0</v>
      </c>
      <c r="AA447" s="62">
        <f t="shared" si="90"/>
        <v>2.3689999999999998</v>
      </c>
      <c r="AB447" s="62">
        <f t="shared" si="91"/>
        <v>1.92</v>
      </c>
    </row>
    <row r="448" spans="2:28">
      <c r="B448" s="106">
        <f>'114+320'!B449</f>
        <v>45478</v>
      </c>
      <c r="C448" s="75">
        <f t="shared" si="83"/>
        <v>1</v>
      </c>
      <c r="D448" s="74">
        <f t="shared" si="84"/>
        <v>842</v>
      </c>
      <c r="E448" s="73">
        <f>VLOOKUP(B448,'114+320'!B449:AB835,3,FALSE)</f>
        <v>2096</v>
      </c>
      <c r="F448" s="69">
        <f t="shared" si="79"/>
        <v>2938</v>
      </c>
      <c r="G448" s="72">
        <f>VLOOKUP(B448,'114+320'!$B$15:$AB$785,20,FALSE)</f>
        <v>2044</v>
      </c>
      <c r="H448" s="72">
        <f>VLOOKUP(B448,'114+320'!$B$15:$AB$785,4,FALSE)</f>
        <v>374</v>
      </c>
      <c r="I448" s="68">
        <f t="shared" si="80"/>
        <v>2564</v>
      </c>
      <c r="J448" s="68">
        <f>VLOOKUP(B448,'114+320'!$B$15:$AB$785,13,FALSE)</f>
        <v>-436</v>
      </c>
      <c r="K448" s="66">
        <f>'114+320'!Q449</f>
        <v>0</v>
      </c>
      <c r="L448" s="65">
        <f t="shared" si="85"/>
        <v>256</v>
      </c>
      <c r="M448" s="70">
        <f>VLOOKUP(B448,'114+320'!$B$14:$AB$785,21,FALSE)</f>
        <v>2020</v>
      </c>
      <c r="N448" s="69">
        <f>VLOOKUP(B448,'114+320'!$B$15:$AB$785,5,FALSE)</f>
        <v>398</v>
      </c>
      <c r="O448" s="68">
        <f t="shared" si="81"/>
        <v>2540</v>
      </c>
      <c r="P448" s="68">
        <f>VLOOKUP(B448,'114+320'!$B$15:$AB$785,14,FALSE)</f>
        <v>-460</v>
      </c>
      <c r="Q448" s="66">
        <f>'114+320'!R449</f>
        <v>0</v>
      </c>
      <c r="R448" s="65">
        <f t="shared" si="86"/>
        <v>280</v>
      </c>
      <c r="S448" s="70">
        <f>VLOOKUP(B448,'114+320'!$B$14:$AB$785,22,FALSE)</f>
        <v>2080</v>
      </c>
      <c r="T448" s="69">
        <f>VLOOKUP(B448,'114+320'!$B$15:$AB$785,6,FALSE)</f>
        <v>278</v>
      </c>
      <c r="U448" s="68">
        <f t="shared" si="82"/>
        <v>2660</v>
      </c>
      <c r="V448" s="77">
        <f>VLOOKUP(B448,'114+320'!$B$15:$AB$785,15,FALSE)</f>
        <v>-340</v>
      </c>
      <c r="W448" s="66">
        <f>'114+320'!S449</f>
        <v>0</v>
      </c>
      <c r="X448" s="65">
        <f t="shared" si="87"/>
        <v>220</v>
      </c>
      <c r="Y448" s="64">
        <f t="shared" si="88"/>
        <v>0</v>
      </c>
      <c r="Z448" s="63">
        <f t="shared" si="89"/>
        <v>0</v>
      </c>
      <c r="AA448" s="62">
        <f t="shared" si="90"/>
        <v>2.3689999999999998</v>
      </c>
      <c r="AB448" s="62">
        <f t="shared" si="91"/>
        <v>1.92</v>
      </c>
    </row>
    <row r="449" spans="2:28">
      <c r="B449" s="106">
        <f>'114+320'!B450</f>
        <v>45479</v>
      </c>
      <c r="C449" s="75">
        <f t="shared" si="83"/>
        <v>1</v>
      </c>
      <c r="D449" s="74">
        <f t="shared" si="84"/>
        <v>842</v>
      </c>
      <c r="E449" s="73">
        <f>VLOOKUP(B449,'114+320'!B450:AB836,3,FALSE)</f>
        <v>2098</v>
      </c>
      <c r="F449" s="69">
        <f t="shared" si="79"/>
        <v>2940</v>
      </c>
      <c r="G449" s="72">
        <f>VLOOKUP(B449,'114+320'!$B$15:$AB$785,20,FALSE)</f>
        <v>2044</v>
      </c>
      <c r="H449" s="72">
        <f>VLOOKUP(B449,'114+320'!$B$15:$AB$785,4,FALSE)</f>
        <v>376</v>
      </c>
      <c r="I449" s="68">
        <f t="shared" si="80"/>
        <v>2564</v>
      </c>
      <c r="J449" s="68">
        <f>VLOOKUP(B449,'114+320'!$B$15:$AB$785,13,FALSE)</f>
        <v>-436</v>
      </c>
      <c r="K449" s="66">
        <f>'114+320'!Q450</f>
        <v>0</v>
      </c>
      <c r="L449" s="65">
        <f t="shared" si="85"/>
        <v>256</v>
      </c>
      <c r="M449" s="70">
        <f>VLOOKUP(B449,'114+320'!$B$14:$AB$785,21,FALSE)</f>
        <v>2020</v>
      </c>
      <c r="N449" s="69">
        <f>VLOOKUP(B449,'114+320'!$B$15:$AB$785,5,FALSE)</f>
        <v>400</v>
      </c>
      <c r="O449" s="68">
        <f t="shared" si="81"/>
        <v>2540</v>
      </c>
      <c r="P449" s="68">
        <f>VLOOKUP(B449,'114+320'!$B$15:$AB$785,14,FALSE)</f>
        <v>-460</v>
      </c>
      <c r="Q449" s="66">
        <f>'114+320'!R450</f>
        <v>0</v>
      </c>
      <c r="R449" s="65">
        <f t="shared" si="86"/>
        <v>280</v>
      </c>
      <c r="S449" s="70">
        <f>VLOOKUP(B449,'114+320'!$B$14:$AB$785,22,FALSE)</f>
        <v>2080</v>
      </c>
      <c r="T449" s="69">
        <f>VLOOKUP(B449,'114+320'!$B$15:$AB$785,6,FALSE)</f>
        <v>280</v>
      </c>
      <c r="U449" s="68">
        <f t="shared" si="82"/>
        <v>2660</v>
      </c>
      <c r="V449" s="77">
        <f>VLOOKUP(B449,'114+320'!$B$15:$AB$785,15,FALSE)</f>
        <v>-340</v>
      </c>
      <c r="W449" s="66">
        <f>'114+320'!S450</f>
        <v>0</v>
      </c>
      <c r="X449" s="65">
        <f t="shared" si="87"/>
        <v>220</v>
      </c>
      <c r="Y449" s="64">
        <f t="shared" si="88"/>
        <v>0</v>
      </c>
      <c r="Z449" s="63">
        <f t="shared" si="89"/>
        <v>0</v>
      </c>
      <c r="AA449" s="62">
        <f t="shared" si="90"/>
        <v>2.3689999999999998</v>
      </c>
      <c r="AB449" s="62">
        <f t="shared" si="91"/>
        <v>1.92</v>
      </c>
    </row>
    <row r="450" spans="2:28">
      <c r="B450" s="106">
        <f>'114+320'!B451</f>
        <v>45480</v>
      </c>
      <c r="C450" s="75">
        <f t="shared" si="83"/>
        <v>1</v>
      </c>
      <c r="D450" s="74">
        <f t="shared" si="84"/>
        <v>842</v>
      </c>
      <c r="E450" s="73">
        <f>VLOOKUP(B450,'114+320'!B451:AB837,3,FALSE)</f>
        <v>2100</v>
      </c>
      <c r="F450" s="69">
        <f t="shared" si="79"/>
        <v>2942</v>
      </c>
      <c r="G450" s="72">
        <f>VLOOKUP(B450,'114+320'!$B$15:$AB$785,20,FALSE)</f>
        <v>2044</v>
      </c>
      <c r="H450" s="72">
        <f>VLOOKUP(B450,'114+320'!$B$15:$AB$785,4,FALSE)</f>
        <v>378</v>
      </c>
      <c r="I450" s="68">
        <f t="shared" si="80"/>
        <v>2564</v>
      </c>
      <c r="J450" s="68">
        <f>VLOOKUP(B450,'114+320'!$B$15:$AB$785,13,FALSE)</f>
        <v>-436</v>
      </c>
      <c r="K450" s="66">
        <f>'114+320'!Q451</f>
        <v>0</v>
      </c>
      <c r="L450" s="65">
        <f t="shared" si="85"/>
        <v>256</v>
      </c>
      <c r="M450" s="70">
        <f>VLOOKUP(B450,'114+320'!$B$14:$AB$785,21,FALSE)</f>
        <v>2020</v>
      </c>
      <c r="N450" s="69">
        <f>VLOOKUP(B450,'114+320'!$B$15:$AB$785,5,FALSE)</f>
        <v>402</v>
      </c>
      <c r="O450" s="68">
        <f t="shared" si="81"/>
        <v>2540</v>
      </c>
      <c r="P450" s="68">
        <f>VLOOKUP(B450,'114+320'!$B$15:$AB$785,14,FALSE)</f>
        <v>-460</v>
      </c>
      <c r="Q450" s="66">
        <f>'114+320'!R451</f>
        <v>0</v>
      </c>
      <c r="R450" s="65">
        <f t="shared" si="86"/>
        <v>280</v>
      </c>
      <c r="S450" s="70">
        <f>VLOOKUP(B450,'114+320'!$B$14:$AB$785,22,FALSE)</f>
        <v>2080</v>
      </c>
      <c r="T450" s="69">
        <f>VLOOKUP(B450,'114+320'!$B$15:$AB$785,6,FALSE)</f>
        <v>282</v>
      </c>
      <c r="U450" s="68">
        <f t="shared" si="82"/>
        <v>2660</v>
      </c>
      <c r="V450" s="77">
        <f>VLOOKUP(B450,'114+320'!$B$15:$AB$785,15,FALSE)</f>
        <v>-340</v>
      </c>
      <c r="W450" s="66">
        <f>'114+320'!S451</f>
        <v>0</v>
      </c>
      <c r="X450" s="65">
        <f t="shared" si="87"/>
        <v>220</v>
      </c>
      <c r="Y450" s="64">
        <f t="shared" si="88"/>
        <v>0</v>
      </c>
      <c r="Z450" s="63">
        <f t="shared" si="89"/>
        <v>0</v>
      </c>
      <c r="AA450" s="62">
        <f t="shared" si="90"/>
        <v>2.3689999999999998</v>
      </c>
      <c r="AB450" s="62">
        <f t="shared" si="91"/>
        <v>1.92</v>
      </c>
    </row>
    <row r="451" spans="2:28">
      <c r="B451" s="106">
        <f>'114+320'!B452</f>
        <v>45481</v>
      </c>
      <c r="C451" s="75">
        <f t="shared" si="83"/>
        <v>1</v>
      </c>
      <c r="D451" s="74">
        <f t="shared" si="84"/>
        <v>842</v>
      </c>
      <c r="E451" s="73">
        <f>VLOOKUP(B451,'114+320'!B452:AB838,3,FALSE)</f>
        <v>2102</v>
      </c>
      <c r="F451" s="69">
        <f t="shared" si="79"/>
        <v>2944</v>
      </c>
      <c r="G451" s="72">
        <f>VLOOKUP(B451,'114+320'!$B$15:$AB$785,20,FALSE)</f>
        <v>2044</v>
      </c>
      <c r="H451" s="72">
        <f>VLOOKUP(B451,'114+320'!$B$15:$AB$785,4,FALSE)</f>
        <v>380</v>
      </c>
      <c r="I451" s="68">
        <f t="shared" si="80"/>
        <v>2564</v>
      </c>
      <c r="J451" s="68">
        <f>VLOOKUP(B451,'114+320'!$B$15:$AB$785,13,FALSE)</f>
        <v>-436</v>
      </c>
      <c r="K451" s="66">
        <f>'114+320'!Q452</f>
        <v>0</v>
      </c>
      <c r="L451" s="65">
        <f t="shared" si="85"/>
        <v>256</v>
      </c>
      <c r="M451" s="70">
        <f>VLOOKUP(B451,'114+320'!$B$14:$AB$785,21,FALSE)</f>
        <v>2020</v>
      </c>
      <c r="N451" s="69">
        <f>VLOOKUP(B451,'114+320'!$B$15:$AB$785,5,FALSE)</f>
        <v>404</v>
      </c>
      <c r="O451" s="68">
        <f t="shared" si="81"/>
        <v>2540</v>
      </c>
      <c r="P451" s="68">
        <f>VLOOKUP(B451,'114+320'!$B$15:$AB$785,14,FALSE)</f>
        <v>-460</v>
      </c>
      <c r="Q451" s="66">
        <f>'114+320'!R452</f>
        <v>0</v>
      </c>
      <c r="R451" s="65">
        <f t="shared" si="86"/>
        <v>280</v>
      </c>
      <c r="S451" s="70">
        <f>VLOOKUP(B451,'114+320'!$B$14:$AB$785,22,FALSE)</f>
        <v>2080</v>
      </c>
      <c r="T451" s="69">
        <f>VLOOKUP(B451,'114+320'!$B$15:$AB$785,6,FALSE)</f>
        <v>284</v>
      </c>
      <c r="U451" s="68">
        <f t="shared" si="82"/>
        <v>2660</v>
      </c>
      <c r="V451" s="77">
        <f>VLOOKUP(B451,'114+320'!$B$15:$AB$785,15,FALSE)</f>
        <v>-340</v>
      </c>
      <c r="W451" s="66">
        <f>'114+320'!S452</f>
        <v>0</v>
      </c>
      <c r="X451" s="65">
        <f t="shared" si="87"/>
        <v>220</v>
      </c>
      <c r="Y451" s="64">
        <f t="shared" si="88"/>
        <v>0</v>
      </c>
      <c r="Z451" s="63">
        <f t="shared" si="89"/>
        <v>0</v>
      </c>
      <c r="AA451" s="62">
        <f t="shared" si="90"/>
        <v>2.3689999999999998</v>
      </c>
      <c r="AB451" s="62">
        <f t="shared" si="91"/>
        <v>1.92</v>
      </c>
    </row>
    <row r="452" spans="2:28">
      <c r="B452" s="106">
        <f>'114+320'!B453</f>
        <v>45482</v>
      </c>
      <c r="C452" s="75">
        <f t="shared" si="83"/>
        <v>1</v>
      </c>
      <c r="D452" s="74">
        <f t="shared" si="84"/>
        <v>842</v>
      </c>
      <c r="E452" s="73">
        <f>VLOOKUP(B452,'114+320'!B453:AB839,3,FALSE)</f>
        <v>2104</v>
      </c>
      <c r="F452" s="69">
        <f t="shared" si="79"/>
        <v>2946</v>
      </c>
      <c r="G452" s="72">
        <f>VLOOKUP(B452,'114+320'!$B$15:$AB$785,20,FALSE)</f>
        <v>2044</v>
      </c>
      <c r="H452" s="72">
        <f>VLOOKUP(B452,'114+320'!$B$15:$AB$785,4,FALSE)</f>
        <v>382</v>
      </c>
      <c r="I452" s="68">
        <f t="shared" si="80"/>
        <v>2564</v>
      </c>
      <c r="J452" s="68">
        <f>VLOOKUP(B452,'114+320'!$B$15:$AB$785,13,FALSE)</f>
        <v>-436</v>
      </c>
      <c r="K452" s="66">
        <f>'114+320'!Q453</f>
        <v>0</v>
      </c>
      <c r="L452" s="65">
        <f t="shared" si="85"/>
        <v>256</v>
      </c>
      <c r="M452" s="70">
        <f>VLOOKUP(B452,'114+320'!$B$14:$AB$785,21,FALSE)</f>
        <v>2020</v>
      </c>
      <c r="N452" s="69">
        <f>VLOOKUP(B452,'114+320'!$B$15:$AB$785,5,FALSE)</f>
        <v>406</v>
      </c>
      <c r="O452" s="68">
        <f t="shared" si="81"/>
        <v>2540</v>
      </c>
      <c r="P452" s="68">
        <f>VLOOKUP(B452,'114+320'!$B$15:$AB$785,14,FALSE)</f>
        <v>-460</v>
      </c>
      <c r="Q452" s="66">
        <f>'114+320'!R453</f>
        <v>0</v>
      </c>
      <c r="R452" s="65">
        <f t="shared" si="86"/>
        <v>280</v>
      </c>
      <c r="S452" s="70">
        <f>VLOOKUP(B452,'114+320'!$B$14:$AB$785,22,FALSE)</f>
        <v>2080</v>
      </c>
      <c r="T452" s="69">
        <f>VLOOKUP(B452,'114+320'!$B$15:$AB$785,6,FALSE)</f>
        <v>286</v>
      </c>
      <c r="U452" s="68">
        <f t="shared" si="82"/>
        <v>2660</v>
      </c>
      <c r="V452" s="77">
        <f>VLOOKUP(B452,'114+320'!$B$15:$AB$785,15,FALSE)</f>
        <v>-340</v>
      </c>
      <c r="W452" s="66">
        <f>'114+320'!S453</f>
        <v>0</v>
      </c>
      <c r="X452" s="65">
        <f t="shared" si="87"/>
        <v>220</v>
      </c>
      <c r="Y452" s="64">
        <f t="shared" si="88"/>
        <v>0</v>
      </c>
      <c r="Z452" s="63">
        <f t="shared" si="89"/>
        <v>0</v>
      </c>
      <c r="AA452" s="62">
        <f t="shared" si="90"/>
        <v>2.3689999999999998</v>
      </c>
      <c r="AB452" s="62">
        <f t="shared" si="91"/>
        <v>1.92</v>
      </c>
    </row>
    <row r="453" spans="2:28">
      <c r="B453" s="106">
        <f>'114+320'!B454</f>
        <v>45483</v>
      </c>
      <c r="C453" s="75">
        <f t="shared" si="83"/>
        <v>1</v>
      </c>
      <c r="D453" s="74">
        <f t="shared" si="84"/>
        <v>842</v>
      </c>
      <c r="E453" s="73">
        <f>VLOOKUP(B453,'114+320'!B454:AB840,3,FALSE)</f>
        <v>2106</v>
      </c>
      <c r="F453" s="69">
        <f t="shared" si="79"/>
        <v>2948</v>
      </c>
      <c r="G453" s="72">
        <f>VLOOKUP(B453,'114+320'!$B$15:$AB$785,20,FALSE)</f>
        <v>2044</v>
      </c>
      <c r="H453" s="72">
        <f>VLOOKUP(B453,'114+320'!$B$15:$AB$785,4,FALSE)</f>
        <v>384</v>
      </c>
      <c r="I453" s="68">
        <f t="shared" si="80"/>
        <v>2564</v>
      </c>
      <c r="J453" s="68">
        <f>VLOOKUP(B453,'114+320'!$B$15:$AB$785,13,FALSE)</f>
        <v>-436</v>
      </c>
      <c r="K453" s="66">
        <f>'114+320'!Q454</f>
        <v>0</v>
      </c>
      <c r="L453" s="65">
        <f t="shared" si="85"/>
        <v>256</v>
      </c>
      <c r="M453" s="70">
        <f>VLOOKUP(B453,'114+320'!$B$14:$AB$785,21,FALSE)</f>
        <v>2020</v>
      </c>
      <c r="N453" s="69">
        <f>VLOOKUP(B453,'114+320'!$B$15:$AB$785,5,FALSE)</f>
        <v>408</v>
      </c>
      <c r="O453" s="68">
        <f t="shared" si="81"/>
        <v>2540</v>
      </c>
      <c r="P453" s="68">
        <f>VLOOKUP(B453,'114+320'!$B$15:$AB$785,14,FALSE)</f>
        <v>-460</v>
      </c>
      <c r="Q453" s="66">
        <f>'114+320'!R454</f>
        <v>0</v>
      </c>
      <c r="R453" s="65">
        <f t="shared" si="86"/>
        <v>280</v>
      </c>
      <c r="S453" s="70">
        <f>VLOOKUP(B453,'114+320'!$B$14:$AB$785,22,FALSE)</f>
        <v>2080</v>
      </c>
      <c r="T453" s="69">
        <f>VLOOKUP(B453,'114+320'!$B$15:$AB$785,6,FALSE)</f>
        <v>288</v>
      </c>
      <c r="U453" s="68">
        <f t="shared" si="82"/>
        <v>2660</v>
      </c>
      <c r="V453" s="77">
        <f>VLOOKUP(B453,'114+320'!$B$15:$AB$785,15,FALSE)</f>
        <v>-340</v>
      </c>
      <c r="W453" s="66">
        <f>'114+320'!S454</f>
        <v>0</v>
      </c>
      <c r="X453" s="65">
        <f t="shared" si="87"/>
        <v>220</v>
      </c>
      <c r="Y453" s="64">
        <f t="shared" si="88"/>
        <v>0</v>
      </c>
      <c r="Z453" s="63">
        <f t="shared" si="89"/>
        <v>0</v>
      </c>
      <c r="AA453" s="62">
        <f t="shared" si="90"/>
        <v>2.3689999999999998</v>
      </c>
      <c r="AB453" s="62">
        <f t="shared" si="91"/>
        <v>1.92</v>
      </c>
    </row>
    <row r="454" spans="2:28">
      <c r="B454" s="106">
        <f>'114+320'!B455</f>
        <v>45484</v>
      </c>
      <c r="C454" s="75">
        <f t="shared" si="83"/>
        <v>1</v>
      </c>
      <c r="D454" s="74">
        <f t="shared" si="84"/>
        <v>842</v>
      </c>
      <c r="E454" s="73">
        <f>VLOOKUP(B454,'114+320'!B455:AB841,3,FALSE)</f>
        <v>2108</v>
      </c>
      <c r="F454" s="69">
        <f t="shared" si="79"/>
        <v>2950</v>
      </c>
      <c r="G454" s="72">
        <f>VLOOKUP(B454,'114+320'!$B$15:$AB$785,20,FALSE)</f>
        <v>2044</v>
      </c>
      <c r="H454" s="72">
        <f>VLOOKUP(B454,'114+320'!$B$15:$AB$785,4,FALSE)</f>
        <v>386</v>
      </c>
      <c r="I454" s="68">
        <f t="shared" si="80"/>
        <v>2564</v>
      </c>
      <c r="J454" s="68">
        <f>VLOOKUP(B454,'114+320'!$B$15:$AB$785,13,FALSE)</f>
        <v>-436</v>
      </c>
      <c r="K454" s="66">
        <f>'114+320'!Q455</f>
        <v>0</v>
      </c>
      <c r="L454" s="65">
        <f t="shared" si="85"/>
        <v>256</v>
      </c>
      <c r="M454" s="70">
        <f>VLOOKUP(B454,'114+320'!$B$14:$AB$785,21,FALSE)</f>
        <v>2020</v>
      </c>
      <c r="N454" s="69">
        <f>VLOOKUP(B454,'114+320'!$B$15:$AB$785,5,FALSE)</f>
        <v>410</v>
      </c>
      <c r="O454" s="68">
        <f t="shared" si="81"/>
        <v>2540</v>
      </c>
      <c r="P454" s="68">
        <f>VLOOKUP(B454,'114+320'!$B$15:$AB$785,14,FALSE)</f>
        <v>-460</v>
      </c>
      <c r="Q454" s="66">
        <f>'114+320'!R455</f>
        <v>0</v>
      </c>
      <c r="R454" s="65">
        <f t="shared" si="86"/>
        <v>280</v>
      </c>
      <c r="S454" s="70">
        <f>VLOOKUP(B454,'114+320'!$B$14:$AB$785,22,FALSE)</f>
        <v>2080</v>
      </c>
      <c r="T454" s="69">
        <f>VLOOKUP(B454,'114+320'!$B$15:$AB$785,6,FALSE)</f>
        <v>290</v>
      </c>
      <c r="U454" s="68">
        <f t="shared" si="82"/>
        <v>2660</v>
      </c>
      <c r="V454" s="77">
        <f>VLOOKUP(B454,'114+320'!$B$15:$AB$785,15,FALSE)</f>
        <v>-340</v>
      </c>
      <c r="W454" s="66">
        <f>'114+320'!S455</f>
        <v>0</v>
      </c>
      <c r="X454" s="65">
        <f t="shared" si="87"/>
        <v>220</v>
      </c>
      <c r="Y454" s="64">
        <f t="shared" si="88"/>
        <v>0</v>
      </c>
      <c r="Z454" s="63">
        <f t="shared" si="89"/>
        <v>0</v>
      </c>
      <c r="AA454" s="62">
        <f t="shared" si="90"/>
        <v>2.3689999999999998</v>
      </c>
      <c r="AB454" s="62">
        <f t="shared" si="91"/>
        <v>1.92</v>
      </c>
    </row>
    <row r="455" spans="2:28">
      <c r="B455" s="106">
        <f>'114+320'!B456</f>
        <v>45485</v>
      </c>
      <c r="C455" s="75">
        <f t="shared" si="83"/>
        <v>1</v>
      </c>
      <c r="D455" s="74">
        <f t="shared" si="84"/>
        <v>842</v>
      </c>
      <c r="E455" s="73">
        <f>VLOOKUP(B455,'114+320'!B456:AB842,3,FALSE)</f>
        <v>2110</v>
      </c>
      <c r="F455" s="69">
        <f t="shared" si="79"/>
        <v>2952</v>
      </c>
      <c r="G455" s="72">
        <f>VLOOKUP(B455,'114+320'!$B$15:$AB$785,20,FALSE)</f>
        <v>2044</v>
      </c>
      <c r="H455" s="72">
        <f>VLOOKUP(B455,'114+320'!$B$15:$AB$785,4,FALSE)</f>
        <v>388</v>
      </c>
      <c r="I455" s="68">
        <f t="shared" si="80"/>
        <v>2564</v>
      </c>
      <c r="J455" s="68">
        <f>VLOOKUP(B455,'114+320'!$B$15:$AB$785,13,FALSE)</f>
        <v>-436</v>
      </c>
      <c r="K455" s="66">
        <f>'114+320'!Q456</f>
        <v>0</v>
      </c>
      <c r="L455" s="65">
        <f t="shared" si="85"/>
        <v>256</v>
      </c>
      <c r="M455" s="70">
        <f>VLOOKUP(B455,'114+320'!$B$14:$AB$785,21,FALSE)</f>
        <v>2020</v>
      </c>
      <c r="N455" s="69">
        <f>VLOOKUP(B455,'114+320'!$B$15:$AB$785,5,FALSE)</f>
        <v>412</v>
      </c>
      <c r="O455" s="68">
        <f t="shared" si="81"/>
        <v>2540</v>
      </c>
      <c r="P455" s="68">
        <f>VLOOKUP(B455,'114+320'!$B$15:$AB$785,14,FALSE)</f>
        <v>-460</v>
      </c>
      <c r="Q455" s="66">
        <f>'114+320'!R456</f>
        <v>0</v>
      </c>
      <c r="R455" s="65">
        <f t="shared" si="86"/>
        <v>280</v>
      </c>
      <c r="S455" s="70">
        <f>VLOOKUP(B455,'114+320'!$B$14:$AB$785,22,FALSE)</f>
        <v>2080</v>
      </c>
      <c r="T455" s="69">
        <f>VLOOKUP(B455,'114+320'!$B$15:$AB$785,6,FALSE)</f>
        <v>292</v>
      </c>
      <c r="U455" s="68">
        <f t="shared" si="82"/>
        <v>2660</v>
      </c>
      <c r="V455" s="77">
        <f>VLOOKUP(B455,'114+320'!$B$15:$AB$785,15,FALSE)</f>
        <v>-340</v>
      </c>
      <c r="W455" s="66">
        <f>'114+320'!S456</f>
        <v>0</v>
      </c>
      <c r="X455" s="65">
        <f t="shared" si="87"/>
        <v>220</v>
      </c>
      <c r="Y455" s="64">
        <f t="shared" si="88"/>
        <v>0</v>
      </c>
      <c r="Z455" s="63">
        <f t="shared" si="89"/>
        <v>0</v>
      </c>
      <c r="AA455" s="62">
        <f t="shared" si="90"/>
        <v>2.3689999999999998</v>
      </c>
      <c r="AB455" s="62">
        <f t="shared" si="91"/>
        <v>1.92</v>
      </c>
    </row>
    <row r="456" spans="2:28">
      <c r="B456" s="106">
        <f>'114+320'!B457</f>
        <v>45486</v>
      </c>
      <c r="C456" s="75">
        <f t="shared" si="83"/>
        <v>1</v>
      </c>
      <c r="D456" s="74">
        <f t="shared" si="84"/>
        <v>842</v>
      </c>
      <c r="E456" s="73">
        <f>VLOOKUP(B456,'114+320'!B457:AB843,3,FALSE)</f>
        <v>2112</v>
      </c>
      <c r="F456" s="69">
        <f t="shared" si="79"/>
        <v>2954</v>
      </c>
      <c r="G456" s="72">
        <f>VLOOKUP(B456,'114+320'!$B$15:$AB$785,20,FALSE)</f>
        <v>2044</v>
      </c>
      <c r="H456" s="72">
        <f>VLOOKUP(B456,'114+320'!$B$15:$AB$785,4,FALSE)</f>
        <v>390</v>
      </c>
      <c r="I456" s="68">
        <f t="shared" si="80"/>
        <v>2564</v>
      </c>
      <c r="J456" s="68">
        <f>VLOOKUP(B456,'114+320'!$B$15:$AB$785,13,FALSE)</f>
        <v>-436</v>
      </c>
      <c r="K456" s="66">
        <f>'114+320'!Q457</f>
        <v>0</v>
      </c>
      <c r="L456" s="65">
        <f t="shared" si="85"/>
        <v>256</v>
      </c>
      <c r="M456" s="70">
        <f>VLOOKUP(B456,'114+320'!$B$14:$AB$785,21,FALSE)</f>
        <v>2020</v>
      </c>
      <c r="N456" s="69">
        <f>VLOOKUP(B456,'114+320'!$B$15:$AB$785,5,FALSE)</f>
        <v>414</v>
      </c>
      <c r="O456" s="68">
        <f t="shared" si="81"/>
        <v>2540</v>
      </c>
      <c r="P456" s="68">
        <f>VLOOKUP(B456,'114+320'!$B$15:$AB$785,14,FALSE)</f>
        <v>-460</v>
      </c>
      <c r="Q456" s="66">
        <f>'114+320'!R457</f>
        <v>0</v>
      </c>
      <c r="R456" s="65">
        <f t="shared" si="86"/>
        <v>280</v>
      </c>
      <c r="S456" s="70">
        <f>VLOOKUP(B456,'114+320'!$B$14:$AB$785,22,FALSE)</f>
        <v>2080</v>
      </c>
      <c r="T456" s="69">
        <f>VLOOKUP(B456,'114+320'!$B$15:$AB$785,6,FALSE)</f>
        <v>294</v>
      </c>
      <c r="U456" s="68">
        <f t="shared" si="82"/>
        <v>2660</v>
      </c>
      <c r="V456" s="77">
        <f>VLOOKUP(B456,'114+320'!$B$15:$AB$785,15,FALSE)</f>
        <v>-340</v>
      </c>
      <c r="W456" s="66">
        <f>'114+320'!S457</f>
        <v>0</v>
      </c>
      <c r="X456" s="65">
        <f t="shared" si="87"/>
        <v>220</v>
      </c>
      <c r="Y456" s="64">
        <f t="shared" si="88"/>
        <v>0</v>
      </c>
      <c r="Z456" s="63">
        <f t="shared" si="89"/>
        <v>0</v>
      </c>
      <c r="AA456" s="62">
        <f t="shared" si="90"/>
        <v>2.3689999999999998</v>
      </c>
      <c r="AB456" s="62">
        <f t="shared" si="91"/>
        <v>1.92</v>
      </c>
    </row>
    <row r="457" spans="2:28">
      <c r="B457" s="106">
        <f>'114+320'!B458</f>
        <v>45487</v>
      </c>
      <c r="C457" s="75">
        <f t="shared" si="83"/>
        <v>1</v>
      </c>
      <c r="D457" s="74">
        <f t="shared" si="84"/>
        <v>842</v>
      </c>
      <c r="E457" s="73">
        <f>VLOOKUP(B457,'114+320'!B458:AB844,3,FALSE)</f>
        <v>2114</v>
      </c>
      <c r="F457" s="69">
        <f t="shared" si="79"/>
        <v>2956</v>
      </c>
      <c r="G457" s="72">
        <f>VLOOKUP(B457,'114+320'!$B$15:$AB$785,20,FALSE)</f>
        <v>2044</v>
      </c>
      <c r="H457" s="72">
        <f>VLOOKUP(B457,'114+320'!$B$15:$AB$785,4,FALSE)</f>
        <v>392</v>
      </c>
      <c r="I457" s="68">
        <f t="shared" si="80"/>
        <v>2564</v>
      </c>
      <c r="J457" s="68">
        <f>VLOOKUP(B457,'114+320'!$B$15:$AB$785,13,FALSE)</f>
        <v>-436</v>
      </c>
      <c r="K457" s="66">
        <f>'114+320'!Q458</f>
        <v>0</v>
      </c>
      <c r="L457" s="65">
        <f t="shared" si="85"/>
        <v>256</v>
      </c>
      <c r="M457" s="70">
        <f>VLOOKUP(B457,'114+320'!$B$14:$AB$785,21,FALSE)</f>
        <v>2020</v>
      </c>
      <c r="N457" s="69">
        <f>VLOOKUP(B457,'114+320'!$B$15:$AB$785,5,FALSE)</f>
        <v>416</v>
      </c>
      <c r="O457" s="68">
        <f t="shared" si="81"/>
        <v>2540</v>
      </c>
      <c r="P457" s="68">
        <f>VLOOKUP(B457,'114+320'!$B$15:$AB$785,14,FALSE)</f>
        <v>-460</v>
      </c>
      <c r="Q457" s="66">
        <f>'114+320'!R458</f>
        <v>0</v>
      </c>
      <c r="R457" s="65">
        <f t="shared" si="86"/>
        <v>280</v>
      </c>
      <c r="S457" s="70">
        <f>VLOOKUP(B457,'114+320'!$B$14:$AB$785,22,FALSE)</f>
        <v>2080</v>
      </c>
      <c r="T457" s="69">
        <f>VLOOKUP(B457,'114+320'!$B$15:$AB$785,6,FALSE)</f>
        <v>296</v>
      </c>
      <c r="U457" s="68">
        <f t="shared" si="82"/>
        <v>2660</v>
      </c>
      <c r="V457" s="77">
        <f>VLOOKUP(B457,'114+320'!$B$15:$AB$785,15,FALSE)</f>
        <v>-340</v>
      </c>
      <c r="W457" s="66">
        <f>'114+320'!S458</f>
        <v>0</v>
      </c>
      <c r="X457" s="65">
        <f t="shared" si="87"/>
        <v>220</v>
      </c>
      <c r="Y457" s="64">
        <f t="shared" si="88"/>
        <v>0</v>
      </c>
      <c r="Z457" s="63">
        <f t="shared" si="89"/>
        <v>0</v>
      </c>
      <c r="AA457" s="62">
        <f t="shared" si="90"/>
        <v>2.3689999999999998</v>
      </c>
      <c r="AB457" s="62">
        <f t="shared" si="91"/>
        <v>1.92</v>
      </c>
    </row>
    <row r="458" spans="2:28">
      <c r="B458" s="106">
        <f>'114+320'!B459</f>
        <v>45488</v>
      </c>
      <c r="C458" s="75">
        <f t="shared" si="83"/>
        <v>1</v>
      </c>
      <c r="D458" s="74">
        <f t="shared" si="84"/>
        <v>842</v>
      </c>
      <c r="E458" s="73">
        <f>VLOOKUP(B458,'114+320'!B459:AB845,3,FALSE)</f>
        <v>2116</v>
      </c>
      <c r="F458" s="69">
        <f t="shared" si="79"/>
        <v>2958</v>
      </c>
      <c r="G458" s="72">
        <f>VLOOKUP(B458,'114+320'!$B$15:$AB$785,20,FALSE)</f>
        <v>2044</v>
      </c>
      <c r="H458" s="72">
        <f>VLOOKUP(B458,'114+320'!$B$15:$AB$785,4,FALSE)</f>
        <v>394</v>
      </c>
      <c r="I458" s="68">
        <f t="shared" si="80"/>
        <v>2564</v>
      </c>
      <c r="J458" s="68">
        <f>VLOOKUP(B458,'114+320'!$B$15:$AB$785,13,FALSE)</f>
        <v>-436</v>
      </c>
      <c r="K458" s="66">
        <f>'114+320'!Q459</f>
        <v>0</v>
      </c>
      <c r="L458" s="65">
        <f t="shared" si="85"/>
        <v>256</v>
      </c>
      <c r="M458" s="70">
        <f>VLOOKUP(B458,'114+320'!$B$14:$AB$785,21,FALSE)</f>
        <v>2020</v>
      </c>
      <c r="N458" s="69">
        <f>VLOOKUP(B458,'114+320'!$B$15:$AB$785,5,FALSE)</f>
        <v>418</v>
      </c>
      <c r="O458" s="68">
        <f t="shared" si="81"/>
        <v>2540</v>
      </c>
      <c r="P458" s="68">
        <f>VLOOKUP(B458,'114+320'!$B$15:$AB$785,14,FALSE)</f>
        <v>-460</v>
      </c>
      <c r="Q458" s="66">
        <f>'114+320'!R459</f>
        <v>0</v>
      </c>
      <c r="R458" s="65">
        <f t="shared" si="86"/>
        <v>280</v>
      </c>
      <c r="S458" s="70">
        <f>VLOOKUP(B458,'114+320'!$B$14:$AB$785,22,FALSE)</f>
        <v>2080</v>
      </c>
      <c r="T458" s="69">
        <f>VLOOKUP(B458,'114+320'!$B$15:$AB$785,6,FALSE)</f>
        <v>298</v>
      </c>
      <c r="U458" s="68">
        <f t="shared" si="82"/>
        <v>2660</v>
      </c>
      <c r="V458" s="77">
        <f>VLOOKUP(B458,'114+320'!$B$15:$AB$785,15,FALSE)</f>
        <v>-340</v>
      </c>
      <c r="W458" s="66">
        <f>'114+320'!S459</f>
        <v>0</v>
      </c>
      <c r="X458" s="65">
        <f t="shared" si="87"/>
        <v>220</v>
      </c>
      <c r="Y458" s="64">
        <f t="shared" si="88"/>
        <v>0</v>
      </c>
      <c r="Z458" s="63">
        <f t="shared" si="89"/>
        <v>0</v>
      </c>
      <c r="AA458" s="62">
        <f t="shared" si="90"/>
        <v>2.3689999999999998</v>
      </c>
      <c r="AB458" s="62">
        <f t="shared" si="91"/>
        <v>1.92</v>
      </c>
    </row>
    <row r="459" spans="2:28">
      <c r="B459" s="106">
        <f>'114+320'!B460</f>
        <v>45489</v>
      </c>
      <c r="C459" s="75">
        <f t="shared" si="83"/>
        <v>1</v>
      </c>
      <c r="D459" s="74">
        <f t="shared" si="84"/>
        <v>842</v>
      </c>
      <c r="E459" s="73">
        <f>VLOOKUP(B459,'114+320'!B460:AB846,3,FALSE)</f>
        <v>2118</v>
      </c>
      <c r="F459" s="69">
        <f t="shared" si="79"/>
        <v>2960</v>
      </c>
      <c r="G459" s="72">
        <f>VLOOKUP(B459,'114+320'!$B$15:$AB$785,20,FALSE)</f>
        <v>2044</v>
      </c>
      <c r="H459" s="72">
        <f>VLOOKUP(B459,'114+320'!$B$15:$AB$785,4,FALSE)</f>
        <v>396</v>
      </c>
      <c r="I459" s="68">
        <f t="shared" si="80"/>
        <v>2564</v>
      </c>
      <c r="J459" s="68">
        <f>VLOOKUP(B459,'114+320'!$B$15:$AB$785,13,FALSE)</f>
        <v>-436</v>
      </c>
      <c r="K459" s="66">
        <f>'114+320'!Q460</f>
        <v>0</v>
      </c>
      <c r="L459" s="65">
        <f t="shared" si="85"/>
        <v>256</v>
      </c>
      <c r="M459" s="70">
        <f>VLOOKUP(B459,'114+320'!$B$14:$AB$785,21,FALSE)</f>
        <v>2020</v>
      </c>
      <c r="N459" s="69">
        <f>VLOOKUP(B459,'114+320'!$B$15:$AB$785,5,FALSE)</f>
        <v>420</v>
      </c>
      <c r="O459" s="68">
        <f t="shared" si="81"/>
        <v>2540</v>
      </c>
      <c r="P459" s="68">
        <f>VLOOKUP(B459,'114+320'!$B$15:$AB$785,14,FALSE)</f>
        <v>-460</v>
      </c>
      <c r="Q459" s="66">
        <f>'114+320'!R460</f>
        <v>0</v>
      </c>
      <c r="R459" s="65">
        <f t="shared" si="86"/>
        <v>280</v>
      </c>
      <c r="S459" s="70">
        <f>VLOOKUP(B459,'114+320'!$B$14:$AB$785,22,FALSE)</f>
        <v>2080</v>
      </c>
      <c r="T459" s="69">
        <f>VLOOKUP(B459,'114+320'!$B$15:$AB$785,6,FALSE)</f>
        <v>300</v>
      </c>
      <c r="U459" s="68">
        <f t="shared" si="82"/>
        <v>2660</v>
      </c>
      <c r="V459" s="77">
        <f>VLOOKUP(B459,'114+320'!$B$15:$AB$785,15,FALSE)</f>
        <v>-340</v>
      </c>
      <c r="W459" s="66">
        <f>'114+320'!S460</f>
        <v>0</v>
      </c>
      <c r="X459" s="65">
        <f t="shared" si="87"/>
        <v>220</v>
      </c>
      <c r="Y459" s="64">
        <f t="shared" si="88"/>
        <v>0</v>
      </c>
      <c r="Z459" s="63">
        <f t="shared" si="89"/>
        <v>0</v>
      </c>
      <c r="AA459" s="62">
        <f t="shared" si="90"/>
        <v>2.3689999999999998</v>
      </c>
      <c r="AB459" s="62">
        <f t="shared" si="91"/>
        <v>1.92</v>
      </c>
    </row>
    <row r="460" spans="2:28">
      <c r="B460" s="106">
        <f>'114+320'!B461</f>
        <v>45490</v>
      </c>
      <c r="C460" s="75">
        <f t="shared" si="83"/>
        <v>1</v>
      </c>
      <c r="D460" s="74">
        <f t="shared" si="84"/>
        <v>842</v>
      </c>
      <c r="E460" s="73">
        <f>VLOOKUP(B460,'114+320'!B461:AB847,3,FALSE)</f>
        <v>2120</v>
      </c>
      <c r="F460" s="69">
        <f t="shared" si="79"/>
        <v>2962</v>
      </c>
      <c r="G460" s="72">
        <f>VLOOKUP(B460,'114+320'!$B$15:$AB$785,20,FALSE)</f>
        <v>2044</v>
      </c>
      <c r="H460" s="72">
        <f>VLOOKUP(B460,'114+320'!$B$15:$AB$785,4,FALSE)</f>
        <v>398</v>
      </c>
      <c r="I460" s="68">
        <f t="shared" si="80"/>
        <v>2564</v>
      </c>
      <c r="J460" s="68">
        <f>VLOOKUP(B460,'114+320'!$B$15:$AB$785,13,FALSE)</f>
        <v>-436</v>
      </c>
      <c r="K460" s="66">
        <f>'114+320'!Q461</f>
        <v>0</v>
      </c>
      <c r="L460" s="65">
        <f t="shared" si="85"/>
        <v>256</v>
      </c>
      <c r="M460" s="70">
        <f>VLOOKUP(B460,'114+320'!$B$14:$AB$785,21,FALSE)</f>
        <v>2020</v>
      </c>
      <c r="N460" s="69">
        <f>VLOOKUP(B460,'114+320'!$B$15:$AB$785,5,FALSE)</f>
        <v>422</v>
      </c>
      <c r="O460" s="68">
        <f t="shared" si="81"/>
        <v>2540</v>
      </c>
      <c r="P460" s="68">
        <f>VLOOKUP(B460,'114+320'!$B$15:$AB$785,14,FALSE)</f>
        <v>-460</v>
      </c>
      <c r="Q460" s="66">
        <f>'114+320'!R461</f>
        <v>0</v>
      </c>
      <c r="R460" s="65">
        <f t="shared" si="86"/>
        <v>280</v>
      </c>
      <c r="S460" s="70">
        <f>VLOOKUP(B460,'114+320'!$B$14:$AB$785,22,FALSE)</f>
        <v>2080</v>
      </c>
      <c r="T460" s="69">
        <f>VLOOKUP(B460,'114+320'!$B$15:$AB$785,6,FALSE)</f>
        <v>302</v>
      </c>
      <c r="U460" s="68">
        <f t="shared" si="82"/>
        <v>2660</v>
      </c>
      <c r="V460" s="77">
        <f>VLOOKUP(B460,'114+320'!$B$15:$AB$785,15,FALSE)</f>
        <v>-340</v>
      </c>
      <c r="W460" s="66">
        <f>'114+320'!S461</f>
        <v>0</v>
      </c>
      <c r="X460" s="65">
        <f t="shared" si="87"/>
        <v>220</v>
      </c>
      <c r="Y460" s="64">
        <f t="shared" si="88"/>
        <v>0</v>
      </c>
      <c r="Z460" s="63">
        <f t="shared" si="89"/>
        <v>0</v>
      </c>
      <c r="AA460" s="62">
        <f t="shared" si="90"/>
        <v>2.3689999999999998</v>
      </c>
      <c r="AB460" s="62">
        <f t="shared" si="91"/>
        <v>1.92</v>
      </c>
    </row>
    <row r="461" spans="2:28">
      <c r="B461" s="106">
        <f>'114+320'!B462</f>
        <v>45491</v>
      </c>
      <c r="C461" s="75">
        <f t="shared" si="83"/>
        <v>1</v>
      </c>
      <c r="D461" s="74">
        <f t="shared" si="84"/>
        <v>842</v>
      </c>
      <c r="E461" s="73">
        <f>VLOOKUP(B461,'114+320'!B462:AB848,3,FALSE)</f>
        <v>2122</v>
      </c>
      <c r="F461" s="69">
        <f t="shared" ref="F461:F524" si="92">D461+E461</f>
        <v>2964</v>
      </c>
      <c r="G461" s="72">
        <f>VLOOKUP(B461,'114+320'!$B$15:$AB$785,20,FALSE)</f>
        <v>2044</v>
      </c>
      <c r="H461" s="72">
        <f>VLOOKUP(B461,'114+320'!$B$15:$AB$785,4,FALSE)</f>
        <v>400</v>
      </c>
      <c r="I461" s="68">
        <f t="shared" ref="I461:I524" si="93">F461-H461</f>
        <v>2564</v>
      </c>
      <c r="J461" s="68">
        <f>VLOOKUP(B461,'114+320'!$B$15:$AB$785,13,FALSE)</f>
        <v>-436</v>
      </c>
      <c r="K461" s="66">
        <f>'114+320'!Q462</f>
        <v>0</v>
      </c>
      <c r="L461" s="65">
        <f t="shared" si="85"/>
        <v>256</v>
      </c>
      <c r="M461" s="70">
        <f>VLOOKUP(B461,'114+320'!$B$14:$AB$785,21,FALSE)</f>
        <v>2020</v>
      </c>
      <c r="N461" s="69">
        <f>VLOOKUP(B461,'114+320'!$B$15:$AB$785,5,FALSE)</f>
        <v>424</v>
      </c>
      <c r="O461" s="68">
        <f t="shared" ref="O461:O524" si="94">F461-N461</f>
        <v>2540</v>
      </c>
      <c r="P461" s="68">
        <f>VLOOKUP(B461,'114+320'!$B$15:$AB$785,14,FALSE)</f>
        <v>-460</v>
      </c>
      <c r="Q461" s="66">
        <f>'114+320'!R462</f>
        <v>0</v>
      </c>
      <c r="R461" s="65">
        <f t="shared" si="86"/>
        <v>280</v>
      </c>
      <c r="S461" s="70">
        <f>VLOOKUP(B461,'114+320'!$B$14:$AB$785,22,FALSE)</f>
        <v>2080</v>
      </c>
      <c r="T461" s="69">
        <f>VLOOKUP(B461,'114+320'!$B$15:$AB$785,6,FALSE)</f>
        <v>304</v>
      </c>
      <c r="U461" s="68">
        <f t="shared" ref="U461:U524" si="95">F461-T461</f>
        <v>2660</v>
      </c>
      <c r="V461" s="77">
        <f>VLOOKUP(B461,'114+320'!$B$15:$AB$785,15,FALSE)</f>
        <v>-340</v>
      </c>
      <c r="W461" s="66">
        <f>'114+320'!S462</f>
        <v>0</v>
      </c>
      <c r="X461" s="65">
        <f t="shared" si="87"/>
        <v>220</v>
      </c>
      <c r="Y461" s="64">
        <f t="shared" si="88"/>
        <v>0</v>
      </c>
      <c r="Z461" s="63">
        <f t="shared" si="89"/>
        <v>0</v>
      </c>
      <c r="AA461" s="62">
        <f t="shared" si="90"/>
        <v>2.3689999999999998</v>
      </c>
      <c r="AB461" s="62">
        <f t="shared" si="91"/>
        <v>1.92</v>
      </c>
    </row>
    <row r="462" spans="2:28">
      <c r="B462" s="106">
        <f>'114+320'!B463</f>
        <v>45492</v>
      </c>
      <c r="C462" s="75">
        <f t="shared" ref="C462:C525" si="96">B462-B461</f>
        <v>1</v>
      </c>
      <c r="D462" s="74">
        <f t="shared" ref="D462:D525" si="97">D461</f>
        <v>842</v>
      </c>
      <c r="E462" s="73">
        <f>VLOOKUP(B462,'114+320'!B463:AB849,3,FALSE)</f>
        <v>2124</v>
      </c>
      <c r="F462" s="69">
        <f t="shared" si="92"/>
        <v>2966</v>
      </c>
      <c r="G462" s="72">
        <f>VLOOKUP(B462,'114+320'!$B$15:$AB$785,20,FALSE)</f>
        <v>2044</v>
      </c>
      <c r="H462" s="72">
        <f>VLOOKUP(B462,'114+320'!$B$15:$AB$785,4,FALSE)</f>
        <v>402</v>
      </c>
      <c r="I462" s="68">
        <f t="shared" si="93"/>
        <v>2564</v>
      </c>
      <c r="J462" s="68">
        <f>VLOOKUP(B462,'114+320'!$B$15:$AB$785,13,FALSE)</f>
        <v>-436</v>
      </c>
      <c r="K462" s="66">
        <f>'114+320'!Q463</f>
        <v>0</v>
      </c>
      <c r="L462" s="65">
        <f t="shared" ref="L462:L525" si="98">+K462+L461</f>
        <v>256</v>
      </c>
      <c r="M462" s="70">
        <f>VLOOKUP(B462,'114+320'!$B$14:$AB$785,21,FALSE)</f>
        <v>2020</v>
      </c>
      <c r="N462" s="69">
        <f>VLOOKUP(B462,'114+320'!$B$15:$AB$785,5,FALSE)</f>
        <v>426</v>
      </c>
      <c r="O462" s="68">
        <f t="shared" si="94"/>
        <v>2540</v>
      </c>
      <c r="P462" s="68">
        <f>VLOOKUP(B462,'114+320'!$B$15:$AB$785,14,FALSE)</f>
        <v>-460</v>
      </c>
      <c r="Q462" s="66">
        <f>'114+320'!R463</f>
        <v>0</v>
      </c>
      <c r="R462" s="65">
        <f t="shared" ref="R462:R525" si="99">+Q462+R461</f>
        <v>280</v>
      </c>
      <c r="S462" s="70">
        <f>VLOOKUP(B462,'114+320'!$B$14:$AB$785,22,FALSE)</f>
        <v>2080</v>
      </c>
      <c r="T462" s="69">
        <f>VLOOKUP(B462,'114+320'!$B$15:$AB$785,6,FALSE)</f>
        <v>306</v>
      </c>
      <c r="U462" s="68">
        <f t="shared" si="95"/>
        <v>2660</v>
      </c>
      <c r="V462" s="77">
        <f>VLOOKUP(B462,'114+320'!$B$15:$AB$785,15,FALSE)</f>
        <v>-340</v>
      </c>
      <c r="W462" s="66">
        <f>'114+320'!S463</f>
        <v>0</v>
      </c>
      <c r="X462" s="65">
        <f t="shared" ref="X462:X525" si="100">+W462+X461</f>
        <v>220</v>
      </c>
      <c r="Y462" s="64">
        <f t="shared" ref="Y462:Y525" si="101">S462-S461</f>
        <v>0</v>
      </c>
      <c r="Z462" s="63">
        <f t="shared" ref="Z462:Z525" si="102">IF(Y462&gt;0,Y462,0)/1000</f>
        <v>0</v>
      </c>
      <c r="AA462" s="62">
        <f t="shared" ref="AA462:AA525" si="103">AA461+Z462</f>
        <v>2.3689999999999998</v>
      </c>
      <c r="AB462" s="62">
        <f t="shared" ref="AB462:AB525" si="104">(M462-$M$13-R462)/1000</f>
        <v>1.92</v>
      </c>
    </row>
    <row r="463" spans="2:28">
      <c r="B463" s="106">
        <f>'114+320'!B464</f>
        <v>45493</v>
      </c>
      <c r="C463" s="75">
        <f t="shared" si="96"/>
        <v>1</v>
      </c>
      <c r="D463" s="74">
        <f t="shared" si="97"/>
        <v>842</v>
      </c>
      <c r="E463" s="73">
        <f>VLOOKUP(B463,'114+320'!B464:AB850,3,FALSE)</f>
        <v>2126</v>
      </c>
      <c r="F463" s="69">
        <f t="shared" si="92"/>
        <v>2968</v>
      </c>
      <c r="G463" s="72">
        <f>VLOOKUP(B463,'114+320'!$B$15:$AB$785,20,FALSE)</f>
        <v>2044</v>
      </c>
      <c r="H463" s="72">
        <f>VLOOKUP(B463,'114+320'!$B$15:$AB$785,4,FALSE)</f>
        <v>404</v>
      </c>
      <c r="I463" s="68">
        <f t="shared" si="93"/>
        <v>2564</v>
      </c>
      <c r="J463" s="68">
        <f>VLOOKUP(B463,'114+320'!$B$15:$AB$785,13,FALSE)</f>
        <v>-436</v>
      </c>
      <c r="K463" s="66">
        <f>'114+320'!Q464</f>
        <v>0</v>
      </c>
      <c r="L463" s="65">
        <f t="shared" si="98"/>
        <v>256</v>
      </c>
      <c r="M463" s="70">
        <f>VLOOKUP(B463,'114+320'!$B$14:$AB$785,21,FALSE)</f>
        <v>2020</v>
      </c>
      <c r="N463" s="69">
        <f>VLOOKUP(B463,'114+320'!$B$15:$AB$785,5,FALSE)</f>
        <v>428</v>
      </c>
      <c r="O463" s="68">
        <f t="shared" si="94"/>
        <v>2540</v>
      </c>
      <c r="P463" s="68">
        <f>VLOOKUP(B463,'114+320'!$B$15:$AB$785,14,FALSE)</f>
        <v>-460</v>
      </c>
      <c r="Q463" s="66">
        <f>'114+320'!R464</f>
        <v>0</v>
      </c>
      <c r="R463" s="65">
        <f t="shared" si="99"/>
        <v>280</v>
      </c>
      <c r="S463" s="70">
        <f>VLOOKUP(B463,'114+320'!$B$14:$AB$785,22,FALSE)</f>
        <v>2080</v>
      </c>
      <c r="T463" s="69">
        <f>VLOOKUP(B463,'114+320'!$B$15:$AB$785,6,FALSE)</f>
        <v>308</v>
      </c>
      <c r="U463" s="68">
        <f t="shared" si="95"/>
        <v>2660</v>
      </c>
      <c r="V463" s="77">
        <f>VLOOKUP(B463,'114+320'!$B$15:$AB$785,15,FALSE)</f>
        <v>-340</v>
      </c>
      <c r="W463" s="66">
        <f>'114+320'!S464</f>
        <v>0</v>
      </c>
      <c r="X463" s="65">
        <f t="shared" si="100"/>
        <v>220</v>
      </c>
      <c r="Y463" s="64">
        <f t="shared" si="101"/>
        <v>0</v>
      </c>
      <c r="Z463" s="63">
        <f t="shared" si="102"/>
        <v>0</v>
      </c>
      <c r="AA463" s="62">
        <f t="shared" si="103"/>
        <v>2.3689999999999998</v>
      </c>
      <c r="AB463" s="62">
        <f t="shared" si="104"/>
        <v>1.92</v>
      </c>
    </row>
    <row r="464" spans="2:28">
      <c r="B464" s="106">
        <f>'114+320'!B465</f>
        <v>45494</v>
      </c>
      <c r="C464" s="75">
        <f t="shared" si="96"/>
        <v>1</v>
      </c>
      <c r="D464" s="74">
        <f t="shared" si="97"/>
        <v>842</v>
      </c>
      <c r="E464" s="73">
        <f>VLOOKUP(B464,'114+320'!B465:AB851,3,FALSE)</f>
        <v>2128</v>
      </c>
      <c r="F464" s="69">
        <f t="shared" si="92"/>
        <v>2970</v>
      </c>
      <c r="G464" s="72">
        <f>VLOOKUP(B464,'114+320'!$B$15:$AB$785,20,FALSE)</f>
        <v>2044</v>
      </c>
      <c r="H464" s="72">
        <f>VLOOKUP(B464,'114+320'!$B$15:$AB$785,4,FALSE)</f>
        <v>406</v>
      </c>
      <c r="I464" s="68">
        <f t="shared" si="93"/>
        <v>2564</v>
      </c>
      <c r="J464" s="68">
        <f>VLOOKUP(B464,'114+320'!$B$15:$AB$785,13,FALSE)</f>
        <v>-436</v>
      </c>
      <c r="K464" s="66">
        <f>'114+320'!Q465</f>
        <v>0</v>
      </c>
      <c r="L464" s="65">
        <f t="shared" si="98"/>
        <v>256</v>
      </c>
      <c r="M464" s="70">
        <f>VLOOKUP(B464,'114+320'!$B$14:$AB$785,21,FALSE)</f>
        <v>2020</v>
      </c>
      <c r="N464" s="69">
        <f>VLOOKUP(B464,'114+320'!$B$15:$AB$785,5,FALSE)</f>
        <v>430</v>
      </c>
      <c r="O464" s="68">
        <f t="shared" si="94"/>
        <v>2540</v>
      </c>
      <c r="P464" s="68">
        <f>VLOOKUP(B464,'114+320'!$B$15:$AB$785,14,FALSE)</f>
        <v>-460</v>
      </c>
      <c r="Q464" s="66">
        <f>'114+320'!R465</f>
        <v>0</v>
      </c>
      <c r="R464" s="65">
        <f t="shared" si="99"/>
        <v>280</v>
      </c>
      <c r="S464" s="70">
        <f>VLOOKUP(B464,'114+320'!$B$14:$AB$785,22,FALSE)</f>
        <v>2080</v>
      </c>
      <c r="T464" s="69">
        <f>VLOOKUP(B464,'114+320'!$B$15:$AB$785,6,FALSE)</f>
        <v>310</v>
      </c>
      <c r="U464" s="68">
        <f t="shared" si="95"/>
        <v>2660</v>
      </c>
      <c r="V464" s="77">
        <f>VLOOKUP(B464,'114+320'!$B$15:$AB$785,15,FALSE)</f>
        <v>-340</v>
      </c>
      <c r="W464" s="66">
        <f>'114+320'!S465</f>
        <v>0</v>
      </c>
      <c r="X464" s="65">
        <f t="shared" si="100"/>
        <v>220</v>
      </c>
      <c r="Y464" s="64">
        <f t="shared" si="101"/>
        <v>0</v>
      </c>
      <c r="Z464" s="63">
        <f t="shared" si="102"/>
        <v>0</v>
      </c>
      <c r="AA464" s="62">
        <f t="shared" si="103"/>
        <v>2.3689999999999998</v>
      </c>
      <c r="AB464" s="62">
        <f t="shared" si="104"/>
        <v>1.92</v>
      </c>
    </row>
    <row r="465" spans="2:28">
      <c r="B465" s="106">
        <f>'114+320'!B466</f>
        <v>45495</v>
      </c>
      <c r="C465" s="75">
        <f t="shared" si="96"/>
        <v>1</v>
      </c>
      <c r="D465" s="74">
        <f t="shared" si="97"/>
        <v>842</v>
      </c>
      <c r="E465" s="73">
        <f>VLOOKUP(B465,'114+320'!B466:AB852,3,FALSE)</f>
        <v>2130</v>
      </c>
      <c r="F465" s="69">
        <f t="shared" si="92"/>
        <v>2972</v>
      </c>
      <c r="G465" s="72">
        <f>VLOOKUP(B465,'114+320'!$B$15:$AB$785,20,FALSE)</f>
        <v>2044</v>
      </c>
      <c r="H465" s="72">
        <f>VLOOKUP(B465,'114+320'!$B$15:$AB$785,4,FALSE)</f>
        <v>408</v>
      </c>
      <c r="I465" s="68">
        <f t="shared" si="93"/>
        <v>2564</v>
      </c>
      <c r="J465" s="68">
        <f>VLOOKUP(B465,'114+320'!$B$15:$AB$785,13,FALSE)</f>
        <v>-436</v>
      </c>
      <c r="K465" s="66">
        <f>'114+320'!Q466</f>
        <v>0</v>
      </c>
      <c r="L465" s="65">
        <f t="shared" si="98"/>
        <v>256</v>
      </c>
      <c r="M465" s="70">
        <f>VLOOKUP(B465,'114+320'!$B$14:$AB$785,21,FALSE)</f>
        <v>2020</v>
      </c>
      <c r="N465" s="69">
        <f>VLOOKUP(B465,'114+320'!$B$15:$AB$785,5,FALSE)</f>
        <v>432</v>
      </c>
      <c r="O465" s="68">
        <f t="shared" si="94"/>
        <v>2540</v>
      </c>
      <c r="P465" s="68">
        <f>VLOOKUP(B465,'114+320'!$B$15:$AB$785,14,FALSE)</f>
        <v>-460</v>
      </c>
      <c r="Q465" s="66">
        <f>'114+320'!R466</f>
        <v>0</v>
      </c>
      <c r="R465" s="65">
        <f t="shared" si="99"/>
        <v>280</v>
      </c>
      <c r="S465" s="70">
        <f>VLOOKUP(B465,'114+320'!$B$14:$AB$785,22,FALSE)</f>
        <v>2080</v>
      </c>
      <c r="T465" s="69">
        <f>VLOOKUP(B465,'114+320'!$B$15:$AB$785,6,FALSE)</f>
        <v>312</v>
      </c>
      <c r="U465" s="68">
        <f t="shared" si="95"/>
        <v>2660</v>
      </c>
      <c r="V465" s="77">
        <f>VLOOKUP(B465,'114+320'!$B$15:$AB$785,15,FALSE)</f>
        <v>-340</v>
      </c>
      <c r="W465" s="66">
        <f>'114+320'!S466</f>
        <v>0</v>
      </c>
      <c r="X465" s="65">
        <f t="shared" si="100"/>
        <v>220</v>
      </c>
      <c r="Y465" s="64">
        <f t="shared" si="101"/>
        <v>0</v>
      </c>
      <c r="Z465" s="63">
        <f t="shared" si="102"/>
        <v>0</v>
      </c>
      <c r="AA465" s="62">
        <f t="shared" si="103"/>
        <v>2.3689999999999998</v>
      </c>
      <c r="AB465" s="62">
        <f t="shared" si="104"/>
        <v>1.92</v>
      </c>
    </row>
    <row r="466" spans="2:28">
      <c r="B466" s="106">
        <f>'114+320'!B467</f>
        <v>45496</v>
      </c>
      <c r="C466" s="75">
        <f t="shared" si="96"/>
        <v>1</v>
      </c>
      <c r="D466" s="74">
        <f t="shared" si="97"/>
        <v>842</v>
      </c>
      <c r="E466" s="73">
        <f>VLOOKUP(B466,'114+320'!B467:AB853,3,FALSE)</f>
        <v>2132</v>
      </c>
      <c r="F466" s="69">
        <f t="shared" si="92"/>
        <v>2974</v>
      </c>
      <c r="G466" s="72">
        <f>VLOOKUP(B466,'114+320'!$B$15:$AB$785,20,FALSE)</f>
        <v>2044</v>
      </c>
      <c r="H466" s="72">
        <f>VLOOKUP(B466,'114+320'!$B$15:$AB$785,4,FALSE)</f>
        <v>410</v>
      </c>
      <c r="I466" s="68">
        <f t="shared" si="93"/>
        <v>2564</v>
      </c>
      <c r="J466" s="68">
        <f>VLOOKUP(B466,'114+320'!$B$15:$AB$785,13,FALSE)</f>
        <v>-436</v>
      </c>
      <c r="K466" s="66">
        <f>'114+320'!Q467</f>
        <v>0</v>
      </c>
      <c r="L466" s="65">
        <f t="shared" si="98"/>
        <v>256</v>
      </c>
      <c r="M466" s="70">
        <f>VLOOKUP(B466,'114+320'!$B$14:$AB$785,21,FALSE)</f>
        <v>2020</v>
      </c>
      <c r="N466" s="69">
        <f>VLOOKUP(B466,'114+320'!$B$15:$AB$785,5,FALSE)</f>
        <v>434</v>
      </c>
      <c r="O466" s="68">
        <f t="shared" si="94"/>
        <v>2540</v>
      </c>
      <c r="P466" s="68">
        <f>VLOOKUP(B466,'114+320'!$B$15:$AB$785,14,FALSE)</f>
        <v>-460</v>
      </c>
      <c r="Q466" s="66">
        <f>'114+320'!R467</f>
        <v>0</v>
      </c>
      <c r="R466" s="65">
        <f t="shared" si="99"/>
        <v>280</v>
      </c>
      <c r="S466" s="70">
        <f>VLOOKUP(B466,'114+320'!$B$14:$AB$785,22,FALSE)</f>
        <v>2080</v>
      </c>
      <c r="T466" s="69">
        <f>VLOOKUP(B466,'114+320'!$B$15:$AB$785,6,FALSE)</f>
        <v>314</v>
      </c>
      <c r="U466" s="68">
        <f t="shared" si="95"/>
        <v>2660</v>
      </c>
      <c r="V466" s="77">
        <f>VLOOKUP(B466,'114+320'!$B$15:$AB$785,15,FALSE)</f>
        <v>-340</v>
      </c>
      <c r="W466" s="66">
        <f>'114+320'!S467</f>
        <v>0</v>
      </c>
      <c r="X466" s="65">
        <f t="shared" si="100"/>
        <v>220</v>
      </c>
      <c r="Y466" s="64">
        <f t="shared" si="101"/>
        <v>0</v>
      </c>
      <c r="Z466" s="63">
        <f t="shared" si="102"/>
        <v>0</v>
      </c>
      <c r="AA466" s="62">
        <f t="shared" si="103"/>
        <v>2.3689999999999998</v>
      </c>
      <c r="AB466" s="62">
        <f t="shared" si="104"/>
        <v>1.92</v>
      </c>
    </row>
    <row r="467" spans="2:28">
      <c r="B467" s="106">
        <f>'114+320'!B468</f>
        <v>45497</v>
      </c>
      <c r="C467" s="75">
        <f t="shared" si="96"/>
        <v>1</v>
      </c>
      <c r="D467" s="74">
        <f t="shared" si="97"/>
        <v>842</v>
      </c>
      <c r="E467" s="73">
        <f>VLOOKUP(B467,'114+320'!B468:AB854,3,FALSE)</f>
        <v>2134</v>
      </c>
      <c r="F467" s="69">
        <f t="shared" si="92"/>
        <v>2976</v>
      </c>
      <c r="G467" s="72">
        <f>VLOOKUP(B467,'114+320'!$B$15:$AB$785,20,FALSE)</f>
        <v>2044</v>
      </c>
      <c r="H467" s="72">
        <f>VLOOKUP(B467,'114+320'!$B$15:$AB$785,4,FALSE)</f>
        <v>412</v>
      </c>
      <c r="I467" s="68">
        <f t="shared" si="93"/>
        <v>2564</v>
      </c>
      <c r="J467" s="68">
        <f>VLOOKUP(B467,'114+320'!$B$15:$AB$785,13,FALSE)</f>
        <v>-436</v>
      </c>
      <c r="K467" s="66">
        <f>'114+320'!Q468</f>
        <v>0</v>
      </c>
      <c r="L467" s="65">
        <f t="shared" si="98"/>
        <v>256</v>
      </c>
      <c r="M467" s="70">
        <f>VLOOKUP(B467,'114+320'!$B$14:$AB$785,21,FALSE)</f>
        <v>2020</v>
      </c>
      <c r="N467" s="69">
        <f>VLOOKUP(B467,'114+320'!$B$15:$AB$785,5,FALSE)</f>
        <v>436</v>
      </c>
      <c r="O467" s="68">
        <f t="shared" si="94"/>
        <v>2540</v>
      </c>
      <c r="P467" s="68">
        <f>VLOOKUP(B467,'114+320'!$B$15:$AB$785,14,FALSE)</f>
        <v>-460</v>
      </c>
      <c r="Q467" s="66">
        <f>'114+320'!R468</f>
        <v>0</v>
      </c>
      <c r="R467" s="65">
        <f t="shared" si="99"/>
        <v>280</v>
      </c>
      <c r="S467" s="70">
        <f>VLOOKUP(B467,'114+320'!$B$14:$AB$785,22,FALSE)</f>
        <v>2080</v>
      </c>
      <c r="T467" s="69">
        <f>VLOOKUP(B467,'114+320'!$B$15:$AB$785,6,FALSE)</f>
        <v>316</v>
      </c>
      <c r="U467" s="68">
        <f t="shared" si="95"/>
        <v>2660</v>
      </c>
      <c r="V467" s="77">
        <f>VLOOKUP(B467,'114+320'!$B$15:$AB$785,15,FALSE)</f>
        <v>-340</v>
      </c>
      <c r="W467" s="66">
        <f>'114+320'!S468</f>
        <v>0</v>
      </c>
      <c r="X467" s="65">
        <f t="shared" si="100"/>
        <v>220</v>
      </c>
      <c r="Y467" s="64">
        <f t="shared" si="101"/>
        <v>0</v>
      </c>
      <c r="Z467" s="63">
        <f t="shared" si="102"/>
        <v>0</v>
      </c>
      <c r="AA467" s="62">
        <f t="shared" si="103"/>
        <v>2.3689999999999998</v>
      </c>
      <c r="AB467" s="62">
        <f t="shared" si="104"/>
        <v>1.92</v>
      </c>
    </row>
    <row r="468" spans="2:28">
      <c r="B468" s="106">
        <f>'114+320'!B469</f>
        <v>45498</v>
      </c>
      <c r="C468" s="75">
        <f t="shared" si="96"/>
        <v>1</v>
      </c>
      <c r="D468" s="74">
        <f t="shared" si="97"/>
        <v>842</v>
      </c>
      <c r="E468" s="73">
        <f>VLOOKUP(B468,'114+320'!B469:AB855,3,FALSE)</f>
        <v>2136</v>
      </c>
      <c r="F468" s="69">
        <f t="shared" si="92"/>
        <v>2978</v>
      </c>
      <c r="G468" s="72">
        <f>VLOOKUP(B468,'114+320'!$B$15:$AB$785,20,FALSE)</f>
        <v>2044</v>
      </c>
      <c r="H468" s="72">
        <f>VLOOKUP(B468,'114+320'!$B$15:$AB$785,4,FALSE)</f>
        <v>414</v>
      </c>
      <c r="I468" s="68">
        <f t="shared" si="93"/>
        <v>2564</v>
      </c>
      <c r="J468" s="68">
        <f>VLOOKUP(B468,'114+320'!$B$15:$AB$785,13,FALSE)</f>
        <v>-436</v>
      </c>
      <c r="K468" s="66">
        <f>'114+320'!Q469</f>
        <v>0</v>
      </c>
      <c r="L468" s="65">
        <f t="shared" si="98"/>
        <v>256</v>
      </c>
      <c r="M468" s="70">
        <f>VLOOKUP(B468,'114+320'!$B$14:$AB$785,21,FALSE)</f>
        <v>2020</v>
      </c>
      <c r="N468" s="69">
        <f>VLOOKUP(B468,'114+320'!$B$15:$AB$785,5,FALSE)</f>
        <v>438</v>
      </c>
      <c r="O468" s="68">
        <f t="shared" si="94"/>
        <v>2540</v>
      </c>
      <c r="P468" s="68">
        <f>VLOOKUP(B468,'114+320'!$B$15:$AB$785,14,FALSE)</f>
        <v>-460</v>
      </c>
      <c r="Q468" s="66">
        <f>'114+320'!R469</f>
        <v>0</v>
      </c>
      <c r="R468" s="65">
        <f t="shared" si="99"/>
        <v>280</v>
      </c>
      <c r="S468" s="70">
        <f>VLOOKUP(B468,'114+320'!$B$14:$AB$785,22,FALSE)</f>
        <v>2080</v>
      </c>
      <c r="T468" s="69">
        <f>VLOOKUP(B468,'114+320'!$B$15:$AB$785,6,FALSE)</f>
        <v>318</v>
      </c>
      <c r="U468" s="68">
        <f t="shared" si="95"/>
        <v>2660</v>
      </c>
      <c r="V468" s="77">
        <f>VLOOKUP(B468,'114+320'!$B$15:$AB$785,15,FALSE)</f>
        <v>-340</v>
      </c>
      <c r="W468" s="66">
        <f>'114+320'!S469</f>
        <v>0</v>
      </c>
      <c r="X468" s="65">
        <f t="shared" si="100"/>
        <v>220</v>
      </c>
      <c r="Y468" s="64">
        <f t="shared" si="101"/>
        <v>0</v>
      </c>
      <c r="Z468" s="63">
        <f t="shared" si="102"/>
        <v>0</v>
      </c>
      <c r="AA468" s="62">
        <f t="shared" si="103"/>
        <v>2.3689999999999998</v>
      </c>
      <c r="AB468" s="62">
        <f t="shared" si="104"/>
        <v>1.92</v>
      </c>
    </row>
    <row r="469" spans="2:28">
      <c r="B469" s="106">
        <f>'114+320'!B470</f>
        <v>45499</v>
      </c>
      <c r="C469" s="75">
        <f t="shared" si="96"/>
        <v>1</v>
      </c>
      <c r="D469" s="74">
        <f t="shared" si="97"/>
        <v>842</v>
      </c>
      <c r="E469" s="73">
        <f>VLOOKUP(B469,'114+320'!B470:AB856,3,FALSE)</f>
        <v>2138</v>
      </c>
      <c r="F469" s="69">
        <f t="shared" si="92"/>
        <v>2980</v>
      </c>
      <c r="G469" s="72">
        <f>VLOOKUP(B469,'114+320'!$B$15:$AB$785,20,FALSE)</f>
        <v>2044</v>
      </c>
      <c r="H469" s="72">
        <f>VLOOKUP(B469,'114+320'!$B$15:$AB$785,4,FALSE)</f>
        <v>416</v>
      </c>
      <c r="I469" s="68">
        <f t="shared" si="93"/>
        <v>2564</v>
      </c>
      <c r="J469" s="68">
        <f>VLOOKUP(B469,'114+320'!$B$15:$AB$785,13,FALSE)</f>
        <v>-436</v>
      </c>
      <c r="K469" s="66">
        <f>'114+320'!Q470</f>
        <v>0</v>
      </c>
      <c r="L469" s="65">
        <f t="shared" si="98"/>
        <v>256</v>
      </c>
      <c r="M469" s="70">
        <f>VLOOKUP(B469,'114+320'!$B$14:$AB$785,21,FALSE)</f>
        <v>2020</v>
      </c>
      <c r="N469" s="69">
        <f>VLOOKUP(B469,'114+320'!$B$15:$AB$785,5,FALSE)</f>
        <v>440</v>
      </c>
      <c r="O469" s="68">
        <f t="shared" si="94"/>
        <v>2540</v>
      </c>
      <c r="P469" s="68">
        <f>VLOOKUP(B469,'114+320'!$B$15:$AB$785,14,FALSE)</f>
        <v>-460</v>
      </c>
      <c r="Q469" s="66">
        <f>'114+320'!R470</f>
        <v>0</v>
      </c>
      <c r="R469" s="65">
        <f t="shared" si="99"/>
        <v>280</v>
      </c>
      <c r="S469" s="70">
        <f>VLOOKUP(B469,'114+320'!$B$14:$AB$785,22,FALSE)</f>
        <v>2080</v>
      </c>
      <c r="T469" s="69">
        <f>VLOOKUP(B469,'114+320'!$B$15:$AB$785,6,FALSE)</f>
        <v>320</v>
      </c>
      <c r="U469" s="68">
        <f t="shared" si="95"/>
        <v>2660</v>
      </c>
      <c r="V469" s="77">
        <f>VLOOKUP(B469,'114+320'!$B$15:$AB$785,15,FALSE)</f>
        <v>-340</v>
      </c>
      <c r="W469" s="66">
        <f>'114+320'!S470</f>
        <v>0</v>
      </c>
      <c r="X469" s="65">
        <f t="shared" si="100"/>
        <v>220</v>
      </c>
      <c r="Y469" s="64">
        <f t="shared" si="101"/>
        <v>0</v>
      </c>
      <c r="Z469" s="63">
        <f t="shared" si="102"/>
        <v>0</v>
      </c>
      <c r="AA469" s="62">
        <f t="shared" si="103"/>
        <v>2.3689999999999998</v>
      </c>
      <c r="AB469" s="62">
        <f t="shared" si="104"/>
        <v>1.92</v>
      </c>
    </row>
    <row r="470" spans="2:28">
      <c r="B470" s="106">
        <f>'114+320'!B471</f>
        <v>45500</v>
      </c>
      <c r="C470" s="75">
        <f t="shared" si="96"/>
        <v>1</v>
      </c>
      <c r="D470" s="74">
        <f t="shared" si="97"/>
        <v>842</v>
      </c>
      <c r="E470" s="73">
        <f>VLOOKUP(B470,'114+320'!B471:AB857,3,FALSE)</f>
        <v>2140</v>
      </c>
      <c r="F470" s="69">
        <f t="shared" si="92"/>
        <v>2982</v>
      </c>
      <c r="G470" s="72">
        <f>VLOOKUP(B470,'114+320'!$B$15:$AB$785,20,FALSE)</f>
        <v>2044</v>
      </c>
      <c r="H470" s="72">
        <f>VLOOKUP(B470,'114+320'!$B$15:$AB$785,4,FALSE)</f>
        <v>418</v>
      </c>
      <c r="I470" s="68">
        <f t="shared" si="93"/>
        <v>2564</v>
      </c>
      <c r="J470" s="68">
        <f>VLOOKUP(B470,'114+320'!$B$15:$AB$785,13,FALSE)</f>
        <v>-436</v>
      </c>
      <c r="K470" s="66">
        <f>'114+320'!Q471</f>
        <v>0</v>
      </c>
      <c r="L470" s="65">
        <f t="shared" si="98"/>
        <v>256</v>
      </c>
      <c r="M470" s="70">
        <f>VLOOKUP(B470,'114+320'!$B$14:$AB$785,21,FALSE)</f>
        <v>2020</v>
      </c>
      <c r="N470" s="69">
        <f>VLOOKUP(B470,'114+320'!$B$15:$AB$785,5,FALSE)</f>
        <v>442</v>
      </c>
      <c r="O470" s="68">
        <f t="shared" si="94"/>
        <v>2540</v>
      </c>
      <c r="P470" s="68">
        <f>VLOOKUP(B470,'114+320'!$B$15:$AB$785,14,FALSE)</f>
        <v>-460</v>
      </c>
      <c r="Q470" s="66">
        <f>'114+320'!R471</f>
        <v>0</v>
      </c>
      <c r="R470" s="65">
        <f t="shared" si="99"/>
        <v>280</v>
      </c>
      <c r="S470" s="70">
        <f>VLOOKUP(B470,'114+320'!$B$14:$AB$785,22,FALSE)</f>
        <v>2080</v>
      </c>
      <c r="T470" s="69">
        <f>VLOOKUP(B470,'114+320'!$B$15:$AB$785,6,FALSE)</f>
        <v>322</v>
      </c>
      <c r="U470" s="68">
        <f t="shared" si="95"/>
        <v>2660</v>
      </c>
      <c r="V470" s="77">
        <f>VLOOKUP(B470,'114+320'!$B$15:$AB$785,15,FALSE)</f>
        <v>-340</v>
      </c>
      <c r="W470" s="66">
        <f>'114+320'!S471</f>
        <v>0</v>
      </c>
      <c r="X470" s="65">
        <f t="shared" si="100"/>
        <v>220</v>
      </c>
      <c r="Y470" s="64">
        <f t="shared" si="101"/>
        <v>0</v>
      </c>
      <c r="Z470" s="63">
        <f t="shared" si="102"/>
        <v>0</v>
      </c>
      <c r="AA470" s="62">
        <f t="shared" si="103"/>
        <v>2.3689999999999998</v>
      </c>
      <c r="AB470" s="62">
        <f t="shared" si="104"/>
        <v>1.92</v>
      </c>
    </row>
    <row r="471" spans="2:28">
      <c r="B471" s="106">
        <f>'114+320'!B472</f>
        <v>45501</v>
      </c>
      <c r="C471" s="75">
        <f t="shared" si="96"/>
        <v>1</v>
      </c>
      <c r="D471" s="74">
        <f t="shared" si="97"/>
        <v>842</v>
      </c>
      <c r="E471" s="73">
        <f>VLOOKUP(B471,'114+320'!B472:AB858,3,FALSE)</f>
        <v>2142</v>
      </c>
      <c r="F471" s="69">
        <f t="shared" si="92"/>
        <v>2984</v>
      </c>
      <c r="G471" s="72">
        <f>VLOOKUP(B471,'114+320'!$B$15:$AB$785,20,FALSE)</f>
        <v>2044</v>
      </c>
      <c r="H471" s="72">
        <f>VLOOKUP(B471,'114+320'!$B$15:$AB$785,4,FALSE)</f>
        <v>420</v>
      </c>
      <c r="I471" s="68">
        <f t="shared" si="93"/>
        <v>2564</v>
      </c>
      <c r="J471" s="68">
        <f>VLOOKUP(B471,'114+320'!$B$15:$AB$785,13,FALSE)</f>
        <v>-436</v>
      </c>
      <c r="K471" s="66">
        <f>'114+320'!Q472</f>
        <v>0</v>
      </c>
      <c r="L471" s="65">
        <f t="shared" si="98"/>
        <v>256</v>
      </c>
      <c r="M471" s="70">
        <f>VLOOKUP(B471,'114+320'!$B$14:$AB$785,21,FALSE)</f>
        <v>2020</v>
      </c>
      <c r="N471" s="69">
        <f>VLOOKUP(B471,'114+320'!$B$15:$AB$785,5,FALSE)</f>
        <v>444</v>
      </c>
      <c r="O471" s="68">
        <f t="shared" si="94"/>
        <v>2540</v>
      </c>
      <c r="P471" s="68">
        <f>VLOOKUP(B471,'114+320'!$B$15:$AB$785,14,FALSE)</f>
        <v>-460</v>
      </c>
      <c r="Q471" s="66">
        <f>'114+320'!R472</f>
        <v>0</v>
      </c>
      <c r="R471" s="65">
        <f t="shared" si="99"/>
        <v>280</v>
      </c>
      <c r="S471" s="70">
        <f>VLOOKUP(B471,'114+320'!$B$14:$AB$785,22,FALSE)</f>
        <v>2080</v>
      </c>
      <c r="T471" s="69">
        <f>VLOOKUP(B471,'114+320'!$B$15:$AB$785,6,FALSE)</f>
        <v>324</v>
      </c>
      <c r="U471" s="68">
        <f t="shared" si="95"/>
        <v>2660</v>
      </c>
      <c r="V471" s="77">
        <f>VLOOKUP(B471,'114+320'!$B$15:$AB$785,15,FALSE)</f>
        <v>-340</v>
      </c>
      <c r="W471" s="66">
        <f>'114+320'!S472</f>
        <v>0</v>
      </c>
      <c r="X471" s="65">
        <f t="shared" si="100"/>
        <v>220</v>
      </c>
      <c r="Y471" s="64">
        <f t="shared" si="101"/>
        <v>0</v>
      </c>
      <c r="Z471" s="63">
        <f t="shared" si="102"/>
        <v>0</v>
      </c>
      <c r="AA471" s="62">
        <f t="shared" si="103"/>
        <v>2.3689999999999998</v>
      </c>
      <c r="AB471" s="62">
        <f t="shared" si="104"/>
        <v>1.92</v>
      </c>
    </row>
    <row r="472" spans="2:28">
      <c r="B472" s="106">
        <f>'114+320'!B473</f>
        <v>45502</v>
      </c>
      <c r="C472" s="75">
        <f t="shared" si="96"/>
        <v>1</v>
      </c>
      <c r="D472" s="74">
        <f t="shared" si="97"/>
        <v>842</v>
      </c>
      <c r="E472" s="73">
        <f>VLOOKUP(B472,'114+320'!B473:AB859,3,FALSE)</f>
        <v>2144</v>
      </c>
      <c r="F472" s="69">
        <f t="shared" si="92"/>
        <v>2986</v>
      </c>
      <c r="G472" s="72">
        <f>VLOOKUP(B472,'114+320'!$B$15:$AB$785,20,FALSE)</f>
        <v>2044</v>
      </c>
      <c r="H472" s="72">
        <f>VLOOKUP(B472,'114+320'!$B$15:$AB$785,4,FALSE)</f>
        <v>422</v>
      </c>
      <c r="I472" s="68">
        <f t="shared" si="93"/>
        <v>2564</v>
      </c>
      <c r="J472" s="68">
        <f>VLOOKUP(B472,'114+320'!$B$15:$AB$785,13,FALSE)</f>
        <v>-436</v>
      </c>
      <c r="K472" s="66">
        <f>'114+320'!Q473</f>
        <v>0</v>
      </c>
      <c r="L472" s="65">
        <f t="shared" si="98"/>
        <v>256</v>
      </c>
      <c r="M472" s="70">
        <f>VLOOKUP(B472,'114+320'!$B$14:$AB$785,21,FALSE)</f>
        <v>2020</v>
      </c>
      <c r="N472" s="69">
        <f>VLOOKUP(B472,'114+320'!$B$15:$AB$785,5,FALSE)</f>
        <v>446</v>
      </c>
      <c r="O472" s="68">
        <f t="shared" si="94"/>
        <v>2540</v>
      </c>
      <c r="P472" s="68">
        <f>VLOOKUP(B472,'114+320'!$B$15:$AB$785,14,FALSE)</f>
        <v>-460</v>
      </c>
      <c r="Q472" s="66">
        <f>'114+320'!R473</f>
        <v>0</v>
      </c>
      <c r="R472" s="65">
        <f t="shared" si="99"/>
        <v>280</v>
      </c>
      <c r="S472" s="70">
        <f>VLOOKUP(B472,'114+320'!$B$14:$AB$785,22,FALSE)</f>
        <v>2080</v>
      </c>
      <c r="T472" s="69">
        <f>VLOOKUP(B472,'114+320'!$B$15:$AB$785,6,FALSE)</f>
        <v>326</v>
      </c>
      <c r="U472" s="68">
        <f t="shared" si="95"/>
        <v>2660</v>
      </c>
      <c r="V472" s="77">
        <f>VLOOKUP(B472,'114+320'!$B$15:$AB$785,15,FALSE)</f>
        <v>-340</v>
      </c>
      <c r="W472" s="66">
        <f>'114+320'!S473</f>
        <v>0</v>
      </c>
      <c r="X472" s="65">
        <f t="shared" si="100"/>
        <v>220</v>
      </c>
      <c r="Y472" s="64">
        <f t="shared" si="101"/>
        <v>0</v>
      </c>
      <c r="Z472" s="63">
        <f t="shared" si="102"/>
        <v>0</v>
      </c>
      <c r="AA472" s="62">
        <f t="shared" si="103"/>
        <v>2.3689999999999998</v>
      </c>
      <c r="AB472" s="62">
        <f t="shared" si="104"/>
        <v>1.92</v>
      </c>
    </row>
    <row r="473" spans="2:28">
      <c r="B473" s="106">
        <f>'114+320'!B474</f>
        <v>45503</v>
      </c>
      <c r="C473" s="75">
        <f t="shared" si="96"/>
        <v>1</v>
      </c>
      <c r="D473" s="74">
        <f t="shared" si="97"/>
        <v>842</v>
      </c>
      <c r="E473" s="73">
        <f>VLOOKUP(B473,'114+320'!B474:AB860,3,FALSE)</f>
        <v>2146</v>
      </c>
      <c r="F473" s="69">
        <f t="shared" si="92"/>
        <v>2988</v>
      </c>
      <c r="G473" s="72">
        <f>VLOOKUP(B473,'114+320'!$B$15:$AB$785,20,FALSE)</f>
        <v>2044</v>
      </c>
      <c r="H473" s="72">
        <f>VLOOKUP(B473,'114+320'!$B$15:$AB$785,4,FALSE)</f>
        <v>424</v>
      </c>
      <c r="I473" s="68">
        <f t="shared" si="93"/>
        <v>2564</v>
      </c>
      <c r="J473" s="68">
        <f>VLOOKUP(B473,'114+320'!$B$15:$AB$785,13,FALSE)</f>
        <v>-436</v>
      </c>
      <c r="K473" s="66">
        <f>'114+320'!Q474</f>
        <v>0</v>
      </c>
      <c r="L473" s="65">
        <f t="shared" si="98"/>
        <v>256</v>
      </c>
      <c r="M473" s="70">
        <f>VLOOKUP(B473,'114+320'!$B$14:$AB$785,21,FALSE)</f>
        <v>2020</v>
      </c>
      <c r="N473" s="69">
        <f>VLOOKUP(B473,'114+320'!$B$15:$AB$785,5,FALSE)</f>
        <v>448</v>
      </c>
      <c r="O473" s="68">
        <f t="shared" si="94"/>
        <v>2540</v>
      </c>
      <c r="P473" s="68">
        <f>VLOOKUP(B473,'114+320'!$B$15:$AB$785,14,FALSE)</f>
        <v>-460</v>
      </c>
      <c r="Q473" s="66">
        <f>'114+320'!R474</f>
        <v>0</v>
      </c>
      <c r="R473" s="65">
        <f t="shared" si="99"/>
        <v>280</v>
      </c>
      <c r="S473" s="70">
        <f>VLOOKUP(B473,'114+320'!$B$14:$AB$785,22,FALSE)</f>
        <v>2080</v>
      </c>
      <c r="T473" s="69">
        <f>VLOOKUP(B473,'114+320'!$B$15:$AB$785,6,FALSE)</f>
        <v>328</v>
      </c>
      <c r="U473" s="68">
        <f t="shared" si="95"/>
        <v>2660</v>
      </c>
      <c r="V473" s="77">
        <f>VLOOKUP(B473,'114+320'!$B$15:$AB$785,15,FALSE)</f>
        <v>-340</v>
      </c>
      <c r="W473" s="66">
        <f>'114+320'!S474</f>
        <v>0</v>
      </c>
      <c r="X473" s="65">
        <f t="shared" si="100"/>
        <v>220</v>
      </c>
      <c r="Y473" s="64">
        <f t="shared" si="101"/>
        <v>0</v>
      </c>
      <c r="Z473" s="63">
        <f t="shared" si="102"/>
        <v>0</v>
      </c>
      <c r="AA473" s="62">
        <f t="shared" si="103"/>
        <v>2.3689999999999998</v>
      </c>
      <c r="AB473" s="62">
        <f t="shared" si="104"/>
        <v>1.92</v>
      </c>
    </row>
    <row r="474" spans="2:28">
      <c r="B474" s="106">
        <f>'114+320'!B475</f>
        <v>45504</v>
      </c>
      <c r="C474" s="75">
        <f t="shared" si="96"/>
        <v>1</v>
      </c>
      <c r="D474" s="74">
        <f t="shared" si="97"/>
        <v>842</v>
      </c>
      <c r="E474" s="73">
        <f>VLOOKUP(B474,'114+320'!B475:AB861,3,FALSE)</f>
        <v>2148</v>
      </c>
      <c r="F474" s="69">
        <f t="shared" si="92"/>
        <v>2990</v>
      </c>
      <c r="G474" s="72">
        <f>VLOOKUP(B474,'114+320'!$B$15:$AB$785,20,FALSE)</f>
        <v>2044</v>
      </c>
      <c r="H474" s="72">
        <f>VLOOKUP(B474,'114+320'!$B$15:$AB$785,4,FALSE)</f>
        <v>426</v>
      </c>
      <c r="I474" s="68">
        <f t="shared" si="93"/>
        <v>2564</v>
      </c>
      <c r="J474" s="68">
        <f>VLOOKUP(B474,'114+320'!$B$15:$AB$785,13,FALSE)</f>
        <v>-436</v>
      </c>
      <c r="K474" s="66">
        <f>'114+320'!Q475</f>
        <v>0</v>
      </c>
      <c r="L474" s="65">
        <f t="shared" si="98"/>
        <v>256</v>
      </c>
      <c r="M474" s="70">
        <f>VLOOKUP(B474,'114+320'!$B$14:$AB$785,21,FALSE)</f>
        <v>2020</v>
      </c>
      <c r="N474" s="69">
        <f>VLOOKUP(B474,'114+320'!$B$15:$AB$785,5,FALSE)</f>
        <v>450</v>
      </c>
      <c r="O474" s="68">
        <f t="shared" si="94"/>
        <v>2540</v>
      </c>
      <c r="P474" s="68">
        <f>VLOOKUP(B474,'114+320'!$B$15:$AB$785,14,FALSE)</f>
        <v>-460</v>
      </c>
      <c r="Q474" s="66">
        <f>'114+320'!R475</f>
        <v>0</v>
      </c>
      <c r="R474" s="65">
        <f t="shared" si="99"/>
        <v>280</v>
      </c>
      <c r="S474" s="70">
        <f>VLOOKUP(B474,'114+320'!$B$14:$AB$785,22,FALSE)</f>
        <v>2080</v>
      </c>
      <c r="T474" s="69">
        <f>VLOOKUP(B474,'114+320'!$B$15:$AB$785,6,FALSE)</f>
        <v>330</v>
      </c>
      <c r="U474" s="68">
        <f t="shared" si="95"/>
        <v>2660</v>
      </c>
      <c r="V474" s="77">
        <f>VLOOKUP(B474,'114+320'!$B$15:$AB$785,15,FALSE)</f>
        <v>-340</v>
      </c>
      <c r="W474" s="66">
        <f>'114+320'!S475</f>
        <v>0</v>
      </c>
      <c r="X474" s="65">
        <f t="shared" si="100"/>
        <v>220</v>
      </c>
      <c r="Y474" s="64">
        <f t="shared" si="101"/>
        <v>0</v>
      </c>
      <c r="Z474" s="63">
        <f t="shared" si="102"/>
        <v>0</v>
      </c>
      <c r="AA474" s="62">
        <f t="shared" si="103"/>
        <v>2.3689999999999998</v>
      </c>
      <c r="AB474" s="62">
        <f t="shared" si="104"/>
        <v>1.92</v>
      </c>
    </row>
    <row r="475" spans="2:28">
      <c r="B475" s="106">
        <f>'114+320'!B476</f>
        <v>45505</v>
      </c>
      <c r="C475" s="75">
        <f t="shared" si="96"/>
        <v>1</v>
      </c>
      <c r="D475" s="74">
        <f t="shared" si="97"/>
        <v>842</v>
      </c>
      <c r="E475" s="73">
        <f>VLOOKUP(B475,'114+320'!B476:AB862,3,FALSE)</f>
        <v>2150</v>
      </c>
      <c r="F475" s="69">
        <f t="shared" si="92"/>
        <v>2992</v>
      </c>
      <c r="G475" s="72">
        <f>VLOOKUP(B475,'114+320'!$B$15:$AB$785,20,FALSE)</f>
        <v>2044</v>
      </c>
      <c r="H475" s="72">
        <f>VLOOKUP(B475,'114+320'!$B$15:$AB$785,4,FALSE)</f>
        <v>428</v>
      </c>
      <c r="I475" s="68">
        <f t="shared" si="93"/>
        <v>2564</v>
      </c>
      <c r="J475" s="68">
        <f>VLOOKUP(B475,'114+320'!$B$15:$AB$785,13,FALSE)</f>
        <v>-436</v>
      </c>
      <c r="K475" s="66">
        <f>'114+320'!Q476</f>
        <v>0</v>
      </c>
      <c r="L475" s="65">
        <f t="shared" si="98"/>
        <v>256</v>
      </c>
      <c r="M475" s="70">
        <f>VLOOKUP(B475,'114+320'!$B$14:$AB$785,21,FALSE)</f>
        <v>2020</v>
      </c>
      <c r="N475" s="69">
        <f>VLOOKUP(B475,'114+320'!$B$15:$AB$785,5,FALSE)</f>
        <v>452</v>
      </c>
      <c r="O475" s="68">
        <f t="shared" si="94"/>
        <v>2540</v>
      </c>
      <c r="P475" s="68">
        <f>VLOOKUP(B475,'114+320'!$B$15:$AB$785,14,FALSE)</f>
        <v>-460</v>
      </c>
      <c r="Q475" s="66">
        <f>'114+320'!R476</f>
        <v>0</v>
      </c>
      <c r="R475" s="65">
        <f t="shared" si="99"/>
        <v>280</v>
      </c>
      <c r="S475" s="70">
        <f>VLOOKUP(B475,'114+320'!$B$14:$AB$785,22,FALSE)</f>
        <v>2080</v>
      </c>
      <c r="T475" s="69">
        <f>VLOOKUP(B475,'114+320'!$B$15:$AB$785,6,FALSE)</f>
        <v>332</v>
      </c>
      <c r="U475" s="68">
        <f t="shared" si="95"/>
        <v>2660</v>
      </c>
      <c r="V475" s="77">
        <f>VLOOKUP(B475,'114+320'!$B$15:$AB$785,15,FALSE)</f>
        <v>-340</v>
      </c>
      <c r="W475" s="66">
        <f>'114+320'!S476</f>
        <v>0</v>
      </c>
      <c r="X475" s="65">
        <f t="shared" si="100"/>
        <v>220</v>
      </c>
      <c r="Y475" s="64">
        <f t="shared" si="101"/>
        <v>0</v>
      </c>
      <c r="Z475" s="63">
        <f t="shared" si="102"/>
        <v>0</v>
      </c>
      <c r="AA475" s="62">
        <f t="shared" si="103"/>
        <v>2.3689999999999998</v>
      </c>
      <c r="AB475" s="62">
        <f t="shared" si="104"/>
        <v>1.92</v>
      </c>
    </row>
    <row r="476" spans="2:28">
      <c r="B476" s="106">
        <f>'114+320'!B477</f>
        <v>45506</v>
      </c>
      <c r="C476" s="75">
        <f t="shared" si="96"/>
        <v>1</v>
      </c>
      <c r="D476" s="74">
        <f t="shared" si="97"/>
        <v>842</v>
      </c>
      <c r="E476" s="73">
        <f>VLOOKUP(B476,'114+320'!B477:AB863,3,FALSE)</f>
        <v>2152</v>
      </c>
      <c r="F476" s="69">
        <f t="shared" si="92"/>
        <v>2994</v>
      </c>
      <c r="G476" s="72">
        <f>VLOOKUP(B476,'114+320'!$B$15:$AB$785,20,FALSE)</f>
        <v>2044</v>
      </c>
      <c r="H476" s="72">
        <f>VLOOKUP(B476,'114+320'!$B$15:$AB$785,4,FALSE)</f>
        <v>430</v>
      </c>
      <c r="I476" s="68">
        <f t="shared" si="93"/>
        <v>2564</v>
      </c>
      <c r="J476" s="68">
        <f>VLOOKUP(B476,'114+320'!$B$15:$AB$785,13,FALSE)</f>
        <v>-436</v>
      </c>
      <c r="K476" s="66">
        <f>'114+320'!Q477</f>
        <v>0</v>
      </c>
      <c r="L476" s="65">
        <f t="shared" si="98"/>
        <v>256</v>
      </c>
      <c r="M476" s="70">
        <f>VLOOKUP(B476,'114+320'!$B$14:$AB$785,21,FALSE)</f>
        <v>2020</v>
      </c>
      <c r="N476" s="69">
        <f>VLOOKUP(B476,'114+320'!$B$15:$AB$785,5,FALSE)</f>
        <v>454</v>
      </c>
      <c r="O476" s="68">
        <f t="shared" si="94"/>
        <v>2540</v>
      </c>
      <c r="P476" s="68">
        <f>VLOOKUP(B476,'114+320'!$B$15:$AB$785,14,FALSE)</f>
        <v>-460</v>
      </c>
      <c r="Q476" s="66">
        <f>'114+320'!R477</f>
        <v>0</v>
      </c>
      <c r="R476" s="65">
        <f t="shared" si="99"/>
        <v>280</v>
      </c>
      <c r="S476" s="70">
        <f>VLOOKUP(B476,'114+320'!$B$14:$AB$785,22,FALSE)</f>
        <v>2080</v>
      </c>
      <c r="T476" s="69">
        <f>VLOOKUP(B476,'114+320'!$B$15:$AB$785,6,FALSE)</f>
        <v>334</v>
      </c>
      <c r="U476" s="68">
        <f t="shared" si="95"/>
        <v>2660</v>
      </c>
      <c r="V476" s="77">
        <f>VLOOKUP(B476,'114+320'!$B$15:$AB$785,15,FALSE)</f>
        <v>-340</v>
      </c>
      <c r="W476" s="66">
        <f>'114+320'!S477</f>
        <v>0</v>
      </c>
      <c r="X476" s="65">
        <f t="shared" si="100"/>
        <v>220</v>
      </c>
      <c r="Y476" s="64">
        <f t="shared" si="101"/>
        <v>0</v>
      </c>
      <c r="Z476" s="63">
        <f t="shared" si="102"/>
        <v>0</v>
      </c>
      <c r="AA476" s="62">
        <f t="shared" si="103"/>
        <v>2.3689999999999998</v>
      </c>
      <c r="AB476" s="62">
        <f t="shared" si="104"/>
        <v>1.92</v>
      </c>
    </row>
    <row r="477" spans="2:28">
      <c r="B477" s="106">
        <f>'114+320'!B478</f>
        <v>45507</v>
      </c>
      <c r="C477" s="75">
        <f t="shared" si="96"/>
        <v>1</v>
      </c>
      <c r="D477" s="74">
        <f t="shared" si="97"/>
        <v>842</v>
      </c>
      <c r="E477" s="73">
        <f>VLOOKUP(B477,'114+320'!B478:AB864,3,FALSE)</f>
        <v>2154</v>
      </c>
      <c r="F477" s="69">
        <f t="shared" si="92"/>
        <v>2996</v>
      </c>
      <c r="G477" s="72">
        <f>VLOOKUP(B477,'114+320'!$B$15:$AB$785,20,FALSE)</f>
        <v>2044</v>
      </c>
      <c r="H477" s="72">
        <f>VLOOKUP(B477,'114+320'!$B$15:$AB$785,4,FALSE)</f>
        <v>432</v>
      </c>
      <c r="I477" s="68">
        <f t="shared" si="93"/>
        <v>2564</v>
      </c>
      <c r="J477" s="68">
        <f>VLOOKUP(B477,'114+320'!$B$15:$AB$785,13,FALSE)</f>
        <v>-436</v>
      </c>
      <c r="K477" s="66">
        <f>'114+320'!Q478</f>
        <v>0</v>
      </c>
      <c r="L477" s="65">
        <f t="shared" si="98"/>
        <v>256</v>
      </c>
      <c r="M477" s="70">
        <f>VLOOKUP(B477,'114+320'!$B$14:$AB$785,21,FALSE)</f>
        <v>2020</v>
      </c>
      <c r="N477" s="69">
        <f>VLOOKUP(B477,'114+320'!$B$15:$AB$785,5,FALSE)</f>
        <v>456</v>
      </c>
      <c r="O477" s="68">
        <f t="shared" si="94"/>
        <v>2540</v>
      </c>
      <c r="P477" s="68">
        <f>VLOOKUP(B477,'114+320'!$B$15:$AB$785,14,FALSE)</f>
        <v>-460</v>
      </c>
      <c r="Q477" s="66">
        <f>'114+320'!R478</f>
        <v>0</v>
      </c>
      <c r="R477" s="65">
        <f t="shared" si="99"/>
        <v>280</v>
      </c>
      <c r="S477" s="70">
        <f>VLOOKUP(B477,'114+320'!$B$14:$AB$785,22,FALSE)</f>
        <v>2080</v>
      </c>
      <c r="T477" s="69">
        <f>VLOOKUP(B477,'114+320'!$B$15:$AB$785,6,FALSE)</f>
        <v>336</v>
      </c>
      <c r="U477" s="68">
        <f t="shared" si="95"/>
        <v>2660</v>
      </c>
      <c r="V477" s="77">
        <f>VLOOKUP(B477,'114+320'!$B$15:$AB$785,15,FALSE)</f>
        <v>-340</v>
      </c>
      <c r="W477" s="66">
        <f>'114+320'!S478</f>
        <v>0</v>
      </c>
      <c r="X477" s="65">
        <f t="shared" si="100"/>
        <v>220</v>
      </c>
      <c r="Y477" s="64">
        <f t="shared" si="101"/>
        <v>0</v>
      </c>
      <c r="Z477" s="63">
        <f t="shared" si="102"/>
        <v>0</v>
      </c>
      <c r="AA477" s="62">
        <f t="shared" si="103"/>
        <v>2.3689999999999998</v>
      </c>
      <c r="AB477" s="62">
        <f t="shared" si="104"/>
        <v>1.92</v>
      </c>
    </row>
    <row r="478" spans="2:28">
      <c r="B478" s="106">
        <f>'114+320'!B479</f>
        <v>45508</v>
      </c>
      <c r="C478" s="75">
        <f t="shared" si="96"/>
        <v>1</v>
      </c>
      <c r="D478" s="74">
        <f t="shared" si="97"/>
        <v>842</v>
      </c>
      <c r="E478" s="73">
        <f>VLOOKUP(B478,'114+320'!B479:AB865,3,FALSE)</f>
        <v>2156</v>
      </c>
      <c r="F478" s="69">
        <f t="shared" si="92"/>
        <v>2998</v>
      </c>
      <c r="G478" s="72">
        <f>VLOOKUP(B478,'114+320'!$B$15:$AB$785,20,FALSE)</f>
        <v>2044</v>
      </c>
      <c r="H478" s="72">
        <f>VLOOKUP(B478,'114+320'!$B$15:$AB$785,4,FALSE)</f>
        <v>434</v>
      </c>
      <c r="I478" s="68">
        <f t="shared" si="93"/>
        <v>2564</v>
      </c>
      <c r="J478" s="68">
        <f>VLOOKUP(B478,'114+320'!$B$15:$AB$785,13,FALSE)</f>
        <v>-436</v>
      </c>
      <c r="K478" s="66">
        <f>'114+320'!Q479</f>
        <v>0</v>
      </c>
      <c r="L478" s="65">
        <f t="shared" si="98"/>
        <v>256</v>
      </c>
      <c r="M478" s="70">
        <f>VLOOKUP(B478,'114+320'!$B$14:$AB$785,21,FALSE)</f>
        <v>2020</v>
      </c>
      <c r="N478" s="69">
        <f>VLOOKUP(B478,'114+320'!$B$15:$AB$785,5,FALSE)</f>
        <v>458</v>
      </c>
      <c r="O478" s="68">
        <f t="shared" si="94"/>
        <v>2540</v>
      </c>
      <c r="P478" s="68">
        <f>VLOOKUP(B478,'114+320'!$B$15:$AB$785,14,FALSE)</f>
        <v>-460</v>
      </c>
      <c r="Q478" s="66">
        <f>'114+320'!R479</f>
        <v>0</v>
      </c>
      <c r="R478" s="65">
        <f t="shared" si="99"/>
        <v>280</v>
      </c>
      <c r="S478" s="70">
        <f>VLOOKUP(B478,'114+320'!$B$14:$AB$785,22,FALSE)</f>
        <v>2080</v>
      </c>
      <c r="T478" s="69">
        <f>VLOOKUP(B478,'114+320'!$B$15:$AB$785,6,FALSE)</f>
        <v>338</v>
      </c>
      <c r="U478" s="68">
        <f t="shared" si="95"/>
        <v>2660</v>
      </c>
      <c r="V478" s="77">
        <f>VLOOKUP(B478,'114+320'!$B$15:$AB$785,15,FALSE)</f>
        <v>-340</v>
      </c>
      <c r="W478" s="66">
        <f>'114+320'!S479</f>
        <v>0</v>
      </c>
      <c r="X478" s="65">
        <f t="shared" si="100"/>
        <v>220</v>
      </c>
      <c r="Y478" s="64">
        <f t="shared" si="101"/>
        <v>0</v>
      </c>
      <c r="Z478" s="63">
        <f t="shared" si="102"/>
        <v>0</v>
      </c>
      <c r="AA478" s="62">
        <f t="shared" si="103"/>
        <v>2.3689999999999998</v>
      </c>
      <c r="AB478" s="62">
        <f t="shared" si="104"/>
        <v>1.92</v>
      </c>
    </row>
    <row r="479" spans="2:28">
      <c r="B479" s="106">
        <f>'114+320'!B480</f>
        <v>45509</v>
      </c>
      <c r="C479" s="75">
        <f t="shared" si="96"/>
        <v>1</v>
      </c>
      <c r="D479" s="74">
        <f t="shared" si="97"/>
        <v>842</v>
      </c>
      <c r="E479" s="73">
        <f>VLOOKUP(B479,'114+320'!B480:AB866,3,FALSE)</f>
        <v>2158</v>
      </c>
      <c r="F479" s="69">
        <f t="shared" si="92"/>
        <v>3000</v>
      </c>
      <c r="G479" s="72">
        <f>VLOOKUP(B479,'114+320'!$B$15:$AB$785,20,FALSE)</f>
        <v>2044</v>
      </c>
      <c r="H479" s="72">
        <f>VLOOKUP(B479,'114+320'!$B$15:$AB$785,4,FALSE)</f>
        <v>436</v>
      </c>
      <c r="I479" s="68">
        <f t="shared" si="93"/>
        <v>2564</v>
      </c>
      <c r="J479" s="68">
        <f>VLOOKUP(B479,'114+320'!$B$15:$AB$785,13,FALSE)</f>
        <v>-436</v>
      </c>
      <c r="K479" s="66">
        <f>'114+320'!Q480</f>
        <v>0</v>
      </c>
      <c r="L479" s="65">
        <f t="shared" si="98"/>
        <v>256</v>
      </c>
      <c r="M479" s="70">
        <f>VLOOKUP(B479,'114+320'!$B$14:$AB$785,21,FALSE)</f>
        <v>2020</v>
      </c>
      <c r="N479" s="69">
        <f>VLOOKUP(B479,'114+320'!$B$15:$AB$785,5,FALSE)</f>
        <v>460</v>
      </c>
      <c r="O479" s="68">
        <f t="shared" si="94"/>
        <v>2540</v>
      </c>
      <c r="P479" s="68">
        <f>VLOOKUP(B479,'114+320'!$B$15:$AB$785,14,FALSE)</f>
        <v>-460</v>
      </c>
      <c r="Q479" s="66">
        <f>'114+320'!R480</f>
        <v>0</v>
      </c>
      <c r="R479" s="65">
        <f t="shared" si="99"/>
        <v>280</v>
      </c>
      <c r="S479" s="70">
        <f>VLOOKUP(B479,'114+320'!$B$14:$AB$785,22,FALSE)</f>
        <v>2080</v>
      </c>
      <c r="T479" s="69">
        <f>VLOOKUP(B479,'114+320'!$B$15:$AB$785,6,FALSE)</f>
        <v>340</v>
      </c>
      <c r="U479" s="68">
        <f t="shared" si="95"/>
        <v>2660</v>
      </c>
      <c r="V479" s="77">
        <f>VLOOKUP(B479,'114+320'!$B$15:$AB$785,15,FALSE)</f>
        <v>-340</v>
      </c>
      <c r="W479" s="66">
        <f>'114+320'!S480</f>
        <v>0</v>
      </c>
      <c r="X479" s="65">
        <f t="shared" si="100"/>
        <v>220</v>
      </c>
      <c r="Y479" s="64">
        <f t="shared" si="101"/>
        <v>0</v>
      </c>
      <c r="Z479" s="63">
        <f t="shared" si="102"/>
        <v>0</v>
      </c>
      <c r="AA479" s="62">
        <f t="shared" si="103"/>
        <v>2.3689999999999998</v>
      </c>
      <c r="AB479" s="62">
        <f t="shared" si="104"/>
        <v>1.92</v>
      </c>
    </row>
    <row r="480" spans="2:28">
      <c r="B480" s="106">
        <f>'114+320'!B481</f>
        <v>45510</v>
      </c>
      <c r="C480" s="75">
        <f t="shared" si="96"/>
        <v>1</v>
      </c>
      <c r="D480" s="74">
        <f t="shared" si="97"/>
        <v>842</v>
      </c>
      <c r="E480" s="73">
        <f>VLOOKUP(B480,'114+320'!B481:AB867,3,FALSE)</f>
        <v>2160</v>
      </c>
      <c r="F480" s="69">
        <f t="shared" si="92"/>
        <v>3002</v>
      </c>
      <c r="G480" s="72">
        <f>VLOOKUP(B480,'114+320'!$B$15:$AB$785,20,FALSE)</f>
        <v>2044</v>
      </c>
      <c r="H480" s="72">
        <f>VLOOKUP(B480,'114+320'!$B$15:$AB$785,4,FALSE)</f>
        <v>438</v>
      </c>
      <c r="I480" s="68">
        <f t="shared" si="93"/>
        <v>2564</v>
      </c>
      <c r="J480" s="71">
        <f>VLOOKUP(B480,'114+320'!$B$15:$AB$785,13,FALSE)</f>
        <v>-436</v>
      </c>
      <c r="K480" s="66">
        <f>'114+320'!Q481</f>
        <v>0</v>
      </c>
      <c r="L480" s="65">
        <f t="shared" si="98"/>
        <v>256</v>
      </c>
      <c r="M480" s="70">
        <f>VLOOKUP(B480,'114+320'!$B$14:$AB$785,21,FALSE)</f>
        <v>2020</v>
      </c>
      <c r="N480" s="69">
        <f>VLOOKUP(B480,'114+320'!$B$15:$AB$785,5,FALSE)</f>
        <v>462</v>
      </c>
      <c r="O480" s="68">
        <f t="shared" si="94"/>
        <v>2540</v>
      </c>
      <c r="P480" s="71">
        <f>VLOOKUP(B480,'114+320'!$B$15:$AB$785,14,FALSE)</f>
        <v>-460</v>
      </c>
      <c r="Q480" s="66">
        <f>'114+320'!R481</f>
        <v>0</v>
      </c>
      <c r="R480" s="65">
        <f t="shared" si="99"/>
        <v>280</v>
      </c>
      <c r="S480" s="70">
        <f>VLOOKUP(B480,'114+320'!$B$14:$AB$785,22,FALSE)</f>
        <v>2080</v>
      </c>
      <c r="T480" s="69">
        <f>VLOOKUP(B480,'114+320'!$B$15:$AB$785,6,FALSE)</f>
        <v>342</v>
      </c>
      <c r="U480" s="68">
        <f t="shared" si="95"/>
        <v>2660</v>
      </c>
      <c r="V480" s="67">
        <f>VLOOKUP(B480,'114+320'!$B$15:$AB$785,15,FALSE)</f>
        <v>-340</v>
      </c>
      <c r="W480" s="66">
        <f>'114+320'!S481</f>
        <v>0</v>
      </c>
      <c r="X480" s="65">
        <f t="shared" si="100"/>
        <v>220</v>
      </c>
      <c r="Y480" s="64">
        <f t="shared" si="101"/>
        <v>0</v>
      </c>
      <c r="Z480" s="63">
        <f t="shared" si="102"/>
        <v>0</v>
      </c>
      <c r="AA480" s="62">
        <f t="shared" si="103"/>
        <v>2.3689999999999998</v>
      </c>
      <c r="AB480" s="62">
        <f t="shared" si="104"/>
        <v>1.92</v>
      </c>
    </row>
    <row r="481" spans="2:28">
      <c r="B481" s="106">
        <f>'114+320'!B482</f>
        <v>45511</v>
      </c>
      <c r="C481" s="75">
        <f t="shared" si="96"/>
        <v>1</v>
      </c>
      <c r="D481" s="74">
        <f t="shared" si="97"/>
        <v>842</v>
      </c>
      <c r="E481" s="73">
        <f>VLOOKUP(B481,'114+320'!B482:AB868,3,FALSE)</f>
        <v>2162</v>
      </c>
      <c r="F481" s="69">
        <f t="shared" si="92"/>
        <v>3004</v>
      </c>
      <c r="G481" s="72">
        <f>VLOOKUP(B481,'114+320'!$B$15:$AB$785,20,FALSE)</f>
        <v>2044</v>
      </c>
      <c r="H481" s="72">
        <f>VLOOKUP(B481,'114+320'!$B$15:$AB$785,4,FALSE)</f>
        <v>440</v>
      </c>
      <c r="I481" s="68">
        <f t="shared" si="93"/>
        <v>2564</v>
      </c>
      <c r="J481" s="71">
        <f>VLOOKUP(B481,'114+320'!$B$15:$AB$785,13,FALSE)</f>
        <v>-436</v>
      </c>
      <c r="K481" s="66">
        <f>'114+320'!Q482</f>
        <v>0</v>
      </c>
      <c r="L481" s="65">
        <f t="shared" si="98"/>
        <v>256</v>
      </c>
      <c r="M481" s="70">
        <f>VLOOKUP(B481,'114+320'!$B$14:$AB$785,21,FALSE)</f>
        <v>2020</v>
      </c>
      <c r="N481" s="69">
        <f>VLOOKUP(B481,'114+320'!$B$15:$AB$785,5,FALSE)</f>
        <v>464</v>
      </c>
      <c r="O481" s="68">
        <f t="shared" si="94"/>
        <v>2540</v>
      </c>
      <c r="P481" s="71">
        <f>VLOOKUP(B481,'114+320'!$B$15:$AB$785,14,FALSE)</f>
        <v>-460</v>
      </c>
      <c r="Q481" s="66">
        <f>'114+320'!R482</f>
        <v>0</v>
      </c>
      <c r="R481" s="65">
        <f t="shared" si="99"/>
        <v>280</v>
      </c>
      <c r="S481" s="70">
        <f>VLOOKUP(B481,'114+320'!$B$14:$AB$785,22,FALSE)</f>
        <v>2080</v>
      </c>
      <c r="T481" s="69">
        <f>VLOOKUP(B481,'114+320'!$B$15:$AB$785,6,FALSE)</f>
        <v>344</v>
      </c>
      <c r="U481" s="68">
        <f t="shared" si="95"/>
        <v>2660</v>
      </c>
      <c r="V481" s="67">
        <f>VLOOKUP(B481,'114+320'!$B$15:$AB$785,15,FALSE)</f>
        <v>-340</v>
      </c>
      <c r="W481" s="66">
        <f>'114+320'!S482</f>
        <v>0</v>
      </c>
      <c r="X481" s="65">
        <f t="shared" si="100"/>
        <v>220</v>
      </c>
      <c r="Y481" s="64">
        <f t="shared" si="101"/>
        <v>0</v>
      </c>
      <c r="Z481" s="63">
        <f t="shared" si="102"/>
        <v>0</v>
      </c>
      <c r="AA481" s="62">
        <f t="shared" si="103"/>
        <v>2.3689999999999998</v>
      </c>
      <c r="AB481" s="62">
        <f t="shared" si="104"/>
        <v>1.92</v>
      </c>
    </row>
    <row r="482" spans="2:28">
      <c r="B482" s="106">
        <f>'114+320'!B483</f>
        <v>45512</v>
      </c>
      <c r="C482" s="75">
        <f t="shared" si="96"/>
        <v>1</v>
      </c>
      <c r="D482" s="74">
        <f t="shared" si="97"/>
        <v>842</v>
      </c>
      <c r="E482" s="73">
        <f>VLOOKUP(B482,'114+320'!B483:AB869,3,FALSE)</f>
        <v>2164</v>
      </c>
      <c r="F482" s="69">
        <f t="shared" si="92"/>
        <v>3006</v>
      </c>
      <c r="G482" s="72">
        <f>VLOOKUP(B482,'114+320'!$B$15:$AB$785,20,FALSE)</f>
        <v>2044</v>
      </c>
      <c r="H482" s="72">
        <f>VLOOKUP(B482,'114+320'!$B$15:$AB$785,4,FALSE)</f>
        <v>442</v>
      </c>
      <c r="I482" s="68">
        <f t="shared" si="93"/>
        <v>2564</v>
      </c>
      <c r="J482" s="71">
        <f>VLOOKUP(B482,'114+320'!$B$15:$AB$785,13,FALSE)</f>
        <v>-436</v>
      </c>
      <c r="K482" s="66">
        <f>'114+320'!Q483</f>
        <v>0</v>
      </c>
      <c r="L482" s="65">
        <f t="shared" si="98"/>
        <v>256</v>
      </c>
      <c r="M482" s="70">
        <f>VLOOKUP(B482,'114+320'!$B$14:$AB$785,21,FALSE)</f>
        <v>2020</v>
      </c>
      <c r="N482" s="69">
        <f>VLOOKUP(B482,'114+320'!$B$15:$AB$785,5,FALSE)</f>
        <v>466</v>
      </c>
      <c r="O482" s="68">
        <f t="shared" si="94"/>
        <v>2540</v>
      </c>
      <c r="P482" s="71">
        <f>VLOOKUP(B482,'114+320'!$B$15:$AB$785,14,FALSE)</f>
        <v>-460</v>
      </c>
      <c r="Q482" s="66">
        <f>'114+320'!R483</f>
        <v>0</v>
      </c>
      <c r="R482" s="65">
        <f t="shared" si="99"/>
        <v>280</v>
      </c>
      <c r="S482" s="70">
        <f>VLOOKUP(B482,'114+320'!$B$14:$AB$785,22,FALSE)</f>
        <v>2080</v>
      </c>
      <c r="T482" s="69">
        <f>VLOOKUP(B482,'114+320'!$B$15:$AB$785,6,FALSE)</f>
        <v>346</v>
      </c>
      <c r="U482" s="68">
        <f t="shared" si="95"/>
        <v>2660</v>
      </c>
      <c r="V482" s="67">
        <f>VLOOKUP(B482,'114+320'!$B$15:$AB$785,15,FALSE)</f>
        <v>-340</v>
      </c>
      <c r="W482" s="66">
        <f>'114+320'!S483</f>
        <v>0</v>
      </c>
      <c r="X482" s="65">
        <f t="shared" si="100"/>
        <v>220</v>
      </c>
      <c r="Y482" s="64">
        <f t="shared" si="101"/>
        <v>0</v>
      </c>
      <c r="Z482" s="63">
        <f t="shared" si="102"/>
        <v>0</v>
      </c>
      <c r="AA482" s="62">
        <f t="shared" si="103"/>
        <v>2.3689999999999998</v>
      </c>
      <c r="AB482" s="62">
        <f t="shared" si="104"/>
        <v>1.92</v>
      </c>
    </row>
    <row r="483" spans="2:28">
      <c r="B483" s="106">
        <f>'114+320'!B484</f>
        <v>45513</v>
      </c>
      <c r="C483" s="75">
        <f t="shared" si="96"/>
        <v>1</v>
      </c>
      <c r="D483" s="74">
        <f t="shared" si="97"/>
        <v>842</v>
      </c>
      <c r="E483" s="73">
        <f>VLOOKUP(B483,'114+320'!B484:AB870,3,FALSE)</f>
        <v>2166</v>
      </c>
      <c r="F483" s="69">
        <f t="shared" si="92"/>
        <v>3008</v>
      </c>
      <c r="G483" s="72">
        <f>VLOOKUP(B483,'114+320'!$B$15:$AB$785,20,FALSE)</f>
        <v>2044</v>
      </c>
      <c r="H483" s="72">
        <f>VLOOKUP(B483,'114+320'!$B$15:$AB$785,4,FALSE)</f>
        <v>444</v>
      </c>
      <c r="I483" s="68">
        <f t="shared" si="93"/>
        <v>2564</v>
      </c>
      <c r="J483" s="71">
        <f>VLOOKUP(B483,'114+320'!$B$15:$AB$785,13,FALSE)</f>
        <v>-436</v>
      </c>
      <c r="K483" s="66">
        <f>'114+320'!Q484</f>
        <v>0</v>
      </c>
      <c r="L483" s="65">
        <f t="shared" si="98"/>
        <v>256</v>
      </c>
      <c r="M483" s="70">
        <f>VLOOKUP(B483,'114+320'!$B$14:$AB$785,21,FALSE)</f>
        <v>2020</v>
      </c>
      <c r="N483" s="69">
        <f>VLOOKUP(B483,'114+320'!$B$15:$AB$785,5,FALSE)</f>
        <v>468</v>
      </c>
      <c r="O483" s="68">
        <f t="shared" si="94"/>
        <v>2540</v>
      </c>
      <c r="P483" s="71">
        <f>VLOOKUP(B483,'114+320'!$B$15:$AB$785,14,FALSE)</f>
        <v>-460</v>
      </c>
      <c r="Q483" s="66">
        <f>'114+320'!R484</f>
        <v>0</v>
      </c>
      <c r="R483" s="65">
        <f t="shared" si="99"/>
        <v>280</v>
      </c>
      <c r="S483" s="70">
        <f>VLOOKUP(B483,'114+320'!$B$14:$AB$785,22,FALSE)</f>
        <v>2080</v>
      </c>
      <c r="T483" s="69">
        <f>VLOOKUP(B483,'114+320'!$B$15:$AB$785,6,FALSE)</f>
        <v>348</v>
      </c>
      <c r="U483" s="68">
        <f t="shared" si="95"/>
        <v>2660</v>
      </c>
      <c r="V483" s="67">
        <f>VLOOKUP(B483,'114+320'!$B$15:$AB$785,15,FALSE)</f>
        <v>-340</v>
      </c>
      <c r="W483" s="66">
        <f>'114+320'!S484</f>
        <v>0</v>
      </c>
      <c r="X483" s="65">
        <f t="shared" si="100"/>
        <v>220</v>
      </c>
      <c r="Y483" s="64">
        <f t="shared" si="101"/>
        <v>0</v>
      </c>
      <c r="Z483" s="63">
        <f t="shared" si="102"/>
        <v>0</v>
      </c>
      <c r="AA483" s="62">
        <f t="shared" si="103"/>
        <v>2.3689999999999998</v>
      </c>
      <c r="AB483" s="62">
        <f t="shared" si="104"/>
        <v>1.92</v>
      </c>
    </row>
    <row r="484" spans="2:28">
      <c r="B484" s="106">
        <f>'114+320'!B485</f>
        <v>45514</v>
      </c>
      <c r="C484" s="75">
        <f t="shared" si="96"/>
        <v>1</v>
      </c>
      <c r="D484" s="74">
        <f t="shared" si="97"/>
        <v>842</v>
      </c>
      <c r="E484" s="73">
        <f>VLOOKUP(B484,'114+320'!B485:AB871,3,FALSE)</f>
        <v>2168</v>
      </c>
      <c r="F484" s="69">
        <f t="shared" si="92"/>
        <v>3010</v>
      </c>
      <c r="G484" s="72">
        <f>VLOOKUP(B484,'114+320'!$B$15:$AB$785,20,FALSE)</f>
        <v>2044</v>
      </c>
      <c r="H484" s="72">
        <f>VLOOKUP(B484,'114+320'!$B$15:$AB$785,4,FALSE)</f>
        <v>446</v>
      </c>
      <c r="I484" s="68">
        <f t="shared" si="93"/>
        <v>2564</v>
      </c>
      <c r="J484" s="71">
        <f>VLOOKUP(B484,'114+320'!$B$15:$AB$785,13,FALSE)</f>
        <v>-436</v>
      </c>
      <c r="K484" s="66">
        <f>'114+320'!Q485</f>
        <v>0</v>
      </c>
      <c r="L484" s="65">
        <f t="shared" si="98"/>
        <v>256</v>
      </c>
      <c r="M484" s="70">
        <f>VLOOKUP(B484,'114+320'!$B$14:$AB$785,21,FALSE)</f>
        <v>2020</v>
      </c>
      <c r="N484" s="69">
        <f>VLOOKUP(B484,'114+320'!$B$15:$AB$785,5,FALSE)</f>
        <v>470</v>
      </c>
      <c r="O484" s="68">
        <f t="shared" si="94"/>
        <v>2540</v>
      </c>
      <c r="P484" s="71">
        <f>VLOOKUP(B484,'114+320'!$B$15:$AB$785,14,FALSE)</f>
        <v>-460</v>
      </c>
      <c r="Q484" s="66">
        <f>'114+320'!R485</f>
        <v>0</v>
      </c>
      <c r="R484" s="65">
        <f t="shared" si="99"/>
        <v>280</v>
      </c>
      <c r="S484" s="70">
        <f>VLOOKUP(B484,'114+320'!$B$14:$AB$785,22,FALSE)</f>
        <v>2080</v>
      </c>
      <c r="T484" s="69">
        <f>VLOOKUP(B484,'114+320'!$B$15:$AB$785,6,FALSE)</f>
        <v>350</v>
      </c>
      <c r="U484" s="68">
        <f t="shared" si="95"/>
        <v>2660</v>
      </c>
      <c r="V484" s="67">
        <f>VLOOKUP(B484,'114+320'!$B$15:$AB$785,15,FALSE)</f>
        <v>-340</v>
      </c>
      <c r="W484" s="66">
        <f>'114+320'!S485</f>
        <v>0</v>
      </c>
      <c r="X484" s="65">
        <f t="shared" si="100"/>
        <v>220</v>
      </c>
      <c r="Y484" s="64">
        <f t="shared" si="101"/>
        <v>0</v>
      </c>
      <c r="Z484" s="63">
        <f t="shared" si="102"/>
        <v>0</v>
      </c>
      <c r="AA484" s="62">
        <f t="shared" si="103"/>
        <v>2.3689999999999998</v>
      </c>
      <c r="AB484" s="62">
        <f t="shared" si="104"/>
        <v>1.92</v>
      </c>
    </row>
    <row r="485" spans="2:28">
      <c r="B485" s="106">
        <f>'114+320'!B486</f>
        <v>45515</v>
      </c>
      <c r="C485" s="75">
        <f t="shared" si="96"/>
        <v>1</v>
      </c>
      <c r="D485" s="74">
        <f t="shared" si="97"/>
        <v>842</v>
      </c>
      <c r="E485" s="73">
        <f>VLOOKUP(B485,'114+320'!B486:AB872,3,FALSE)</f>
        <v>2170</v>
      </c>
      <c r="F485" s="69">
        <f t="shared" si="92"/>
        <v>3012</v>
      </c>
      <c r="G485" s="72">
        <f>VLOOKUP(B485,'114+320'!$B$15:$AB$785,20,FALSE)</f>
        <v>2044</v>
      </c>
      <c r="H485" s="72">
        <f>VLOOKUP(B485,'114+320'!$B$15:$AB$785,4,FALSE)</f>
        <v>448</v>
      </c>
      <c r="I485" s="68">
        <f t="shared" si="93"/>
        <v>2564</v>
      </c>
      <c r="J485" s="71">
        <f>VLOOKUP(B485,'114+320'!$B$15:$AB$785,13,FALSE)</f>
        <v>-436</v>
      </c>
      <c r="K485" s="66">
        <f>'114+320'!Q486</f>
        <v>0</v>
      </c>
      <c r="L485" s="65">
        <f t="shared" si="98"/>
        <v>256</v>
      </c>
      <c r="M485" s="70">
        <f>VLOOKUP(B485,'114+320'!$B$14:$AB$785,21,FALSE)</f>
        <v>2020</v>
      </c>
      <c r="N485" s="69">
        <f>VLOOKUP(B485,'114+320'!$B$15:$AB$785,5,FALSE)</f>
        <v>472</v>
      </c>
      <c r="O485" s="68">
        <f t="shared" si="94"/>
        <v>2540</v>
      </c>
      <c r="P485" s="71">
        <f>VLOOKUP(B485,'114+320'!$B$15:$AB$785,14,FALSE)</f>
        <v>-460</v>
      </c>
      <c r="Q485" s="66">
        <f>'114+320'!R486</f>
        <v>0</v>
      </c>
      <c r="R485" s="65">
        <f t="shared" si="99"/>
        <v>280</v>
      </c>
      <c r="S485" s="70">
        <f>VLOOKUP(B485,'114+320'!$B$14:$AB$785,22,FALSE)</f>
        <v>2080</v>
      </c>
      <c r="T485" s="69">
        <f>VLOOKUP(B485,'114+320'!$B$15:$AB$785,6,FALSE)</f>
        <v>352</v>
      </c>
      <c r="U485" s="68">
        <f t="shared" si="95"/>
        <v>2660</v>
      </c>
      <c r="V485" s="67">
        <f>VLOOKUP(B485,'114+320'!$B$15:$AB$785,15,FALSE)</f>
        <v>-340</v>
      </c>
      <c r="W485" s="66">
        <f>'114+320'!S486</f>
        <v>0</v>
      </c>
      <c r="X485" s="65">
        <f t="shared" si="100"/>
        <v>220</v>
      </c>
      <c r="Y485" s="64">
        <f t="shared" si="101"/>
        <v>0</v>
      </c>
      <c r="Z485" s="63">
        <f t="shared" si="102"/>
        <v>0</v>
      </c>
      <c r="AA485" s="62">
        <f t="shared" si="103"/>
        <v>2.3689999999999998</v>
      </c>
      <c r="AB485" s="62">
        <f t="shared" si="104"/>
        <v>1.92</v>
      </c>
    </row>
    <row r="486" spans="2:28">
      <c r="B486" s="106">
        <f>'114+320'!B487</f>
        <v>45516</v>
      </c>
      <c r="C486" s="75">
        <f t="shared" si="96"/>
        <v>1</v>
      </c>
      <c r="D486" s="74">
        <f t="shared" si="97"/>
        <v>842</v>
      </c>
      <c r="E486" s="73">
        <f>VLOOKUP(B486,'114+320'!B487:AB873,3,FALSE)</f>
        <v>2172</v>
      </c>
      <c r="F486" s="69">
        <f t="shared" si="92"/>
        <v>3014</v>
      </c>
      <c r="G486" s="72">
        <f>VLOOKUP(B486,'114+320'!$B$15:$AB$785,20,FALSE)</f>
        <v>2044</v>
      </c>
      <c r="H486" s="72">
        <f>VLOOKUP(B486,'114+320'!$B$15:$AB$785,4,FALSE)</f>
        <v>450</v>
      </c>
      <c r="I486" s="68">
        <f t="shared" si="93"/>
        <v>2564</v>
      </c>
      <c r="J486" s="71">
        <f>VLOOKUP(B486,'114+320'!$B$15:$AB$785,13,FALSE)</f>
        <v>-436</v>
      </c>
      <c r="K486" s="66">
        <f>'114+320'!Q487</f>
        <v>0</v>
      </c>
      <c r="L486" s="65">
        <f t="shared" si="98"/>
        <v>256</v>
      </c>
      <c r="M486" s="70">
        <f>VLOOKUP(B486,'114+320'!$B$14:$AB$785,21,FALSE)</f>
        <v>2020</v>
      </c>
      <c r="N486" s="69">
        <f>VLOOKUP(B486,'114+320'!$B$15:$AB$785,5,FALSE)</f>
        <v>474</v>
      </c>
      <c r="O486" s="68">
        <f t="shared" si="94"/>
        <v>2540</v>
      </c>
      <c r="P486" s="71">
        <f>VLOOKUP(B486,'114+320'!$B$15:$AB$785,14,FALSE)</f>
        <v>-460</v>
      </c>
      <c r="Q486" s="66">
        <f>'114+320'!R487</f>
        <v>0</v>
      </c>
      <c r="R486" s="65">
        <f t="shared" si="99"/>
        <v>280</v>
      </c>
      <c r="S486" s="70">
        <f>VLOOKUP(B486,'114+320'!$B$14:$AB$785,22,FALSE)</f>
        <v>2080</v>
      </c>
      <c r="T486" s="69">
        <f>VLOOKUP(B486,'114+320'!$B$15:$AB$785,6,FALSE)</f>
        <v>354</v>
      </c>
      <c r="U486" s="68">
        <f t="shared" si="95"/>
        <v>2660</v>
      </c>
      <c r="V486" s="67">
        <f>VLOOKUP(B486,'114+320'!$B$15:$AB$785,15,FALSE)</f>
        <v>-340</v>
      </c>
      <c r="W486" s="66">
        <f>'114+320'!S487</f>
        <v>0</v>
      </c>
      <c r="X486" s="65">
        <f t="shared" si="100"/>
        <v>220</v>
      </c>
      <c r="Y486" s="64">
        <f t="shared" si="101"/>
        <v>0</v>
      </c>
      <c r="Z486" s="63">
        <f t="shared" si="102"/>
        <v>0</v>
      </c>
      <c r="AA486" s="62">
        <f t="shared" si="103"/>
        <v>2.3689999999999998</v>
      </c>
      <c r="AB486" s="62">
        <f t="shared" si="104"/>
        <v>1.92</v>
      </c>
    </row>
    <row r="487" spans="2:28">
      <c r="B487" s="106">
        <f>'114+320'!B488</f>
        <v>45517</v>
      </c>
      <c r="C487" s="75">
        <f t="shared" si="96"/>
        <v>1</v>
      </c>
      <c r="D487" s="74">
        <f t="shared" si="97"/>
        <v>842</v>
      </c>
      <c r="E487" s="73">
        <f>VLOOKUP(B487,'114+320'!B488:AB874,3,FALSE)</f>
        <v>2174</v>
      </c>
      <c r="F487" s="69">
        <f t="shared" si="92"/>
        <v>3016</v>
      </c>
      <c r="G487" s="72">
        <f>VLOOKUP(B487,'114+320'!$B$15:$AB$785,20,FALSE)</f>
        <v>2044</v>
      </c>
      <c r="H487" s="72">
        <f>VLOOKUP(B487,'114+320'!$B$15:$AB$785,4,FALSE)</f>
        <v>452</v>
      </c>
      <c r="I487" s="68">
        <f t="shared" si="93"/>
        <v>2564</v>
      </c>
      <c r="J487" s="71">
        <f>VLOOKUP(B487,'114+320'!$B$15:$AB$785,13,FALSE)</f>
        <v>-436</v>
      </c>
      <c r="K487" s="66">
        <f>'114+320'!Q488</f>
        <v>0</v>
      </c>
      <c r="L487" s="65">
        <f t="shared" si="98"/>
        <v>256</v>
      </c>
      <c r="M487" s="70">
        <f>VLOOKUP(B487,'114+320'!$B$14:$AB$785,21,FALSE)</f>
        <v>2020</v>
      </c>
      <c r="N487" s="69">
        <f>VLOOKUP(B487,'114+320'!$B$15:$AB$785,5,FALSE)</f>
        <v>476</v>
      </c>
      <c r="O487" s="68">
        <f t="shared" si="94"/>
        <v>2540</v>
      </c>
      <c r="P487" s="71">
        <f>VLOOKUP(B487,'114+320'!$B$15:$AB$785,14,FALSE)</f>
        <v>-460</v>
      </c>
      <c r="Q487" s="66">
        <f>'114+320'!R488</f>
        <v>0</v>
      </c>
      <c r="R487" s="65">
        <f t="shared" si="99"/>
        <v>280</v>
      </c>
      <c r="S487" s="70">
        <f>VLOOKUP(B487,'114+320'!$B$14:$AB$785,22,FALSE)</f>
        <v>2080</v>
      </c>
      <c r="T487" s="69">
        <f>VLOOKUP(B487,'114+320'!$B$15:$AB$785,6,FALSE)</f>
        <v>356</v>
      </c>
      <c r="U487" s="68">
        <f t="shared" si="95"/>
        <v>2660</v>
      </c>
      <c r="V487" s="67">
        <f>VLOOKUP(B487,'114+320'!$B$15:$AB$785,15,FALSE)</f>
        <v>-340</v>
      </c>
      <c r="W487" s="66">
        <f>'114+320'!S488</f>
        <v>0</v>
      </c>
      <c r="X487" s="65">
        <f t="shared" si="100"/>
        <v>220</v>
      </c>
      <c r="Y487" s="64">
        <f t="shared" si="101"/>
        <v>0</v>
      </c>
      <c r="Z487" s="63">
        <f t="shared" si="102"/>
        <v>0</v>
      </c>
      <c r="AA487" s="62">
        <f t="shared" si="103"/>
        <v>2.3689999999999998</v>
      </c>
      <c r="AB487" s="62">
        <f t="shared" si="104"/>
        <v>1.92</v>
      </c>
    </row>
    <row r="488" spans="2:28">
      <c r="B488" s="106">
        <f>'114+320'!B489</f>
        <v>45518</v>
      </c>
      <c r="C488" s="75">
        <f t="shared" si="96"/>
        <v>1</v>
      </c>
      <c r="D488" s="74">
        <f t="shared" si="97"/>
        <v>842</v>
      </c>
      <c r="E488" s="73">
        <f>VLOOKUP(B488,'114+320'!B489:AB875,3,FALSE)</f>
        <v>2176</v>
      </c>
      <c r="F488" s="69">
        <f t="shared" si="92"/>
        <v>3018</v>
      </c>
      <c r="G488" s="72">
        <f>VLOOKUP(B488,'114+320'!$B$15:$AB$785,20,FALSE)</f>
        <v>2044</v>
      </c>
      <c r="H488" s="72">
        <f>VLOOKUP(B488,'114+320'!$B$15:$AB$785,4,FALSE)</f>
        <v>454</v>
      </c>
      <c r="I488" s="68">
        <f t="shared" si="93"/>
        <v>2564</v>
      </c>
      <c r="J488" s="71">
        <f>VLOOKUP(B488,'114+320'!$B$15:$AB$785,13,FALSE)</f>
        <v>-436</v>
      </c>
      <c r="K488" s="66">
        <f>'114+320'!Q489</f>
        <v>0</v>
      </c>
      <c r="L488" s="65">
        <f t="shared" si="98"/>
        <v>256</v>
      </c>
      <c r="M488" s="70">
        <f>VLOOKUP(B488,'114+320'!$B$14:$AB$785,21,FALSE)</f>
        <v>2020</v>
      </c>
      <c r="N488" s="69">
        <f>VLOOKUP(B488,'114+320'!$B$15:$AB$785,5,FALSE)</f>
        <v>478</v>
      </c>
      <c r="O488" s="68">
        <f t="shared" si="94"/>
        <v>2540</v>
      </c>
      <c r="P488" s="71">
        <f>VLOOKUP(B488,'114+320'!$B$15:$AB$785,14,FALSE)</f>
        <v>-460</v>
      </c>
      <c r="Q488" s="66">
        <f>'114+320'!R489</f>
        <v>0</v>
      </c>
      <c r="R488" s="65">
        <f t="shared" si="99"/>
        <v>280</v>
      </c>
      <c r="S488" s="70">
        <f>VLOOKUP(B488,'114+320'!$B$14:$AB$785,22,FALSE)</f>
        <v>2080</v>
      </c>
      <c r="T488" s="69">
        <f>VLOOKUP(B488,'114+320'!$B$15:$AB$785,6,FALSE)</f>
        <v>358</v>
      </c>
      <c r="U488" s="68">
        <f t="shared" si="95"/>
        <v>2660</v>
      </c>
      <c r="V488" s="67">
        <f>VLOOKUP(B488,'114+320'!$B$15:$AB$785,15,FALSE)</f>
        <v>-340</v>
      </c>
      <c r="W488" s="66">
        <f>'114+320'!S489</f>
        <v>0</v>
      </c>
      <c r="X488" s="65">
        <f t="shared" si="100"/>
        <v>220</v>
      </c>
      <c r="Y488" s="64">
        <f t="shared" si="101"/>
        <v>0</v>
      </c>
      <c r="Z488" s="63">
        <f t="shared" si="102"/>
        <v>0</v>
      </c>
      <c r="AA488" s="62">
        <f t="shared" si="103"/>
        <v>2.3689999999999998</v>
      </c>
      <c r="AB488" s="62">
        <f t="shared" si="104"/>
        <v>1.92</v>
      </c>
    </row>
    <row r="489" spans="2:28">
      <c r="B489" s="106">
        <f>'114+320'!B490</f>
        <v>45519</v>
      </c>
      <c r="C489" s="75">
        <f t="shared" si="96"/>
        <v>1</v>
      </c>
      <c r="D489" s="74">
        <f t="shared" si="97"/>
        <v>842</v>
      </c>
      <c r="E489" s="73">
        <f>VLOOKUP(B489,'114+320'!B490:AB876,3,FALSE)</f>
        <v>2178</v>
      </c>
      <c r="F489" s="69">
        <f t="shared" si="92"/>
        <v>3020</v>
      </c>
      <c r="G489" s="72">
        <f>VLOOKUP(B489,'114+320'!$B$15:$AB$785,20,FALSE)</f>
        <v>2044</v>
      </c>
      <c r="H489" s="72">
        <f>VLOOKUP(B489,'114+320'!$B$15:$AB$785,4,FALSE)</f>
        <v>456</v>
      </c>
      <c r="I489" s="68">
        <f t="shared" si="93"/>
        <v>2564</v>
      </c>
      <c r="J489" s="71">
        <f>VLOOKUP(B489,'114+320'!$B$15:$AB$785,13,FALSE)</f>
        <v>-436</v>
      </c>
      <c r="K489" s="66">
        <f>'114+320'!Q490</f>
        <v>0</v>
      </c>
      <c r="L489" s="65">
        <f t="shared" si="98"/>
        <v>256</v>
      </c>
      <c r="M489" s="70">
        <f>VLOOKUP(B489,'114+320'!$B$14:$AB$785,21,FALSE)</f>
        <v>2020</v>
      </c>
      <c r="N489" s="69">
        <f>VLOOKUP(B489,'114+320'!$B$15:$AB$785,5,FALSE)</f>
        <v>480</v>
      </c>
      <c r="O489" s="68">
        <f t="shared" si="94"/>
        <v>2540</v>
      </c>
      <c r="P489" s="71">
        <f>VLOOKUP(B489,'114+320'!$B$15:$AB$785,14,FALSE)</f>
        <v>-460</v>
      </c>
      <c r="Q489" s="66">
        <f>'114+320'!R490</f>
        <v>0</v>
      </c>
      <c r="R489" s="65">
        <f t="shared" si="99"/>
        <v>280</v>
      </c>
      <c r="S489" s="70">
        <f>VLOOKUP(B489,'114+320'!$B$14:$AB$785,22,FALSE)</f>
        <v>2080</v>
      </c>
      <c r="T489" s="69">
        <f>VLOOKUP(B489,'114+320'!$B$15:$AB$785,6,FALSE)</f>
        <v>360</v>
      </c>
      <c r="U489" s="68">
        <f t="shared" si="95"/>
        <v>2660</v>
      </c>
      <c r="V489" s="67">
        <f>VLOOKUP(B489,'114+320'!$B$15:$AB$785,15,FALSE)</f>
        <v>-340</v>
      </c>
      <c r="W489" s="66">
        <f>'114+320'!S490</f>
        <v>0</v>
      </c>
      <c r="X489" s="65">
        <f t="shared" si="100"/>
        <v>220</v>
      </c>
      <c r="Y489" s="64">
        <f t="shared" si="101"/>
        <v>0</v>
      </c>
      <c r="Z489" s="63">
        <f t="shared" si="102"/>
        <v>0</v>
      </c>
      <c r="AA489" s="62">
        <f t="shared" si="103"/>
        <v>2.3689999999999998</v>
      </c>
      <c r="AB489" s="62">
        <f t="shared" si="104"/>
        <v>1.92</v>
      </c>
    </row>
    <row r="490" spans="2:28">
      <c r="B490" s="106">
        <f>'114+320'!B491</f>
        <v>45520</v>
      </c>
      <c r="C490" s="75">
        <f t="shared" si="96"/>
        <v>1</v>
      </c>
      <c r="D490" s="74">
        <f t="shared" si="97"/>
        <v>842</v>
      </c>
      <c r="E490" s="73">
        <f>VLOOKUP(B490,'114+320'!B491:AB877,3,FALSE)</f>
        <v>2180</v>
      </c>
      <c r="F490" s="69">
        <f t="shared" si="92"/>
        <v>3022</v>
      </c>
      <c r="G490" s="72">
        <f>VLOOKUP(B490,'114+320'!$B$15:$AB$785,20,FALSE)</f>
        <v>2044</v>
      </c>
      <c r="H490" s="72">
        <f>VLOOKUP(B490,'114+320'!$B$15:$AB$785,4,FALSE)</f>
        <v>458</v>
      </c>
      <c r="I490" s="68">
        <f t="shared" si="93"/>
        <v>2564</v>
      </c>
      <c r="J490" s="71">
        <f>VLOOKUP(B490,'114+320'!$B$15:$AB$785,13,FALSE)</f>
        <v>-436</v>
      </c>
      <c r="K490" s="66">
        <f>'114+320'!Q491</f>
        <v>0</v>
      </c>
      <c r="L490" s="65">
        <f t="shared" si="98"/>
        <v>256</v>
      </c>
      <c r="M490" s="70">
        <f>VLOOKUP(B490,'114+320'!$B$14:$AB$785,21,FALSE)</f>
        <v>2020</v>
      </c>
      <c r="N490" s="69">
        <f>VLOOKUP(B490,'114+320'!$B$15:$AB$785,5,FALSE)</f>
        <v>482</v>
      </c>
      <c r="O490" s="68">
        <f t="shared" si="94"/>
        <v>2540</v>
      </c>
      <c r="P490" s="71">
        <f>VLOOKUP(B490,'114+320'!$B$15:$AB$785,14,FALSE)</f>
        <v>-460</v>
      </c>
      <c r="Q490" s="66">
        <f>'114+320'!R491</f>
        <v>0</v>
      </c>
      <c r="R490" s="65">
        <f t="shared" si="99"/>
        <v>280</v>
      </c>
      <c r="S490" s="70">
        <f>VLOOKUP(B490,'114+320'!$B$14:$AB$785,22,FALSE)</f>
        <v>2080</v>
      </c>
      <c r="T490" s="69">
        <f>VLOOKUP(B490,'114+320'!$B$15:$AB$785,6,FALSE)</f>
        <v>362</v>
      </c>
      <c r="U490" s="68">
        <f t="shared" si="95"/>
        <v>2660</v>
      </c>
      <c r="V490" s="67">
        <f>VLOOKUP(B490,'114+320'!$B$15:$AB$785,15,FALSE)</f>
        <v>-340</v>
      </c>
      <c r="W490" s="66">
        <f>'114+320'!S491</f>
        <v>0</v>
      </c>
      <c r="X490" s="65">
        <f t="shared" si="100"/>
        <v>220</v>
      </c>
      <c r="Y490" s="64">
        <f t="shared" si="101"/>
        <v>0</v>
      </c>
      <c r="Z490" s="63">
        <f t="shared" si="102"/>
        <v>0</v>
      </c>
      <c r="AA490" s="62">
        <f t="shared" si="103"/>
        <v>2.3689999999999998</v>
      </c>
      <c r="AB490" s="62">
        <f t="shared" si="104"/>
        <v>1.92</v>
      </c>
    </row>
    <row r="491" spans="2:28">
      <c r="B491" s="106">
        <f>'114+320'!B492</f>
        <v>45521</v>
      </c>
      <c r="C491" s="75">
        <f t="shared" si="96"/>
        <v>1</v>
      </c>
      <c r="D491" s="74">
        <f t="shared" si="97"/>
        <v>842</v>
      </c>
      <c r="E491" s="73">
        <f>VLOOKUP(B491,'114+320'!B492:AB878,3,FALSE)</f>
        <v>2182</v>
      </c>
      <c r="F491" s="69">
        <f t="shared" si="92"/>
        <v>3024</v>
      </c>
      <c r="G491" s="72">
        <f>VLOOKUP(B491,'114+320'!$B$15:$AB$785,20,FALSE)</f>
        <v>2044</v>
      </c>
      <c r="H491" s="72">
        <f>VLOOKUP(B491,'114+320'!$B$15:$AB$785,4,FALSE)</f>
        <v>460</v>
      </c>
      <c r="I491" s="68">
        <f t="shared" si="93"/>
        <v>2564</v>
      </c>
      <c r="J491" s="71">
        <f>VLOOKUP(B491,'114+320'!$B$15:$AB$785,13,FALSE)</f>
        <v>-436</v>
      </c>
      <c r="K491" s="66">
        <f>'114+320'!Q492</f>
        <v>0</v>
      </c>
      <c r="L491" s="65">
        <f t="shared" si="98"/>
        <v>256</v>
      </c>
      <c r="M491" s="70">
        <f>VLOOKUP(B491,'114+320'!$B$14:$AB$785,21,FALSE)</f>
        <v>2020</v>
      </c>
      <c r="N491" s="69">
        <f>VLOOKUP(B491,'114+320'!$B$15:$AB$785,5,FALSE)</f>
        <v>484</v>
      </c>
      <c r="O491" s="68">
        <f t="shared" si="94"/>
        <v>2540</v>
      </c>
      <c r="P491" s="71">
        <f>VLOOKUP(B491,'114+320'!$B$15:$AB$785,14,FALSE)</f>
        <v>-460</v>
      </c>
      <c r="Q491" s="66">
        <f>'114+320'!R492</f>
        <v>0</v>
      </c>
      <c r="R491" s="65">
        <f t="shared" si="99"/>
        <v>280</v>
      </c>
      <c r="S491" s="70">
        <f>VLOOKUP(B491,'114+320'!$B$14:$AB$785,22,FALSE)</f>
        <v>2080</v>
      </c>
      <c r="T491" s="69">
        <f>VLOOKUP(B491,'114+320'!$B$15:$AB$785,6,FALSE)</f>
        <v>364</v>
      </c>
      <c r="U491" s="68">
        <f t="shared" si="95"/>
        <v>2660</v>
      </c>
      <c r="V491" s="67">
        <f>VLOOKUP(B491,'114+320'!$B$15:$AB$785,15,FALSE)</f>
        <v>-340</v>
      </c>
      <c r="W491" s="66">
        <f>'114+320'!S492</f>
        <v>0</v>
      </c>
      <c r="X491" s="65">
        <f t="shared" si="100"/>
        <v>220</v>
      </c>
      <c r="Y491" s="64">
        <f t="shared" si="101"/>
        <v>0</v>
      </c>
      <c r="Z491" s="63">
        <f t="shared" si="102"/>
        <v>0</v>
      </c>
      <c r="AA491" s="62">
        <f t="shared" si="103"/>
        <v>2.3689999999999998</v>
      </c>
      <c r="AB491" s="62">
        <f t="shared" si="104"/>
        <v>1.92</v>
      </c>
    </row>
    <row r="492" spans="2:28">
      <c r="B492" s="106">
        <f>'114+320'!B493</f>
        <v>45522</v>
      </c>
      <c r="C492" s="75">
        <f t="shared" si="96"/>
        <v>1</v>
      </c>
      <c r="D492" s="74">
        <f t="shared" si="97"/>
        <v>842</v>
      </c>
      <c r="E492" s="73">
        <f>VLOOKUP(B492,'114+320'!B493:AB879,3,FALSE)</f>
        <v>2184</v>
      </c>
      <c r="F492" s="69">
        <f t="shared" si="92"/>
        <v>3026</v>
      </c>
      <c r="G492" s="72">
        <f>VLOOKUP(B492,'114+320'!$B$15:$AB$785,20,FALSE)</f>
        <v>2044</v>
      </c>
      <c r="H492" s="72">
        <f>VLOOKUP(B492,'114+320'!$B$15:$AB$785,4,FALSE)</f>
        <v>462</v>
      </c>
      <c r="I492" s="68">
        <f t="shared" si="93"/>
        <v>2564</v>
      </c>
      <c r="J492" s="71">
        <f>VLOOKUP(B492,'114+320'!$B$15:$AB$785,13,FALSE)</f>
        <v>-436</v>
      </c>
      <c r="K492" s="66">
        <f>'114+320'!Q493</f>
        <v>0</v>
      </c>
      <c r="L492" s="65">
        <f t="shared" si="98"/>
        <v>256</v>
      </c>
      <c r="M492" s="70">
        <f>VLOOKUP(B492,'114+320'!$B$14:$AB$785,21,FALSE)</f>
        <v>2020</v>
      </c>
      <c r="N492" s="69">
        <f>VLOOKUP(B492,'114+320'!$B$15:$AB$785,5,FALSE)</f>
        <v>486</v>
      </c>
      <c r="O492" s="68">
        <f t="shared" si="94"/>
        <v>2540</v>
      </c>
      <c r="P492" s="71">
        <f>VLOOKUP(B492,'114+320'!$B$15:$AB$785,14,FALSE)</f>
        <v>-460</v>
      </c>
      <c r="Q492" s="66">
        <f>'114+320'!R493</f>
        <v>0</v>
      </c>
      <c r="R492" s="65">
        <f t="shared" si="99"/>
        <v>280</v>
      </c>
      <c r="S492" s="70">
        <f>VLOOKUP(B492,'114+320'!$B$14:$AB$785,22,FALSE)</f>
        <v>2080</v>
      </c>
      <c r="T492" s="69">
        <f>VLOOKUP(B492,'114+320'!$B$15:$AB$785,6,FALSE)</f>
        <v>366</v>
      </c>
      <c r="U492" s="68">
        <f t="shared" si="95"/>
        <v>2660</v>
      </c>
      <c r="V492" s="67">
        <f>VLOOKUP(B492,'114+320'!$B$15:$AB$785,15,FALSE)</f>
        <v>-340</v>
      </c>
      <c r="W492" s="66">
        <f>'114+320'!S493</f>
        <v>0</v>
      </c>
      <c r="X492" s="65">
        <f t="shared" si="100"/>
        <v>220</v>
      </c>
      <c r="Y492" s="64">
        <f t="shared" si="101"/>
        <v>0</v>
      </c>
      <c r="Z492" s="63">
        <f t="shared" si="102"/>
        <v>0</v>
      </c>
      <c r="AA492" s="62">
        <f t="shared" si="103"/>
        <v>2.3689999999999998</v>
      </c>
      <c r="AB492" s="62">
        <f t="shared" si="104"/>
        <v>1.92</v>
      </c>
    </row>
    <row r="493" spans="2:28">
      <c r="B493" s="106">
        <f>'114+320'!B494</f>
        <v>45523</v>
      </c>
      <c r="C493" s="75">
        <f t="shared" si="96"/>
        <v>1</v>
      </c>
      <c r="D493" s="74">
        <f t="shared" si="97"/>
        <v>842</v>
      </c>
      <c r="E493" s="73">
        <f>VLOOKUP(B493,'114+320'!B494:AB880,3,FALSE)</f>
        <v>2186</v>
      </c>
      <c r="F493" s="69">
        <f t="shared" si="92"/>
        <v>3028</v>
      </c>
      <c r="G493" s="72">
        <f>VLOOKUP(B493,'114+320'!$B$15:$AB$785,20,FALSE)</f>
        <v>2044</v>
      </c>
      <c r="H493" s="72">
        <f>VLOOKUP(B493,'114+320'!$B$15:$AB$785,4,FALSE)</f>
        <v>464</v>
      </c>
      <c r="I493" s="68">
        <f t="shared" si="93"/>
        <v>2564</v>
      </c>
      <c r="J493" s="71">
        <f>VLOOKUP(B493,'114+320'!$B$15:$AB$785,13,FALSE)</f>
        <v>-436</v>
      </c>
      <c r="K493" s="66">
        <f>'114+320'!Q494</f>
        <v>0</v>
      </c>
      <c r="L493" s="65">
        <f t="shared" si="98"/>
        <v>256</v>
      </c>
      <c r="M493" s="70">
        <f>VLOOKUP(B493,'114+320'!$B$14:$AB$785,21,FALSE)</f>
        <v>2020</v>
      </c>
      <c r="N493" s="69">
        <f>VLOOKUP(B493,'114+320'!$B$15:$AB$785,5,FALSE)</f>
        <v>488</v>
      </c>
      <c r="O493" s="68">
        <f t="shared" si="94"/>
        <v>2540</v>
      </c>
      <c r="P493" s="71">
        <f>VLOOKUP(B493,'114+320'!$B$15:$AB$785,14,FALSE)</f>
        <v>-460</v>
      </c>
      <c r="Q493" s="66">
        <f>'114+320'!R494</f>
        <v>0</v>
      </c>
      <c r="R493" s="65">
        <f t="shared" si="99"/>
        <v>280</v>
      </c>
      <c r="S493" s="70">
        <f>VLOOKUP(B493,'114+320'!$B$14:$AB$785,22,FALSE)</f>
        <v>2080</v>
      </c>
      <c r="T493" s="69">
        <f>VLOOKUP(B493,'114+320'!$B$15:$AB$785,6,FALSE)</f>
        <v>368</v>
      </c>
      <c r="U493" s="68">
        <f t="shared" si="95"/>
        <v>2660</v>
      </c>
      <c r="V493" s="67">
        <f>VLOOKUP(B493,'114+320'!$B$15:$AB$785,15,FALSE)</f>
        <v>-340</v>
      </c>
      <c r="W493" s="66">
        <f>'114+320'!S494</f>
        <v>0</v>
      </c>
      <c r="X493" s="65">
        <f t="shared" si="100"/>
        <v>220</v>
      </c>
      <c r="Y493" s="64">
        <f t="shared" si="101"/>
        <v>0</v>
      </c>
      <c r="Z493" s="63">
        <f t="shared" si="102"/>
        <v>0</v>
      </c>
      <c r="AA493" s="62">
        <f t="shared" si="103"/>
        <v>2.3689999999999998</v>
      </c>
      <c r="AB493" s="62">
        <f t="shared" si="104"/>
        <v>1.92</v>
      </c>
    </row>
    <row r="494" spans="2:28">
      <c r="B494" s="106">
        <f>'114+320'!B495</f>
        <v>45524</v>
      </c>
      <c r="C494" s="75">
        <f t="shared" si="96"/>
        <v>1</v>
      </c>
      <c r="D494" s="74">
        <f t="shared" si="97"/>
        <v>842</v>
      </c>
      <c r="E494" s="73">
        <f>VLOOKUP(B494,'114+320'!B495:AB881,3,FALSE)</f>
        <v>2188</v>
      </c>
      <c r="F494" s="69">
        <f t="shared" si="92"/>
        <v>3030</v>
      </c>
      <c r="G494" s="72">
        <f>VLOOKUP(B494,'114+320'!$B$15:$AB$785,20,FALSE)</f>
        <v>2044</v>
      </c>
      <c r="H494" s="72">
        <f>VLOOKUP(B494,'114+320'!$B$15:$AB$785,4,FALSE)</f>
        <v>466</v>
      </c>
      <c r="I494" s="68">
        <f t="shared" si="93"/>
        <v>2564</v>
      </c>
      <c r="J494" s="71">
        <f>VLOOKUP(B494,'114+320'!$B$15:$AB$785,13,FALSE)</f>
        <v>-436</v>
      </c>
      <c r="K494" s="66">
        <f>'114+320'!Q495</f>
        <v>0</v>
      </c>
      <c r="L494" s="65">
        <f t="shared" si="98"/>
        <v>256</v>
      </c>
      <c r="M494" s="70">
        <f>VLOOKUP(B494,'114+320'!$B$14:$AB$785,21,FALSE)</f>
        <v>2020</v>
      </c>
      <c r="N494" s="69">
        <f>VLOOKUP(B494,'114+320'!$B$15:$AB$785,5,FALSE)</f>
        <v>490</v>
      </c>
      <c r="O494" s="68">
        <f t="shared" si="94"/>
        <v>2540</v>
      </c>
      <c r="P494" s="71">
        <f>VLOOKUP(B494,'114+320'!$B$15:$AB$785,14,FALSE)</f>
        <v>-460</v>
      </c>
      <c r="Q494" s="66">
        <f>'114+320'!R495</f>
        <v>0</v>
      </c>
      <c r="R494" s="65">
        <f t="shared" si="99"/>
        <v>280</v>
      </c>
      <c r="S494" s="70">
        <f>VLOOKUP(B494,'114+320'!$B$14:$AB$785,22,FALSE)</f>
        <v>2080</v>
      </c>
      <c r="T494" s="69">
        <f>VLOOKUP(B494,'114+320'!$B$15:$AB$785,6,FALSE)</f>
        <v>370</v>
      </c>
      <c r="U494" s="68">
        <f t="shared" si="95"/>
        <v>2660</v>
      </c>
      <c r="V494" s="67">
        <f>VLOOKUP(B494,'114+320'!$B$15:$AB$785,15,FALSE)</f>
        <v>-340</v>
      </c>
      <c r="W494" s="66">
        <f>'114+320'!S495</f>
        <v>0</v>
      </c>
      <c r="X494" s="65">
        <f t="shared" si="100"/>
        <v>220</v>
      </c>
      <c r="Y494" s="64">
        <f t="shared" si="101"/>
        <v>0</v>
      </c>
      <c r="Z494" s="63">
        <f t="shared" si="102"/>
        <v>0</v>
      </c>
      <c r="AA494" s="62">
        <f t="shared" si="103"/>
        <v>2.3689999999999998</v>
      </c>
      <c r="AB494" s="62">
        <f t="shared" si="104"/>
        <v>1.92</v>
      </c>
    </row>
    <row r="495" spans="2:28">
      <c r="B495" s="106">
        <f>'114+320'!B496</f>
        <v>45525</v>
      </c>
      <c r="C495" s="75">
        <f t="shared" si="96"/>
        <v>1</v>
      </c>
      <c r="D495" s="74">
        <f t="shared" si="97"/>
        <v>842</v>
      </c>
      <c r="E495" s="73">
        <f>VLOOKUP(B495,'114+320'!B496:AB882,3,FALSE)</f>
        <v>2190</v>
      </c>
      <c r="F495" s="69">
        <f t="shared" si="92"/>
        <v>3032</v>
      </c>
      <c r="G495" s="72">
        <f>VLOOKUP(B495,'114+320'!$B$15:$AB$785,20,FALSE)</f>
        <v>2044</v>
      </c>
      <c r="H495" s="72">
        <f>VLOOKUP(B495,'114+320'!$B$15:$AB$785,4,FALSE)</f>
        <v>468</v>
      </c>
      <c r="I495" s="68">
        <f t="shared" si="93"/>
        <v>2564</v>
      </c>
      <c r="J495" s="71">
        <f>VLOOKUP(B495,'114+320'!$B$15:$AB$785,13,FALSE)</f>
        <v>-436</v>
      </c>
      <c r="K495" s="66">
        <f>'114+320'!Q496</f>
        <v>0</v>
      </c>
      <c r="L495" s="65">
        <f t="shared" si="98"/>
        <v>256</v>
      </c>
      <c r="M495" s="70">
        <f>VLOOKUP(B495,'114+320'!$B$14:$AB$785,21,FALSE)</f>
        <v>2020</v>
      </c>
      <c r="N495" s="69">
        <f>VLOOKUP(B495,'114+320'!$B$15:$AB$785,5,FALSE)</f>
        <v>492</v>
      </c>
      <c r="O495" s="68">
        <f t="shared" si="94"/>
        <v>2540</v>
      </c>
      <c r="P495" s="71">
        <f>VLOOKUP(B495,'114+320'!$B$15:$AB$785,14,FALSE)</f>
        <v>-460</v>
      </c>
      <c r="Q495" s="66">
        <f>'114+320'!R496</f>
        <v>0</v>
      </c>
      <c r="R495" s="65">
        <f t="shared" si="99"/>
        <v>280</v>
      </c>
      <c r="S495" s="70">
        <f>VLOOKUP(B495,'114+320'!$B$14:$AB$785,22,FALSE)</f>
        <v>2080</v>
      </c>
      <c r="T495" s="69">
        <f>VLOOKUP(B495,'114+320'!$B$15:$AB$785,6,FALSE)</f>
        <v>372</v>
      </c>
      <c r="U495" s="68">
        <f t="shared" si="95"/>
        <v>2660</v>
      </c>
      <c r="V495" s="67">
        <f>VLOOKUP(B495,'114+320'!$B$15:$AB$785,15,FALSE)</f>
        <v>-340</v>
      </c>
      <c r="W495" s="66">
        <f>'114+320'!S496</f>
        <v>0</v>
      </c>
      <c r="X495" s="65">
        <f t="shared" si="100"/>
        <v>220</v>
      </c>
      <c r="Y495" s="64">
        <f t="shared" si="101"/>
        <v>0</v>
      </c>
      <c r="Z495" s="63">
        <f t="shared" si="102"/>
        <v>0</v>
      </c>
      <c r="AA495" s="62">
        <f t="shared" si="103"/>
        <v>2.3689999999999998</v>
      </c>
      <c r="AB495" s="62">
        <f t="shared" si="104"/>
        <v>1.92</v>
      </c>
    </row>
    <row r="496" spans="2:28">
      <c r="B496" s="106">
        <f>'114+320'!B497</f>
        <v>45526</v>
      </c>
      <c r="C496" s="75">
        <f t="shared" si="96"/>
        <v>1</v>
      </c>
      <c r="D496" s="74">
        <f t="shared" si="97"/>
        <v>842</v>
      </c>
      <c r="E496" s="73">
        <f>VLOOKUP(B496,'114+320'!B497:AB883,3,FALSE)</f>
        <v>2192</v>
      </c>
      <c r="F496" s="69">
        <f t="shared" si="92"/>
        <v>3034</v>
      </c>
      <c r="G496" s="72">
        <f>VLOOKUP(B496,'114+320'!$B$15:$AB$785,20,FALSE)</f>
        <v>2044</v>
      </c>
      <c r="H496" s="72">
        <f>VLOOKUP(B496,'114+320'!$B$15:$AB$785,4,FALSE)</f>
        <v>470</v>
      </c>
      <c r="I496" s="68">
        <f t="shared" si="93"/>
        <v>2564</v>
      </c>
      <c r="J496" s="71">
        <f>VLOOKUP(B496,'114+320'!$B$15:$AB$785,13,FALSE)</f>
        <v>-436</v>
      </c>
      <c r="K496" s="66">
        <f>'114+320'!Q497</f>
        <v>0</v>
      </c>
      <c r="L496" s="65">
        <f t="shared" si="98"/>
        <v>256</v>
      </c>
      <c r="M496" s="70">
        <f>VLOOKUP(B496,'114+320'!$B$14:$AB$785,21,FALSE)</f>
        <v>2020</v>
      </c>
      <c r="N496" s="69">
        <f>VLOOKUP(B496,'114+320'!$B$15:$AB$785,5,FALSE)</f>
        <v>494</v>
      </c>
      <c r="O496" s="68">
        <f t="shared" si="94"/>
        <v>2540</v>
      </c>
      <c r="P496" s="71">
        <f>VLOOKUP(B496,'114+320'!$B$15:$AB$785,14,FALSE)</f>
        <v>-460</v>
      </c>
      <c r="Q496" s="66">
        <f>'114+320'!R497</f>
        <v>0</v>
      </c>
      <c r="R496" s="65">
        <f t="shared" si="99"/>
        <v>280</v>
      </c>
      <c r="S496" s="70">
        <f>VLOOKUP(B496,'114+320'!$B$14:$AB$785,22,FALSE)</f>
        <v>2080</v>
      </c>
      <c r="T496" s="69">
        <f>VLOOKUP(B496,'114+320'!$B$15:$AB$785,6,FALSE)</f>
        <v>374</v>
      </c>
      <c r="U496" s="68">
        <f t="shared" si="95"/>
        <v>2660</v>
      </c>
      <c r="V496" s="67">
        <f>VLOOKUP(B496,'114+320'!$B$15:$AB$785,15,FALSE)</f>
        <v>-340</v>
      </c>
      <c r="W496" s="66">
        <f>'114+320'!S497</f>
        <v>0</v>
      </c>
      <c r="X496" s="65">
        <f t="shared" si="100"/>
        <v>220</v>
      </c>
      <c r="Y496" s="64">
        <f t="shared" si="101"/>
        <v>0</v>
      </c>
      <c r="Z496" s="63">
        <f t="shared" si="102"/>
        <v>0</v>
      </c>
      <c r="AA496" s="62">
        <f t="shared" si="103"/>
        <v>2.3689999999999998</v>
      </c>
      <c r="AB496" s="62">
        <f t="shared" si="104"/>
        <v>1.92</v>
      </c>
    </row>
    <row r="497" spans="2:28">
      <c r="B497" s="106">
        <f>'114+320'!B498</f>
        <v>45527</v>
      </c>
      <c r="C497" s="75">
        <f t="shared" si="96"/>
        <v>1</v>
      </c>
      <c r="D497" s="74">
        <f t="shared" si="97"/>
        <v>842</v>
      </c>
      <c r="E497" s="73">
        <f>VLOOKUP(B497,'114+320'!B498:AB884,3,FALSE)</f>
        <v>2194</v>
      </c>
      <c r="F497" s="69">
        <f t="shared" si="92"/>
        <v>3036</v>
      </c>
      <c r="G497" s="72">
        <f>VLOOKUP(B497,'114+320'!$B$15:$AB$785,20,FALSE)</f>
        <v>2044</v>
      </c>
      <c r="H497" s="72">
        <f>VLOOKUP(B497,'114+320'!$B$15:$AB$785,4,FALSE)</f>
        <v>472</v>
      </c>
      <c r="I497" s="68">
        <f t="shared" si="93"/>
        <v>2564</v>
      </c>
      <c r="J497" s="71">
        <f>VLOOKUP(B497,'114+320'!$B$15:$AB$785,13,FALSE)</f>
        <v>-436</v>
      </c>
      <c r="K497" s="66">
        <f>'114+320'!Q498</f>
        <v>0</v>
      </c>
      <c r="L497" s="65">
        <f t="shared" si="98"/>
        <v>256</v>
      </c>
      <c r="M497" s="70">
        <f>VLOOKUP(B497,'114+320'!$B$14:$AB$785,21,FALSE)</f>
        <v>2020</v>
      </c>
      <c r="N497" s="69">
        <f>VLOOKUP(B497,'114+320'!$B$15:$AB$785,5,FALSE)</f>
        <v>496</v>
      </c>
      <c r="O497" s="68">
        <f t="shared" si="94"/>
        <v>2540</v>
      </c>
      <c r="P497" s="71">
        <f>VLOOKUP(B497,'114+320'!$B$15:$AB$785,14,FALSE)</f>
        <v>-460</v>
      </c>
      <c r="Q497" s="66">
        <f>'114+320'!R498</f>
        <v>0</v>
      </c>
      <c r="R497" s="65">
        <f t="shared" si="99"/>
        <v>280</v>
      </c>
      <c r="S497" s="70">
        <f>VLOOKUP(B497,'114+320'!$B$14:$AB$785,22,FALSE)</f>
        <v>2080</v>
      </c>
      <c r="T497" s="69">
        <f>VLOOKUP(B497,'114+320'!$B$15:$AB$785,6,FALSE)</f>
        <v>376</v>
      </c>
      <c r="U497" s="68">
        <f t="shared" si="95"/>
        <v>2660</v>
      </c>
      <c r="V497" s="67">
        <f>VLOOKUP(B497,'114+320'!$B$15:$AB$785,15,FALSE)</f>
        <v>-340</v>
      </c>
      <c r="W497" s="66">
        <f>'114+320'!S498</f>
        <v>0</v>
      </c>
      <c r="X497" s="65">
        <f t="shared" si="100"/>
        <v>220</v>
      </c>
      <c r="Y497" s="64">
        <f t="shared" si="101"/>
        <v>0</v>
      </c>
      <c r="Z497" s="63">
        <f t="shared" si="102"/>
        <v>0</v>
      </c>
      <c r="AA497" s="62">
        <f t="shared" si="103"/>
        <v>2.3689999999999998</v>
      </c>
      <c r="AB497" s="62">
        <f t="shared" si="104"/>
        <v>1.92</v>
      </c>
    </row>
    <row r="498" spans="2:28">
      <c r="B498" s="106">
        <f>'114+320'!B499</f>
        <v>45528</v>
      </c>
      <c r="C498" s="75">
        <f t="shared" si="96"/>
        <v>1</v>
      </c>
      <c r="D498" s="74">
        <f t="shared" si="97"/>
        <v>842</v>
      </c>
      <c r="E498" s="73">
        <f>VLOOKUP(B498,'114+320'!B499:AB885,3,FALSE)</f>
        <v>2196</v>
      </c>
      <c r="F498" s="69">
        <f t="shared" si="92"/>
        <v>3038</v>
      </c>
      <c r="G498" s="72">
        <f>VLOOKUP(B498,'114+320'!$B$15:$AB$785,20,FALSE)</f>
        <v>2044</v>
      </c>
      <c r="H498" s="72">
        <f>VLOOKUP(B498,'114+320'!$B$15:$AB$785,4,FALSE)</f>
        <v>474</v>
      </c>
      <c r="I498" s="68">
        <f t="shared" si="93"/>
        <v>2564</v>
      </c>
      <c r="J498" s="71">
        <f>VLOOKUP(B498,'114+320'!$B$15:$AB$785,13,FALSE)</f>
        <v>-436</v>
      </c>
      <c r="K498" s="66">
        <f>'114+320'!Q499</f>
        <v>0</v>
      </c>
      <c r="L498" s="65">
        <f t="shared" si="98"/>
        <v>256</v>
      </c>
      <c r="M498" s="70">
        <f>VLOOKUP(B498,'114+320'!$B$14:$AB$785,21,FALSE)</f>
        <v>2020</v>
      </c>
      <c r="N498" s="69">
        <f>VLOOKUP(B498,'114+320'!$B$15:$AB$785,5,FALSE)</f>
        <v>498</v>
      </c>
      <c r="O498" s="68">
        <f t="shared" si="94"/>
        <v>2540</v>
      </c>
      <c r="P498" s="71">
        <f>VLOOKUP(B498,'114+320'!$B$15:$AB$785,14,FALSE)</f>
        <v>-460</v>
      </c>
      <c r="Q498" s="66">
        <f>'114+320'!R499</f>
        <v>0</v>
      </c>
      <c r="R498" s="65">
        <f t="shared" si="99"/>
        <v>280</v>
      </c>
      <c r="S498" s="70">
        <f>VLOOKUP(B498,'114+320'!$B$14:$AB$785,22,FALSE)</f>
        <v>2080</v>
      </c>
      <c r="T498" s="69">
        <f>VLOOKUP(B498,'114+320'!$B$15:$AB$785,6,FALSE)</f>
        <v>378</v>
      </c>
      <c r="U498" s="68">
        <f t="shared" si="95"/>
        <v>2660</v>
      </c>
      <c r="V498" s="67">
        <f>VLOOKUP(B498,'114+320'!$B$15:$AB$785,15,FALSE)</f>
        <v>-340</v>
      </c>
      <c r="W498" s="66">
        <f>'114+320'!S499</f>
        <v>0</v>
      </c>
      <c r="X498" s="65">
        <f t="shared" si="100"/>
        <v>220</v>
      </c>
      <c r="Y498" s="64">
        <f t="shared" si="101"/>
        <v>0</v>
      </c>
      <c r="Z498" s="63">
        <f t="shared" si="102"/>
        <v>0</v>
      </c>
      <c r="AA498" s="62">
        <f t="shared" si="103"/>
        <v>2.3689999999999998</v>
      </c>
      <c r="AB498" s="62">
        <f t="shared" si="104"/>
        <v>1.92</v>
      </c>
    </row>
    <row r="499" spans="2:28">
      <c r="B499" s="106">
        <f>'114+320'!B500</f>
        <v>45529</v>
      </c>
      <c r="C499" s="75">
        <f t="shared" si="96"/>
        <v>1</v>
      </c>
      <c r="D499" s="74">
        <f t="shared" si="97"/>
        <v>842</v>
      </c>
      <c r="E499" s="73">
        <f>VLOOKUP(B499,'114+320'!B500:AB886,3,FALSE)</f>
        <v>2198</v>
      </c>
      <c r="F499" s="69">
        <f t="shared" si="92"/>
        <v>3040</v>
      </c>
      <c r="G499" s="72">
        <f>VLOOKUP(B499,'114+320'!$B$15:$AB$785,20,FALSE)</f>
        <v>2044</v>
      </c>
      <c r="H499" s="72">
        <f>VLOOKUP(B499,'114+320'!$B$15:$AB$785,4,FALSE)</f>
        <v>476</v>
      </c>
      <c r="I499" s="68">
        <f t="shared" si="93"/>
        <v>2564</v>
      </c>
      <c r="J499" s="71">
        <f>VLOOKUP(B499,'114+320'!$B$15:$AB$785,13,FALSE)</f>
        <v>-436</v>
      </c>
      <c r="K499" s="66">
        <f>'114+320'!Q500</f>
        <v>0</v>
      </c>
      <c r="L499" s="65">
        <f t="shared" si="98"/>
        <v>256</v>
      </c>
      <c r="M499" s="70">
        <f>VLOOKUP(B499,'114+320'!$B$14:$AB$785,21,FALSE)</f>
        <v>2020</v>
      </c>
      <c r="N499" s="69">
        <f>VLOOKUP(B499,'114+320'!$B$15:$AB$785,5,FALSE)</f>
        <v>500</v>
      </c>
      <c r="O499" s="68">
        <f t="shared" si="94"/>
        <v>2540</v>
      </c>
      <c r="P499" s="71">
        <f>VLOOKUP(B499,'114+320'!$B$15:$AB$785,14,FALSE)</f>
        <v>-460</v>
      </c>
      <c r="Q499" s="66">
        <f>'114+320'!R500</f>
        <v>0</v>
      </c>
      <c r="R499" s="65">
        <f t="shared" si="99"/>
        <v>280</v>
      </c>
      <c r="S499" s="70">
        <f>VLOOKUP(B499,'114+320'!$B$14:$AB$785,22,FALSE)</f>
        <v>2080</v>
      </c>
      <c r="T499" s="69">
        <f>VLOOKUP(B499,'114+320'!$B$15:$AB$785,6,FALSE)</f>
        <v>380</v>
      </c>
      <c r="U499" s="68">
        <f t="shared" si="95"/>
        <v>2660</v>
      </c>
      <c r="V499" s="67">
        <f>VLOOKUP(B499,'114+320'!$B$15:$AB$785,15,FALSE)</f>
        <v>-340</v>
      </c>
      <c r="W499" s="66">
        <f>'114+320'!S500</f>
        <v>0</v>
      </c>
      <c r="X499" s="65">
        <f t="shared" si="100"/>
        <v>220</v>
      </c>
      <c r="Y499" s="64">
        <f t="shared" si="101"/>
        <v>0</v>
      </c>
      <c r="Z499" s="63">
        <f t="shared" si="102"/>
        <v>0</v>
      </c>
      <c r="AA499" s="62">
        <f t="shared" si="103"/>
        <v>2.3689999999999998</v>
      </c>
      <c r="AB499" s="62">
        <f t="shared" si="104"/>
        <v>1.92</v>
      </c>
    </row>
    <row r="500" spans="2:28">
      <c r="B500" s="106">
        <f>'114+320'!B501</f>
        <v>45530</v>
      </c>
      <c r="C500" s="75">
        <f t="shared" si="96"/>
        <v>1</v>
      </c>
      <c r="D500" s="74">
        <f t="shared" si="97"/>
        <v>842</v>
      </c>
      <c r="E500" s="73">
        <f>VLOOKUP(B500,'114+320'!B501:AB887,3,FALSE)</f>
        <v>2200</v>
      </c>
      <c r="F500" s="69">
        <f t="shared" si="92"/>
        <v>3042</v>
      </c>
      <c r="G500" s="72">
        <f>VLOOKUP(B500,'114+320'!$B$15:$AB$785,20,FALSE)</f>
        <v>2044</v>
      </c>
      <c r="H500" s="72">
        <f>VLOOKUP(B500,'114+320'!$B$15:$AB$785,4,FALSE)</f>
        <v>478</v>
      </c>
      <c r="I500" s="68">
        <f t="shared" si="93"/>
        <v>2564</v>
      </c>
      <c r="J500" s="71">
        <f>VLOOKUP(B500,'114+320'!$B$15:$AB$785,13,FALSE)</f>
        <v>-436</v>
      </c>
      <c r="K500" s="66">
        <f>'114+320'!Q501</f>
        <v>0</v>
      </c>
      <c r="L500" s="65">
        <f t="shared" si="98"/>
        <v>256</v>
      </c>
      <c r="M500" s="70">
        <f>VLOOKUP(B500,'114+320'!$B$14:$AB$785,21,FALSE)</f>
        <v>2020</v>
      </c>
      <c r="N500" s="69">
        <f>VLOOKUP(B500,'114+320'!$B$15:$AB$785,5,FALSE)</f>
        <v>502</v>
      </c>
      <c r="O500" s="68">
        <f t="shared" si="94"/>
        <v>2540</v>
      </c>
      <c r="P500" s="71">
        <f>VLOOKUP(B500,'114+320'!$B$15:$AB$785,14,FALSE)</f>
        <v>-460</v>
      </c>
      <c r="Q500" s="66">
        <f>'114+320'!R501</f>
        <v>0</v>
      </c>
      <c r="R500" s="65">
        <f t="shared" si="99"/>
        <v>280</v>
      </c>
      <c r="S500" s="70">
        <f>VLOOKUP(B500,'114+320'!$B$14:$AB$785,22,FALSE)</f>
        <v>2080</v>
      </c>
      <c r="T500" s="69">
        <f>VLOOKUP(B500,'114+320'!$B$15:$AB$785,6,FALSE)</f>
        <v>382</v>
      </c>
      <c r="U500" s="68">
        <f t="shared" si="95"/>
        <v>2660</v>
      </c>
      <c r="V500" s="67">
        <f>VLOOKUP(B500,'114+320'!$B$15:$AB$785,15,FALSE)</f>
        <v>-340</v>
      </c>
      <c r="W500" s="66">
        <f>'114+320'!S501</f>
        <v>0</v>
      </c>
      <c r="X500" s="65">
        <f t="shared" si="100"/>
        <v>220</v>
      </c>
      <c r="Y500" s="64">
        <f t="shared" si="101"/>
        <v>0</v>
      </c>
      <c r="Z500" s="63">
        <f t="shared" si="102"/>
        <v>0</v>
      </c>
      <c r="AA500" s="62">
        <f t="shared" si="103"/>
        <v>2.3689999999999998</v>
      </c>
      <c r="AB500" s="62">
        <f t="shared" si="104"/>
        <v>1.92</v>
      </c>
    </row>
    <row r="501" spans="2:28">
      <c r="B501" s="106">
        <f>'114+320'!B502</f>
        <v>45531</v>
      </c>
      <c r="C501" s="75">
        <f t="shared" si="96"/>
        <v>1</v>
      </c>
      <c r="D501" s="74">
        <f t="shared" si="97"/>
        <v>842</v>
      </c>
      <c r="E501" s="73">
        <f>VLOOKUP(B501,'114+320'!B502:AB888,3,FALSE)</f>
        <v>2202</v>
      </c>
      <c r="F501" s="69">
        <f t="shared" si="92"/>
        <v>3044</v>
      </c>
      <c r="G501" s="72">
        <f>VLOOKUP(B501,'114+320'!$B$15:$AB$785,20,FALSE)</f>
        <v>2044</v>
      </c>
      <c r="H501" s="72">
        <f>VLOOKUP(B501,'114+320'!$B$15:$AB$785,4,FALSE)</f>
        <v>480</v>
      </c>
      <c r="I501" s="68">
        <f t="shared" si="93"/>
        <v>2564</v>
      </c>
      <c r="J501" s="71">
        <f>VLOOKUP(B501,'114+320'!$B$15:$AB$785,13,FALSE)</f>
        <v>-436</v>
      </c>
      <c r="K501" s="66">
        <f>'114+320'!Q502</f>
        <v>0</v>
      </c>
      <c r="L501" s="65">
        <f t="shared" si="98"/>
        <v>256</v>
      </c>
      <c r="M501" s="70">
        <f>VLOOKUP(B501,'114+320'!$B$14:$AB$785,21,FALSE)</f>
        <v>2020</v>
      </c>
      <c r="N501" s="69">
        <f>VLOOKUP(B501,'114+320'!$B$15:$AB$785,5,FALSE)</f>
        <v>504</v>
      </c>
      <c r="O501" s="68">
        <f t="shared" si="94"/>
        <v>2540</v>
      </c>
      <c r="P501" s="71">
        <f>VLOOKUP(B501,'114+320'!$B$15:$AB$785,14,FALSE)</f>
        <v>-460</v>
      </c>
      <c r="Q501" s="66">
        <f>'114+320'!R502</f>
        <v>0</v>
      </c>
      <c r="R501" s="65">
        <f t="shared" si="99"/>
        <v>280</v>
      </c>
      <c r="S501" s="70">
        <f>VLOOKUP(B501,'114+320'!$B$14:$AB$785,22,FALSE)</f>
        <v>2080</v>
      </c>
      <c r="T501" s="69">
        <f>VLOOKUP(B501,'114+320'!$B$15:$AB$785,6,FALSE)</f>
        <v>384</v>
      </c>
      <c r="U501" s="68">
        <f t="shared" si="95"/>
        <v>2660</v>
      </c>
      <c r="V501" s="67">
        <f>VLOOKUP(B501,'114+320'!$B$15:$AB$785,15,FALSE)</f>
        <v>-340</v>
      </c>
      <c r="W501" s="66">
        <f>'114+320'!S502</f>
        <v>0</v>
      </c>
      <c r="X501" s="65">
        <f t="shared" si="100"/>
        <v>220</v>
      </c>
      <c r="Y501" s="64">
        <f t="shared" si="101"/>
        <v>0</v>
      </c>
      <c r="Z501" s="63">
        <f t="shared" si="102"/>
        <v>0</v>
      </c>
      <c r="AA501" s="62">
        <f t="shared" si="103"/>
        <v>2.3689999999999998</v>
      </c>
      <c r="AB501" s="62">
        <f t="shared" si="104"/>
        <v>1.92</v>
      </c>
    </row>
    <row r="502" spans="2:28">
      <c r="B502" s="106">
        <f>'114+320'!B503</f>
        <v>45532</v>
      </c>
      <c r="C502" s="75">
        <f t="shared" si="96"/>
        <v>1</v>
      </c>
      <c r="D502" s="74">
        <f t="shared" si="97"/>
        <v>842</v>
      </c>
      <c r="E502" s="73">
        <f>VLOOKUP(B502,'114+320'!B503:AB889,3,FALSE)</f>
        <v>2204</v>
      </c>
      <c r="F502" s="69">
        <f t="shared" si="92"/>
        <v>3046</v>
      </c>
      <c r="G502" s="72">
        <f>VLOOKUP(B502,'114+320'!$B$15:$AB$785,20,FALSE)</f>
        <v>2044</v>
      </c>
      <c r="H502" s="72">
        <f>VLOOKUP(B502,'114+320'!$B$15:$AB$785,4,FALSE)</f>
        <v>482</v>
      </c>
      <c r="I502" s="68">
        <f t="shared" si="93"/>
        <v>2564</v>
      </c>
      <c r="J502" s="71">
        <f>VLOOKUP(B502,'114+320'!$B$15:$AB$785,13,FALSE)</f>
        <v>-436</v>
      </c>
      <c r="K502" s="66">
        <f>'114+320'!Q503</f>
        <v>0</v>
      </c>
      <c r="L502" s="65">
        <f t="shared" si="98"/>
        <v>256</v>
      </c>
      <c r="M502" s="70">
        <f>VLOOKUP(B502,'114+320'!$B$14:$AB$785,21,FALSE)</f>
        <v>2020</v>
      </c>
      <c r="N502" s="69">
        <f>VLOOKUP(B502,'114+320'!$B$15:$AB$785,5,FALSE)</f>
        <v>506</v>
      </c>
      <c r="O502" s="68">
        <f t="shared" si="94"/>
        <v>2540</v>
      </c>
      <c r="P502" s="71">
        <f>VLOOKUP(B502,'114+320'!$B$15:$AB$785,14,FALSE)</f>
        <v>-460</v>
      </c>
      <c r="Q502" s="66">
        <f>'114+320'!R503</f>
        <v>0</v>
      </c>
      <c r="R502" s="65">
        <f t="shared" si="99"/>
        <v>280</v>
      </c>
      <c r="S502" s="70">
        <f>VLOOKUP(B502,'114+320'!$B$14:$AB$785,22,FALSE)</f>
        <v>2080</v>
      </c>
      <c r="T502" s="69">
        <f>VLOOKUP(B502,'114+320'!$B$15:$AB$785,6,FALSE)</f>
        <v>386</v>
      </c>
      <c r="U502" s="68">
        <f t="shared" si="95"/>
        <v>2660</v>
      </c>
      <c r="V502" s="67">
        <f>VLOOKUP(B502,'114+320'!$B$15:$AB$785,15,FALSE)</f>
        <v>-340</v>
      </c>
      <c r="W502" s="66">
        <f>'114+320'!S503</f>
        <v>0</v>
      </c>
      <c r="X502" s="65">
        <f t="shared" si="100"/>
        <v>220</v>
      </c>
      <c r="Y502" s="64">
        <f t="shared" si="101"/>
        <v>0</v>
      </c>
      <c r="Z502" s="63">
        <f t="shared" si="102"/>
        <v>0</v>
      </c>
      <c r="AA502" s="62">
        <f t="shared" si="103"/>
        <v>2.3689999999999998</v>
      </c>
      <c r="AB502" s="62">
        <f t="shared" si="104"/>
        <v>1.92</v>
      </c>
    </row>
    <row r="503" spans="2:28">
      <c r="B503" s="106">
        <f>'114+320'!B504</f>
        <v>45533</v>
      </c>
      <c r="C503" s="75">
        <f t="shared" si="96"/>
        <v>1</v>
      </c>
      <c r="D503" s="74">
        <f t="shared" si="97"/>
        <v>842</v>
      </c>
      <c r="E503" s="73">
        <f>VLOOKUP(B503,'114+320'!B504:AB890,3,FALSE)</f>
        <v>2206</v>
      </c>
      <c r="F503" s="69">
        <f t="shared" si="92"/>
        <v>3048</v>
      </c>
      <c r="G503" s="72">
        <f>VLOOKUP(B503,'114+320'!$B$15:$AB$785,20,FALSE)</f>
        <v>2044</v>
      </c>
      <c r="H503" s="72">
        <f>VLOOKUP(B503,'114+320'!$B$15:$AB$785,4,FALSE)</f>
        <v>484</v>
      </c>
      <c r="I503" s="68">
        <f t="shared" si="93"/>
        <v>2564</v>
      </c>
      <c r="J503" s="71">
        <f>VLOOKUP(B503,'114+320'!$B$15:$AB$785,13,FALSE)</f>
        <v>-436</v>
      </c>
      <c r="K503" s="66">
        <f>'114+320'!Q504</f>
        <v>0</v>
      </c>
      <c r="L503" s="65">
        <f t="shared" si="98"/>
        <v>256</v>
      </c>
      <c r="M503" s="70">
        <f>VLOOKUP(B503,'114+320'!$B$14:$AB$785,21,FALSE)</f>
        <v>2020</v>
      </c>
      <c r="N503" s="69">
        <f>VLOOKUP(B503,'114+320'!$B$15:$AB$785,5,FALSE)</f>
        <v>508</v>
      </c>
      <c r="O503" s="68">
        <f t="shared" si="94"/>
        <v>2540</v>
      </c>
      <c r="P503" s="71">
        <f>VLOOKUP(B503,'114+320'!$B$15:$AB$785,14,FALSE)</f>
        <v>-460</v>
      </c>
      <c r="Q503" s="66">
        <f>'114+320'!R504</f>
        <v>0</v>
      </c>
      <c r="R503" s="65">
        <f t="shared" si="99"/>
        <v>280</v>
      </c>
      <c r="S503" s="70">
        <f>VLOOKUP(B503,'114+320'!$B$14:$AB$785,22,FALSE)</f>
        <v>2080</v>
      </c>
      <c r="T503" s="69">
        <f>VLOOKUP(B503,'114+320'!$B$15:$AB$785,6,FALSE)</f>
        <v>388</v>
      </c>
      <c r="U503" s="68">
        <f t="shared" si="95"/>
        <v>2660</v>
      </c>
      <c r="V503" s="67">
        <f>VLOOKUP(B503,'114+320'!$B$15:$AB$785,15,FALSE)</f>
        <v>-340</v>
      </c>
      <c r="W503" s="66">
        <f>'114+320'!S504</f>
        <v>0</v>
      </c>
      <c r="X503" s="65">
        <f t="shared" si="100"/>
        <v>220</v>
      </c>
      <c r="Y503" s="64">
        <f t="shared" si="101"/>
        <v>0</v>
      </c>
      <c r="Z503" s="63">
        <f t="shared" si="102"/>
        <v>0</v>
      </c>
      <c r="AA503" s="62">
        <f t="shared" si="103"/>
        <v>2.3689999999999998</v>
      </c>
      <c r="AB503" s="62">
        <f t="shared" si="104"/>
        <v>1.92</v>
      </c>
    </row>
    <row r="504" spans="2:28">
      <c r="B504" s="106">
        <f>'114+320'!B505</f>
        <v>45534</v>
      </c>
      <c r="C504" s="75">
        <f t="shared" si="96"/>
        <v>1</v>
      </c>
      <c r="D504" s="74">
        <f t="shared" si="97"/>
        <v>842</v>
      </c>
      <c r="E504" s="73">
        <f>VLOOKUP(B504,'114+320'!B505:AB891,3,FALSE)</f>
        <v>2208</v>
      </c>
      <c r="F504" s="69">
        <f t="shared" si="92"/>
        <v>3050</v>
      </c>
      <c r="G504" s="72">
        <f>VLOOKUP(B504,'114+320'!$B$15:$AB$785,20,FALSE)</f>
        <v>2044</v>
      </c>
      <c r="H504" s="72">
        <f>VLOOKUP(B504,'114+320'!$B$15:$AB$785,4,FALSE)</f>
        <v>486</v>
      </c>
      <c r="I504" s="68">
        <f t="shared" si="93"/>
        <v>2564</v>
      </c>
      <c r="J504" s="71">
        <f>VLOOKUP(B504,'114+320'!$B$15:$AB$785,13,FALSE)</f>
        <v>-436</v>
      </c>
      <c r="K504" s="66">
        <f>'114+320'!Q505</f>
        <v>0</v>
      </c>
      <c r="L504" s="65">
        <f t="shared" si="98"/>
        <v>256</v>
      </c>
      <c r="M504" s="70">
        <f>VLOOKUP(B504,'114+320'!$B$14:$AB$785,21,FALSE)</f>
        <v>2020</v>
      </c>
      <c r="N504" s="69">
        <f>VLOOKUP(B504,'114+320'!$B$15:$AB$785,5,FALSE)</f>
        <v>510</v>
      </c>
      <c r="O504" s="68">
        <f t="shared" si="94"/>
        <v>2540</v>
      </c>
      <c r="P504" s="71">
        <f>VLOOKUP(B504,'114+320'!$B$15:$AB$785,14,FALSE)</f>
        <v>-460</v>
      </c>
      <c r="Q504" s="66">
        <f>'114+320'!R505</f>
        <v>0</v>
      </c>
      <c r="R504" s="65">
        <f t="shared" si="99"/>
        <v>280</v>
      </c>
      <c r="S504" s="70">
        <f>VLOOKUP(B504,'114+320'!$B$14:$AB$785,22,FALSE)</f>
        <v>2080</v>
      </c>
      <c r="T504" s="69">
        <f>VLOOKUP(B504,'114+320'!$B$15:$AB$785,6,FALSE)</f>
        <v>390</v>
      </c>
      <c r="U504" s="68">
        <f t="shared" si="95"/>
        <v>2660</v>
      </c>
      <c r="V504" s="67">
        <f>VLOOKUP(B504,'114+320'!$B$15:$AB$785,15,FALSE)</f>
        <v>-340</v>
      </c>
      <c r="W504" s="66">
        <f>'114+320'!S505</f>
        <v>0</v>
      </c>
      <c r="X504" s="65">
        <f t="shared" si="100"/>
        <v>220</v>
      </c>
      <c r="Y504" s="64">
        <f t="shared" si="101"/>
        <v>0</v>
      </c>
      <c r="Z504" s="63">
        <f t="shared" si="102"/>
        <v>0</v>
      </c>
      <c r="AA504" s="62">
        <f t="shared" si="103"/>
        <v>2.3689999999999998</v>
      </c>
      <c r="AB504" s="62">
        <f t="shared" si="104"/>
        <v>1.92</v>
      </c>
    </row>
    <row r="505" spans="2:28">
      <c r="B505" s="106">
        <f>'114+320'!B506</f>
        <v>45535</v>
      </c>
      <c r="C505" s="75">
        <f t="shared" si="96"/>
        <v>1</v>
      </c>
      <c r="D505" s="74">
        <f t="shared" si="97"/>
        <v>842</v>
      </c>
      <c r="E505" s="73">
        <f>VLOOKUP(B505,'114+320'!B506:AB892,3,FALSE)</f>
        <v>2210</v>
      </c>
      <c r="F505" s="69">
        <f t="shared" si="92"/>
        <v>3052</v>
      </c>
      <c r="G505" s="72">
        <f>VLOOKUP(B505,'114+320'!$B$15:$AB$785,20,FALSE)</f>
        <v>2044</v>
      </c>
      <c r="H505" s="72">
        <f>VLOOKUP(B505,'114+320'!$B$15:$AB$785,4,FALSE)</f>
        <v>488</v>
      </c>
      <c r="I505" s="68">
        <f t="shared" si="93"/>
        <v>2564</v>
      </c>
      <c r="J505" s="71">
        <f>VLOOKUP(B505,'114+320'!$B$15:$AB$785,13,FALSE)</f>
        <v>-436</v>
      </c>
      <c r="K505" s="66">
        <f>'114+320'!Q506</f>
        <v>0</v>
      </c>
      <c r="L505" s="65">
        <f t="shared" si="98"/>
        <v>256</v>
      </c>
      <c r="M505" s="70">
        <f>VLOOKUP(B505,'114+320'!$B$14:$AB$785,21,FALSE)</f>
        <v>2020</v>
      </c>
      <c r="N505" s="69">
        <f>VLOOKUP(B505,'114+320'!$B$15:$AB$785,5,FALSE)</f>
        <v>512</v>
      </c>
      <c r="O505" s="68">
        <f t="shared" si="94"/>
        <v>2540</v>
      </c>
      <c r="P505" s="71">
        <f>VLOOKUP(B505,'114+320'!$B$15:$AB$785,14,FALSE)</f>
        <v>-460</v>
      </c>
      <c r="Q505" s="66">
        <f>'114+320'!R506</f>
        <v>0</v>
      </c>
      <c r="R505" s="65">
        <f t="shared" si="99"/>
        <v>280</v>
      </c>
      <c r="S505" s="70">
        <f>VLOOKUP(B505,'114+320'!$B$14:$AB$785,22,FALSE)</f>
        <v>2080</v>
      </c>
      <c r="T505" s="69">
        <f>VLOOKUP(B505,'114+320'!$B$15:$AB$785,6,FALSE)</f>
        <v>392</v>
      </c>
      <c r="U505" s="68">
        <f t="shared" si="95"/>
        <v>2660</v>
      </c>
      <c r="V505" s="67">
        <f>VLOOKUP(B505,'114+320'!$B$15:$AB$785,15,FALSE)</f>
        <v>-340</v>
      </c>
      <c r="W505" s="66">
        <f>'114+320'!S506</f>
        <v>0</v>
      </c>
      <c r="X505" s="65">
        <f t="shared" si="100"/>
        <v>220</v>
      </c>
      <c r="Y505" s="64">
        <f t="shared" si="101"/>
        <v>0</v>
      </c>
      <c r="Z505" s="63">
        <f t="shared" si="102"/>
        <v>0</v>
      </c>
      <c r="AA505" s="62">
        <f t="shared" si="103"/>
        <v>2.3689999999999998</v>
      </c>
      <c r="AB505" s="62">
        <f t="shared" si="104"/>
        <v>1.92</v>
      </c>
    </row>
    <row r="506" spans="2:28">
      <c r="B506" s="106">
        <f>'114+320'!B507</f>
        <v>45536</v>
      </c>
      <c r="C506" s="75">
        <f t="shared" si="96"/>
        <v>1</v>
      </c>
      <c r="D506" s="74">
        <f t="shared" si="97"/>
        <v>842</v>
      </c>
      <c r="E506" s="73">
        <f>VLOOKUP(B506,'114+320'!B507:AB893,3,FALSE)</f>
        <v>2212</v>
      </c>
      <c r="F506" s="69">
        <f t="shared" si="92"/>
        <v>3054</v>
      </c>
      <c r="G506" s="72">
        <f>VLOOKUP(B506,'114+320'!$B$15:$AB$785,20,FALSE)</f>
        <v>2044</v>
      </c>
      <c r="H506" s="72">
        <f>VLOOKUP(B506,'114+320'!$B$15:$AB$785,4,FALSE)</f>
        <v>490</v>
      </c>
      <c r="I506" s="68">
        <f t="shared" si="93"/>
        <v>2564</v>
      </c>
      <c r="J506" s="71">
        <f>VLOOKUP(B506,'114+320'!$B$15:$AB$785,13,FALSE)</f>
        <v>-436</v>
      </c>
      <c r="K506" s="66">
        <f>'114+320'!Q507</f>
        <v>0</v>
      </c>
      <c r="L506" s="65">
        <f t="shared" si="98"/>
        <v>256</v>
      </c>
      <c r="M506" s="70">
        <f>VLOOKUP(B506,'114+320'!$B$14:$AB$785,21,FALSE)</f>
        <v>2020</v>
      </c>
      <c r="N506" s="69">
        <f>VLOOKUP(B506,'114+320'!$B$15:$AB$785,5,FALSE)</f>
        <v>514</v>
      </c>
      <c r="O506" s="68">
        <f t="shared" si="94"/>
        <v>2540</v>
      </c>
      <c r="P506" s="71">
        <f>VLOOKUP(B506,'114+320'!$B$15:$AB$785,14,FALSE)</f>
        <v>-460</v>
      </c>
      <c r="Q506" s="66">
        <f>'114+320'!R507</f>
        <v>0</v>
      </c>
      <c r="R506" s="65">
        <f t="shared" si="99"/>
        <v>280</v>
      </c>
      <c r="S506" s="70">
        <f>VLOOKUP(B506,'114+320'!$B$14:$AB$785,22,FALSE)</f>
        <v>2080</v>
      </c>
      <c r="T506" s="69">
        <f>VLOOKUP(B506,'114+320'!$B$15:$AB$785,6,FALSE)</f>
        <v>394</v>
      </c>
      <c r="U506" s="68">
        <f t="shared" si="95"/>
        <v>2660</v>
      </c>
      <c r="V506" s="67">
        <f>VLOOKUP(B506,'114+320'!$B$15:$AB$785,15,FALSE)</f>
        <v>-340</v>
      </c>
      <c r="W506" s="66">
        <f>'114+320'!S507</f>
        <v>0</v>
      </c>
      <c r="X506" s="65">
        <f t="shared" si="100"/>
        <v>220</v>
      </c>
      <c r="Y506" s="64">
        <f t="shared" si="101"/>
        <v>0</v>
      </c>
      <c r="Z506" s="63">
        <f t="shared" si="102"/>
        <v>0</v>
      </c>
      <c r="AA506" s="62">
        <f t="shared" si="103"/>
        <v>2.3689999999999998</v>
      </c>
      <c r="AB506" s="62">
        <f t="shared" si="104"/>
        <v>1.92</v>
      </c>
    </row>
    <row r="507" spans="2:28">
      <c r="B507" s="106">
        <f>'114+320'!B508</f>
        <v>45537</v>
      </c>
      <c r="C507" s="75">
        <f t="shared" si="96"/>
        <v>1</v>
      </c>
      <c r="D507" s="74">
        <f t="shared" si="97"/>
        <v>842</v>
      </c>
      <c r="E507" s="73">
        <f>VLOOKUP(B507,'114+320'!B508:AB894,3,FALSE)</f>
        <v>2214</v>
      </c>
      <c r="F507" s="69">
        <f t="shared" si="92"/>
        <v>3056</v>
      </c>
      <c r="G507" s="72">
        <f>VLOOKUP(B507,'114+320'!$B$15:$AB$785,20,FALSE)</f>
        <v>2044</v>
      </c>
      <c r="H507" s="72">
        <f>VLOOKUP(B507,'114+320'!$B$15:$AB$785,4,FALSE)</f>
        <v>492</v>
      </c>
      <c r="I507" s="68">
        <f t="shared" si="93"/>
        <v>2564</v>
      </c>
      <c r="J507" s="71">
        <f>VLOOKUP(B507,'114+320'!$B$15:$AB$785,13,FALSE)</f>
        <v>-436</v>
      </c>
      <c r="K507" s="66">
        <f>'114+320'!Q508</f>
        <v>0</v>
      </c>
      <c r="L507" s="65">
        <f t="shared" si="98"/>
        <v>256</v>
      </c>
      <c r="M507" s="70">
        <f>VLOOKUP(B507,'114+320'!$B$14:$AB$785,21,FALSE)</f>
        <v>2020</v>
      </c>
      <c r="N507" s="69">
        <f>VLOOKUP(B507,'114+320'!$B$15:$AB$785,5,FALSE)</f>
        <v>516</v>
      </c>
      <c r="O507" s="68">
        <f t="shared" si="94"/>
        <v>2540</v>
      </c>
      <c r="P507" s="71">
        <f>VLOOKUP(B507,'114+320'!$B$15:$AB$785,14,FALSE)</f>
        <v>-460</v>
      </c>
      <c r="Q507" s="66">
        <f>'114+320'!R508</f>
        <v>0</v>
      </c>
      <c r="R507" s="65">
        <f t="shared" si="99"/>
        <v>280</v>
      </c>
      <c r="S507" s="70">
        <f>VLOOKUP(B507,'114+320'!$B$14:$AB$785,22,FALSE)</f>
        <v>2080</v>
      </c>
      <c r="T507" s="69">
        <f>VLOOKUP(B507,'114+320'!$B$15:$AB$785,6,FALSE)</f>
        <v>396</v>
      </c>
      <c r="U507" s="68">
        <f t="shared" si="95"/>
        <v>2660</v>
      </c>
      <c r="V507" s="67">
        <f>VLOOKUP(B507,'114+320'!$B$15:$AB$785,15,FALSE)</f>
        <v>-340</v>
      </c>
      <c r="W507" s="66">
        <f>'114+320'!S508</f>
        <v>0</v>
      </c>
      <c r="X507" s="65">
        <f t="shared" si="100"/>
        <v>220</v>
      </c>
      <c r="Y507" s="64">
        <f t="shared" si="101"/>
        <v>0</v>
      </c>
      <c r="Z507" s="63">
        <f t="shared" si="102"/>
        <v>0</v>
      </c>
      <c r="AA507" s="62">
        <f t="shared" si="103"/>
        <v>2.3689999999999998</v>
      </c>
      <c r="AB507" s="62">
        <f t="shared" si="104"/>
        <v>1.92</v>
      </c>
    </row>
    <row r="508" spans="2:28">
      <c r="B508" s="106">
        <f>'114+320'!B509</f>
        <v>45538</v>
      </c>
      <c r="C508" s="75">
        <f t="shared" si="96"/>
        <v>1</v>
      </c>
      <c r="D508" s="74">
        <f t="shared" si="97"/>
        <v>842</v>
      </c>
      <c r="E508" s="73">
        <f>VLOOKUP(B508,'114+320'!B509:AB895,3,FALSE)</f>
        <v>2216</v>
      </c>
      <c r="F508" s="69">
        <f t="shared" si="92"/>
        <v>3058</v>
      </c>
      <c r="G508" s="72">
        <f>VLOOKUP(B508,'114+320'!$B$15:$AB$785,20,FALSE)</f>
        <v>2044</v>
      </c>
      <c r="H508" s="72">
        <f>VLOOKUP(B508,'114+320'!$B$15:$AB$785,4,FALSE)</f>
        <v>494</v>
      </c>
      <c r="I508" s="68">
        <f t="shared" si="93"/>
        <v>2564</v>
      </c>
      <c r="J508" s="71">
        <f>VLOOKUP(B508,'114+320'!$B$15:$AB$785,13,FALSE)</f>
        <v>-436</v>
      </c>
      <c r="K508" s="66">
        <f>'114+320'!Q509</f>
        <v>0</v>
      </c>
      <c r="L508" s="65">
        <f t="shared" si="98"/>
        <v>256</v>
      </c>
      <c r="M508" s="70">
        <f>VLOOKUP(B508,'114+320'!$B$14:$AB$785,21,FALSE)</f>
        <v>2020</v>
      </c>
      <c r="N508" s="69">
        <f>VLOOKUP(B508,'114+320'!$B$15:$AB$785,5,FALSE)</f>
        <v>518</v>
      </c>
      <c r="O508" s="68">
        <f t="shared" si="94"/>
        <v>2540</v>
      </c>
      <c r="P508" s="71">
        <f>VLOOKUP(B508,'114+320'!$B$15:$AB$785,14,FALSE)</f>
        <v>-460</v>
      </c>
      <c r="Q508" s="66">
        <f>'114+320'!R509</f>
        <v>0</v>
      </c>
      <c r="R508" s="65">
        <f t="shared" si="99"/>
        <v>280</v>
      </c>
      <c r="S508" s="70">
        <f>VLOOKUP(B508,'114+320'!$B$14:$AB$785,22,FALSE)</f>
        <v>2080</v>
      </c>
      <c r="T508" s="69">
        <f>VLOOKUP(B508,'114+320'!$B$15:$AB$785,6,FALSE)</f>
        <v>398</v>
      </c>
      <c r="U508" s="68">
        <f t="shared" si="95"/>
        <v>2660</v>
      </c>
      <c r="V508" s="67">
        <f>VLOOKUP(B508,'114+320'!$B$15:$AB$785,15,FALSE)</f>
        <v>-340</v>
      </c>
      <c r="W508" s="66">
        <f>'114+320'!S509</f>
        <v>0</v>
      </c>
      <c r="X508" s="65">
        <f t="shared" si="100"/>
        <v>220</v>
      </c>
      <c r="Y508" s="64">
        <f t="shared" si="101"/>
        <v>0</v>
      </c>
      <c r="Z508" s="63">
        <f t="shared" si="102"/>
        <v>0</v>
      </c>
      <c r="AA508" s="62">
        <f t="shared" si="103"/>
        <v>2.3689999999999998</v>
      </c>
      <c r="AB508" s="62">
        <f t="shared" si="104"/>
        <v>1.92</v>
      </c>
    </row>
    <row r="509" spans="2:28">
      <c r="B509" s="106">
        <f>'114+320'!B510</f>
        <v>45539</v>
      </c>
      <c r="C509" s="75">
        <f t="shared" si="96"/>
        <v>1</v>
      </c>
      <c r="D509" s="74">
        <f t="shared" si="97"/>
        <v>842</v>
      </c>
      <c r="E509" s="73">
        <f>VLOOKUP(B509,'114+320'!B510:AB896,3,FALSE)</f>
        <v>2218</v>
      </c>
      <c r="F509" s="69">
        <f t="shared" si="92"/>
        <v>3060</v>
      </c>
      <c r="G509" s="72">
        <f>VLOOKUP(B509,'114+320'!$B$15:$AB$785,20,FALSE)</f>
        <v>2044</v>
      </c>
      <c r="H509" s="72">
        <f>VLOOKUP(B509,'114+320'!$B$15:$AB$785,4,FALSE)</f>
        <v>496</v>
      </c>
      <c r="I509" s="68">
        <f t="shared" si="93"/>
        <v>2564</v>
      </c>
      <c r="J509" s="71">
        <f>VLOOKUP(B509,'114+320'!$B$15:$AB$785,13,FALSE)</f>
        <v>-436</v>
      </c>
      <c r="K509" s="66">
        <f>'114+320'!Q510</f>
        <v>0</v>
      </c>
      <c r="L509" s="65">
        <f t="shared" si="98"/>
        <v>256</v>
      </c>
      <c r="M509" s="70">
        <f>VLOOKUP(B509,'114+320'!$B$14:$AB$785,21,FALSE)</f>
        <v>2020</v>
      </c>
      <c r="N509" s="69">
        <f>VLOOKUP(B509,'114+320'!$B$15:$AB$785,5,FALSE)</f>
        <v>520</v>
      </c>
      <c r="O509" s="68">
        <f t="shared" si="94"/>
        <v>2540</v>
      </c>
      <c r="P509" s="71">
        <f>VLOOKUP(B509,'114+320'!$B$15:$AB$785,14,FALSE)</f>
        <v>-460</v>
      </c>
      <c r="Q509" s="66">
        <f>'114+320'!R510</f>
        <v>0</v>
      </c>
      <c r="R509" s="65">
        <f t="shared" si="99"/>
        <v>280</v>
      </c>
      <c r="S509" s="70">
        <f>VLOOKUP(B509,'114+320'!$B$14:$AB$785,22,FALSE)</f>
        <v>2080</v>
      </c>
      <c r="T509" s="69">
        <f>VLOOKUP(B509,'114+320'!$B$15:$AB$785,6,FALSE)</f>
        <v>400</v>
      </c>
      <c r="U509" s="68">
        <f t="shared" si="95"/>
        <v>2660</v>
      </c>
      <c r="V509" s="67">
        <f>VLOOKUP(B509,'114+320'!$B$15:$AB$785,15,FALSE)</f>
        <v>-340</v>
      </c>
      <c r="W509" s="66">
        <f>'114+320'!S510</f>
        <v>0</v>
      </c>
      <c r="X509" s="65">
        <f t="shared" si="100"/>
        <v>220</v>
      </c>
      <c r="Y509" s="64">
        <f t="shared" si="101"/>
        <v>0</v>
      </c>
      <c r="Z509" s="63">
        <f t="shared" si="102"/>
        <v>0</v>
      </c>
      <c r="AA509" s="62">
        <f t="shared" si="103"/>
        <v>2.3689999999999998</v>
      </c>
      <c r="AB509" s="62">
        <f t="shared" si="104"/>
        <v>1.92</v>
      </c>
    </row>
    <row r="510" spans="2:28">
      <c r="B510" s="106">
        <f>'114+320'!B511</f>
        <v>45540</v>
      </c>
      <c r="C510" s="75">
        <f t="shared" si="96"/>
        <v>1</v>
      </c>
      <c r="D510" s="74">
        <f t="shared" si="97"/>
        <v>842</v>
      </c>
      <c r="E510" s="73">
        <f>VLOOKUP(B510,'114+320'!B511:AB897,3,FALSE)</f>
        <v>2220</v>
      </c>
      <c r="F510" s="69">
        <f t="shared" si="92"/>
        <v>3062</v>
      </c>
      <c r="G510" s="72">
        <f>VLOOKUP(B510,'114+320'!$B$15:$AB$785,20,FALSE)</f>
        <v>2044</v>
      </c>
      <c r="H510" s="72">
        <f>VLOOKUP(B510,'114+320'!$B$15:$AB$785,4,FALSE)</f>
        <v>498</v>
      </c>
      <c r="I510" s="68">
        <f t="shared" si="93"/>
        <v>2564</v>
      </c>
      <c r="J510" s="71">
        <f>VLOOKUP(B510,'114+320'!$B$15:$AB$785,13,FALSE)</f>
        <v>-436</v>
      </c>
      <c r="K510" s="66">
        <f>'114+320'!Q511</f>
        <v>0</v>
      </c>
      <c r="L510" s="65">
        <f t="shared" si="98"/>
        <v>256</v>
      </c>
      <c r="M510" s="70">
        <f>VLOOKUP(B510,'114+320'!$B$14:$AB$785,21,FALSE)</f>
        <v>2020</v>
      </c>
      <c r="N510" s="69">
        <f>VLOOKUP(B510,'114+320'!$B$15:$AB$785,5,FALSE)</f>
        <v>522</v>
      </c>
      <c r="O510" s="68">
        <f t="shared" si="94"/>
        <v>2540</v>
      </c>
      <c r="P510" s="71">
        <f>VLOOKUP(B510,'114+320'!$B$15:$AB$785,14,FALSE)</f>
        <v>-460</v>
      </c>
      <c r="Q510" s="66">
        <f>'114+320'!R511</f>
        <v>0</v>
      </c>
      <c r="R510" s="65">
        <f t="shared" si="99"/>
        <v>280</v>
      </c>
      <c r="S510" s="70">
        <f>VLOOKUP(B510,'114+320'!$B$14:$AB$785,22,FALSE)</f>
        <v>2080</v>
      </c>
      <c r="T510" s="69">
        <f>VLOOKUP(B510,'114+320'!$B$15:$AB$785,6,FALSE)</f>
        <v>402</v>
      </c>
      <c r="U510" s="68">
        <f t="shared" si="95"/>
        <v>2660</v>
      </c>
      <c r="V510" s="67">
        <f>VLOOKUP(B510,'114+320'!$B$15:$AB$785,15,FALSE)</f>
        <v>-340</v>
      </c>
      <c r="W510" s="66">
        <f>'114+320'!S511</f>
        <v>0</v>
      </c>
      <c r="X510" s="65">
        <f t="shared" si="100"/>
        <v>220</v>
      </c>
      <c r="Y510" s="64">
        <f t="shared" si="101"/>
        <v>0</v>
      </c>
      <c r="Z510" s="63">
        <f t="shared" si="102"/>
        <v>0</v>
      </c>
      <c r="AA510" s="62">
        <f t="shared" si="103"/>
        <v>2.3689999999999998</v>
      </c>
      <c r="AB510" s="62">
        <f t="shared" si="104"/>
        <v>1.92</v>
      </c>
    </row>
    <row r="511" spans="2:28">
      <c r="B511" s="106">
        <f>'114+320'!B512</f>
        <v>45541</v>
      </c>
      <c r="C511" s="75">
        <f t="shared" si="96"/>
        <v>1</v>
      </c>
      <c r="D511" s="74">
        <f t="shared" si="97"/>
        <v>842</v>
      </c>
      <c r="E511" s="73">
        <f>VLOOKUP(B511,'114+320'!B512:AB898,3,FALSE)</f>
        <v>2222</v>
      </c>
      <c r="F511" s="69">
        <f t="shared" si="92"/>
        <v>3064</v>
      </c>
      <c r="G511" s="72">
        <f>VLOOKUP(B511,'114+320'!$B$15:$AB$785,20,FALSE)</f>
        <v>2044</v>
      </c>
      <c r="H511" s="72">
        <f>VLOOKUP(B511,'114+320'!$B$15:$AB$785,4,FALSE)</f>
        <v>500</v>
      </c>
      <c r="I511" s="68">
        <f t="shared" si="93"/>
        <v>2564</v>
      </c>
      <c r="J511" s="71">
        <f>VLOOKUP(B511,'114+320'!$B$15:$AB$785,13,FALSE)</f>
        <v>-436</v>
      </c>
      <c r="K511" s="66">
        <f>'114+320'!Q512</f>
        <v>0</v>
      </c>
      <c r="L511" s="65">
        <f t="shared" si="98"/>
        <v>256</v>
      </c>
      <c r="M511" s="70">
        <f>VLOOKUP(B511,'114+320'!$B$14:$AB$785,21,FALSE)</f>
        <v>2020</v>
      </c>
      <c r="N511" s="69">
        <f>VLOOKUP(B511,'114+320'!$B$15:$AB$785,5,FALSE)</f>
        <v>524</v>
      </c>
      <c r="O511" s="68">
        <f t="shared" si="94"/>
        <v>2540</v>
      </c>
      <c r="P511" s="71">
        <f>VLOOKUP(B511,'114+320'!$B$15:$AB$785,14,FALSE)</f>
        <v>-460</v>
      </c>
      <c r="Q511" s="66">
        <f>'114+320'!R512</f>
        <v>0</v>
      </c>
      <c r="R511" s="65">
        <f t="shared" si="99"/>
        <v>280</v>
      </c>
      <c r="S511" s="70">
        <f>VLOOKUP(B511,'114+320'!$B$14:$AB$785,22,FALSE)</f>
        <v>2080</v>
      </c>
      <c r="T511" s="69">
        <f>VLOOKUP(B511,'114+320'!$B$15:$AB$785,6,FALSE)</f>
        <v>404</v>
      </c>
      <c r="U511" s="68">
        <f t="shared" si="95"/>
        <v>2660</v>
      </c>
      <c r="V511" s="67">
        <f>VLOOKUP(B511,'114+320'!$B$15:$AB$785,15,FALSE)</f>
        <v>-340</v>
      </c>
      <c r="W511" s="66">
        <f>'114+320'!S512</f>
        <v>0</v>
      </c>
      <c r="X511" s="65">
        <f t="shared" si="100"/>
        <v>220</v>
      </c>
      <c r="Y511" s="64">
        <f t="shared" si="101"/>
        <v>0</v>
      </c>
      <c r="Z511" s="63">
        <f t="shared" si="102"/>
        <v>0</v>
      </c>
      <c r="AA511" s="62">
        <f t="shared" si="103"/>
        <v>2.3689999999999998</v>
      </c>
      <c r="AB511" s="62">
        <f t="shared" si="104"/>
        <v>1.92</v>
      </c>
    </row>
    <row r="512" spans="2:28">
      <c r="B512" s="106">
        <f>'114+320'!B513</f>
        <v>45542</v>
      </c>
      <c r="C512" s="75">
        <f t="shared" si="96"/>
        <v>1</v>
      </c>
      <c r="D512" s="74">
        <f t="shared" si="97"/>
        <v>842</v>
      </c>
      <c r="E512" s="73">
        <f>VLOOKUP(B512,'114+320'!B513:AB899,3,FALSE)</f>
        <v>2224</v>
      </c>
      <c r="F512" s="69">
        <f t="shared" si="92"/>
        <v>3066</v>
      </c>
      <c r="G512" s="72">
        <f>VLOOKUP(B512,'114+320'!$B$15:$AB$785,20,FALSE)</f>
        <v>2044</v>
      </c>
      <c r="H512" s="72">
        <f>VLOOKUP(B512,'114+320'!$B$15:$AB$785,4,FALSE)</f>
        <v>502</v>
      </c>
      <c r="I512" s="68">
        <f t="shared" si="93"/>
        <v>2564</v>
      </c>
      <c r="J512" s="71">
        <f>VLOOKUP(B512,'114+320'!$B$15:$AB$785,13,FALSE)</f>
        <v>-436</v>
      </c>
      <c r="K512" s="66">
        <f>'114+320'!Q513</f>
        <v>0</v>
      </c>
      <c r="L512" s="65">
        <f t="shared" si="98"/>
        <v>256</v>
      </c>
      <c r="M512" s="70">
        <f>VLOOKUP(B512,'114+320'!$B$14:$AB$785,21,FALSE)</f>
        <v>2020</v>
      </c>
      <c r="N512" s="69">
        <f>VLOOKUP(B512,'114+320'!$B$15:$AB$785,5,FALSE)</f>
        <v>526</v>
      </c>
      <c r="O512" s="68">
        <f t="shared" si="94"/>
        <v>2540</v>
      </c>
      <c r="P512" s="71">
        <f>VLOOKUP(B512,'114+320'!$B$15:$AB$785,14,FALSE)</f>
        <v>-460</v>
      </c>
      <c r="Q512" s="66">
        <f>'114+320'!R513</f>
        <v>0</v>
      </c>
      <c r="R512" s="65">
        <f t="shared" si="99"/>
        <v>280</v>
      </c>
      <c r="S512" s="70">
        <f>VLOOKUP(B512,'114+320'!$B$14:$AB$785,22,FALSE)</f>
        <v>2080</v>
      </c>
      <c r="T512" s="69">
        <f>VLOOKUP(B512,'114+320'!$B$15:$AB$785,6,FALSE)</f>
        <v>406</v>
      </c>
      <c r="U512" s="68">
        <f t="shared" si="95"/>
        <v>2660</v>
      </c>
      <c r="V512" s="67">
        <f>VLOOKUP(B512,'114+320'!$B$15:$AB$785,15,FALSE)</f>
        <v>-340</v>
      </c>
      <c r="W512" s="66">
        <f>'114+320'!S513</f>
        <v>0</v>
      </c>
      <c r="X512" s="65">
        <f t="shared" si="100"/>
        <v>220</v>
      </c>
      <c r="Y512" s="64">
        <f t="shared" si="101"/>
        <v>0</v>
      </c>
      <c r="Z512" s="63">
        <f t="shared" si="102"/>
        <v>0</v>
      </c>
      <c r="AA512" s="62">
        <f t="shared" si="103"/>
        <v>2.3689999999999998</v>
      </c>
      <c r="AB512" s="62">
        <f t="shared" si="104"/>
        <v>1.92</v>
      </c>
    </row>
    <row r="513" spans="2:28">
      <c r="B513" s="106">
        <f>'114+320'!B514</f>
        <v>45543</v>
      </c>
      <c r="C513" s="75">
        <f t="shared" si="96"/>
        <v>1</v>
      </c>
      <c r="D513" s="74">
        <f t="shared" si="97"/>
        <v>842</v>
      </c>
      <c r="E513" s="73">
        <f>VLOOKUP(B513,'114+320'!B514:AB900,3,FALSE)</f>
        <v>2226</v>
      </c>
      <c r="F513" s="69">
        <f t="shared" si="92"/>
        <v>3068</v>
      </c>
      <c r="G513" s="72">
        <f>VLOOKUP(B513,'114+320'!$B$15:$AB$785,20,FALSE)</f>
        <v>2044</v>
      </c>
      <c r="H513" s="72">
        <f>VLOOKUP(B513,'114+320'!$B$15:$AB$785,4,FALSE)</f>
        <v>504</v>
      </c>
      <c r="I513" s="68">
        <f t="shared" si="93"/>
        <v>2564</v>
      </c>
      <c r="J513" s="71">
        <f>VLOOKUP(B513,'114+320'!$B$15:$AB$785,13,FALSE)</f>
        <v>-436</v>
      </c>
      <c r="K513" s="66">
        <f>'114+320'!Q514</f>
        <v>0</v>
      </c>
      <c r="L513" s="65">
        <f t="shared" si="98"/>
        <v>256</v>
      </c>
      <c r="M513" s="70">
        <f>VLOOKUP(B513,'114+320'!$B$14:$AB$785,21,FALSE)</f>
        <v>2020</v>
      </c>
      <c r="N513" s="69">
        <f>VLOOKUP(B513,'114+320'!$B$15:$AB$785,5,FALSE)</f>
        <v>528</v>
      </c>
      <c r="O513" s="68">
        <f t="shared" si="94"/>
        <v>2540</v>
      </c>
      <c r="P513" s="71">
        <f>VLOOKUP(B513,'114+320'!$B$15:$AB$785,14,FALSE)</f>
        <v>-460</v>
      </c>
      <c r="Q513" s="66">
        <f>'114+320'!R514</f>
        <v>0</v>
      </c>
      <c r="R513" s="65">
        <f t="shared" si="99"/>
        <v>280</v>
      </c>
      <c r="S513" s="70">
        <f>VLOOKUP(B513,'114+320'!$B$14:$AB$785,22,FALSE)</f>
        <v>2080</v>
      </c>
      <c r="T513" s="69">
        <f>VLOOKUP(B513,'114+320'!$B$15:$AB$785,6,FALSE)</f>
        <v>408</v>
      </c>
      <c r="U513" s="68">
        <f t="shared" si="95"/>
        <v>2660</v>
      </c>
      <c r="V513" s="67">
        <f>VLOOKUP(B513,'114+320'!$B$15:$AB$785,15,FALSE)</f>
        <v>-340</v>
      </c>
      <c r="W513" s="66">
        <f>'114+320'!S514</f>
        <v>0</v>
      </c>
      <c r="X513" s="65">
        <f t="shared" si="100"/>
        <v>220</v>
      </c>
      <c r="Y513" s="64">
        <f t="shared" si="101"/>
        <v>0</v>
      </c>
      <c r="Z513" s="63">
        <f t="shared" si="102"/>
        <v>0</v>
      </c>
      <c r="AA513" s="62">
        <f t="shared" si="103"/>
        <v>2.3689999999999998</v>
      </c>
      <c r="AB513" s="62">
        <f t="shared" si="104"/>
        <v>1.92</v>
      </c>
    </row>
    <row r="514" spans="2:28">
      <c r="B514" s="106">
        <f>'114+320'!B515</f>
        <v>45544</v>
      </c>
      <c r="C514" s="75">
        <f t="shared" si="96"/>
        <v>1</v>
      </c>
      <c r="D514" s="74">
        <f t="shared" si="97"/>
        <v>842</v>
      </c>
      <c r="E514" s="73">
        <f>VLOOKUP(B514,'114+320'!B515:AB901,3,FALSE)</f>
        <v>2228</v>
      </c>
      <c r="F514" s="69">
        <f t="shared" si="92"/>
        <v>3070</v>
      </c>
      <c r="G514" s="72">
        <f>VLOOKUP(B514,'114+320'!$B$15:$AB$785,20,FALSE)</f>
        <v>2044</v>
      </c>
      <c r="H514" s="72">
        <f>VLOOKUP(B514,'114+320'!$B$15:$AB$785,4,FALSE)</f>
        <v>506</v>
      </c>
      <c r="I514" s="68">
        <f t="shared" si="93"/>
        <v>2564</v>
      </c>
      <c r="J514" s="71">
        <f>VLOOKUP(B514,'114+320'!$B$15:$AB$785,13,FALSE)</f>
        <v>-436</v>
      </c>
      <c r="K514" s="66">
        <f>'114+320'!Q515</f>
        <v>0</v>
      </c>
      <c r="L514" s="65">
        <f t="shared" si="98"/>
        <v>256</v>
      </c>
      <c r="M514" s="70">
        <f>VLOOKUP(B514,'114+320'!$B$14:$AB$785,21,FALSE)</f>
        <v>2020</v>
      </c>
      <c r="N514" s="69">
        <f>VLOOKUP(B514,'114+320'!$B$15:$AB$785,5,FALSE)</f>
        <v>530</v>
      </c>
      <c r="O514" s="68">
        <f t="shared" si="94"/>
        <v>2540</v>
      </c>
      <c r="P514" s="71">
        <f>VLOOKUP(B514,'114+320'!$B$15:$AB$785,14,FALSE)</f>
        <v>-460</v>
      </c>
      <c r="Q514" s="66">
        <f>'114+320'!R515</f>
        <v>0</v>
      </c>
      <c r="R514" s="65">
        <f t="shared" si="99"/>
        <v>280</v>
      </c>
      <c r="S514" s="70">
        <f>VLOOKUP(B514,'114+320'!$B$14:$AB$785,22,FALSE)</f>
        <v>2080</v>
      </c>
      <c r="T514" s="69">
        <f>VLOOKUP(B514,'114+320'!$B$15:$AB$785,6,FALSE)</f>
        <v>410</v>
      </c>
      <c r="U514" s="68">
        <f t="shared" si="95"/>
        <v>2660</v>
      </c>
      <c r="V514" s="67">
        <f>VLOOKUP(B514,'114+320'!$B$15:$AB$785,15,FALSE)</f>
        <v>-340</v>
      </c>
      <c r="W514" s="66">
        <f>'114+320'!S515</f>
        <v>0</v>
      </c>
      <c r="X514" s="65">
        <f t="shared" si="100"/>
        <v>220</v>
      </c>
      <c r="Y514" s="64">
        <f t="shared" si="101"/>
        <v>0</v>
      </c>
      <c r="Z514" s="63">
        <f t="shared" si="102"/>
        <v>0</v>
      </c>
      <c r="AA514" s="62">
        <f t="shared" si="103"/>
        <v>2.3689999999999998</v>
      </c>
      <c r="AB514" s="62">
        <f t="shared" si="104"/>
        <v>1.92</v>
      </c>
    </row>
    <row r="515" spans="2:28">
      <c r="B515" s="106">
        <f>'114+320'!B516</f>
        <v>45545</v>
      </c>
      <c r="C515" s="75">
        <f t="shared" si="96"/>
        <v>1</v>
      </c>
      <c r="D515" s="74">
        <f t="shared" si="97"/>
        <v>842</v>
      </c>
      <c r="E515" s="73">
        <f>VLOOKUP(B515,'114+320'!B516:AB902,3,FALSE)</f>
        <v>2230</v>
      </c>
      <c r="F515" s="69">
        <f t="shared" si="92"/>
        <v>3072</v>
      </c>
      <c r="G515" s="72">
        <f>VLOOKUP(B515,'114+320'!$B$15:$AB$785,20,FALSE)</f>
        <v>2044</v>
      </c>
      <c r="H515" s="72">
        <f>VLOOKUP(B515,'114+320'!$B$15:$AB$785,4,FALSE)</f>
        <v>508</v>
      </c>
      <c r="I515" s="68">
        <f t="shared" si="93"/>
        <v>2564</v>
      </c>
      <c r="J515" s="71">
        <f>VLOOKUP(B515,'114+320'!$B$15:$AB$785,13,FALSE)</f>
        <v>-436</v>
      </c>
      <c r="K515" s="66">
        <f>'114+320'!Q516</f>
        <v>0</v>
      </c>
      <c r="L515" s="65">
        <f t="shared" si="98"/>
        <v>256</v>
      </c>
      <c r="M515" s="70">
        <f>VLOOKUP(B515,'114+320'!$B$14:$AB$785,21,FALSE)</f>
        <v>2020</v>
      </c>
      <c r="N515" s="69">
        <f>VLOOKUP(B515,'114+320'!$B$15:$AB$785,5,FALSE)</f>
        <v>532</v>
      </c>
      <c r="O515" s="68">
        <f t="shared" si="94"/>
        <v>2540</v>
      </c>
      <c r="P515" s="71">
        <f>VLOOKUP(B515,'114+320'!$B$15:$AB$785,14,FALSE)</f>
        <v>-460</v>
      </c>
      <c r="Q515" s="66">
        <f>'114+320'!R516</f>
        <v>0</v>
      </c>
      <c r="R515" s="65">
        <f t="shared" si="99"/>
        <v>280</v>
      </c>
      <c r="S515" s="70">
        <f>VLOOKUP(B515,'114+320'!$B$14:$AB$785,22,FALSE)</f>
        <v>2080</v>
      </c>
      <c r="T515" s="69">
        <f>VLOOKUP(B515,'114+320'!$B$15:$AB$785,6,FALSE)</f>
        <v>412</v>
      </c>
      <c r="U515" s="68">
        <f t="shared" si="95"/>
        <v>2660</v>
      </c>
      <c r="V515" s="67">
        <f>VLOOKUP(B515,'114+320'!$B$15:$AB$785,15,FALSE)</f>
        <v>-340</v>
      </c>
      <c r="W515" s="66">
        <f>'114+320'!S516</f>
        <v>0</v>
      </c>
      <c r="X515" s="65">
        <f t="shared" si="100"/>
        <v>220</v>
      </c>
      <c r="Y515" s="64">
        <f t="shared" si="101"/>
        <v>0</v>
      </c>
      <c r="Z515" s="63">
        <f t="shared" si="102"/>
        <v>0</v>
      </c>
      <c r="AA515" s="62">
        <f t="shared" si="103"/>
        <v>2.3689999999999998</v>
      </c>
      <c r="AB515" s="62">
        <f t="shared" si="104"/>
        <v>1.92</v>
      </c>
    </row>
    <row r="516" spans="2:28">
      <c r="B516" s="106">
        <f>'114+320'!B517</f>
        <v>45546</v>
      </c>
      <c r="C516" s="75">
        <f t="shared" si="96"/>
        <v>1</v>
      </c>
      <c r="D516" s="74">
        <f t="shared" si="97"/>
        <v>842</v>
      </c>
      <c r="E516" s="73">
        <f>VLOOKUP(B516,'114+320'!B517:AB903,3,FALSE)</f>
        <v>2232</v>
      </c>
      <c r="F516" s="69">
        <f t="shared" si="92"/>
        <v>3074</v>
      </c>
      <c r="G516" s="72">
        <f>VLOOKUP(B516,'114+320'!$B$15:$AB$785,20,FALSE)</f>
        <v>2044</v>
      </c>
      <c r="H516" s="72">
        <f>VLOOKUP(B516,'114+320'!$B$15:$AB$785,4,FALSE)</f>
        <v>510</v>
      </c>
      <c r="I516" s="68">
        <f t="shared" si="93"/>
        <v>2564</v>
      </c>
      <c r="J516" s="71">
        <f>VLOOKUP(B516,'114+320'!$B$15:$AB$785,13,FALSE)</f>
        <v>-436</v>
      </c>
      <c r="K516" s="66">
        <f>'114+320'!Q517</f>
        <v>0</v>
      </c>
      <c r="L516" s="65">
        <f t="shared" si="98"/>
        <v>256</v>
      </c>
      <c r="M516" s="70">
        <f>VLOOKUP(B516,'114+320'!$B$14:$AB$785,21,FALSE)</f>
        <v>2020</v>
      </c>
      <c r="N516" s="69">
        <f>VLOOKUP(B516,'114+320'!$B$15:$AB$785,5,FALSE)</f>
        <v>534</v>
      </c>
      <c r="O516" s="68">
        <f t="shared" si="94"/>
        <v>2540</v>
      </c>
      <c r="P516" s="71">
        <f>VLOOKUP(B516,'114+320'!$B$15:$AB$785,14,FALSE)</f>
        <v>-460</v>
      </c>
      <c r="Q516" s="66">
        <f>'114+320'!R517</f>
        <v>0</v>
      </c>
      <c r="R516" s="65">
        <f t="shared" si="99"/>
        <v>280</v>
      </c>
      <c r="S516" s="70">
        <f>VLOOKUP(B516,'114+320'!$B$14:$AB$785,22,FALSE)</f>
        <v>2080</v>
      </c>
      <c r="T516" s="69">
        <f>VLOOKUP(B516,'114+320'!$B$15:$AB$785,6,FALSE)</f>
        <v>414</v>
      </c>
      <c r="U516" s="68">
        <f t="shared" si="95"/>
        <v>2660</v>
      </c>
      <c r="V516" s="67">
        <f>VLOOKUP(B516,'114+320'!$B$15:$AB$785,15,FALSE)</f>
        <v>-340</v>
      </c>
      <c r="W516" s="66">
        <f>'114+320'!S517</f>
        <v>0</v>
      </c>
      <c r="X516" s="65">
        <f t="shared" si="100"/>
        <v>220</v>
      </c>
      <c r="Y516" s="64">
        <f t="shared" si="101"/>
        <v>0</v>
      </c>
      <c r="Z516" s="63">
        <f t="shared" si="102"/>
        <v>0</v>
      </c>
      <c r="AA516" s="62">
        <f t="shared" si="103"/>
        <v>2.3689999999999998</v>
      </c>
      <c r="AB516" s="62">
        <f t="shared" si="104"/>
        <v>1.92</v>
      </c>
    </row>
    <row r="517" spans="2:28">
      <c r="B517" s="106">
        <f>'114+320'!B518</f>
        <v>45547</v>
      </c>
      <c r="C517" s="75">
        <f t="shared" si="96"/>
        <v>1</v>
      </c>
      <c r="D517" s="74">
        <f t="shared" si="97"/>
        <v>842</v>
      </c>
      <c r="E517" s="73">
        <f>VLOOKUP(B517,'114+320'!B518:AB904,3,FALSE)</f>
        <v>2234</v>
      </c>
      <c r="F517" s="69">
        <f t="shared" si="92"/>
        <v>3076</v>
      </c>
      <c r="G517" s="72">
        <f>VLOOKUP(B517,'114+320'!$B$15:$AB$785,20,FALSE)</f>
        <v>2044</v>
      </c>
      <c r="H517" s="72">
        <f>VLOOKUP(B517,'114+320'!$B$15:$AB$785,4,FALSE)</f>
        <v>512</v>
      </c>
      <c r="I517" s="68">
        <f t="shared" si="93"/>
        <v>2564</v>
      </c>
      <c r="J517" s="71">
        <f>VLOOKUP(B517,'114+320'!$B$15:$AB$785,13,FALSE)</f>
        <v>-436</v>
      </c>
      <c r="K517" s="66">
        <f>'114+320'!Q518</f>
        <v>0</v>
      </c>
      <c r="L517" s="65">
        <f t="shared" si="98"/>
        <v>256</v>
      </c>
      <c r="M517" s="70">
        <f>VLOOKUP(B517,'114+320'!$B$14:$AB$785,21,FALSE)</f>
        <v>2020</v>
      </c>
      <c r="N517" s="69">
        <f>VLOOKUP(B517,'114+320'!$B$15:$AB$785,5,FALSE)</f>
        <v>536</v>
      </c>
      <c r="O517" s="68">
        <f t="shared" si="94"/>
        <v>2540</v>
      </c>
      <c r="P517" s="71">
        <f>VLOOKUP(B517,'114+320'!$B$15:$AB$785,14,FALSE)</f>
        <v>-460</v>
      </c>
      <c r="Q517" s="66">
        <f>'114+320'!R518</f>
        <v>0</v>
      </c>
      <c r="R517" s="65">
        <f t="shared" si="99"/>
        <v>280</v>
      </c>
      <c r="S517" s="70">
        <f>VLOOKUP(B517,'114+320'!$B$14:$AB$785,22,FALSE)</f>
        <v>2080</v>
      </c>
      <c r="T517" s="69">
        <f>VLOOKUP(B517,'114+320'!$B$15:$AB$785,6,FALSE)</f>
        <v>416</v>
      </c>
      <c r="U517" s="68">
        <f t="shared" si="95"/>
        <v>2660</v>
      </c>
      <c r="V517" s="67">
        <f>VLOOKUP(B517,'114+320'!$B$15:$AB$785,15,FALSE)</f>
        <v>-340</v>
      </c>
      <c r="W517" s="66">
        <f>'114+320'!S518</f>
        <v>0</v>
      </c>
      <c r="X517" s="65">
        <f t="shared" si="100"/>
        <v>220</v>
      </c>
      <c r="Y517" s="64">
        <f t="shared" si="101"/>
        <v>0</v>
      </c>
      <c r="Z517" s="63">
        <f t="shared" si="102"/>
        <v>0</v>
      </c>
      <c r="AA517" s="62">
        <f t="shared" si="103"/>
        <v>2.3689999999999998</v>
      </c>
      <c r="AB517" s="62">
        <f t="shared" si="104"/>
        <v>1.92</v>
      </c>
    </row>
    <row r="518" spans="2:28">
      <c r="B518" s="106">
        <f>'114+320'!B519</f>
        <v>45548</v>
      </c>
      <c r="C518" s="75">
        <f t="shared" si="96"/>
        <v>1</v>
      </c>
      <c r="D518" s="74">
        <f t="shared" si="97"/>
        <v>842</v>
      </c>
      <c r="E518" s="73">
        <f>VLOOKUP(B518,'114+320'!B519:AB905,3,FALSE)</f>
        <v>2236</v>
      </c>
      <c r="F518" s="69">
        <f t="shared" si="92"/>
        <v>3078</v>
      </c>
      <c r="G518" s="72">
        <f>VLOOKUP(B518,'114+320'!$B$15:$AB$785,20,FALSE)</f>
        <v>2044</v>
      </c>
      <c r="H518" s="72">
        <f>VLOOKUP(B518,'114+320'!$B$15:$AB$785,4,FALSE)</f>
        <v>514</v>
      </c>
      <c r="I518" s="68">
        <f t="shared" si="93"/>
        <v>2564</v>
      </c>
      <c r="J518" s="71">
        <f>VLOOKUP(B518,'114+320'!$B$15:$AB$785,13,FALSE)</f>
        <v>-436</v>
      </c>
      <c r="K518" s="66">
        <f>'114+320'!Q519</f>
        <v>0</v>
      </c>
      <c r="L518" s="65">
        <f t="shared" si="98"/>
        <v>256</v>
      </c>
      <c r="M518" s="70">
        <f>VLOOKUP(B518,'114+320'!$B$14:$AB$785,21,FALSE)</f>
        <v>2020</v>
      </c>
      <c r="N518" s="69">
        <f>VLOOKUP(B518,'114+320'!$B$15:$AB$785,5,FALSE)</f>
        <v>538</v>
      </c>
      <c r="O518" s="68">
        <f t="shared" si="94"/>
        <v>2540</v>
      </c>
      <c r="P518" s="71">
        <f>VLOOKUP(B518,'114+320'!$B$15:$AB$785,14,FALSE)</f>
        <v>-460</v>
      </c>
      <c r="Q518" s="66">
        <f>'114+320'!R519</f>
        <v>0</v>
      </c>
      <c r="R518" s="65">
        <f t="shared" si="99"/>
        <v>280</v>
      </c>
      <c r="S518" s="70">
        <f>VLOOKUP(B518,'114+320'!$B$14:$AB$785,22,FALSE)</f>
        <v>2080</v>
      </c>
      <c r="T518" s="69">
        <f>VLOOKUP(B518,'114+320'!$B$15:$AB$785,6,FALSE)</f>
        <v>418</v>
      </c>
      <c r="U518" s="68">
        <f t="shared" si="95"/>
        <v>2660</v>
      </c>
      <c r="V518" s="67">
        <f>VLOOKUP(B518,'114+320'!$B$15:$AB$785,15,FALSE)</f>
        <v>-340</v>
      </c>
      <c r="W518" s="66">
        <f>'114+320'!S519</f>
        <v>0</v>
      </c>
      <c r="X518" s="65">
        <f t="shared" si="100"/>
        <v>220</v>
      </c>
      <c r="Y518" s="64">
        <f t="shared" si="101"/>
        <v>0</v>
      </c>
      <c r="Z518" s="63">
        <f t="shared" si="102"/>
        <v>0</v>
      </c>
      <c r="AA518" s="62">
        <f t="shared" si="103"/>
        <v>2.3689999999999998</v>
      </c>
      <c r="AB518" s="62">
        <f t="shared" si="104"/>
        <v>1.92</v>
      </c>
    </row>
    <row r="519" spans="2:28">
      <c r="B519" s="106">
        <f>'114+320'!B520</f>
        <v>45549</v>
      </c>
      <c r="C519" s="75">
        <f t="shared" si="96"/>
        <v>1</v>
      </c>
      <c r="D519" s="74">
        <f t="shared" si="97"/>
        <v>842</v>
      </c>
      <c r="E519" s="73">
        <f>VLOOKUP(B519,'114+320'!B520:AB906,3,FALSE)</f>
        <v>2238</v>
      </c>
      <c r="F519" s="69">
        <f t="shared" si="92"/>
        <v>3080</v>
      </c>
      <c r="G519" s="72">
        <f>VLOOKUP(B519,'114+320'!$B$15:$AB$785,20,FALSE)</f>
        <v>2044</v>
      </c>
      <c r="H519" s="72">
        <f>VLOOKUP(B519,'114+320'!$B$15:$AB$785,4,FALSE)</f>
        <v>516</v>
      </c>
      <c r="I519" s="68">
        <f t="shared" si="93"/>
        <v>2564</v>
      </c>
      <c r="J519" s="71">
        <f>VLOOKUP(B519,'114+320'!$B$15:$AB$785,13,FALSE)</f>
        <v>-436</v>
      </c>
      <c r="K519" s="66">
        <f>'114+320'!Q520</f>
        <v>0</v>
      </c>
      <c r="L519" s="65">
        <f t="shared" si="98"/>
        <v>256</v>
      </c>
      <c r="M519" s="70">
        <f>VLOOKUP(B519,'114+320'!$B$14:$AB$785,21,FALSE)</f>
        <v>2020</v>
      </c>
      <c r="N519" s="69">
        <f>VLOOKUP(B519,'114+320'!$B$15:$AB$785,5,FALSE)</f>
        <v>540</v>
      </c>
      <c r="O519" s="68">
        <f t="shared" si="94"/>
        <v>2540</v>
      </c>
      <c r="P519" s="71">
        <f>VLOOKUP(B519,'114+320'!$B$15:$AB$785,14,FALSE)</f>
        <v>-460</v>
      </c>
      <c r="Q519" s="66">
        <f>'114+320'!R520</f>
        <v>0</v>
      </c>
      <c r="R519" s="65">
        <f t="shared" si="99"/>
        <v>280</v>
      </c>
      <c r="S519" s="70">
        <f>VLOOKUP(B519,'114+320'!$B$14:$AB$785,22,FALSE)</f>
        <v>2080</v>
      </c>
      <c r="T519" s="69">
        <f>VLOOKUP(B519,'114+320'!$B$15:$AB$785,6,FALSE)</f>
        <v>420</v>
      </c>
      <c r="U519" s="68">
        <f t="shared" si="95"/>
        <v>2660</v>
      </c>
      <c r="V519" s="67">
        <f>VLOOKUP(B519,'114+320'!$B$15:$AB$785,15,FALSE)</f>
        <v>-340</v>
      </c>
      <c r="W519" s="66">
        <f>'114+320'!S520</f>
        <v>0</v>
      </c>
      <c r="X519" s="65">
        <f t="shared" si="100"/>
        <v>220</v>
      </c>
      <c r="Y519" s="64">
        <f t="shared" si="101"/>
        <v>0</v>
      </c>
      <c r="Z519" s="63">
        <f t="shared" si="102"/>
        <v>0</v>
      </c>
      <c r="AA519" s="62">
        <f t="shared" si="103"/>
        <v>2.3689999999999998</v>
      </c>
      <c r="AB519" s="62">
        <f t="shared" si="104"/>
        <v>1.92</v>
      </c>
    </row>
    <row r="520" spans="2:28">
      <c r="B520" s="106">
        <f>'114+320'!B521</f>
        <v>45550</v>
      </c>
      <c r="C520" s="75">
        <f t="shared" si="96"/>
        <v>1</v>
      </c>
      <c r="D520" s="74">
        <f t="shared" si="97"/>
        <v>842</v>
      </c>
      <c r="E520" s="73">
        <f>VLOOKUP(B520,'114+320'!B521:AB907,3,FALSE)</f>
        <v>2240</v>
      </c>
      <c r="F520" s="69">
        <f t="shared" si="92"/>
        <v>3082</v>
      </c>
      <c r="G520" s="72">
        <f>VLOOKUP(B520,'114+320'!$B$15:$AB$785,20,FALSE)</f>
        <v>2044</v>
      </c>
      <c r="H520" s="72">
        <f>VLOOKUP(B520,'114+320'!$B$15:$AB$785,4,FALSE)</f>
        <v>518</v>
      </c>
      <c r="I520" s="68">
        <f t="shared" si="93"/>
        <v>2564</v>
      </c>
      <c r="J520" s="71">
        <f>VLOOKUP(B520,'114+320'!$B$15:$AB$785,13,FALSE)</f>
        <v>-436</v>
      </c>
      <c r="K520" s="66">
        <f>'114+320'!Q521</f>
        <v>0</v>
      </c>
      <c r="L520" s="65">
        <f t="shared" si="98"/>
        <v>256</v>
      </c>
      <c r="M520" s="70">
        <f>VLOOKUP(B520,'114+320'!$B$14:$AB$785,21,FALSE)</f>
        <v>2020</v>
      </c>
      <c r="N520" s="69">
        <f>VLOOKUP(B520,'114+320'!$B$15:$AB$785,5,FALSE)</f>
        <v>542</v>
      </c>
      <c r="O520" s="68">
        <f t="shared" si="94"/>
        <v>2540</v>
      </c>
      <c r="P520" s="71">
        <f>VLOOKUP(B520,'114+320'!$B$15:$AB$785,14,FALSE)</f>
        <v>-460</v>
      </c>
      <c r="Q520" s="66">
        <f>'114+320'!R521</f>
        <v>0</v>
      </c>
      <c r="R520" s="65">
        <f t="shared" si="99"/>
        <v>280</v>
      </c>
      <c r="S520" s="70">
        <f>VLOOKUP(B520,'114+320'!$B$14:$AB$785,22,FALSE)</f>
        <v>2080</v>
      </c>
      <c r="T520" s="69">
        <f>VLOOKUP(B520,'114+320'!$B$15:$AB$785,6,FALSE)</f>
        <v>422</v>
      </c>
      <c r="U520" s="68">
        <f t="shared" si="95"/>
        <v>2660</v>
      </c>
      <c r="V520" s="67">
        <f>VLOOKUP(B520,'114+320'!$B$15:$AB$785,15,FALSE)</f>
        <v>-340</v>
      </c>
      <c r="W520" s="66">
        <f>'114+320'!S521</f>
        <v>0</v>
      </c>
      <c r="X520" s="65">
        <f t="shared" si="100"/>
        <v>220</v>
      </c>
      <c r="Y520" s="64">
        <f t="shared" si="101"/>
        <v>0</v>
      </c>
      <c r="Z520" s="63">
        <f t="shared" si="102"/>
        <v>0</v>
      </c>
      <c r="AA520" s="62">
        <f t="shared" si="103"/>
        <v>2.3689999999999998</v>
      </c>
      <c r="AB520" s="62">
        <f t="shared" si="104"/>
        <v>1.92</v>
      </c>
    </row>
    <row r="521" spans="2:28">
      <c r="B521" s="106">
        <f>'114+320'!B522</f>
        <v>45551</v>
      </c>
      <c r="C521" s="75">
        <f t="shared" si="96"/>
        <v>1</v>
      </c>
      <c r="D521" s="74">
        <f t="shared" si="97"/>
        <v>842</v>
      </c>
      <c r="E521" s="73">
        <f>VLOOKUP(B521,'114+320'!B522:AB908,3,FALSE)</f>
        <v>2242</v>
      </c>
      <c r="F521" s="69">
        <f t="shared" si="92"/>
        <v>3084</v>
      </c>
      <c r="G521" s="72">
        <f>VLOOKUP(B521,'114+320'!$B$15:$AB$785,20,FALSE)</f>
        <v>2044</v>
      </c>
      <c r="H521" s="72">
        <f>VLOOKUP(B521,'114+320'!$B$15:$AB$785,4,FALSE)</f>
        <v>520</v>
      </c>
      <c r="I521" s="68">
        <f t="shared" si="93"/>
        <v>2564</v>
      </c>
      <c r="J521" s="71">
        <f>VLOOKUP(B521,'114+320'!$B$15:$AB$785,13,FALSE)</f>
        <v>-436</v>
      </c>
      <c r="K521" s="66">
        <f>'114+320'!Q522</f>
        <v>0</v>
      </c>
      <c r="L521" s="65">
        <f t="shared" si="98"/>
        <v>256</v>
      </c>
      <c r="M521" s="70">
        <f>VLOOKUP(B521,'114+320'!$B$14:$AB$785,21,FALSE)</f>
        <v>2020</v>
      </c>
      <c r="N521" s="69">
        <f>VLOOKUP(B521,'114+320'!$B$15:$AB$785,5,FALSE)</f>
        <v>544</v>
      </c>
      <c r="O521" s="68">
        <f t="shared" si="94"/>
        <v>2540</v>
      </c>
      <c r="P521" s="71">
        <f>VLOOKUP(B521,'114+320'!$B$15:$AB$785,14,FALSE)</f>
        <v>-460</v>
      </c>
      <c r="Q521" s="66">
        <f>'114+320'!R522</f>
        <v>0</v>
      </c>
      <c r="R521" s="65">
        <f t="shared" si="99"/>
        <v>280</v>
      </c>
      <c r="S521" s="70">
        <f>VLOOKUP(B521,'114+320'!$B$14:$AB$785,22,FALSE)</f>
        <v>2080</v>
      </c>
      <c r="T521" s="69">
        <f>VLOOKUP(B521,'114+320'!$B$15:$AB$785,6,FALSE)</f>
        <v>424</v>
      </c>
      <c r="U521" s="68">
        <f t="shared" si="95"/>
        <v>2660</v>
      </c>
      <c r="V521" s="67">
        <f>VLOOKUP(B521,'114+320'!$B$15:$AB$785,15,FALSE)</f>
        <v>-340</v>
      </c>
      <c r="W521" s="66">
        <f>'114+320'!S522</f>
        <v>0</v>
      </c>
      <c r="X521" s="65">
        <f t="shared" si="100"/>
        <v>220</v>
      </c>
      <c r="Y521" s="64">
        <f t="shared" si="101"/>
        <v>0</v>
      </c>
      <c r="Z521" s="63">
        <f t="shared" si="102"/>
        <v>0</v>
      </c>
      <c r="AA521" s="62">
        <f t="shared" si="103"/>
        <v>2.3689999999999998</v>
      </c>
      <c r="AB521" s="62">
        <f t="shared" si="104"/>
        <v>1.92</v>
      </c>
    </row>
    <row r="522" spans="2:28">
      <c r="B522" s="106">
        <f>'114+320'!B523</f>
        <v>45552</v>
      </c>
      <c r="C522" s="75">
        <f t="shared" si="96"/>
        <v>1</v>
      </c>
      <c r="D522" s="74">
        <f t="shared" si="97"/>
        <v>842</v>
      </c>
      <c r="E522" s="73">
        <f>VLOOKUP(B522,'114+320'!B523:AB909,3,FALSE)</f>
        <v>2244</v>
      </c>
      <c r="F522" s="69">
        <f t="shared" si="92"/>
        <v>3086</v>
      </c>
      <c r="G522" s="72">
        <f>VLOOKUP(B522,'114+320'!$B$15:$AB$785,20,FALSE)</f>
        <v>2044</v>
      </c>
      <c r="H522" s="72">
        <f>VLOOKUP(B522,'114+320'!$B$15:$AB$785,4,FALSE)</f>
        <v>522</v>
      </c>
      <c r="I522" s="68">
        <f t="shared" si="93"/>
        <v>2564</v>
      </c>
      <c r="J522" s="71">
        <f>VLOOKUP(B522,'114+320'!$B$15:$AB$785,13,FALSE)</f>
        <v>-436</v>
      </c>
      <c r="K522" s="66">
        <f>'114+320'!Q523</f>
        <v>0</v>
      </c>
      <c r="L522" s="65">
        <f t="shared" si="98"/>
        <v>256</v>
      </c>
      <c r="M522" s="70">
        <f>VLOOKUP(B522,'114+320'!$B$14:$AB$785,21,FALSE)</f>
        <v>2020</v>
      </c>
      <c r="N522" s="69">
        <f>VLOOKUP(B522,'114+320'!$B$15:$AB$785,5,FALSE)</f>
        <v>546</v>
      </c>
      <c r="O522" s="68">
        <f t="shared" si="94"/>
        <v>2540</v>
      </c>
      <c r="P522" s="71">
        <f>VLOOKUP(B522,'114+320'!$B$15:$AB$785,14,FALSE)</f>
        <v>-460</v>
      </c>
      <c r="Q522" s="66">
        <f>'114+320'!R523</f>
        <v>0</v>
      </c>
      <c r="R522" s="65">
        <f t="shared" si="99"/>
        <v>280</v>
      </c>
      <c r="S522" s="70">
        <f>VLOOKUP(B522,'114+320'!$B$14:$AB$785,22,FALSE)</f>
        <v>2080</v>
      </c>
      <c r="T522" s="69">
        <f>VLOOKUP(B522,'114+320'!$B$15:$AB$785,6,FALSE)</f>
        <v>426</v>
      </c>
      <c r="U522" s="68">
        <f t="shared" si="95"/>
        <v>2660</v>
      </c>
      <c r="V522" s="67">
        <f>VLOOKUP(B522,'114+320'!$B$15:$AB$785,15,FALSE)</f>
        <v>-340</v>
      </c>
      <c r="W522" s="66">
        <f>'114+320'!S523</f>
        <v>0</v>
      </c>
      <c r="X522" s="65">
        <f t="shared" si="100"/>
        <v>220</v>
      </c>
      <c r="Y522" s="64">
        <f t="shared" si="101"/>
        <v>0</v>
      </c>
      <c r="Z522" s="63">
        <f t="shared" si="102"/>
        <v>0</v>
      </c>
      <c r="AA522" s="62">
        <f t="shared" si="103"/>
        <v>2.3689999999999998</v>
      </c>
      <c r="AB522" s="62">
        <f t="shared" si="104"/>
        <v>1.92</v>
      </c>
    </row>
    <row r="523" spans="2:28">
      <c r="B523" s="106">
        <f>'114+320'!B524</f>
        <v>45553</v>
      </c>
      <c r="C523" s="75">
        <f t="shared" si="96"/>
        <v>1</v>
      </c>
      <c r="D523" s="74">
        <f t="shared" si="97"/>
        <v>842</v>
      </c>
      <c r="E523" s="73">
        <f>VLOOKUP(B523,'114+320'!B524:AB910,3,FALSE)</f>
        <v>2246</v>
      </c>
      <c r="F523" s="69">
        <f t="shared" si="92"/>
        <v>3088</v>
      </c>
      <c r="G523" s="72">
        <f>VLOOKUP(B523,'114+320'!$B$15:$AB$785,20,FALSE)</f>
        <v>2044</v>
      </c>
      <c r="H523" s="72">
        <f>VLOOKUP(B523,'114+320'!$B$15:$AB$785,4,FALSE)</f>
        <v>524</v>
      </c>
      <c r="I523" s="68">
        <f t="shared" si="93"/>
        <v>2564</v>
      </c>
      <c r="J523" s="71">
        <f>VLOOKUP(B523,'114+320'!$B$15:$AB$785,13,FALSE)</f>
        <v>-436</v>
      </c>
      <c r="K523" s="66">
        <f>'114+320'!Q524</f>
        <v>0</v>
      </c>
      <c r="L523" s="65">
        <f t="shared" si="98"/>
        <v>256</v>
      </c>
      <c r="M523" s="70">
        <f>VLOOKUP(B523,'114+320'!$B$14:$AB$785,21,FALSE)</f>
        <v>2020</v>
      </c>
      <c r="N523" s="69">
        <f>VLOOKUP(B523,'114+320'!$B$15:$AB$785,5,FALSE)</f>
        <v>548</v>
      </c>
      <c r="O523" s="68">
        <f t="shared" si="94"/>
        <v>2540</v>
      </c>
      <c r="P523" s="71">
        <f>VLOOKUP(B523,'114+320'!$B$15:$AB$785,14,FALSE)</f>
        <v>-460</v>
      </c>
      <c r="Q523" s="66">
        <f>'114+320'!R524</f>
        <v>0</v>
      </c>
      <c r="R523" s="65">
        <f t="shared" si="99"/>
        <v>280</v>
      </c>
      <c r="S523" s="70">
        <f>VLOOKUP(B523,'114+320'!$B$14:$AB$785,22,FALSE)</f>
        <v>2080</v>
      </c>
      <c r="T523" s="69">
        <f>VLOOKUP(B523,'114+320'!$B$15:$AB$785,6,FALSE)</f>
        <v>428</v>
      </c>
      <c r="U523" s="68">
        <f t="shared" si="95"/>
        <v>2660</v>
      </c>
      <c r="V523" s="67">
        <f>VLOOKUP(B523,'114+320'!$B$15:$AB$785,15,FALSE)</f>
        <v>-340</v>
      </c>
      <c r="W523" s="66">
        <f>'114+320'!S524</f>
        <v>0</v>
      </c>
      <c r="X523" s="65">
        <f t="shared" si="100"/>
        <v>220</v>
      </c>
      <c r="Y523" s="64">
        <f t="shared" si="101"/>
        <v>0</v>
      </c>
      <c r="Z523" s="63">
        <f t="shared" si="102"/>
        <v>0</v>
      </c>
      <c r="AA523" s="62">
        <f t="shared" si="103"/>
        <v>2.3689999999999998</v>
      </c>
      <c r="AB523" s="62">
        <f t="shared" si="104"/>
        <v>1.92</v>
      </c>
    </row>
    <row r="524" spans="2:28">
      <c r="B524" s="106">
        <f>'114+320'!B525</f>
        <v>45554</v>
      </c>
      <c r="C524" s="75">
        <f t="shared" si="96"/>
        <v>1</v>
      </c>
      <c r="D524" s="74">
        <f t="shared" si="97"/>
        <v>842</v>
      </c>
      <c r="E524" s="73">
        <f>VLOOKUP(B524,'114+320'!B525:AB911,3,FALSE)</f>
        <v>2248</v>
      </c>
      <c r="F524" s="69">
        <f t="shared" si="92"/>
        <v>3090</v>
      </c>
      <c r="G524" s="72">
        <f>VLOOKUP(B524,'114+320'!$B$15:$AB$785,20,FALSE)</f>
        <v>2044</v>
      </c>
      <c r="H524" s="72">
        <f>VLOOKUP(B524,'114+320'!$B$15:$AB$785,4,FALSE)</f>
        <v>526</v>
      </c>
      <c r="I524" s="68">
        <f t="shared" si="93"/>
        <v>2564</v>
      </c>
      <c r="J524" s="71">
        <f>VLOOKUP(B524,'114+320'!$B$15:$AB$785,13,FALSE)</f>
        <v>-436</v>
      </c>
      <c r="K524" s="66">
        <f>'114+320'!Q525</f>
        <v>0</v>
      </c>
      <c r="L524" s="65">
        <f t="shared" si="98"/>
        <v>256</v>
      </c>
      <c r="M524" s="70">
        <f>VLOOKUP(B524,'114+320'!$B$14:$AB$785,21,FALSE)</f>
        <v>2020</v>
      </c>
      <c r="N524" s="69">
        <f>VLOOKUP(B524,'114+320'!$B$15:$AB$785,5,FALSE)</f>
        <v>550</v>
      </c>
      <c r="O524" s="68">
        <f t="shared" si="94"/>
        <v>2540</v>
      </c>
      <c r="P524" s="71">
        <f>VLOOKUP(B524,'114+320'!$B$15:$AB$785,14,FALSE)</f>
        <v>-460</v>
      </c>
      <c r="Q524" s="66">
        <f>'114+320'!R525</f>
        <v>0</v>
      </c>
      <c r="R524" s="65">
        <f t="shared" si="99"/>
        <v>280</v>
      </c>
      <c r="S524" s="70">
        <f>VLOOKUP(B524,'114+320'!$B$14:$AB$785,22,FALSE)</f>
        <v>2080</v>
      </c>
      <c r="T524" s="69">
        <f>VLOOKUP(B524,'114+320'!$B$15:$AB$785,6,FALSE)</f>
        <v>430</v>
      </c>
      <c r="U524" s="68">
        <f t="shared" si="95"/>
        <v>2660</v>
      </c>
      <c r="V524" s="67">
        <f>VLOOKUP(B524,'114+320'!$B$15:$AB$785,15,FALSE)</f>
        <v>-340</v>
      </c>
      <c r="W524" s="66">
        <f>'114+320'!S525</f>
        <v>0</v>
      </c>
      <c r="X524" s="65">
        <f t="shared" si="100"/>
        <v>220</v>
      </c>
      <c r="Y524" s="64">
        <f t="shared" si="101"/>
        <v>0</v>
      </c>
      <c r="Z524" s="63">
        <f t="shared" si="102"/>
        <v>0</v>
      </c>
      <c r="AA524" s="62">
        <f t="shared" si="103"/>
        <v>2.3689999999999998</v>
      </c>
      <c r="AB524" s="62">
        <f t="shared" si="104"/>
        <v>1.92</v>
      </c>
    </row>
    <row r="525" spans="2:28">
      <c r="B525" s="106">
        <f>'114+320'!B526</f>
        <v>45555</v>
      </c>
      <c r="C525" s="75">
        <f t="shared" si="96"/>
        <v>1</v>
      </c>
      <c r="D525" s="74">
        <f t="shared" si="97"/>
        <v>842</v>
      </c>
      <c r="E525" s="73">
        <f>VLOOKUP(B525,'114+320'!B526:AB912,3,FALSE)</f>
        <v>2250</v>
      </c>
      <c r="F525" s="69">
        <f t="shared" ref="F525:F588" si="105">D525+E525</f>
        <v>3092</v>
      </c>
      <c r="G525" s="72">
        <f>VLOOKUP(B525,'114+320'!$B$15:$AB$785,20,FALSE)</f>
        <v>2044</v>
      </c>
      <c r="H525" s="72">
        <f>VLOOKUP(B525,'114+320'!$B$15:$AB$785,4,FALSE)</f>
        <v>528</v>
      </c>
      <c r="I525" s="68">
        <f t="shared" ref="I525:I588" si="106">F525-H525</f>
        <v>2564</v>
      </c>
      <c r="J525" s="71">
        <f>VLOOKUP(B525,'114+320'!$B$15:$AB$785,13,FALSE)</f>
        <v>-436</v>
      </c>
      <c r="K525" s="66">
        <f>'114+320'!Q526</f>
        <v>0</v>
      </c>
      <c r="L525" s="65">
        <f t="shared" si="98"/>
        <v>256</v>
      </c>
      <c r="M525" s="70">
        <f>VLOOKUP(B525,'114+320'!$B$14:$AB$785,21,FALSE)</f>
        <v>2020</v>
      </c>
      <c r="N525" s="69">
        <f>VLOOKUP(B525,'114+320'!$B$15:$AB$785,5,FALSE)</f>
        <v>552</v>
      </c>
      <c r="O525" s="68">
        <f t="shared" ref="O525:O588" si="107">F525-N525</f>
        <v>2540</v>
      </c>
      <c r="P525" s="71">
        <f>VLOOKUP(B525,'114+320'!$B$15:$AB$785,14,FALSE)</f>
        <v>-460</v>
      </c>
      <c r="Q525" s="66">
        <f>'114+320'!R526</f>
        <v>0</v>
      </c>
      <c r="R525" s="65">
        <f t="shared" si="99"/>
        <v>280</v>
      </c>
      <c r="S525" s="70">
        <f>VLOOKUP(B525,'114+320'!$B$14:$AB$785,22,FALSE)</f>
        <v>2080</v>
      </c>
      <c r="T525" s="69">
        <f>VLOOKUP(B525,'114+320'!$B$15:$AB$785,6,FALSE)</f>
        <v>432</v>
      </c>
      <c r="U525" s="68">
        <f t="shared" ref="U525:U588" si="108">F525-T525</f>
        <v>2660</v>
      </c>
      <c r="V525" s="67">
        <f>VLOOKUP(B525,'114+320'!$B$15:$AB$785,15,FALSE)</f>
        <v>-340</v>
      </c>
      <c r="W525" s="66">
        <f>'114+320'!S526</f>
        <v>0</v>
      </c>
      <c r="X525" s="65">
        <f t="shared" si="100"/>
        <v>220</v>
      </c>
      <c r="Y525" s="64">
        <f t="shared" si="101"/>
        <v>0</v>
      </c>
      <c r="Z525" s="63">
        <f t="shared" si="102"/>
        <v>0</v>
      </c>
      <c r="AA525" s="62">
        <f t="shared" si="103"/>
        <v>2.3689999999999998</v>
      </c>
      <c r="AB525" s="62">
        <f t="shared" si="104"/>
        <v>1.92</v>
      </c>
    </row>
    <row r="526" spans="2:28">
      <c r="B526" s="106">
        <f>'114+320'!B527</f>
        <v>45556</v>
      </c>
      <c r="C526" s="75">
        <f t="shared" ref="C526:C589" si="109">B526-B525</f>
        <v>1</v>
      </c>
      <c r="D526" s="74">
        <f t="shared" ref="D526:D589" si="110">D525</f>
        <v>842</v>
      </c>
      <c r="E526" s="73">
        <f>VLOOKUP(B526,'114+320'!B527:AB913,3,FALSE)</f>
        <v>2252</v>
      </c>
      <c r="F526" s="69">
        <f t="shared" si="105"/>
        <v>3094</v>
      </c>
      <c r="G526" s="72">
        <f>VLOOKUP(B526,'114+320'!$B$15:$AB$785,20,FALSE)</f>
        <v>2044</v>
      </c>
      <c r="H526" s="72">
        <f>VLOOKUP(B526,'114+320'!$B$15:$AB$785,4,FALSE)</f>
        <v>530</v>
      </c>
      <c r="I526" s="68">
        <f t="shared" si="106"/>
        <v>2564</v>
      </c>
      <c r="J526" s="71">
        <f>VLOOKUP(B526,'114+320'!$B$15:$AB$785,13,FALSE)</f>
        <v>-436</v>
      </c>
      <c r="K526" s="66">
        <f>'114+320'!Q527</f>
        <v>0</v>
      </c>
      <c r="L526" s="65">
        <f t="shared" ref="L526:L589" si="111">+K526+L525</f>
        <v>256</v>
      </c>
      <c r="M526" s="70">
        <f>VLOOKUP(B526,'114+320'!$B$14:$AB$785,21,FALSE)</f>
        <v>2020</v>
      </c>
      <c r="N526" s="69">
        <f>VLOOKUP(B526,'114+320'!$B$15:$AB$785,5,FALSE)</f>
        <v>554</v>
      </c>
      <c r="O526" s="68">
        <f t="shared" si="107"/>
        <v>2540</v>
      </c>
      <c r="P526" s="71">
        <f>VLOOKUP(B526,'114+320'!$B$15:$AB$785,14,FALSE)</f>
        <v>-460</v>
      </c>
      <c r="Q526" s="66">
        <f>'114+320'!R527</f>
        <v>0</v>
      </c>
      <c r="R526" s="65">
        <f t="shared" ref="R526:R589" si="112">+Q526+R525</f>
        <v>280</v>
      </c>
      <c r="S526" s="70">
        <f>VLOOKUP(B526,'114+320'!$B$14:$AB$785,22,FALSE)</f>
        <v>2080</v>
      </c>
      <c r="T526" s="69">
        <f>VLOOKUP(B526,'114+320'!$B$15:$AB$785,6,FALSE)</f>
        <v>434</v>
      </c>
      <c r="U526" s="68">
        <f t="shared" si="108"/>
        <v>2660</v>
      </c>
      <c r="V526" s="67">
        <f>VLOOKUP(B526,'114+320'!$B$15:$AB$785,15,FALSE)</f>
        <v>-340</v>
      </c>
      <c r="W526" s="66">
        <f>'114+320'!S527</f>
        <v>0</v>
      </c>
      <c r="X526" s="65">
        <f t="shared" ref="X526:X589" si="113">+W526+X525</f>
        <v>220</v>
      </c>
      <c r="Y526" s="64">
        <f t="shared" ref="Y526:Y589" si="114">S526-S525</f>
        <v>0</v>
      </c>
      <c r="Z526" s="63">
        <f t="shared" ref="Z526:Z589" si="115">IF(Y526&gt;0,Y526,0)/1000</f>
        <v>0</v>
      </c>
      <c r="AA526" s="62">
        <f t="shared" ref="AA526:AA589" si="116">AA525+Z526</f>
        <v>2.3689999999999998</v>
      </c>
      <c r="AB526" s="62">
        <f t="shared" ref="AB526:AB589" si="117">(M526-$M$13-R526)/1000</f>
        <v>1.92</v>
      </c>
    </row>
    <row r="527" spans="2:28">
      <c r="B527" s="106">
        <f>'114+320'!B528</f>
        <v>45557</v>
      </c>
      <c r="C527" s="75">
        <f t="shared" si="109"/>
        <v>1</v>
      </c>
      <c r="D527" s="74">
        <f t="shared" si="110"/>
        <v>842</v>
      </c>
      <c r="E527" s="73">
        <f>VLOOKUP(B527,'114+320'!B528:AB914,3,FALSE)</f>
        <v>2254</v>
      </c>
      <c r="F527" s="69">
        <f t="shared" si="105"/>
        <v>3096</v>
      </c>
      <c r="G527" s="72">
        <f>VLOOKUP(B527,'114+320'!$B$15:$AB$785,20,FALSE)</f>
        <v>2324</v>
      </c>
      <c r="H527" s="72">
        <f>VLOOKUP(B527,'114+320'!$B$15:$AB$785,4,FALSE)</f>
        <v>542</v>
      </c>
      <c r="I527" s="68">
        <f t="shared" si="106"/>
        <v>2554</v>
      </c>
      <c r="J527" s="71">
        <f>VLOOKUP(B527,'114+320'!$B$15:$AB$785,13,FALSE)</f>
        <v>-446</v>
      </c>
      <c r="K527" s="66">
        <f>'114+320'!Q528</f>
        <v>10</v>
      </c>
      <c r="L527" s="65">
        <f t="shared" si="111"/>
        <v>266</v>
      </c>
      <c r="M527" s="70">
        <f>VLOOKUP(B527,'114+320'!$B$14:$AB$785,21,FALSE)</f>
        <v>2300</v>
      </c>
      <c r="N527" s="69">
        <f>VLOOKUP(B527,'114+320'!$B$15:$AB$785,5,FALSE)</f>
        <v>566</v>
      </c>
      <c r="O527" s="68">
        <f t="shared" si="107"/>
        <v>2530</v>
      </c>
      <c r="P527" s="71">
        <f>VLOOKUP(B527,'114+320'!$B$15:$AB$785,14,FALSE)</f>
        <v>-470</v>
      </c>
      <c r="Q527" s="66">
        <f>'114+320'!R528</f>
        <v>10</v>
      </c>
      <c r="R527" s="65">
        <f t="shared" si="112"/>
        <v>290</v>
      </c>
      <c r="S527" s="70">
        <f>VLOOKUP(B527,'114+320'!$B$14:$AB$785,22,FALSE)</f>
        <v>2360</v>
      </c>
      <c r="T527" s="69">
        <f>VLOOKUP(B527,'114+320'!$B$15:$AB$785,6,FALSE)</f>
        <v>446</v>
      </c>
      <c r="U527" s="68">
        <f t="shared" si="108"/>
        <v>2650</v>
      </c>
      <c r="V527" s="67">
        <f>VLOOKUP(B527,'114+320'!$B$15:$AB$785,15,FALSE)</f>
        <v>-350</v>
      </c>
      <c r="W527" s="66">
        <f>'114+320'!S528</f>
        <v>10</v>
      </c>
      <c r="X527" s="65">
        <f t="shared" si="113"/>
        <v>230</v>
      </c>
      <c r="Y527" s="64">
        <f t="shared" si="114"/>
        <v>280</v>
      </c>
      <c r="Z527" s="63">
        <f t="shared" si="115"/>
        <v>0.28000000000000003</v>
      </c>
      <c r="AA527" s="62">
        <f t="shared" si="116"/>
        <v>2.649</v>
      </c>
      <c r="AB527" s="62">
        <f t="shared" si="117"/>
        <v>2.19</v>
      </c>
    </row>
    <row r="528" spans="2:28">
      <c r="B528" s="106">
        <f>'114+320'!B529</f>
        <v>45558</v>
      </c>
      <c r="C528" s="75">
        <f t="shared" si="109"/>
        <v>1</v>
      </c>
      <c r="D528" s="74">
        <f t="shared" si="110"/>
        <v>842</v>
      </c>
      <c r="E528" s="73">
        <f>VLOOKUP(B528,'114+320'!B529:AB915,3,FALSE)</f>
        <v>2256</v>
      </c>
      <c r="F528" s="69">
        <f t="shared" si="105"/>
        <v>3098</v>
      </c>
      <c r="G528" s="72">
        <f>VLOOKUP(B528,'114+320'!$B$15:$AB$785,20,FALSE)</f>
        <v>2314</v>
      </c>
      <c r="H528" s="72">
        <f>VLOOKUP(B528,'114+320'!$B$15:$AB$785,4,FALSE)</f>
        <v>554</v>
      </c>
      <c r="I528" s="68">
        <f t="shared" si="106"/>
        <v>2544</v>
      </c>
      <c r="J528" s="71">
        <f>VLOOKUP(B528,'114+320'!$B$15:$AB$785,13,FALSE)</f>
        <v>-456</v>
      </c>
      <c r="K528" s="66">
        <f>'114+320'!Q529</f>
        <v>10</v>
      </c>
      <c r="L528" s="65">
        <f t="shared" si="111"/>
        <v>276</v>
      </c>
      <c r="M528" s="70">
        <f>VLOOKUP(B528,'114+320'!$B$14:$AB$785,21,FALSE)</f>
        <v>2290</v>
      </c>
      <c r="N528" s="69">
        <f>VLOOKUP(B528,'114+320'!$B$15:$AB$785,5,FALSE)</f>
        <v>578</v>
      </c>
      <c r="O528" s="68">
        <f t="shared" si="107"/>
        <v>2520</v>
      </c>
      <c r="P528" s="71">
        <f>VLOOKUP(B528,'114+320'!$B$15:$AB$785,14,FALSE)</f>
        <v>-480</v>
      </c>
      <c r="Q528" s="66">
        <f>'114+320'!R529</f>
        <v>10</v>
      </c>
      <c r="R528" s="65">
        <f t="shared" si="112"/>
        <v>300</v>
      </c>
      <c r="S528" s="70">
        <f>VLOOKUP(B528,'114+320'!$B$14:$AB$785,22,FALSE)</f>
        <v>2350</v>
      </c>
      <c r="T528" s="69">
        <f>VLOOKUP(B528,'114+320'!$B$15:$AB$785,6,FALSE)</f>
        <v>458</v>
      </c>
      <c r="U528" s="68">
        <f t="shared" si="108"/>
        <v>2640</v>
      </c>
      <c r="V528" s="67">
        <f>VLOOKUP(B528,'114+320'!$B$15:$AB$785,15,FALSE)</f>
        <v>-360</v>
      </c>
      <c r="W528" s="66">
        <f>'114+320'!S529</f>
        <v>10</v>
      </c>
      <c r="X528" s="65">
        <f t="shared" si="113"/>
        <v>240</v>
      </c>
      <c r="Y528" s="64">
        <f t="shared" si="114"/>
        <v>-10</v>
      </c>
      <c r="Z528" s="63">
        <f t="shared" si="115"/>
        <v>0</v>
      </c>
      <c r="AA528" s="62">
        <f t="shared" si="116"/>
        <v>2.649</v>
      </c>
      <c r="AB528" s="62">
        <f t="shared" si="117"/>
        <v>2.17</v>
      </c>
    </row>
    <row r="529" spans="2:28">
      <c r="B529" s="106">
        <f>'114+320'!B530</f>
        <v>45559</v>
      </c>
      <c r="C529" s="75">
        <f t="shared" si="109"/>
        <v>1</v>
      </c>
      <c r="D529" s="74">
        <f t="shared" si="110"/>
        <v>842</v>
      </c>
      <c r="E529" s="73">
        <f>VLOOKUP(B529,'114+320'!B530:AB916,3,FALSE)</f>
        <v>2258</v>
      </c>
      <c r="F529" s="69">
        <f t="shared" si="105"/>
        <v>3100</v>
      </c>
      <c r="G529" s="72">
        <f>VLOOKUP(B529,'114+320'!$B$15:$AB$785,20,FALSE)</f>
        <v>2304</v>
      </c>
      <c r="H529" s="72">
        <f>VLOOKUP(B529,'114+320'!$B$15:$AB$785,4,FALSE)</f>
        <v>566</v>
      </c>
      <c r="I529" s="68">
        <f t="shared" si="106"/>
        <v>2534</v>
      </c>
      <c r="J529" s="71">
        <f>VLOOKUP(B529,'114+320'!$B$15:$AB$785,13,FALSE)</f>
        <v>-466</v>
      </c>
      <c r="K529" s="66">
        <f>'114+320'!Q530</f>
        <v>10</v>
      </c>
      <c r="L529" s="65">
        <f t="shared" si="111"/>
        <v>286</v>
      </c>
      <c r="M529" s="70">
        <f>VLOOKUP(B529,'114+320'!$B$14:$AB$785,21,FALSE)</f>
        <v>2280</v>
      </c>
      <c r="N529" s="69">
        <f>VLOOKUP(B529,'114+320'!$B$15:$AB$785,5,FALSE)</f>
        <v>590</v>
      </c>
      <c r="O529" s="68">
        <f t="shared" si="107"/>
        <v>2510</v>
      </c>
      <c r="P529" s="71">
        <f>VLOOKUP(B529,'114+320'!$B$15:$AB$785,14,FALSE)</f>
        <v>-490</v>
      </c>
      <c r="Q529" s="66">
        <f>'114+320'!R530</f>
        <v>10</v>
      </c>
      <c r="R529" s="65">
        <f t="shared" si="112"/>
        <v>310</v>
      </c>
      <c r="S529" s="70">
        <f>VLOOKUP(B529,'114+320'!$B$14:$AB$785,22,FALSE)</f>
        <v>2342</v>
      </c>
      <c r="T529" s="69">
        <f>VLOOKUP(B529,'114+320'!$B$15:$AB$785,6,FALSE)</f>
        <v>468</v>
      </c>
      <c r="U529" s="68">
        <f t="shared" si="108"/>
        <v>2632</v>
      </c>
      <c r="V529" s="67">
        <f>VLOOKUP(B529,'114+320'!$B$15:$AB$785,15,FALSE)</f>
        <v>-368</v>
      </c>
      <c r="W529" s="66">
        <f>'114+320'!S530</f>
        <v>8</v>
      </c>
      <c r="X529" s="65">
        <f t="shared" si="113"/>
        <v>248</v>
      </c>
      <c r="Y529" s="64">
        <f t="shared" si="114"/>
        <v>-8</v>
      </c>
      <c r="Z529" s="63">
        <f t="shared" si="115"/>
        <v>0</v>
      </c>
      <c r="AA529" s="62">
        <f t="shared" si="116"/>
        <v>2.649</v>
      </c>
      <c r="AB529" s="62">
        <f t="shared" si="117"/>
        <v>2.15</v>
      </c>
    </row>
    <row r="530" spans="2:28">
      <c r="B530" s="106">
        <f>'114+320'!B531</f>
        <v>45560</v>
      </c>
      <c r="C530" s="75">
        <f t="shared" si="109"/>
        <v>1</v>
      </c>
      <c r="D530" s="74">
        <f t="shared" si="110"/>
        <v>842</v>
      </c>
      <c r="E530" s="73">
        <f>VLOOKUP(B530,'114+320'!B531:AB917,3,FALSE)</f>
        <v>2260</v>
      </c>
      <c r="F530" s="69">
        <f t="shared" si="105"/>
        <v>3102</v>
      </c>
      <c r="G530" s="72">
        <f>VLOOKUP(B530,'114+320'!$B$15:$AB$785,20,FALSE)</f>
        <v>2296</v>
      </c>
      <c r="H530" s="72">
        <f>VLOOKUP(B530,'114+320'!$B$15:$AB$785,4,FALSE)</f>
        <v>576</v>
      </c>
      <c r="I530" s="68">
        <f t="shared" si="106"/>
        <v>2526</v>
      </c>
      <c r="J530" s="71">
        <f>VLOOKUP(B530,'114+320'!$B$15:$AB$785,13,FALSE)</f>
        <v>-474</v>
      </c>
      <c r="K530" s="66">
        <f>'114+320'!Q531</f>
        <v>8</v>
      </c>
      <c r="L530" s="65">
        <f t="shared" si="111"/>
        <v>294</v>
      </c>
      <c r="M530" s="70">
        <f>VLOOKUP(B530,'114+320'!$B$14:$AB$785,21,FALSE)</f>
        <v>2270</v>
      </c>
      <c r="N530" s="69">
        <f>VLOOKUP(B530,'114+320'!$B$15:$AB$785,5,FALSE)</f>
        <v>602</v>
      </c>
      <c r="O530" s="68">
        <f t="shared" si="107"/>
        <v>2500</v>
      </c>
      <c r="P530" s="71">
        <f>VLOOKUP(B530,'114+320'!$B$15:$AB$785,14,FALSE)</f>
        <v>-500</v>
      </c>
      <c r="Q530" s="66">
        <f>'114+320'!R531</f>
        <v>10</v>
      </c>
      <c r="R530" s="65">
        <f t="shared" si="112"/>
        <v>320</v>
      </c>
      <c r="S530" s="70">
        <f>VLOOKUP(B530,'114+320'!$B$14:$AB$785,22,FALSE)</f>
        <v>2334</v>
      </c>
      <c r="T530" s="69">
        <f>VLOOKUP(B530,'114+320'!$B$15:$AB$785,6,FALSE)</f>
        <v>478</v>
      </c>
      <c r="U530" s="68">
        <f t="shared" si="108"/>
        <v>2624</v>
      </c>
      <c r="V530" s="67">
        <f>VLOOKUP(B530,'114+320'!$B$15:$AB$785,15,FALSE)</f>
        <v>-376</v>
      </c>
      <c r="W530" s="66">
        <f>'114+320'!S531</f>
        <v>8</v>
      </c>
      <c r="X530" s="65">
        <f t="shared" si="113"/>
        <v>256</v>
      </c>
      <c r="Y530" s="64">
        <f t="shared" si="114"/>
        <v>-8</v>
      </c>
      <c r="Z530" s="63">
        <f t="shared" si="115"/>
        <v>0</v>
      </c>
      <c r="AA530" s="62">
        <f t="shared" si="116"/>
        <v>2.649</v>
      </c>
      <c r="AB530" s="62">
        <f t="shared" si="117"/>
        <v>2.13</v>
      </c>
    </row>
    <row r="531" spans="2:28">
      <c r="B531" s="106">
        <f>'114+320'!B532</f>
        <v>45561</v>
      </c>
      <c r="C531" s="75">
        <f t="shared" si="109"/>
        <v>1</v>
      </c>
      <c r="D531" s="74">
        <f t="shared" si="110"/>
        <v>842</v>
      </c>
      <c r="E531" s="73">
        <f>VLOOKUP(B531,'114+320'!B532:AB918,3,FALSE)</f>
        <v>2262</v>
      </c>
      <c r="F531" s="69">
        <f t="shared" si="105"/>
        <v>3104</v>
      </c>
      <c r="G531" s="72">
        <f>VLOOKUP(B531,'114+320'!$B$15:$AB$785,20,FALSE)</f>
        <v>2587</v>
      </c>
      <c r="H531" s="72">
        <f>VLOOKUP(B531,'114+320'!$B$15:$AB$785,4,FALSE)</f>
        <v>587</v>
      </c>
      <c r="I531" s="68">
        <f t="shared" si="106"/>
        <v>2517</v>
      </c>
      <c r="J531" s="71">
        <f>VLOOKUP(B531,'114+320'!$B$15:$AB$785,13,FALSE)</f>
        <v>-483</v>
      </c>
      <c r="K531" s="66">
        <f>'114+320'!Q532</f>
        <v>9</v>
      </c>
      <c r="L531" s="65">
        <f t="shared" si="111"/>
        <v>303</v>
      </c>
      <c r="M531" s="70">
        <f>VLOOKUP(B531,'114+320'!$B$14:$AB$785,21,FALSE)</f>
        <v>2563</v>
      </c>
      <c r="N531" s="69">
        <f>VLOOKUP(B531,'114+320'!$B$15:$AB$785,5,FALSE)</f>
        <v>611</v>
      </c>
      <c r="O531" s="68">
        <f t="shared" si="107"/>
        <v>2493</v>
      </c>
      <c r="P531" s="71">
        <f>VLOOKUP(B531,'114+320'!$B$15:$AB$785,14,FALSE)</f>
        <v>-507</v>
      </c>
      <c r="Q531" s="66">
        <f>'114+320'!R532</f>
        <v>7</v>
      </c>
      <c r="R531" s="65">
        <f t="shared" si="112"/>
        <v>327</v>
      </c>
      <c r="S531" s="70">
        <f>VLOOKUP(B531,'114+320'!$B$14:$AB$785,22,FALSE)</f>
        <v>2624</v>
      </c>
      <c r="T531" s="69">
        <f>VLOOKUP(B531,'114+320'!$B$15:$AB$785,6,FALSE)</f>
        <v>490</v>
      </c>
      <c r="U531" s="68">
        <f t="shared" si="108"/>
        <v>2614</v>
      </c>
      <c r="V531" s="67">
        <f>VLOOKUP(B531,'114+320'!$B$15:$AB$785,15,FALSE)</f>
        <v>-386</v>
      </c>
      <c r="W531" s="66">
        <f>'114+320'!S532</f>
        <v>10</v>
      </c>
      <c r="X531" s="65">
        <f t="shared" si="113"/>
        <v>266</v>
      </c>
      <c r="Y531" s="64">
        <f t="shared" si="114"/>
        <v>290</v>
      </c>
      <c r="Z531" s="63">
        <f t="shared" si="115"/>
        <v>0.28999999999999998</v>
      </c>
      <c r="AA531" s="62">
        <f t="shared" si="116"/>
        <v>2.9390000000000001</v>
      </c>
      <c r="AB531" s="62">
        <f t="shared" si="117"/>
        <v>2.4159999999999999</v>
      </c>
    </row>
    <row r="532" spans="2:28">
      <c r="B532" s="106">
        <f>'114+320'!B533</f>
        <v>45562</v>
      </c>
      <c r="C532" s="75">
        <f t="shared" si="109"/>
        <v>1</v>
      </c>
      <c r="D532" s="74">
        <f t="shared" si="110"/>
        <v>842</v>
      </c>
      <c r="E532" s="73">
        <f>VLOOKUP(B532,'114+320'!B533:AB919,3,FALSE)</f>
        <v>2264</v>
      </c>
      <c r="F532" s="69">
        <f t="shared" si="105"/>
        <v>3106</v>
      </c>
      <c r="G532" s="72">
        <f>VLOOKUP(B532,'114+320'!$B$15:$AB$785,20,FALSE)</f>
        <v>2577</v>
      </c>
      <c r="H532" s="72">
        <f>VLOOKUP(B532,'114+320'!$B$15:$AB$785,4,FALSE)</f>
        <v>599</v>
      </c>
      <c r="I532" s="68">
        <f t="shared" si="106"/>
        <v>2507</v>
      </c>
      <c r="J532" s="71">
        <f>VLOOKUP(B532,'114+320'!$B$15:$AB$785,13,FALSE)</f>
        <v>-493</v>
      </c>
      <c r="K532" s="66">
        <f>'114+320'!Q533</f>
        <v>10</v>
      </c>
      <c r="L532" s="65">
        <f t="shared" si="111"/>
        <v>313</v>
      </c>
      <c r="M532" s="70">
        <f>VLOOKUP(B532,'114+320'!$B$14:$AB$785,21,FALSE)</f>
        <v>2553</v>
      </c>
      <c r="N532" s="69">
        <f>VLOOKUP(B532,'114+320'!$B$15:$AB$785,5,FALSE)</f>
        <v>623</v>
      </c>
      <c r="O532" s="68">
        <f t="shared" si="107"/>
        <v>2483</v>
      </c>
      <c r="P532" s="71">
        <f>VLOOKUP(B532,'114+320'!$B$15:$AB$785,14,FALSE)</f>
        <v>-517</v>
      </c>
      <c r="Q532" s="66">
        <f>'114+320'!R533</f>
        <v>10</v>
      </c>
      <c r="R532" s="65">
        <f t="shared" si="112"/>
        <v>337</v>
      </c>
      <c r="S532" s="70">
        <f>VLOOKUP(B532,'114+320'!$B$14:$AB$785,22,FALSE)</f>
        <v>2614</v>
      </c>
      <c r="T532" s="69">
        <f>VLOOKUP(B532,'114+320'!$B$15:$AB$785,6,FALSE)</f>
        <v>502</v>
      </c>
      <c r="U532" s="68">
        <f t="shared" si="108"/>
        <v>2604</v>
      </c>
      <c r="V532" s="67">
        <f>VLOOKUP(B532,'114+320'!$B$15:$AB$785,15,FALSE)</f>
        <v>-396</v>
      </c>
      <c r="W532" s="66">
        <f>'114+320'!S533</f>
        <v>10</v>
      </c>
      <c r="X532" s="65">
        <f t="shared" si="113"/>
        <v>276</v>
      </c>
      <c r="Y532" s="64">
        <f t="shared" si="114"/>
        <v>-10</v>
      </c>
      <c r="Z532" s="63">
        <f t="shared" si="115"/>
        <v>0</v>
      </c>
      <c r="AA532" s="62">
        <f t="shared" si="116"/>
        <v>2.9390000000000001</v>
      </c>
      <c r="AB532" s="62">
        <f t="shared" si="117"/>
        <v>2.3959999999999999</v>
      </c>
    </row>
    <row r="533" spans="2:28">
      <c r="B533" s="106">
        <f>'114+320'!B534</f>
        <v>45563</v>
      </c>
      <c r="C533" s="75">
        <f t="shared" si="109"/>
        <v>1</v>
      </c>
      <c r="D533" s="74">
        <f t="shared" si="110"/>
        <v>842</v>
      </c>
      <c r="E533" s="73">
        <f>VLOOKUP(B533,'114+320'!B534:AB920,3,FALSE)</f>
        <v>2266</v>
      </c>
      <c r="F533" s="69">
        <f t="shared" si="105"/>
        <v>3108</v>
      </c>
      <c r="G533" s="72">
        <f>VLOOKUP(B533,'114+320'!$B$15:$AB$785,20,FALSE)</f>
        <v>2567</v>
      </c>
      <c r="H533" s="72">
        <f>VLOOKUP(B533,'114+320'!$B$15:$AB$785,4,FALSE)</f>
        <v>611</v>
      </c>
      <c r="I533" s="68">
        <f t="shared" si="106"/>
        <v>2497</v>
      </c>
      <c r="J533" s="71">
        <f>VLOOKUP(B533,'114+320'!$B$15:$AB$785,13,FALSE)</f>
        <v>-503</v>
      </c>
      <c r="K533" s="66">
        <f>'114+320'!Q534</f>
        <v>10</v>
      </c>
      <c r="L533" s="65">
        <f t="shared" si="111"/>
        <v>323</v>
      </c>
      <c r="M533" s="70">
        <f>VLOOKUP(B533,'114+320'!$B$14:$AB$785,21,FALSE)</f>
        <v>2543</v>
      </c>
      <c r="N533" s="69">
        <f>VLOOKUP(B533,'114+320'!$B$15:$AB$785,5,FALSE)</f>
        <v>635</v>
      </c>
      <c r="O533" s="68">
        <f t="shared" si="107"/>
        <v>2473</v>
      </c>
      <c r="P533" s="71">
        <f>VLOOKUP(B533,'114+320'!$B$15:$AB$785,14,FALSE)</f>
        <v>-527</v>
      </c>
      <c r="Q533" s="66">
        <f>'114+320'!R534</f>
        <v>10</v>
      </c>
      <c r="R533" s="65">
        <f t="shared" si="112"/>
        <v>347</v>
      </c>
      <c r="S533" s="70">
        <f>VLOOKUP(B533,'114+320'!$B$14:$AB$785,22,FALSE)</f>
        <v>2606</v>
      </c>
      <c r="T533" s="69">
        <f>VLOOKUP(B533,'114+320'!$B$15:$AB$785,6,FALSE)</f>
        <v>512</v>
      </c>
      <c r="U533" s="68">
        <f t="shared" si="108"/>
        <v>2596</v>
      </c>
      <c r="V533" s="67">
        <f>VLOOKUP(B533,'114+320'!$B$15:$AB$785,15,FALSE)</f>
        <v>-404</v>
      </c>
      <c r="W533" s="66">
        <f>'114+320'!S534</f>
        <v>8</v>
      </c>
      <c r="X533" s="65">
        <f t="shared" si="113"/>
        <v>284</v>
      </c>
      <c r="Y533" s="64">
        <f t="shared" si="114"/>
        <v>-8</v>
      </c>
      <c r="Z533" s="63">
        <f t="shared" si="115"/>
        <v>0</v>
      </c>
      <c r="AA533" s="62">
        <f t="shared" si="116"/>
        <v>2.9390000000000001</v>
      </c>
      <c r="AB533" s="62">
        <f t="shared" si="117"/>
        <v>2.3759999999999999</v>
      </c>
    </row>
    <row r="534" spans="2:28">
      <c r="B534" s="106">
        <f>'114+320'!B535</f>
        <v>45564</v>
      </c>
      <c r="C534" s="75">
        <f t="shared" si="109"/>
        <v>1</v>
      </c>
      <c r="D534" s="74">
        <f t="shared" si="110"/>
        <v>842</v>
      </c>
      <c r="E534" s="73">
        <f>VLOOKUP(B534,'114+320'!B535:AB921,3,FALSE)</f>
        <v>2268</v>
      </c>
      <c r="F534" s="69">
        <f t="shared" si="105"/>
        <v>3110</v>
      </c>
      <c r="G534" s="72">
        <f>VLOOKUP(B534,'114+320'!$B$15:$AB$785,20,FALSE)</f>
        <v>2558</v>
      </c>
      <c r="H534" s="72">
        <f>VLOOKUP(B534,'114+320'!$B$15:$AB$785,4,FALSE)</f>
        <v>622</v>
      </c>
      <c r="I534" s="68">
        <f t="shared" si="106"/>
        <v>2488</v>
      </c>
      <c r="J534" s="71">
        <f>VLOOKUP(B534,'114+320'!$B$15:$AB$785,13,FALSE)</f>
        <v>-512</v>
      </c>
      <c r="K534" s="66">
        <f>'114+320'!Q535</f>
        <v>9</v>
      </c>
      <c r="L534" s="65">
        <f t="shared" si="111"/>
        <v>332</v>
      </c>
      <c r="M534" s="70">
        <f>VLOOKUP(B534,'114+320'!$B$14:$AB$785,21,FALSE)</f>
        <v>2533</v>
      </c>
      <c r="N534" s="69">
        <f>VLOOKUP(B534,'114+320'!$B$15:$AB$785,5,FALSE)</f>
        <v>647</v>
      </c>
      <c r="O534" s="68">
        <f t="shared" si="107"/>
        <v>2463</v>
      </c>
      <c r="P534" s="71">
        <f>VLOOKUP(B534,'114+320'!$B$15:$AB$785,14,FALSE)</f>
        <v>-537</v>
      </c>
      <c r="Q534" s="66">
        <f>'114+320'!R535</f>
        <v>10</v>
      </c>
      <c r="R534" s="65">
        <f t="shared" si="112"/>
        <v>357</v>
      </c>
      <c r="S534" s="70">
        <f>VLOOKUP(B534,'114+320'!$B$14:$AB$785,22,FALSE)</f>
        <v>2598</v>
      </c>
      <c r="T534" s="69">
        <f>VLOOKUP(B534,'114+320'!$B$15:$AB$785,6,FALSE)</f>
        <v>522</v>
      </c>
      <c r="U534" s="68">
        <f t="shared" si="108"/>
        <v>2588</v>
      </c>
      <c r="V534" s="67">
        <f>VLOOKUP(B534,'114+320'!$B$15:$AB$785,15,FALSE)</f>
        <v>-412</v>
      </c>
      <c r="W534" s="66">
        <f>'114+320'!S535</f>
        <v>8</v>
      </c>
      <c r="X534" s="65">
        <f t="shared" si="113"/>
        <v>292</v>
      </c>
      <c r="Y534" s="64">
        <f t="shared" si="114"/>
        <v>-8</v>
      </c>
      <c r="Z534" s="63">
        <f t="shared" si="115"/>
        <v>0</v>
      </c>
      <c r="AA534" s="62">
        <f t="shared" si="116"/>
        <v>2.9390000000000001</v>
      </c>
      <c r="AB534" s="62">
        <f t="shared" si="117"/>
        <v>2.3559999999999999</v>
      </c>
    </row>
    <row r="535" spans="2:28">
      <c r="B535" s="106">
        <f>'114+320'!B536</f>
        <v>45565</v>
      </c>
      <c r="C535" s="75">
        <f t="shared" si="109"/>
        <v>1</v>
      </c>
      <c r="D535" s="74">
        <f t="shared" si="110"/>
        <v>842</v>
      </c>
      <c r="E535" s="73">
        <f>VLOOKUP(B535,'114+320'!B536:AB922,3,FALSE)</f>
        <v>2270</v>
      </c>
      <c r="F535" s="69">
        <f t="shared" si="105"/>
        <v>3112</v>
      </c>
      <c r="G535" s="72">
        <f>VLOOKUP(B535,'114+320'!$B$15:$AB$785,20,FALSE)</f>
        <v>2549</v>
      </c>
      <c r="H535" s="72">
        <f>VLOOKUP(B535,'114+320'!$B$15:$AB$785,4,FALSE)</f>
        <v>633</v>
      </c>
      <c r="I535" s="68">
        <f t="shared" si="106"/>
        <v>2479</v>
      </c>
      <c r="J535" s="71">
        <f>VLOOKUP(B535,'114+320'!$B$15:$AB$785,13,FALSE)</f>
        <v>-521</v>
      </c>
      <c r="K535" s="66">
        <f>'114+320'!Q536</f>
        <v>9</v>
      </c>
      <c r="L535" s="65">
        <f t="shared" si="111"/>
        <v>341</v>
      </c>
      <c r="M535" s="70">
        <f>VLOOKUP(B535,'114+320'!$B$14:$AB$785,21,FALSE)</f>
        <v>2526</v>
      </c>
      <c r="N535" s="69">
        <f>VLOOKUP(B535,'114+320'!$B$15:$AB$785,5,FALSE)</f>
        <v>656</v>
      </c>
      <c r="O535" s="68">
        <f t="shared" si="107"/>
        <v>2456</v>
      </c>
      <c r="P535" s="71">
        <f>VLOOKUP(B535,'114+320'!$B$15:$AB$785,14,FALSE)</f>
        <v>-544</v>
      </c>
      <c r="Q535" s="66">
        <f>'114+320'!R536</f>
        <v>7</v>
      </c>
      <c r="R535" s="65">
        <f t="shared" si="112"/>
        <v>364</v>
      </c>
      <c r="S535" s="70">
        <f>VLOOKUP(B535,'114+320'!$B$14:$AB$785,22,FALSE)</f>
        <v>2591</v>
      </c>
      <c r="T535" s="69">
        <f>VLOOKUP(B535,'114+320'!$B$15:$AB$785,6,FALSE)</f>
        <v>531</v>
      </c>
      <c r="U535" s="68">
        <f t="shared" si="108"/>
        <v>2581</v>
      </c>
      <c r="V535" s="67">
        <f>VLOOKUP(B535,'114+320'!$B$15:$AB$785,15,FALSE)</f>
        <v>-419</v>
      </c>
      <c r="W535" s="66">
        <f>'114+320'!S536</f>
        <v>7</v>
      </c>
      <c r="X535" s="65">
        <f t="shared" si="113"/>
        <v>299</v>
      </c>
      <c r="Y535" s="64">
        <f t="shared" si="114"/>
        <v>-7</v>
      </c>
      <c r="Z535" s="63">
        <f t="shared" si="115"/>
        <v>0</v>
      </c>
      <c r="AA535" s="62">
        <f t="shared" si="116"/>
        <v>2.9390000000000001</v>
      </c>
      <c r="AB535" s="62">
        <f t="shared" si="117"/>
        <v>2.3420000000000001</v>
      </c>
    </row>
    <row r="536" spans="2:28">
      <c r="B536" s="106">
        <f>'114+320'!B537</f>
        <v>45566</v>
      </c>
      <c r="C536" s="75">
        <f t="shared" si="109"/>
        <v>1</v>
      </c>
      <c r="D536" s="74">
        <f t="shared" si="110"/>
        <v>842</v>
      </c>
      <c r="E536" s="73">
        <f>VLOOKUP(B536,'114+320'!B537:AB923,3,FALSE)</f>
        <v>2272</v>
      </c>
      <c r="F536" s="69">
        <f t="shared" si="105"/>
        <v>3114</v>
      </c>
      <c r="G536" s="72">
        <f>VLOOKUP(B536,'114+320'!$B$15:$AB$785,20,FALSE)</f>
        <v>2840</v>
      </c>
      <c r="H536" s="72">
        <f>VLOOKUP(B536,'114+320'!$B$15:$AB$785,4,FALSE)</f>
        <v>644</v>
      </c>
      <c r="I536" s="68">
        <f t="shared" si="106"/>
        <v>2470</v>
      </c>
      <c r="J536" s="71">
        <f>VLOOKUP(B536,'114+320'!$B$15:$AB$785,13,FALSE)</f>
        <v>-530</v>
      </c>
      <c r="K536" s="66">
        <f>'114+320'!Q537</f>
        <v>9</v>
      </c>
      <c r="L536" s="65">
        <f t="shared" si="111"/>
        <v>350</v>
      </c>
      <c r="M536" s="70">
        <f>VLOOKUP(B536,'114+320'!$B$14:$AB$785,21,FALSE)</f>
        <v>2819</v>
      </c>
      <c r="N536" s="69">
        <f>VLOOKUP(B536,'114+320'!$B$15:$AB$785,5,FALSE)</f>
        <v>665</v>
      </c>
      <c r="O536" s="68">
        <f t="shared" si="107"/>
        <v>2449</v>
      </c>
      <c r="P536" s="71">
        <f>VLOOKUP(B536,'114+320'!$B$15:$AB$785,14,FALSE)</f>
        <v>-551</v>
      </c>
      <c r="Q536" s="66">
        <f>'114+320'!R537</f>
        <v>7</v>
      </c>
      <c r="R536" s="65">
        <f t="shared" si="112"/>
        <v>371</v>
      </c>
      <c r="S536" s="70">
        <f>VLOOKUP(B536,'114+320'!$B$14:$AB$785,22,FALSE)</f>
        <v>2881</v>
      </c>
      <c r="T536" s="69">
        <f>VLOOKUP(B536,'114+320'!$B$15:$AB$785,6,FALSE)</f>
        <v>543</v>
      </c>
      <c r="U536" s="68">
        <f t="shared" si="108"/>
        <v>2571</v>
      </c>
      <c r="V536" s="67">
        <f>VLOOKUP(B536,'114+320'!$B$15:$AB$785,15,FALSE)</f>
        <v>-429</v>
      </c>
      <c r="W536" s="66">
        <f>'114+320'!S537</f>
        <v>10</v>
      </c>
      <c r="X536" s="65">
        <f t="shared" si="113"/>
        <v>309</v>
      </c>
      <c r="Y536" s="64">
        <f t="shared" si="114"/>
        <v>290</v>
      </c>
      <c r="Z536" s="63">
        <f t="shared" si="115"/>
        <v>0.28999999999999998</v>
      </c>
      <c r="AA536" s="62">
        <f t="shared" si="116"/>
        <v>3.2290000000000001</v>
      </c>
      <c r="AB536" s="62">
        <f t="shared" si="117"/>
        <v>2.6280000000000001</v>
      </c>
    </row>
    <row r="537" spans="2:28">
      <c r="B537" s="106">
        <f>'114+320'!B538</f>
        <v>45567</v>
      </c>
      <c r="C537" s="75">
        <f t="shared" si="109"/>
        <v>1</v>
      </c>
      <c r="D537" s="74">
        <f t="shared" si="110"/>
        <v>842</v>
      </c>
      <c r="E537" s="73">
        <f>VLOOKUP(B537,'114+320'!B538:AB924,3,FALSE)</f>
        <v>2274</v>
      </c>
      <c r="F537" s="69">
        <f t="shared" si="105"/>
        <v>3116</v>
      </c>
      <c r="G537" s="72">
        <f>VLOOKUP(B537,'114+320'!$B$15:$AB$785,20,FALSE)</f>
        <v>2830</v>
      </c>
      <c r="H537" s="72">
        <f>VLOOKUP(B537,'114+320'!$B$15:$AB$785,4,FALSE)</f>
        <v>656</v>
      </c>
      <c r="I537" s="68">
        <f t="shared" si="106"/>
        <v>2460</v>
      </c>
      <c r="J537" s="71">
        <f>VLOOKUP(B537,'114+320'!$B$15:$AB$785,13,FALSE)</f>
        <v>-540</v>
      </c>
      <c r="K537" s="66">
        <f>'114+320'!Q538</f>
        <v>10</v>
      </c>
      <c r="L537" s="65">
        <f t="shared" si="111"/>
        <v>360</v>
      </c>
      <c r="M537" s="70">
        <f>VLOOKUP(B537,'114+320'!$B$14:$AB$785,21,FALSE)</f>
        <v>2809</v>
      </c>
      <c r="N537" s="69">
        <f>VLOOKUP(B537,'114+320'!$B$15:$AB$785,5,FALSE)</f>
        <v>677</v>
      </c>
      <c r="O537" s="68">
        <f t="shared" si="107"/>
        <v>2439</v>
      </c>
      <c r="P537" s="71">
        <f>VLOOKUP(B537,'114+320'!$B$15:$AB$785,14,FALSE)</f>
        <v>-561</v>
      </c>
      <c r="Q537" s="66">
        <f>'114+320'!R538</f>
        <v>10</v>
      </c>
      <c r="R537" s="65">
        <f t="shared" si="112"/>
        <v>381</v>
      </c>
      <c r="S537" s="70">
        <f>VLOOKUP(B537,'114+320'!$B$14:$AB$785,22,FALSE)</f>
        <v>2873</v>
      </c>
      <c r="T537" s="69">
        <f>VLOOKUP(B537,'114+320'!$B$15:$AB$785,6,FALSE)</f>
        <v>553</v>
      </c>
      <c r="U537" s="68">
        <f t="shared" si="108"/>
        <v>2563</v>
      </c>
      <c r="V537" s="67">
        <f>VLOOKUP(B537,'114+320'!$B$15:$AB$785,15,FALSE)</f>
        <v>-437</v>
      </c>
      <c r="W537" s="66">
        <f>'114+320'!S538</f>
        <v>8</v>
      </c>
      <c r="X537" s="65">
        <f t="shared" si="113"/>
        <v>317</v>
      </c>
      <c r="Y537" s="64">
        <f t="shared" si="114"/>
        <v>-8</v>
      </c>
      <c r="Z537" s="63">
        <f t="shared" si="115"/>
        <v>0</v>
      </c>
      <c r="AA537" s="62">
        <f t="shared" si="116"/>
        <v>3.2290000000000001</v>
      </c>
      <c r="AB537" s="62">
        <f t="shared" si="117"/>
        <v>2.6080000000000001</v>
      </c>
    </row>
    <row r="538" spans="2:28">
      <c r="B538" s="106">
        <f>'114+320'!B539</f>
        <v>45568</v>
      </c>
      <c r="C538" s="75">
        <f t="shared" si="109"/>
        <v>1</v>
      </c>
      <c r="D538" s="74">
        <f t="shared" si="110"/>
        <v>842</v>
      </c>
      <c r="E538" s="73">
        <f>VLOOKUP(B538,'114+320'!B539:AB925,3,FALSE)</f>
        <v>2276</v>
      </c>
      <c r="F538" s="69">
        <f t="shared" si="105"/>
        <v>3118</v>
      </c>
      <c r="G538" s="72">
        <f>VLOOKUP(B538,'114+320'!$B$15:$AB$785,20,FALSE)</f>
        <v>2820</v>
      </c>
      <c r="H538" s="72">
        <f>VLOOKUP(B538,'114+320'!$B$15:$AB$785,4,FALSE)</f>
        <v>668</v>
      </c>
      <c r="I538" s="68">
        <f t="shared" si="106"/>
        <v>2450</v>
      </c>
      <c r="J538" s="71">
        <f>VLOOKUP(B538,'114+320'!$B$15:$AB$785,13,FALSE)</f>
        <v>-550</v>
      </c>
      <c r="K538" s="66">
        <f>'114+320'!Q539</f>
        <v>10</v>
      </c>
      <c r="L538" s="65">
        <f t="shared" si="111"/>
        <v>370</v>
      </c>
      <c r="M538" s="70">
        <f>VLOOKUP(B538,'114+320'!$B$14:$AB$785,21,FALSE)</f>
        <v>2801</v>
      </c>
      <c r="N538" s="69">
        <f>VLOOKUP(B538,'114+320'!$B$15:$AB$785,5,FALSE)</f>
        <v>687</v>
      </c>
      <c r="O538" s="68">
        <f t="shared" si="107"/>
        <v>2431</v>
      </c>
      <c r="P538" s="71">
        <f>VLOOKUP(B538,'114+320'!$B$15:$AB$785,14,FALSE)</f>
        <v>-569</v>
      </c>
      <c r="Q538" s="66">
        <f>'114+320'!R539</f>
        <v>8</v>
      </c>
      <c r="R538" s="65">
        <f t="shared" si="112"/>
        <v>389</v>
      </c>
      <c r="S538" s="70">
        <f>VLOOKUP(B538,'114+320'!$B$14:$AB$785,22,FALSE)</f>
        <v>2866</v>
      </c>
      <c r="T538" s="69">
        <f>VLOOKUP(B538,'114+320'!$B$15:$AB$785,6,FALSE)</f>
        <v>562</v>
      </c>
      <c r="U538" s="68">
        <f t="shared" si="108"/>
        <v>2556</v>
      </c>
      <c r="V538" s="67">
        <f>VLOOKUP(B538,'114+320'!$B$15:$AB$785,15,FALSE)</f>
        <v>-444</v>
      </c>
      <c r="W538" s="66">
        <f>'114+320'!S539</f>
        <v>7</v>
      </c>
      <c r="X538" s="65">
        <f t="shared" si="113"/>
        <v>324</v>
      </c>
      <c r="Y538" s="64">
        <f t="shared" si="114"/>
        <v>-7</v>
      </c>
      <c r="Z538" s="63">
        <f t="shared" si="115"/>
        <v>0</v>
      </c>
      <c r="AA538" s="62">
        <f t="shared" si="116"/>
        <v>3.2290000000000001</v>
      </c>
      <c r="AB538" s="62">
        <f t="shared" si="117"/>
        <v>2.5920000000000001</v>
      </c>
    </row>
    <row r="539" spans="2:28">
      <c r="B539" s="106">
        <f>'114+320'!B540</f>
        <v>45569</v>
      </c>
      <c r="C539" s="75">
        <f t="shared" si="109"/>
        <v>1</v>
      </c>
      <c r="D539" s="74">
        <f t="shared" si="110"/>
        <v>842</v>
      </c>
      <c r="E539" s="73">
        <f>VLOOKUP(B539,'114+320'!B540:AB926,3,FALSE)</f>
        <v>2278</v>
      </c>
      <c r="F539" s="69">
        <f t="shared" si="105"/>
        <v>3120</v>
      </c>
      <c r="G539" s="72">
        <f>VLOOKUP(B539,'114+320'!$B$15:$AB$785,20,FALSE)</f>
        <v>2811</v>
      </c>
      <c r="H539" s="72">
        <f>VLOOKUP(B539,'114+320'!$B$15:$AB$785,4,FALSE)</f>
        <v>679</v>
      </c>
      <c r="I539" s="68">
        <f t="shared" si="106"/>
        <v>2441</v>
      </c>
      <c r="J539" s="71">
        <f>VLOOKUP(B539,'114+320'!$B$15:$AB$785,13,FALSE)</f>
        <v>-559</v>
      </c>
      <c r="K539" s="66">
        <f>'114+320'!Q540</f>
        <v>9</v>
      </c>
      <c r="L539" s="65">
        <f t="shared" si="111"/>
        <v>379</v>
      </c>
      <c r="M539" s="70">
        <f>VLOOKUP(B539,'114+320'!$B$14:$AB$785,21,FALSE)</f>
        <v>2792</v>
      </c>
      <c r="N539" s="69">
        <f>VLOOKUP(B539,'114+320'!$B$15:$AB$785,5,FALSE)</f>
        <v>698</v>
      </c>
      <c r="O539" s="68">
        <f t="shared" si="107"/>
        <v>2422</v>
      </c>
      <c r="P539" s="71">
        <f>VLOOKUP(B539,'114+320'!$B$15:$AB$785,14,FALSE)</f>
        <v>-578</v>
      </c>
      <c r="Q539" s="66">
        <f>'114+320'!R540</f>
        <v>9</v>
      </c>
      <c r="R539" s="65">
        <f t="shared" si="112"/>
        <v>398</v>
      </c>
      <c r="S539" s="70">
        <f>VLOOKUP(B539,'114+320'!$B$14:$AB$785,22,FALSE)</f>
        <v>2858</v>
      </c>
      <c r="T539" s="69">
        <f>VLOOKUP(B539,'114+320'!$B$15:$AB$785,6,FALSE)</f>
        <v>572</v>
      </c>
      <c r="U539" s="68">
        <f t="shared" si="108"/>
        <v>2548</v>
      </c>
      <c r="V539" s="67">
        <f>VLOOKUP(B539,'114+320'!$B$15:$AB$785,15,FALSE)</f>
        <v>-452</v>
      </c>
      <c r="W539" s="66">
        <f>'114+320'!S540</f>
        <v>8</v>
      </c>
      <c r="X539" s="65">
        <f t="shared" si="113"/>
        <v>332</v>
      </c>
      <c r="Y539" s="64">
        <f t="shared" si="114"/>
        <v>-8</v>
      </c>
      <c r="Z539" s="63">
        <f t="shared" si="115"/>
        <v>0</v>
      </c>
      <c r="AA539" s="62">
        <f t="shared" si="116"/>
        <v>3.2290000000000001</v>
      </c>
      <c r="AB539" s="62">
        <f t="shared" si="117"/>
        <v>2.5739999999999998</v>
      </c>
    </row>
    <row r="540" spans="2:28">
      <c r="B540" s="106">
        <f>'114+320'!B541</f>
        <v>45570</v>
      </c>
      <c r="C540" s="75">
        <f t="shared" si="109"/>
        <v>1</v>
      </c>
      <c r="D540" s="74">
        <f t="shared" si="110"/>
        <v>842</v>
      </c>
      <c r="E540" s="73">
        <f>VLOOKUP(B540,'114+320'!B541:AB927,3,FALSE)</f>
        <v>2280</v>
      </c>
      <c r="F540" s="69">
        <f t="shared" si="105"/>
        <v>3122</v>
      </c>
      <c r="G540" s="72">
        <f>VLOOKUP(B540,'114+320'!$B$15:$AB$785,20,FALSE)</f>
        <v>2802</v>
      </c>
      <c r="H540" s="72">
        <f>VLOOKUP(B540,'114+320'!$B$15:$AB$785,4,FALSE)</f>
        <v>690</v>
      </c>
      <c r="I540" s="68">
        <f t="shared" si="106"/>
        <v>2432</v>
      </c>
      <c r="J540" s="71">
        <f>VLOOKUP(B540,'114+320'!$B$15:$AB$785,13,FALSE)</f>
        <v>-568</v>
      </c>
      <c r="K540" s="66">
        <f>'114+320'!Q541</f>
        <v>9</v>
      </c>
      <c r="L540" s="65">
        <f t="shared" si="111"/>
        <v>388</v>
      </c>
      <c r="M540" s="70">
        <f>VLOOKUP(B540,'114+320'!$B$14:$AB$785,21,FALSE)</f>
        <v>2785</v>
      </c>
      <c r="N540" s="69">
        <f>VLOOKUP(B540,'114+320'!$B$15:$AB$785,5,FALSE)</f>
        <v>707</v>
      </c>
      <c r="O540" s="68">
        <f t="shared" si="107"/>
        <v>2415</v>
      </c>
      <c r="P540" s="71">
        <f>VLOOKUP(B540,'114+320'!$B$15:$AB$785,14,FALSE)</f>
        <v>-585</v>
      </c>
      <c r="Q540" s="66">
        <f>'114+320'!R541</f>
        <v>7</v>
      </c>
      <c r="R540" s="65">
        <f t="shared" si="112"/>
        <v>405</v>
      </c>
      <c r="S540" s="70">
        <f>VLOOKUP(B540,'114+320'!$B$14:$AB$785,22,FALSE)</f>
        <v>2851</v>
      </c>
      <c r="T540" s="69">
        <f>VLOOKUP(B540,'114+320'!$B$15:$AB$785,6,FALSE)</f>
        <v>581</v>
      </c>
      <c r="U540" s="68">
        <f t="shared" si="108"/>
        <v>2541</v>
      </c>
      <c r="V540" s="67">
        <f>VLOOKUP(B540,'114+320'!$B$15:$AB$785,15,FALSE)</f>
        <v>-459</v>
      </c>
      <c r="W540" s="66">
        <f>'114+320'!S541</f>
        <v>7</v>
      </c>
      <c r="X540" s="65">
        <f t="shared" si="113"/>
        <v>339</v>
      </c>
      <c r="Y540" s="64">
        <f t="shared" si="114"/>
        <v>-7</v>
      </c>
      <c r="Z540" s="63">
        <f t="shared" si="115"/>
        <v>0</v>
      </c>
      <c r="AA540" s="62">
        <f t="shared" si="116"/>
        <v>3.2290000000000001</v>
      </c>
      <c r="AB540" s="62">
        <f t="shared" si="117"/>
        <v>2.56</v>
      </c>
    </row>
    <row r="541" spans="2:28">
      <c r="B541" s="106">
        <f>'114+320'!B542</f>
        <v>45571</v>
      </c>
      <c r="C541" s="75">
        <f t="shared" si="109"/>
        <v>1</v>
      </c>
      <c r="D541" s="74">
        <f t="shared" si="110"/>
        <v>842</v>
      </c>
      <c r="E541" s="73">
        <f>VLOOKUP(B541,'114+320'!B542:AB928,3,FALSE)</f>
        <v>2282</v>
      </c>
      <c r="F541" s="69">
        <f t="shared" si="105"/>
        <v>3124</v>
      </c>
      <c r="G541" s="72">
        <f>VLOOKUP(B541,'114+320'!$B$15:$AB$785,20,FALSE)</f>
        <v>3092</v>
      </c>
      <c r="H541" s="72">
        <f>VLOOKUP(B541,'114+320'!$B$15:$AB$785,4,FALSE)</f>
        <v>702</v>
      </c>
      <c r="I541" s="68">
        <f t="shared" si="106"/>
        <v>2422</v>
      </c>
      <c r="J541" s="71">
        <f>VLOOKUP(B541,'114+320'!$B$15:$AB$785,13,FALSE)</f>
        <v>-578</v>
      </c>
      <c r="K541" s="66">
        <f>'114+320'!Q542</f>
        <v>10</v>
      </c>
      <c r="L541" s="65">
        <f t="shared" si="111"/>
        <v>398</v>
      </c>
      <c r="M541" s="70">
        <f>VLOOKUP(B541,'114+320'!$B$14:$AB$785,21,FALSE)</f>
        <v>3075</v>
      </c>
      <c r="N541" s="69">
        <f>VLOOKUP(B541,'114+320'!$B$15:$AB$785,5,FALSE)</f>
        <v>719</v>
      </c>
      <c r="O541" s="68">
        <f t="shared" si="107"/>
        <v>2405</v>
      </c>
      <c r="P541" s="71">
        <f>VLOOKUP(B541,'114+320'!$B$15:$AB$785,14,FALSE)</f>
        <v>-595</v>
      </c>
      <c r="Q541" s="66">
        <f>'114+320'!R542</f>
        <v>10</v>
      </c>
      <c r="R541" s="65">
        <f t="shared" si="112"/>
        <v>415</v>
      </c>
      <c r="S541" s="70">
        <f>VLOOKUP(B541,'114+320'!$B$14:$AB$785,22,FALSE)</f>
        <v>3141</v>
      </c>
      <c r="T541" s="69">
        <f>VLOOKUP(B541,'114+320'!$B$15:$AB$785,6,FALSE)</f>
        <v>593</v>
      </c>
      <c r="U541" s="68">
        <f t="shared" si="108"/>
        <v>2531</v>
      </c>
      <c r="V541" s="67">
        <f>VLOOKUP(B541,'114+320'!$B$15:$AB$785,15,FALSE)</f>
        <v>-469</v>
      </c>
      <c r="W541" s="66">
        <f>'114+320'!S542</f>
        <v>10</v>
      </c>
      <c r="X541" s="65">
        <f t="shared" si="113"/>
        <v>349</v>
      </c>
      <c r="Y541" s="64">
        <f t="shared" si="114"/>
        <v>290</v>
      </c>
      <c r="Z541" s="63">
        <f t="shared" si="115"/>
        <v>0.28999999999999998</v>
      </c>
      <c r="AA541" s="62">
        <f t="shared" si="116"/>
        <v>3.5190000000000001</v>
      </c>
      <c r="AB541" s="62">
        <f t="shared" si="117"/>
        <v>2.84</v>
      </c>
    </row>
    <row r="542" spans="2:28">
      <c r="B542" s="106">
        <f>'114+320'!B543</f>
        <v>45572</v>
      </c>
      <c r="C542" s="75">
        <f t="shared" si="109"/>
        <v>1</v>
      </c>
      <c r="D542" s="74">
        <f t="shared" si="110"/>
        <v>842</v>
      </c>
      <c r="E542" s="73">
        <f>VLOOKUP(B542,'114+320'!B543:AB929,3,FALSE)</f>
        <v>2284</v>
      </c>
      <c r="F542" s="69">
        <f t="shared" si="105"/>
        <v>3126</v>
      </c>
      <c r="G542" s="72">
        <f>VLOOKUP(B542,'114+320'!$B$15:$AB$785,20,FALSE)</f>
        <v>3082</v>
      </c>
      <c r="H542" s="72">
        <f>VLOOKUP(B542,'114+320'!$B$15:$AB$785,4,FALSE)</f>
        <v>714</v>
      </c>
      <c r="I542" s="68">
        <f t="shared" si="106"/>
        <v>2412</v>
      </c>
      <c r="J542" s="71">
        <f>VLOOKUP(B542,'114+320'!$B$15:$AB$785,13,FALSE)</f>
        <v>-588</v>
      </c>
      <c r="K542" s="66">
        <f>'114+320'!Q543</f>
        <v>10</v>
      </c>
      <c r="L542" s="65">
        <f t="shared" si="111"/>
        <v>408</v>
      </c>
      <c r="M542" s="70">
        <f>VLOOKUP(B542,'114+320'!$B$14:$AB$785,21,FALSE)</f>
        <v>3065</v>
      </c>
      <c r="N542" s="69">
        <f>VLOOKUP(B542,'114+320'!$B$15:$AB$785,5,FALSE)</f>
        <v>731</v>
      </c>
      <c r="O542" s="68">
        <f t="shared" si="107"/>
        <v>2395</v>
      </c>
      <c r="P542" s="71">
        <f>VLOOKUP(B542,'114+320'!$B$15:$AB$785,14,FALSE)</f>
        <v>-605</v>
      </c>
      <c r="Q542" s="66">
        <f>'114+320'!R543</f>
        <v>10</v>
      </c>
      <c r="R542" s="65">
        <f t="shared" si="112"/>
        <v>425</v>
      </c>
      <c r="S542" s="70">
        <f>VLOOKUP(B542,'114+320'!$B$14:$AB$785,22,FALSE)</f>
        <v>3132</v>
      </c>
      <c r="T542" s="69">
        <f>VLOOKUP(B542,'114+320'!$B$15:$AB$785,6,FALSE)</f>
        <v>604</v>
      </c>
      <c r="U542" s="68">
        <f t="shared" si="108"/>
        <v>2522</v>
      </c>
      <c r="V542" s="67">
        <f>VLOOKUP(B542,'114+320'!$B$15:$AB$785,15,FALSE)</f>
        <v>-478</v>
      </c>
      <c r="W542" s="66">
        <f>'114+320'!S543</f>
        <v>9</v>
      </c>
      <c r="X542" s="65">
        <f t="shared" si="113"/>
        <v>358</v>
      </c>
      <c r="Y542" s="64">
        <f t="shared" si="114"/>
        <v>-9</v>
      </c>
      <c r="Z542" s="63">
        <f t="shared" si="115"/>
        <v>0</v>
      </c>
      <c r="AA542" s="62">
        <f t="shared" si="116"/>
        <v>3.5190000000000001</v>
      </c>
      <c r="AB542" s="62">
        <f t="shared" si="117"/>
        <v>2.82</v>
      </c>
    </row>
    <row r="543" spans="2:28">
      <c r="B543" s="106">
        <f>'114+320'!B544</f>
        <v>45573</v>
      </c>
      <c r="C543" s="75">
        <f t="shared" si="109"/>
        <v>1</v>
      </c>
      <c r="D543" s="74">
        <f t="shared" si="110"/>
        <v>842</v>
      </c>
      <c r="E543" s="73">
        <f>VLOOKUP(B543,'114+320'!B544:AB930,3,FALSE)</f>
        <v>2286</v>
      </c>
      <c r="F543" s="69">
        <f t="shared" si="105"/>
        <v>3128</v>
      </c>
      <c r="G543" s="72">
        <f>VLOOKUP(B543,'114+320'!$B$15:$AB$785,20,FALSE)</f>
        <v>3073</v>
      </c>
      <c r="H543" s="72">
        <f>VLOOKUP(B543,'114+320'!$B$15:$AB$785,4,FALSE)</f>
        <v>725</v>
      </c>
      <c r="I543" s="68">
        <f t="shared" si="106"/>
        <v>2403</v>
      </c>
      <c r="J543" s="71">
        <f>VLOOKUP(B543,'114+320'!$B$15:$AB$785,13,FALSE)</f>
        <v>-597</v>
      </c>
      <c r="K543" s="66">
        <f>'114+320'!Q544</f>
        <v>9</v>
      </c>
      <c r="L543" s="65">
        <f t="shared" si="111"/>
        <v>417</v>
      </c>
      <c r="M543" s="70">
        <f>VLOOKUP(B543,'114+320'!$B$14:$AB$785,21,FALSE)</f>
        <v>3055</v>
      </c>
      <c r="N543" s="69">
        <f>VLOOKUP(B543,'114+320'!$B$15:$AB$785,5,FALSE)</f>
        <v>743</v>
      </c>
      <c r="O543" s="68">
        <f t="shared" si="107"/>
        <v>2385</v>
      </c>
      <c r="P543" s="71">
        <f>VLOOKUP(B543,'114+320'!$B$15:$AB$785,14,FALSE)</f>
        <v>-615</v>
      </c>
      <c r="Q543" s="66">
        <f>'114+320'!R544</f>
        <v>10</v>
      </c>
      <c r="R543" s="65">
        <f t="shared" si="112"/>
        <v>435</v>
      </c>
      <c r="S543" s="70">
        <f>VLOOKUP(B543,'114+320'!$B$14:$AB$785,22,FALSE)</f>
        <v>3124</v>
      </c>
      <c r="T543" s="69">
        <f>VLOOKUP(B543,'114+320'!$B$15:$AB$785,6,FALSE)</f>
        <v>614</v>
      </c>
      <c r="U543" s="68">
        <f t="shared" si="108"/>
        <v>2514</v>
      </c>
      <c r="V543" s="67">
        <f>VLOOKUP(B543,'114+320'!$B$15:$AB$785,15,FALSE)</f>
        <v>-486</v>
      </c>
      <c r="W543" s="66">
        <f>'114+320'!S544</f>
        <v>8</v>
      </c>
      <c r="X543" s="65">
        <f t="shared" si="113"/>
        <v>366</v>
      </c>
      <c r="Y543" s="64">
        <f t="shared" si="114"/>
        <v>-8</v>
      </c>
      <c r="Z543" s="63">
        <f t="shared" si="115"/>
        <v>0</v>
      </c>
      <c r="AA543" s="62">
        <f t="shared" si="116"/>
        <v>3.5190000000000001</v>
      </c>
      <c r="AB543" s="62">
        <f t="shared" si="117"/>
        <v>2.8</v>
      </c>
    </row>
    <row r="544" spans="2:28">
      <c r="B544" s="106">
        <f>'114+320'!B545</f>
        <v>45574</v>
      </c>
      <c r="C544" s="75">
        <f t="shared" si="109"/>
        <v>1</v>
      </c>
      <c r="D544" s="74">
        <f t="shared" si="110"/>
        <v>842</v>
      </c>
      <c r="E544" s="73">
        <f>VLOOKUP(B544,'114+320'!B545:AB931,3,FALSE)</f>
        <v>2288</v>
      </c>
      <c r="F544" s="69">
        <f t="shared" si="105"/>
        <v>3130</v>
      </c>
      <c r="G544" s="72">
        <f>VLOOKUP(B544,'114+320'!$B$15:$AB$785,20,FALSE)</f>
        <v>3065</v>
      </c>
      <c r="H544" s="72">
        <f>VLOOKUP(B544,'114+320'!$B$15:$AB$785,4,FALSE)</f>
        <v>735</v>
      </c>
      <c r="I544" s="68">
        <f t="shared" si="106"/>
        <v>2395</v>
      </c>
      <c r="J544" s="71">
        <f>VLOOKUP(B544,'114+320'!$B$15:$AB$785,13,FALSE)</f>
        <v>-605</v>
      </c>
      <c r="K544" s="66">
        <f>'114+320'!Q545</f>
        <v>8</v>
      </c>
      <c r="L544" s="65">
        <f t="shared" si="111"/>
        <v>425</v>
      </c>
      <c r="M544" s="70">
        <f>VLOOKUP(B544,'114+320'!$B$14:$AB$785,21,FALSE)</f>
        <v>3046</v>
      </c>
      <c r="N544" s="69">
        <f>VLOOKUP(B544,'114+320'!$B$15:$AB$785,5,FALSE)</f>
        <v>754</v>
      </c>
      <c r="O544" s="68">
        <f t="shared" si="107"/>
        <v>2376</v>
      </c>
      <c r="P544" s="71">
        <f>VLOOKUP(B544,'114+320'!$B$15:$AB$785,14,FALSE)</f>
        <v>-624</v>
      </c>
      <c r="Q544" s="66">
        <f>'114+320'!R545</f>
        <v>9</v>
      </c>
      <c r="R544" s="65">
        <f t="shared" si="112"/>
        <v>444</v>
      </c>
      <c r="S544" s="70">
        <f>VLOOKUP(B544,'114+320'!$B$14:$AB$785,22,FALSE)</f>
        <v>3117</v>
      </c>
      <c r="T544" s="69">
        <f>VLOOKUP(B544,'114+320'!$B$15:$AB$785,6,FALSE)</f>
        <v>623</v>
      </c>
      <c r="U544" s="68">
        <f t="shared" si="108"/>
        <v>2507</v>
      </c>
      <c r="V544" s="67">
        <f>VLOOKUP(B544,'114+320'!$B$15:$AB$785,15,FALSE)</f>
        <v>-493</v>
      </c>
      <c r="W544" s="66">
        <f>'114+320'!S545</f>
        <v>7</v>
      </c>
      <c r="X544" s="65">
        <f t="shared" si="113"/>
        <v>373</v>
      </c>
      <c r="Y544" s="64">
        <f t="shared" si="114"/>
        <v>-7</v>
      </c>
      <c r="Z544" s="63">
        <f t="shared" si="115"/>
        <v>0</v>
      </c>
      <c r="AA544" s="62">
        <f t="shared" si="116"/>
        <v>3.5190000000000001</v>
      </c>
      <c r="AB544" s="62">
        <f t="shared" si="117"/>
        <v>2.782</v>
      </c>
    </row>
    <row r="545" spans="2:28">
      <c r="B545" s="106">
        <f>'114+320'!B546</f>
        <v>45575</v>
      </c>
      <c r="C545" s="75">
        <f t="shared" si="109"/>
        <v>1</v>
      </c>
      <c r="D545" s="74">
        <f t="shared" si="110"/>
        <v>842</v>
      </c>
      <c r="E545" s="73">
        <f>VLOOKUP(B545,'114+320'!B546:AB932,3,FALSE)</f>
        <v>2290</v>
      </c>
      <c r="F545" s="69">
        <f t="shared" si="105"/>
        <v>3132</v>
      </c>
      <c r="G545" s="72">
        <f>VLOOKUP(B545,'114+320'!$B$15:$AB$785,20,FALSE)</f>
        <v>3356</v>
      </c>
      <c r="H545" s="72">
        <f>VLOOKUP(B545,'114+320'!$B$15:$AB$785,4,FALSE)</f>
        <v>746</v>
      </c>
      <c r="I545" s="68">
        <f t="shared" si="106"/>
        <v>2386</v>
      </c>
      <c r="J545" s="71">
        <f>VLOOKUP(B545,'114+320'!$B$15:$AB$785,13,FALSE)</f>
        <v>-614</v>
      </c>
      <c r="K545" s="66">
        <f>'114+320'!Q546</f>
        <v>9</v>
      </c>
      <c r="L545" s="65">
        <f t="shared" si="111"/>
        <v>434</v>
      </c>
      <c r="M545" s="70">
        <f>VLOOKUP(B545,'114+320'!$B$14:$AB$785,21,FALSE)</f>
        <v>3338</v>
      </c>
      <c r="N545" s="69">
        <f>VLOOKUP(B545,'114+320'!$B$15:$AB$785,5,FALSE)</f>
        <v>764</v>
      </c>
      <c r="O545" s="68">
        <f t="shared" si="107"/>
        <v>2368</v>
      </c>
      <c r="P545" s="71">
        <f>VLOOKUP(B545,'114+320'!$B$15:$AB$785,14,FALSE)</f>
        <v>-632</v>
      </c>
      <c r="Q545" s="66">
        <f>'114+320'!R546</f>
        <v>8</v>
      </c>
      <c r="R545" s="65">
        <f t="shared" si="112"/>
        <v>452</v>
      </c>
      <c r="S545" s="70">
        <f>VLOOKUP(B545,'114+320'!$B$14:$AB$785,22,FALSE)</f>
        <v>3407</v>
      </c>
      <c r="T545" s="69">
        <f>VLOOKUP(B545,'114+320'!$B$15:$AB$785,6,FALSE)</f>
        <v>635</v>
      </c>
      <c r="U545" s="68">
        <f t="shared" si="108"/>
        <v>2497</v>
      </c>
      <c r="V545" s="67">
        <f>VLOOKUP(B545,'114+320'!$B$15:$AB$785,15,FALSE)</f>
        <v>-503</v>
      </c>
      <c r="W545" s="66">
        <f>'114+320'!S546</f>
        <v>10</v>
      </c>
      <c r="X545" s="65">
        <f t="shared" si="113"/>
        <v>383</v>
      </c>
      <c r="Y545" s="64">
        <f t="shared" si="114"/>
        <v>290</v>
      </c>
      <c r="Z545" s="63">
        <f t="shared" si="115"/>
        <v>0.28999999999999998</v>
      </c>
      <c r="AA545" s="62">
        <f t="shared" si="116"/>
        <v>3.8090000000000002</v>
      </c>
      <c r="AB545" s="62">
        <f t="shared" si="117"/>
        <v>3.0659999999999998</v>
      </c>
    </row>
    <row r="546" spans="2:28">
      <c r="B546" s="106">
        <f>'114+320'!B547</f>
        <v>45576</v>
      </c>
      <c r="C546" s="75">
        <f t="shared" si="109"/>
        <v>1</v>
      </c>
      <c r="D546" s="74">
        <f t="shared" si="110"/>
        <v>842</v>
      </c>
      <c r="E546" s="73">
        <f>VLOOKUP(B546,'114+320'!B547:AB933,3,FALSE)</f>
        <v>2292</v>
      </c>
      <c r="F546" s="69">
        <f t="shared" si="105"/>
        <v>3134</v>
      </c>
      <c r="G546" s="72">
        <f>VLOOKUP(B546,'114+320'!$B$15:$AB$785,20,FALSE)</f>
        <v>3348</v>
      </c>
      <c r="H546" s="72">
        <f>VLOOKUP(B546,'114+320'!$B$15:$AB$785,4,FALSE)</f>
        <v>756</v>
      </c>
      <c r="I546" s="68">
        <f t="shared" si="106"/>
        <v>2378</v>
      </c>
      <c r="J546" s="71">
        <f>VLOOKUP(B546,'114+320'!$B$15:$AB$785,13,FALSE)</f>
        <v>-622</v>
      </c>
      <c r="K546" s="66">
        <f>'114+320'!Q547</f>
        <v>8</v>
      </c>
      <c r="L546" s="65">
        <f t="shared" si="111"/>
        <v>442</v>
      </c>
      <c r="M546" s="70">
        <f>VLOOKUP(B546,'114+320'!$B$14:$AB$785,21,FALSE)</f>
        <v>3329</v>
      </c>
      <c r="N546" s="69">
        <f>VLOOKUP(B546,'114+320'!$B$15:$AB$785,5,FALSE)</f>
        <v>775</v>
      </c>
      <c r="O546" s="68">
        <f t="shared" si="107"/>
        <v>2359</v>
      </c>
      <c r="P546" s="71">
        <f>VLOOKUP(B546,'114+320'!$B$15:$AB$785,14,FALSE)</f>
        <v>-641</v>
      </c>
      <c r="Q546" s="66">
        <f>'114+320'!R547</f>
        <v>9</v>
      </c>
      <c r="R546" s="65">
        <f t="shared" si="112"/>
        <v>461</v>
      </c>
      <c r="S546" s="70">
        <f>VLOOKUP(B546,'114+320'!$B$14:$AB$785,22,FALSE)</f>
        <v>3400</v>
      </c>
      <c r="T546" s="69">
        <f>VLOOKUP(B546,'114+320'!$B$15:$AB$785,6,FALSE)</f>
        <v>644</v>
      </c>
      <c r="U546" s="68">
        <f t="shared" si="108"/>
        <v>2490</v>
      </c>
      <c r="V546" s="67">
        <f>VLOOKUP(B546,'114+320'!$B$15:$AB$785,15,FALSE)</f>
        <v>-510</v>
      </c>
      <c r="W546" s="66">
        <f>'114+320'!S547</f>
        <v>7</v>
      </c>
      <c r="X546" s="65">
        <f t="shared" si="113"/>
        <v>390</v>
      </c>
      <c r="Y546" s="64">
        <f t="shared" si="114"/>
        <v>-7</v>
      </c>
      <c r="Z546" s="63">
        <f t="shared" si="115"/>
        <v>0</v>
      </c>
      <c r="AA546" s="62">
        <f t="shared" si="116"/>
        <v>3.8090000000000002</v>
      </c>
      <c r="AB546" s="62">
        <f t="shared" si="117"/>
        <v>3.048</v>
      </c>
    </row>
    <row r="547" spans="2:28">
      <c r="B547" s="106">
        <f>'114+320'!B548</f>
        <v>45577</v>
      </c>
      <c r="C547" s="75">
        <f t="shared" si="109"/>
        <v>1</v>
      </c>
      <c r="D547" s="74">
        <f t="shared" si="110"/>
        <v>842</v>
      </c>
      <c r="E547" s="73">
        <f>VLOOKUP(B547,'114+320'!B548:AB934,3,FALSE)</f>
        <v>2294</v>
      </c>
      <c r="F547" s="69">
        <f t="shared" si="105"/>
        <v>3136</v>
      </c>
      <c r="G547" s="72">
        <f>VLOOKUP(B547,'114+320'!$B$15:$AB$785,20,FALSE)</f>
        <v>3341</v>
      </c>
      <c r="H547" s="72">
        <f>VLOOKUP(B547,'114+320'!$B$15:$AB$785,4,FALSE)</f>
        <v>765</v>
      </c>
      <c r="I547" s="68">
        <f t="shared" si="106"/>
        <v>2371</v>
      </c>
      <c r="J547" s="71">
        <f>VLOOKUP(B547,'114+320'!$B$15:$AB$785,13,FALSE)</f>
        <v>-629</v>
      </c>
      <c r="K547" s="66">
        <f>'114+320'!Q548</f>
        <v>7</v>
      </c>
      <c r="L547" s="65">
        <f t="shared" si="111"/>
        <v>449</v>
      </c>
      <c r="M547" s="70">
        <f>VLOOKUP(B547,'114+320'!$B$14:$AB$785,21,FALSE)</f>
        <v>3321</v>
      </c>
      <c r="N547" s="69">
        <f>VLOOKUP(B547,'114+320'!$B$15:$AB$785,5,FALSE)</f>
        <v>785</v>
      </c>
      <c r="O547" s="68">
        <f t="shared" si="107"/>
        <v>2351</v>
      </c>
      <c r="P547" s="71">
        <f>VLOOKUP(B547,'114+320'!$B$15:$AB$785,14,FALSE)</f>
        <v>-649</v>
      </c>
      <c r="Q547" s="66">
        <f>'114+320'!R548</f>
        <v>8</v>
      </c>
      <c r="R547" s="65">
        <f t="shared" si="112"/>
        <v>469</v>
      </c>
      <c r="S547" s="70">
        <f>VLOOKUP(B547,'114+320'!$B$14:$AB$785,22,FALSE)</f>
        <v>3393</v>
      </c>
      <c r="T547" s="69">
        <f>VLOOKUP(B547,'114+320'!$B$15:$AB$785,6,FALSE)</f>
        <v>653</v>
      </c>
      <c r="U547" s="68">
        <f t="shared" si="108"/>
        <v>2483</v>
      </c>
      <c r="V547" s="67">
        <f>VLOOKUP(B547,'114+320'!$B$15:$AB$785,15,FALSE)</f>
        <v>-517</v>
      </c>
      <c r="W547" s="66">
        <f>'114+320'!S548</f>
        <v>7</v>
      </c>
      <c r="X547" s="65">
        <f t="shared" si="113"/>
        <v>397</v>
      </c>
      <c r="Y547" s="64">
        <f t="shared" si="114"/>
        <v>-7</v>
      </c>
      <c r="Z547" s="63">
        <f t="shared" si="115"/>
        <v>0</v>
      </c>
      <c r="AA547" s="62">
        <f t="shared" si="116"/>
        <v>3.8090000000000002</v>
      </c>
      <c r="AB547" s="62">
        <f t="shared" si="117"/>
        <v>3.032</v>
      </c>
    </row>
    <row r="548" spans="2:28">
      <c r="B548" s="106">
        <f>'114+320'!B549</f>
        <v>45578</v>
      </c>
      <c r="C548" s="75">
        <f t="shared" si="109"/>
        <v>1</v>
      </c>
      <c r="D548" s="74">
        <f t="shared" si="110"/>
        <v>842</v>
      </c>
      <c r="E548" s="73">
        <f>VLOOKUP(B548,'114+320'!B549:AB935,3,FALSE)</f>
        <v>2296</v>
      </c>
      <c r="F548" s="69">
        <f t="shared" si="105"/>
        <v>3138</v>
      </c>
      <c r="G548" s="72">
        <f>VLOOKUP(B548,'114+320'!$B$15:$AB$785,20,FALSE)</f>
        <v>3332</v>
      </c>
      <c r="H548" s="72">
        <f>VLOOKUP(B548,'114+320'!$B$15:$AB$785,4,FALSE)</f>
        <v>776</v>
      </c>
      <c r="I548" s="68">
        <f t="shared" si="106"/>
        <v>2362</v>
      </c>
      <c r="J548" s="71">
        <f>VLOOKUP(B548,'114+320'!$B$15:$AB$785,13,FALSE)</f>
        <v>-638</v>
      </c>
      <c r="K548" s="66">
        <f>'114+320'!Q549</f>
        <v>9</v>
      </c>
      <c r="L548" s="65">
        <f t="shared" si="111"/>
        <v>458</v>
      </c>
      <c r="M548" s="70">
        <f>VLOOKUP(B548,'114+320'!$B$14:$AB$785,21,FALSE)</f>
        <v>3312</v>
      </c>
      <c r="N548" s="69">
        <f>VLOOKUP(B548,'114+320'!$B$15:$AB$785,5,FALSE)</f>
        <v>796</v>
      </c>
      <c r="O548" s="68">
        <f t="shared" si="107"/>
        <v>2342</v>
      </c>
      <c r="P548" s="71">
        <f>VLOOKUP(B548,'114+320'!$B$15:$AB$785,14,FALSE)</f>
        <v>-658</v>
      </c>
      <c r="Q548" s="66">
        <f>'114+320'!R549</f>
        <v>9</v>
      </c>
      <c r="R548" s="65">
        <f t="shared" si="112"/>
        <v>478</v>
      </c>
      <c r="S548" s="70">
        <f>VLOOKUP(B548,'114+320'!$B$14:$AB$785,22,FALSE)</f>
        <v>3385</v>
      </c>
      <c r="T548" s="69">
        <f>VLOOKUP(B548,'114+320'!$B$15:$AB$785,6,FALSE)</f>
        <v>663</v>
      </c>
      <c r="U548" s="68">
        <f t="shared" si="108"/>
        <v>2475</v>
      </c>
      <c r="V548" s="67">
        <f>VLOOKUP(B548,'114+320'!$B$15:$AB$785,15,FALSE)</f>
        <v>-525</v>
      </c>
      <c r="W548" s="66">
        <f>'114+320'!S549</f>
        <v>8</v>
      </c>
      <c r="X548" s="65">
        <f t="shared" si="113"/>
        <v>405</v>
      </c>
      <c r="Y548" s="64">
        <f t="shared" si="114"/>
        <v>-8</v>
      </c>
      <c r="Z548" s="63">
        <f t="shared" si="115"/>
        <v>0</v>
      </c>
      <c r="AA548" s="62">
        <f t="shared" si="116"/>
        <v>3.8090000000000002</v>
      </c>
      <c r="AB548" s="62">
        <f t="shared" si="117"/>
        <v>3.0139999999999998</v>
      </c>
    </row>
    <row r="549" spans="2:28">
      <c r="B549" s="106">
        <f>'114+320'!B550</f>
        <v>45579</v>
      </c>
      <c r="C549" s="75">
        <f t="shared" si="109"/>
        <v>1</v>
      </c>
      <c r="D549" s="74">
        <f t="shared" si="110"/>
        <v>842</v>
      </c>
      <c r="E549" s="73">
        <f>VLOOKUP(B549,'114+320'!B550:AB936,3,FALSE)</f>
        <v>2298</v>
      </c>
      <c r="F549" s="69">
        <f t="shared" si="105"/>
        <v>3140</v>
      </c>
      <c r="G549" s="72">
        <f>VLOOKUP(B549,'114+320'!$B$15:$AB$785,20,FALSE)</f>
        <v>3324</v>
      </c>
      <c r="H549" s="72">
        <f>VLOOKUP(B549,'114+320'!$B$15:$AB$785,4,FALSE)</f>
        <v>786</v>
      </c>
      <c r="I549" s="68">
        <f t="shared" si="106"/>
        <v>2354</v>
      </c>
      <c r="J549" s="71">
        <f>VLOOKUP(B549,'114+320'!$B$15:$AB$785,13,FALSE)</f>
        <v>-646</v>
      </c>
      <c r="K549" s="66">
        <f>'114+320'!Q550</f>
        <v>8</v>
      </c>
      <c r="L549" s="65">
        <f t="shared" si="111"/>
        <v>466</v>
      </c>
      <c r="M549" s="70">
        <f>VLOOKUP(B549,'114+320'!$B$14:$AB$785,21,FALSE)</f>
        <v>3304</v>
      </c>
      <c r="N549" s="69">
        <f>VLOOKUP(B549,'114+320'!$B$15:$AB$785,5,FALSE)</f>
        <v>806</v>
      </c>
      <c r="O549" s="68">
        <f t="shared" si="107"/>
        <v>2334</v>
      </c>
      <c r="P549" s="71">
        <f>VLOOKUP(B549,'114+320'!$B$15:$AB$785,14,FALSE)</f>
        <v>-666</v>
      </c>
      <c r="Q549" s="66">
        <f>'114+320'!R550</f>
        <v>8</v>
      </c>
      <c r="R549" s="65">
        <f t="shared" si="112"/>
        <v>486</v>
      </c>
      <c r="S549" s="70">
        <f>VLOOKUP(B549,'114+320'!$B$14:$AB$785,22,FALSE)</f>
        <v>3378</v>
      </c>
      <c r="T549" s="69">
        <f>VLOOKUP(B549,'114+320'!$B$15:$AB$785,6,FALSE)</f>
        <v>672</v>
      </c>
      <c r="U549" s="68">
        <f t="shared" si="108"/>
        <v>2468</v>
      </c>
      <c r="V549" s="67">
        <f>VLOOKUP(B549,'114+320'!$B$15:$AB$785,15,FALSE)</f>
        <v>-532</v>
      </c>
      <c r="W549" s="66">
        <f>'114+320'!S550</f>
        <v>7</v>
      </c>
      <c r="X549" s="65">
        <f t="shared" si="113"/>
        <v>412</v>
      </c>
      <c r="Y549" s="64">
        <f t="shared" si="114"/>
        <v>-7</v>
      </c>
      <c r="Z549" s="63">
        <f t="shared" si="115"/>
        <v>0</v>
      </c>
      <c r="AA549" s="62">
        <f t="shared" si="116"/>
        <v>3.8090000000000002</v>
      </c>
      <c r="AB549" s="62">
        <f t="shared" si="117"/>
        <v>2.9980000000000002</v>
      </c>
    </row>
    <row r="550" spans="2:28">
      <c r="B550" s="106">
        <f>'114+320'!B551</f>
        <v>45580</v>
      </c>
      <c r="C550" s="75">
        <f t="shared" si="109"/>
        <v>1</v>
      </c>
      <c r="D550" s="74">
        <f t="shared" si="110"/>
        <v>842</v>
      </c>
      <c r="E550" s="73">
        <f>VLOOKUP(B550,'114+320'!B551:AB937,3,FALSE)</f>
        <v>2300</v>
      </c>
      <c r="F550" s="69">
        <f t="shared" si="105"/>
        <v>3142</v>
      </c>
      <c r="G550" s="72">
        <f>VLOOKUP(B550,'114+320'!$B$15:$AB$785,20,FALSE)</f>
        <v>3616</v>
      </c>
      <c r="H550" s="72">
        <f>VLOOKUP(B550,'114+320'!$B$15:$AB$785,4,FALSE)</f>
        <v>796</v>
      </c>
      <c r="I550" s="68">
        <f t="shared" si="106"/>
        <v>2346</v>
      </c>
      <c r="J550" s="71">
        <f>VLOOKUP(B550,'114+320'!$B$15:$AB$785,13,FALSE)</f>
        <v>-654</v>
      </c>
      <c r="K550" s="66">
        <f>'114+320'!Q551</f>
        <v>8</v>
      </c>
      <c r="L550" s="65">
        <f t="shared" si="111"/>
        <v>474</v>
      </c>
      <c r="M550" s="70">
        <f>VLOOKUP(B550,'114+320'!$B$14:$AB$785,21,FALSE)</f>
        <v>3595</v>
      </c>
      <c r="N550" s="69">
        <f>VLOOKUP(B550,'114+320'!$B$15:$AB$785,5,FALSE)</f>
        <v>817</v>
      </c>
      <c r="O550" s="68">
        <f t="shared" si="107"/>
        <v>2325</v>
      </c>
      <c r="P550" s="71">
        <f>VLOOKUP(B550,'114+320'!$B$15:$AB$785,14,FALSE)</f>
        <v>-675</v>
      </c>
      <c r="Q550" s="66">
        <f>'114+320'!R551</f>
        <v>9</v>
      </c>
      <c r="R550" s="65">
        <f t="shared" si="112"/>
        <v>495</v>
      </c>
      <c r="S550" s="70">
        <f>VLOOKUP(B550,'114+320'!$B$14:$AB$785,22,FALSE)</f>
        <v>3668</v>
      </c>
      <c r="T550" s="69">
        <f>VLOOKUP(B550,'114+320'!$B$15:$AB$785,6,FALSE)</f>
        <v>684</v>
      </c>
      <c r="U550" s="68">
        <f t="shared" si="108"/>
        <v>2458</v>
      </c>
      <c r="V550" s="67">
        <f>VLOOKUP(B550,'114+320'!$B$15:$AB$785,15,FALSE)</f>
        <v>-542</v>
      </c>
      <c r="W550" s="66">
        <f>'114+320'!S551</f>
        <v>10</v>
      </c>
      <c r="X550" s="65">
        <f t="shared" si="113"/>
        <v>422</v>
      </c>
      <c r="Y550" s="64">
        <f t="shared" si="114"/>
        <v>290</v>
      </c>
      <c r="Z550" s="63">
        <f t="shared" si="115"/>
        <v>0.28999999999999998</v>
      </c>
      <c r="AA550" s="62">
        <f t="shared" si="116"/>
        <v>4.0990000000000002</v>
      </c>
      <c r="AB550" s="62">
        <f t="shared" si="117"/>
        <v>3.28</v>
      </c>
    </row>
    <row r="551" spans="2:28">
      <c r="B551" s="106">
        <f>'114+320'!B552</f>
        <v>45581</v>
      </c>
      <c r="C551" s="75">
        <f t="shared" si="109"/>
        <v>1</v>
      </c>
      <c r="D551" s="74">
        <f t="shared" si="110"/>
        <v>842</v>
      </c>
      <c r="E551" s="73">
        <f>VLOOKUP(B551,'114+320'!B552:AB938,3,FALSE)</f>
        <v>2302</v>
      </c>
      <c r="F551" s="69">
        <f t="shared" si="105"/>
        <v>3144</v>
      </c>
      <c r="G551" s="72">
        <f>VLOOKUP(B551,'114+320'!$B$15:$AB$785,20,FALSE)</f>
        <v>3609</v>
      </c>
      <c r="H551" s="72">
        <f>VLOOKUP(B551,'114+320'!$B$15:$AB$785,4,FALSE)</f>
        <v>805</v>
      </c>
      <c r="I551" s="68">
        <f t="shared" si="106"/>
        <v>2339</v>
      </c>
      <c r="J551" s="71">
        <f>VLOOKUP(B551,'114+320'!$B$15:$AB$785,13,FALSE)</f>
        <v>-661</v>
      </c>
      <c r="K551" s="66">
        <f>'114+320'!Q552</f>
        <v>7</v>
      </c>
      <c r="L551" s="65">
        <f t="shared" si="111"/>
        <v>481</v>
      </c>
      <c r="M551" s="70">
        <f>VLOOKUP(B551,'114+320'!$B$14:$AB$785,21,FALSE)</f>
        <v>3587</v>
      </c>
      <c r="N551" s="69">
        <f>VLOOKUP(B551,'114+320'!$B$15:$AB$785,5,FALSE)</f>
        <v>827</v>
      </c>
      <c r="O551" s="68">
        <f t="shared" si="107"/>
        <v>2317</v>
      </c>
      <c r="P551" s="71">
        <f>VLOOKUP(B551,'114+320'!$B$15:$AB$785,14,FALSE)</f>
        <v>-683</v>
      </c>
      <c r="Q551" s="66">
        <f>'114+320'!R552</f>
        <v>8</v>
      </c>
      <c r="R551" s="65">
        <f t="shared" si="112"/>
        <v>503</v>
      </c>
      <c r="S551" s="70">
        <f>VLOOKUP(B551,'114+320'!$B$14:$AB$785,22,FALSE)</f>
        <v>3659</v>
      </c>
      <c r="T551" s="69">
        <f>VLOOKUP(B551,'114+320'!$B$15:$AB$785,6,FALSE)</f>
        <v>695</v>
      </c>
      <c r="U551" s="68">
        <f t="shared" si="108"/>
        <v>2449</v>
      </c>
      <c r="V551" s="67">
        <f>VLOOKUP(B551,'114+320'!$B$15:$AB$785,15,FALSE)</f>
        <v>-551</v>
      </c>
      <c r="W551" s="66">
        <f>'114+320'!S552</f>
        <v>9</v>
      </c>
      <c r="X551" s="65">
        <f t="shared" si="113"/>
        <v>431</v>
      </c>
      <c r="Y551" s="64">
        <f t="shared" si="114"/>
        <v>-9</v>
      </c>
      <c r="Z551" s="63">
        <f t="shared" si="115"/>
        <v>0</v>
      </c>
      <c r="AA551" s="62">
        <f t="shared" si="116"/>
        <v>4.0990000000000002</v>
      </c>
      <c r="AB551" s="62">
        <f t="shared" si="117"/>
        <v>3.2639999999999998</v>
      </c>
    </row>
    <row r="552" spans="2:28">
      <c r="B552" s="106">
        <f>'114+320'!B553</f>
        <v>45582</v>
      </c>
      <c r="C552" s="75">
        <f t="shared" si="109"/>
        <v>1</v>
      </c>
      <c r="D552" s="74">
        <f t="shared" si="110"/>
        <v>842</v>
      </c>
      <c r="E552" s="73">
        <f>VLOOKUP(B552,'114+320'!B553:AB939,3,FALSE)</f>
        <v>2304</v>
      </c>
      <c r="F552" s="69">
        <f t="shared" si="105"/>
        <v>3146</v>
      </c>
      <c r="G552" s="72">
        <f>VLOOKUP(B552,'114+320'!$B$15:$AB$785,20,FALSE)</f>
        <v>3600</v>
      </c>
      <c r="H552" s="72">
        <f>VLOOKUP(B552,'114+320'!$B$15:$AB$785,4,FALSE)</f>
        <v>816</v>
      </c>
      <c r="I552" s="68">
        <f t="shared" si="106"/>
        <v>2330</v>
      </c>
      <c r="J552" s="71">
        <f>VLOOKUP(B552,'114+320'!$B$15:$AB$785,13,FALSE)</f>
        <v>-670</v>
      </c>
      <c r="K552" s="66">
        <f>'114+320'!Q553</f>
        <v>9</v>
      </c>
      <c r="L552" s="65">
        <f t="shared" si="111"/>
        <v>490</v>
      </c>
      <c r="M552" s="70">
        <f>VLOOKUP(B552,'114+320'!$B$14:$AB$785,21,FALSE)</f>
        <v>3578</v>
      </c>
      <c r="N552" s="69">
        <f>VLOOKUP(B552,'114+320'!$B$15:$AB$785,5,FALSE)</f>
        <v>838</v>
      </c>
      <c r="O552" s="68">
        <f t="shared" si="107"/>
        <v>2308</v>
      </c>
      <c r="P552" s="71">
        <f>VLOOKUP(B552,'114+320'!$B$15:$AB$785,14,FALSE)</f>
        <v>-692</v>
      </c>
      <c r="Q552" s="66">
        <f>'114+320'!R553</f>
        <v>9</v>
      </c>
      <c r="R552" s="65">
        <f t="shared" si="112"/>
        <v>512</v>
      </c>
      <c r="S552" s="70">
        <f>VLOOKUP(B552,'114+320'!$B$14:$AB$785,22,FALSE)</f>
        <v>3651</v>
      </c>
      <c r="T552" s="69">
        <f>VLOOKUP(B552,'114+320'!$B$15:$AB$785,6,FALSE)</f>
        <v>705</v>
      </c>
      <c r="U552" s="68">
        <f t="shared" si="108"/>
        <v>2441</v>
      </c>
      <c r="V552" s="67">
        <f>VLOOKUP(B552,'114+320'!$B$15:$AB$785,15,FALSE)</f>
        <v>-559</v>
      </c>
      <c r="W552" s="66">
        <f>'114+320'!S553</f>
        <v>8</v>
      </c>
      <c r="X552" s="65">
        <f t="shared" si="113"/>
        <v>439</v>
      </c>
      <c r="Y552" s="64">
        <f t="shared" si="114"/>
        <v>-8</v>
      </c>
      <c r="Z552" s="63">
        <f t="shared" si="115"/>
        <v>0</v>
      </c>
      <c r="AA552" s="62">
        <f t="shared" si="116"/>
        <v>4.0990000000000002</v>
      </c>
      <c r="AB552" s="62">
        <f t="shared" si="117"/>
        <v>3.246</v>
      </c>
    </row>
    <row r="553" spans="2:28">
      <c r="B553" s="106">
        <f>'114+320'!B554</f>
        <v>45583</v>
      </c>
      <c r="C553" s="75">
        <f t="shared" si="109"/>
        <v>1</v>
      </c>
      <c r="D553" s="74">
        <f t="shared" si="110"/>
        <v>842</v>
      </c>
      <c r="E553" s="73">
        <f>VLOOKUP(B553,'114+320'!B554:AB940,3,FALSE)</f>
        <v>2306</v>
      </c>
      <c r="F553" s="69">
        <f t="shared" si="105"/>
        <v>3148</v>
      </c>
      <c r="G553" s="72">
        <f>VLOOKUP(B553,'114+320'!$B$15:$AB$785,20,FALSE)</f>
        <v>3592</v>
      </c>
      <c r="H553" s="72">
        <f>VLOOKUP(B553,'114+320'!$B$15:$AB$785,4,FALSE)</f>
        <v>826</v>
      </c>
      <c r="I553" s="68">
        <f t="shared" si="106"/>
        <v>2322</v>
      </c>
      <c r="J553" s="71">
        <f>VLOOKUP(B553,'114+320'!$B$15:$AB$785,13,FALSE)</f>
        <v>-678</v>
      </c>
      <c r="K553" s="66">
        <f>'114+320'!Q554</f>
        <v>8</v>
      </c>
      <c r="L553" s="65">
        <f t="shared" si="111"/>
        <v>498</v>
      </c>
      <c r="M553" s="70">
        <f>VLOOKUP(B553,'114+320'!$B$14:$AB$785,21,FALSE)</f>
        <v>3570</v>
      </c>
      <c r="N553" s="69">
        <f>VLOOKUP(B553,'114+320'!$B$15:$AB$785,5,FALSE)</f>
        <v>848</v>
      </c>
      <c r="O553" s="68">
        <f t="shared" si="107"/>
        <v>2300</v>
      </c>
      <c r="P553" s="71">
        <f>VLOOKUP(B553,'114+320'!$B$15:$AB$785,14,FALSE)</f>
        <v>-700</v>
      </c>
      <c r="Q553" s="66">
        <f>'114+320'!R554</f>
        <v>8</v>
      </c>
      <c r="R553" s="65">
        <f t="shared" si="112"/>
        <v>520</v>
      </c>
      <c r="S553" s="70">
        <f>VLOOKUP(B553,'114+320'!$B$14:$AB$785,22,FALSE)</f>
        <v>3644</v>
      </c>
      <c r="T553" s="69">
        <f>VLOOKUP(B553,'114+320'!$B$15:$AB$785,6,FALSE)</f>
        <v>714</v>
      </c>
      <c r="U553" s="68">
        <f t="shared" si="108"/>
        <v>2434</v>
      </c>
      <c r="V553" s="67">
        <f>VLOOKUP(B553,'114+320'!$B$15:$AB$785,15,FALSE)</f>
        <v>-566</v>
      </c>
      <c r="W553" s="66">
        <f>'114+320'!S554</f>
        <v>7</v>
      </c>
      <c r="X553" s="65">
        <f t="shared" si="113"/>
        <v>446</v>
      </c>
      <c r="Y553" s="64">
        <f t="shared" si="114"/>
        <v>-7</v>
      </c>
      <c r="Z553" s="63">
        <f t="shared" si="115"/>
        <v>0</v>
      </c>
      <c r="AA553" s="62">
        <f t="shared" si="116"/>
        <v>4.0990000000000002</v>
      </c>
      <c r="AB553" s="62">
        <f t="shared" si="117"/>
        <v>3.23</v>
      </c>
    </row>
    <row r="554" spans="2:28">
      <c r="B554" s="106">
        <f>'114+320'!B555</f>
        <v>45584</v>
      </c>
      <c r="C554" s="75">
        <f t="shared" si="109"/>
        <v>1</v>
      </c>
      <c r="D554" s="74">
        <f t="shared" si="110"/>
        <v>842</v>
      </c>
      <c r="E554" s="73">
        <f>VLOOKUP(B554,'114+320'!B555:AB941,3,FALSE)</f>
        <v>2308</v>
      </c>
      <c r="F554" s="69">
        <f t="shared" si="105"/>
        <v>3150</v>
      </c>
      <c r="G554" s="72">
        <f>VLOOKUP(B554,'114+320'!$B$15:$AB$785,20,FALSE)</f>
        <v>3585</v>
      </c>
      <c r="H554" s="72">
        <f>VLOOKUP(B554,'114+320'!$B$15:$AB$785,4,FALSE)</f>
        <v>835</v>
      </c>
      <c r="I554" s="68">
        <f t="shared" si="106"/>
        <v>2315</v>
      </c>
      <c r="J554" s="71">
        <f>VLOOKUP(B554,'114+320'!$B$15:$AB$785,13,FALSE)</f>
        <v>-685</v>
      </c>
      <c r="K554" s="66">
        <f>'114+320'!Q555</f>
        <v>7</v>
      </c>
      <c r="L554" s="65">
        <f t="shared" si="111"/>
        <v>505</v>
      </c>
      <c r="M554" s="70">
        <f>VLOOKUP(B554,'114+320'!$B$14:$AB$785,21,FALSE)</f>
        <v>3563</v>
      </c>
      <c r="N554" s="69">
        <f>VLOOKUP(B554,'114+320'!$B$15:$AB$785,5,FALSE)</f>
        <v>857</v>
      </c>
      <c r="O554" s="68">
        <f t="shared" si="107"/>
        <v>2293</v>
      </c>
      <c r="P554" s="71">
        <f>VLOOKUP(B554,'114+320'!$B$15:$AB$785,14,FALSE)</f>
        <v>-707</v>
      </c>
      <c r="Q554" s="66">
        <f>'114+320'!R555</f>
        <v>7</v>
      </c>
      <c r="R554" s="65">
        <f t="shared" si="112"/>
        <v>527</v>
      </c>
      <c r="S554" s="70">
        <f>VLOOKUP(B554,'114+320'!$B$14:$AB$785,22,FALSE)</f>
        <v>3637</v>
      </c>
      <c r="T554" s="69">
        <f>VLOOKUP(B554,'114+320'!$B$15:$AB$785,6,FALSE)</f>
        <v>723</v>
      </c>
      <c r="U554" s="68">
        <f t="shared" si="108"/>
        <v>2427</v>
      </c>
      <c r="V554" s="67">
        <f>VLOOKUP(B554,'114+320'!$B$15:$AB$785,15,FALSE)</f>
        <v>-573</v>
      </c>
      <c r="W554" s="66">
        <f>'114+320'!S555</f>
        <v>7</v>
      </c>
      <c r="X554" s="65">
        <f t="shared" si="113"/>
        <v>453</v>
      </c>
      <c r="Y554" s="64">
        <f t="shared" si="114"/>
        <v>-7</v>
      </c>
      <c r="Z554" s="63">
        <f t="shared" si="115"/>
        <v>0</v>
      </c>
      <c r="AA554" s="62">
        <f t="shared" si="116"/>
        <v>4.0990000000000002</v>
      </c>
      <c r="AB554" s="62">
        <f t="shared" si="117"/>
        <v>3.2160000000000002</v>
      </c>
    </row>
    <row r="555" spans="2:28">
      <c r="B555" s="106">
        <f>'114+320'!B556</f>
        <v>45585</v>
      </c>
      <c r="C555" s="75">
        <f t="shared" si="109"/>
        <v>1</v>
      </c>
      <c r="D555" s="74">
        <f t="shared" si="110"/>
        <v>842</v>
      </c>
      <c r="E555" s="73">
        <f>VLOOKUP(B555,'114+320'!B556:AB942,3,FALSE)</f>
        <v>2310</v>
      </c>
      <c r="F555" s="69">
        <f t="shared" si="105"/>
        <v>3152</v>
      </c>
      <c r="G555" s="72">
        <f>VLOOKUP(B555,'114+320'!$B$15:$AB$785,20,FALSE)</f>
        <v>3577</v>
      </c>
      <c r="H555" s="72">
        <f>VLOOKUP(B555,'114+320'!$B$15:$AB$785,4,FALSE)</f>
        <v>845</v>
      </c>
      <c r="I555" s="68">
        <f t="shared" si="106"/>
        <v>2307</v>
      </c>
      <c r="J555" s="71">
        <f>VLOOKUP(B555,'114+320'!$B$15:$AB$785,13,FALSE)</f>
        <v>-693</v>
      </c>
      <c r="K555" s="66">
        <f>'114+320'!Q556</f>
        <v>8</v>
      </c>
      <c r="L555" s="65">
        <f t="shared" si="111"/>
        <v>513</v>
      </c>
      <c r="M555" s="70">
        <f>VLOOKUP(B555,'114+320'!$B$14:$AB$785,21,FALSE)</f>
        <v>3554</v>
      </c>
      <c r="N555" s="69">
        <f>VLOOKUP(B555,'114+320'!$B$15:$AB$785,5,FALSE)</f>
        <v>868</v>
      </c>
      <c r="O555" s="68">
        <f t="shared" si="107"/>
        <v>2284</v>
      </c>
      <c r="P555" s="71">
        <f>VLOOKUP(B555,'114+320'!$B$15:$AB$785,14,FALSE)</f>
        <v>-716</v>
      </c>
      <c r="Q555" s="66">
        <f>'114+320'!R556</f>
        <v>9</v>
      </c>
      <c r="R555" s="65">
        <f t="shared" si="112"/>
        <v>536</v>
      </c>
      <c r="S555" s="70">
        <f>VLOOKUP(B555,'114+320'!$B$14:$AB$785,22,FALSE)</f>
        <v>3628</v>
      </c>
      <c r="T555" s="69">
        <f>VLOOKUP(B555,'114+320'!$B$15:$AB$785,6,FALSE)</f>
        <v>734</v>
      </c>
      <c r="U555" s="68">
        <f t="shared" si="108"/>
        <v>2418</v>
      </c>
      <c r="V555" s="67">
        <f>VLOOKUP(B555,'114+320'!$B$15:$AB$785,15,FALSE)</f>
        <v>-582</v>
      </c>
      <c r="W555" s="66">
        <f>'114+320'!S556</f>
        <v>9</v>
      </c>
      <c r="X555" s="65">
        <f t="shared" si="113"/>
        <v>462</v>
      </c>
      <c r="Y555" s="64">
        <f t="shared" si="114"/>
        <v>-9</v>
      </c>
      <c r="Z555" s="63">
        <f t="shared" si="115"/>
        <v>0</v>
      </c>
      <c r="AA555" s="62">
        <f t="shared" si="116"/>
        <v>4.0990000000000002</v>
      </c>
      <c r="AB555" s="62">
        <f t="shared" si="117"/>
        <v>3.198</v>
      </c>
    </row>
    <row r="556" spans="2:28">
      <c r="B556" s="106">
        <f>'114+320'!B557</f>
        <v>45586</v>
      </c>
      <c r="C556" s="75">
        <f t="shared" si="109"/>
        <v>1</v>
      </c>
      <c r="D556" s="74">
        <f t="shared" si="110"/>
        <v>842</v>
      </c>
      <c r="E556" s="73">
        <f>VLOOKUP(B556,'114+320'!B557:AB943,3,FALSE)</f>
        <v>2312</v>
      </c>
      <c r="F556" s="69">
        <f t="shared" si="105"/>
        <v>3154</v>
      </c>
      <c r="G556" s="72">
        <f>VLOOKUP(B556,'114+320'!$B$15:$AB$785,20,FALSE)</f>
        <v>3568</v>
      </c>
      <c r="H556" s="72">
        <f>VLOOKUP(B556,'114+320'!$B$15:$AB$785,4,FALSE)</f>
        <v>856</v>
      </c>
      <c r="I556" s="68">
        <f t="shared" si="106"/>
        <v>2298</v>
      </c>
      <c r="J556" s="71">
        <f>VLOOKUP(B556,'114+320'!$B$15:$AB$785,13,FALSE)</f>
        <v>-702</v>
      </c>
      <c r="K556" s="66">
        <f>'114+320'!Q557</f>
        <v>9</v>
      </c>
      <c r="L556" s="65">
        <f t="shared" si="111"/>
        <v>522</v>
      </c>
      <c r="M556" s="70">
        <f>VLOOKUP(B556,'114+320'!$B$14:$AB$785,21,FALSE)</f>
        <v>3546</v>
      </c>
      <c r="N556" s="69">
        <f>VLOOKUP(B556,'114+320'!$B$15:$AB$785,5,FALSE)</f>
        <v>878</v>
      </c>
      <c r="O556" s="68">
        <f t="shared" si="107"/>
        <v>2276</v>
      </c>
      <c r="P556" s="71">
        <f>VLOOKUP(B556,'114+320'!$B$15:$AB$785,14,FALSE)</f>
        <v>-724</v>
      </c>
      <c r="Q556" s="66">
        <f>'114+320'!R557</f>
        <v>8</v>
      </c>
      <c r="R556" s="65">
        <f t="shared" si="112"/>
        <v>544</v>
      </c>
      <c r="S556" s="70">
        <f>VLOOKUP(B556,'114+320'!$B$14:$AB$785,22,FALSE)</f>
        <v>3620</v>
      </c>
      <c r="T556" s="69">
        <f>VLOOKUP(B556,'114+320'!$B$15:$AB$785,6,FALSE)</f>
        <v>744</v>
      </c>
      <c r="U556" s="68">
        <f t="shared" si="108"/>
        <v>2410</v>
      </c>
      <c r="V556" s="67">
        <f>VLOOKUP(B556,'114+320'!$B$15:$AB$785,15,FALSE)</f>
        <v>-590</v>
      </c>
      <c r="W556" s="66">
        <f>'114+320'!S557</f>
        <v>8</v>
      </c>
      <c r="X556" s="65">
        <f t="shared" si="113"/>
        <v>470</v>
      </c>
      <c r="Y556" s="64">
        <f t="shared" si="114"/>
        <v>-8</v>
      </c>
      <c r="Z556" s="63">
        <f t="shared" si="115"/>
        <v>0</v>
      </c>
      <c r="AA556" s="62">
        <f t="shared" si="116"/>
        <v>4.0990000000000002</v>
      </c>
      <c r="AB556" s="62">
        <f t="shared" si="117"/>
        <v>3.1819999999999999</v>
      </c>
    </row>
    <row r="557" spans="2:28">
      <c r="B557" s="106">
        <f>'114+320'!B558</f>
        <v>45587</v>
      </c>
      <c r="C557" s="75">
        <f t="shared" si="109"/>
        <v>1</v>
      </c>
      <c r="D557" s="74">
        <f t="shared" si="110"/>
        <v>842</v>
      </c>
      <c r="E557" s="73">
        <f>VLOOKUP(B557,'114+320'!B558:AB944,3,FALSE)</f>
        <v>2314</v>
      </c>
      <c r="F557" s="69">
        <f t="shared" si="105"/>
        <v>3156</v>
      </c>
      <c r="G557" s="72">
        <f>VLOOKUP(B557,'114+320'!$B$15:$AB$785,20,FALSE)</f>
        <v>3560</v>
      </c>
      <c r="H557" s="72">
        <f>VLOOKUP(B557,'114+320'!$B$15:$AB$785,4,FALSE)</f>
        <v>866</v>
      </c>
      <c r="I557" s="68">
        <f t="shared" si="106"/>
        <v>2290</v>
      </c>
      <c r="J557" s="71">
        <f>VLOOKUP(B557,'114+320'!$B$15:$AB$785,13,FALSE)</f>
        <v>-710</v>
      </c>
      <c r="K557" s="66">
        <f>'114+320'!Q558</f>
        <v>8</v>
      </c>
      <c r="L557" s="65">
        <f t="shared" si="111"/>
        <v>530</v>
      </c>
      <c r="M557" s="70">
        <f>VLOOKUP(B557,'114+320'!$B$14:$AB$785,21,FALSE)</f>
        <v>3538</v>
      </c>
      <c r="N557" s="69">
        <f>VLOOKUP(B557,'114+320'!$B$15:$AB$785,5,FALSE)</f>
        <v>888</v>
      </c>
      <c r="O557" s="68">
        <f t="shared" si="107"/>
        <v>2268</v>
      </c>
      <c r="P557" s="71">
        <f>VLOOKUP(B557,'114+320'!$B$15:$AB$785,14,FALSE)</f>
        <v>-732</v>
      </c>
      <c r="Q557" s="66">
        <f>'114+320'!R558</f>
        <v>8</v>
      </c>
      <c r="R557" s="65">
        <f t="shared" si="112"/>
        <v>552</v>
      </c>
      <c r="S557" s="70">
        <f>VLOOKUP(B557,'114+320'!$B$14:$AB$785,22,FALSE)</f>
        <v>3613</v>
      </c>
      <c r="T557" s="69">
        <f>VLOOKUP(B557,'114+320'!$B$15:$AB$785,6,FALSE)</f>
        <v>753</v>
      </c>
      <c r="U557" s="68">
        <f t="shared" si="108"/>
        <v>2403</v>
      </c>
      <c r="V557" s="67">
        <f>VLOOKUP(B557,'114+320'!$B$15:$AB$785,15,FALSE)</f>
        <v>-597</v>
      </c>
      <c r="W557" s="66">
        <f>'114+320'!S558</f>
        <v>7</v>
      </c>
      <c r="X557" s="65">
        <f t="shared" si="113"/>
        <v>477</v>
      </c>
      <c r="Y557" s="64">
        <f t="shared" si="114"/>
        <v>-7</v>
      </c>
      <c r="Z557" s="63">
        <f t="shared" si="115"/>
        <v>0</v>
      </c>
      <c r="AA557" s="62">
        <f t="shared" si="116"/>
        <v>4.0990000000000002</v>
      </c>
      <c r="AB557" s="62">
        <f t="shared" si="117"/>
        <v>3.1659999999999999</v>
      </c>
    </row>
    <row r="558" spans="2:28">
      <c r="B558" s="106">
        <f>'114+320'!B559</f>
        <v>45588</v>
      </c>
      <c r="C558" s="75">
        <f t="shared" si="109"/>
        <v>1</v>
      </c>
      <c r="D558" s="74">
        <f t="shared" si="110"/>
        <v>842</v>
      </c>
      <c r="E558" s="73">
        <f>VLOOKUP(B558,'114+320'!B559:AB945,3,FALSE)</f>
        <v>2316</v>
      </c>
      <c r="F558" s="69">
        <f t="shared" si="105"/>
        <v>3158</v>
      </c>
      <c r="G558" s="72">
        <f>VLOOKUP(B558,'114+320'!$B$15:$AB$785,20,FALSE)</f>
        <v>3551</v>
      </c>
      <c r="H558" s="72">
        <f>VLOOKUP(B558,'114+320'!$B$15:$AB$785,4,FALSE)</f>
        <v>877</v>
      </c>
      <c r="I558" s="68">
        <f t="shared" si="106"/>
        <v>2281</v>
      </c>
      <c r="J558" s="71">
        <f>VLOOKUP(B558,'114+320'!$B$15:$AB$785,13,FALSE)</f>
        <v>-719</v>
      </c>
      <c r="K558" s="66">
        <f>'114+320'!Q559</f>
        <v>9</v>
      </c>
      <c r="L558" s="65">
        <f t="shared" si="111"/>
        <v>539</v>
      </c>
      <c r="M558" s="70">
        <f>VLOOKUP(B558,'114+320'!$B$14:$AB$785,21,FALSE)</f>
        <v>3529</v>
      </c>
      <c r="N558" s="69">
        <f>VLOOKUP(B558,'114+320'!$B$15:$AB$785,5,FALSE)</f>
        <v>899</v>
      </c>
      <c r="O558" s="68">
        <f t="shared" si="107"/>
        <v>2259</v>
      </c>
      <c r="P558" s="71">
        <f>VLOOKUP(B558,'114+320'!$B$15:$AB$785,14,FALSE)</f>
        <v>-741</v>
      </c>
      <c r="Q558" s="66">
        <f>'114+320'!R559</f>
        <v>9</v>
      </c>
      <c r="R558" s="65">
        <f t="shared" si="112"/>
        <v>561</v>
      </c>
      <c r="S558" s="70">
        <f>VLOOKUP(B558,'114+320'!$B$14:$AB$785,22,FALSE)</f>
        <v>3604</v>
      </c>
      <c r="T558" s="69">
        <f>VLOOKUP(B558,'114+320'!$B$15:$AB$785,6,FALSE)</f>
        <v>764</v>
      </c>
      <c r="U558" s="68">
        <f t="shared" si="108"/>
        <v>2394</v>
      </c>
      <c r="V558" s="67">
        <f>VLOOKUP(B558,'114+320'!$B$15:$AB$785,15,FALSE)</f>
        <v>-606</v>
      </c>
      <c r="W558" s="66">
        <f>'114+320'!S559</f>
        <v>9</v>
      </c>
      <c r="X558" s="65">
        <f t="shared" si="113"/>
        <v>486</v>
      </c>
      <c r="Y558" s="64">
        <f t="shared" si="114"/>
        <v>-9</v>
      </c>
      <c r="Z558" s="63">
        <f t="shared" si="115"/>
        <v>0</v>
      </c>
      <c r="AA558" s="62">
        <f t="shared" si="116"/>
        <v>4.0990000000000002</v>
      </c>
      <c r="AB558" s="62">
        <f t="shared" si="117"/>
        <v>3.1480000000000001</v>
      </c>
    </row>
    <row r="559" spans="2:28">
      <c r="B559" s="106">
        <f>'114+320'!B560</f>
        <v>45589</v>
      </c>
      <c r="C559" s="75">
        <f t="shared" si="109"/>
        <v>1</v>
      </c>
      <c r="D559" s="74">
        <f t="shared" si="110"/>
        <v>842</v>
      </c>
      <c r="E559" s="73">
        <f>VLOOKUP(B559,'114+320'!B560:AB946,3,FALSE)</f>
        <v>2318</v>
      </c>
      <c r="F559" s="69">
        <f t="shared" si="105"/>
        <v>3160</v>
      </c>
      <c r="G559" s="72">
        <f>VLOOKUP(B559,'114+320'!$B$15:$AB$785,20,FALSE)</f>
        <v>3543</v>
      </c>
      <c r="H559" s="72">
        <f>VLOOKUP(B559,'114+320'!$B$15:$AB$785,4,FALSE)</f>
        <v>887</v>
      </c>
      <c r="I559" s="68">
        <f t="shared" si="106"/>
        <v>2273</v>
      </c>
      <c r="J559" s="71">
        <f>VLOOKUP(B559,'114+320'!$B$15:$AB$785,13,FALSE)</f>
        <v>-727</v>
      </c>
      <c r="K559" s="66">
        <f>'114+320'!Q560</f>
        <v>8</v>
      </c>
      <c r="L559" s="65">
        <f t="shared" si="111"/>
        <v>547</v>
      </c>
      <c r="M559" s="70">
        <f>VLOOKUP(B559,'114+320'!$B$14:$AB$785,21,FALSE)</f>
        <v>3521</v>
      </c>
      <c r="N559" s="69">
        <f>VLOOKUP(B559,'114+320'!$B$15:$AB$785,5,FALSE)</f>
        <v>909</v>
      </c>
      <c r="O559" s="68">
        <f t="shared" si="107"/>
        <v>2251</v>
      </c>
      <c r="P559" s="71">
        <f>VLOOKUP(B559,'114+320'!$B$15:$AB$785,14,FALSE)</f>
        <v>-749</v>
      </c>
      <c r="Q559" s="66">
        <f>'114+320'!R560</f>
        <v>8</v>
      </c>
      <c r="R559" s="65">
        <f t="shared" si="112"/>
        <v>569</v>
      </c>
      <c r="S559" s="70">
        <f>VLOOKUP(B559,'114+320'!$B$14:$AB$785,22,FALSE)</f>
        <v>3596</v>
      </c>
      <c r="T559" s="69">
        <f>VLOOKUP(B559,'114+320'!$B$15:$AB$785,6,FALSE)</f>
        <v>774</v>
      </c>
      <c r="U559" s="68">
        <f t="shared" si="108"/>
        <v>2386</v>
      </c>
      <c r="V559" s="67">
        <f>VLOOKUP(B559,'114+320'!$B$15:$AB$785,15,FALSE)</f>
        <v>-614</v>
      </c>
      <c r="W559" s="66">
        <f>'114+320'!S560</f>
        <v>8</v>
      </c>
      <c r="X559" s="65">
        <f t="shared" si="113"/>
        <v>494</v>
      </c>
      <c r="Y559" s="64">
        <f t="shared" si="114"/>
        <v>-8</v>
      </c>
      <c r="Z559" s="63">
        <f t="shared" si="115"/>
        <v>0</v>
      </c>
      <c r="AA559" s="62">
        <f t="shared" si="116"/>
        <v>4.0990000000000002</v>
      </c>
      <c r="AB559" s="62">
        <f t="shared" si="117"/>
        <v>3.1320000000000001</v>
      </c>
    </row>
    <row r="560" spans="2:28">
      <c r="B560" s="106">
        <f>'114+320'!B561</f>
        <v>45590</v>
      </c>
      <c r="C560" s="75">
        <f t="shared" si="109"/>
        <v>1</v>
      </c>
      <c r="D560" s="74">
        <f t="shared" si="110"/>
        <v>842</v>
      </c>
      <c r="E560" s="73">
        <f>VLOOKUP(B560,'114+320'!B561:AB947,3,FALSE)</f>
        <v>2320</v>
      </c>
      <c r="F560" s="69">
        <f t="shared" si="105"/>
        <v>3162</v>
      </c>
      <c r="G560" s="72">
        <f>VLOOKUP(B560,'114+320'!$B$15:$AB$785,20,FALSE)</f>
        <v>3534</v>
      </c>
      <c r="H560" s="72">
        <f>VLOOKUP(B560,'114+320'!$B$15:$AB$785,4,FALSE)</f>
        <v>898</v>
      </c>
      <c r="I560" s="68">
        <f t="shared" si="106"/>
        <v>2264</v>
      </c>
      <c r="J560" s="71">
        <f>VLOOKUP(B560,'114+320'!$B$15:$AB$785,13,FALSE)</f>
        <v>-736</v>
      </c>
      <c r="K560" s="66">
        <f>'114+320'!Q561</f>
        <v>9</v>
      </c>
      <c r="L560" s="65">
        <f t="shared" si="111"/>
        <v>556</v>
      </c>
      <c r="M560" s="70">
        <f>VLOOKUP(B560,'114+320'!$B$14:$AB$785,21,FALSE)</f>
        <v>3512</v>
      </c>
      <c r="N560" s="69">
        <f>VLOOKUP(B560,'114+320'!$B$15:$AB$785,5,FALSE)</f>
        <v>920</v>
      </c>
      <c r="O560" s="68">
        <f t="shared" si="107"/>
        <v>2242</v>
      </c>
      <c r="P560" s="71">
        <f>VLOOKUP(B560,'114+320'!$B$15:$AB$785,14,FALSE)</f>
        <v>-758</v>
      </c>
      <c r="Q560" s="66">
        <f>'114+320'!R561</f>
        <v>9</v>
      </c>
      <c r="R560" s="65">
        <f t="shared" si="112"/>
        <v>578</v>
      </c>
      <c r="S560" s="70">
        <f>VLOOKUP(B560,'114+320'!$B$14:$AB$785,22,FALSE)</f>
        <v>3589</v>
      </c>
      <c r="T560" s="69">
        <f>VLOOKUP(B560,'114+320'!$B$15:$AB$785,6,FALSE)</f>
        <v>783</v>
      </c>
      <c r="U560" s="68">
        <f t="shared" si="108"/>
        <v>2379</v>
      </c>
      <c r="V560" s="67">
        <f>VLOOKUP(B560,'114+320'!$B$15:$AB$785,15,FALSE)</f>
        <v>-621</v>
      </c>
      <c r="W560" s="66">
        <f>'114+320'!S561</f>
        <v>7</v>
      </c>
      <c r="X560" s="65">
        <f t="shared" si="113"/>
        <v>501</v>
      </c>
      <c r="Y560" s="64">
        <f t="shared" si="114"/>
        <v>-7</v>
      </c>
      <c r="Z560" s="63">
        <f t="shared" si="115"/>
        <v>0</v>
      </c>
      <c r="AA560" s="62">
        <f t="shared" si="116"/>
        <v>4.0990000000000002</v>
      </c>
      <c r="AB560" s="62">
        <f t="shared" si="117"/>
        <v>3.1139999999999999</v>
      </c>
    </row>
    <row r="561" spans="2:28">
      <c r="B561" s="106">
        <f>'114+320'!B562</f>
        <v>45591</v>
      </c>
      <c r="C561" s="75">
        <f t="shared" si="109"/>
        <v>1</v>
      </c>
      <c r="D561" s="74">
        <f t="shared" si="110"/>
        <v>842</v>
      </c>
      <c r="E561" s="73">
        <f>VLOOKUP(B561,'114+320'!B562:AB948,3,FALSE)</f>
        <v>2322</v>
      </c>
      <c r="F561" s="69">
        <f t="shared" si="105"/>
        <v>3164</v>
      </c>
      <c r="G561" s="72">
        <f>VLOOKUP(B561,'114+320'!$B$15:$AB$785,20,FALSE)</f>
        <v>3526</v>
      </c>
      <c r="H561" s="72">
        <f>VLOOKUP(B561,'114+320'!$B$15:$AB$785,4,FALSE)</f>
        <v>908</v>
      </c>
      <c r="I561" s="68">
        <f t="shared" si="106"/>
        <v>2256</v>
      </c>
      <c r="J561" s="71">
        <f>VLOOKUP(B561,'114+320'!$B$15:$AB$785,13,FALSE)</f>
        <v>-744</v>
      </c>
      <c r="K561" s="66">
        <f>'114+320'!Q562</f>
        <v>8</v>
      </c>
      <c r="L561" s="65">
        <f t="shared" si="111"/>
        <v>564</v>
      </c>
      <c r="M561" s="70">
        <f>VLOOKUP(B561,'114+320'!$B$14:$AB$785,21,FALSE)</f>
        <v>3504</v>
      </c>
      <c r="N561" s="69">
        <f>VLOOKUP(B561,'114+320'!$B$15:$AB$785,5,FALSE)</f>
        <v>930</v>
      </c>
      <c r="O561" s="68">
        <f t="shared" si="107"/>
        <v>2234</v>
      </c>
      <c r="P561" s="71">
        <f>VLOOKUP(B561,'114+320'!$B$15:$AB$785,14,FALSE)</f>
        <v>-766</v>
      </c>
      <c r="Q561" s="66">
        <f>'114+320'!R562</f>
        <v>8</v>
      </c>
      <c r="R561" s="65">
        <f t="shared" si="112"/>
        <v>586</v>
      </c>
      <c r="S561" s="70">
        <f>VLOOKUP(B561,'114+320'!$B$14:$AB$785,22,FALSE)</f>
        <v>3582</v>
      </c>
      <c r="T561" s="69">
        <f>VLOOKUP(B561,'114+320'!$B$15:$AB$785,6,FALSE)</f>
        <v>792</v>
      </c>
      <c r="U561" s="68">
        <f t="shared" si="108"/>
        <v>2372</v>
      </c>
      <c r="V561" s="67">
        <f>VLOOKUP(B561,'114+320'!$B$15:$AB$785,15,FALSE)</f>
        <v>-628</v>
      </c>
      <c r="W561" s="66">
        <f>'114+320'!S562</f>
        <v>7</v>
      </c>
      <c r="X561" s="65">
        <f t="shared" si="113"/>
        <v>508</v>
      </c>
      <c r="Y561" s="64">
        <f t="shared" si="114"/>
        <v>-7</v>
      </c>
      <c r="Z561" s="63">
        <f t="shared" si="115"/>
        <v>0</v>
      </c>
      <c r="AA561" s="62">
        <f t="shared" si="116"/>
        <v>4.0990000000000002</v>
      </c>
      <c r="AB561" s="62">
        <f t="shared" si="117"/>
        <v>3.0979999999999999</v>
      </c>
    </row>
    <row r="562" spans="2:28">
      <c r="B562" s="106">
        <f>'114+320'!B563</f>
        <v>45592</v>
      </c>
      <c r="C562" s="75">
        <f t="shared" si="109"/>
        <v>1</v>
      </c>
      <c r="D562" s="74">
        <f t="shared" si="110"/>
        <v>842</v>
      </c>
      <c r="E562" s="73">
        <f>VLOOKUP(B562,'114+320'!B563:AB949,3,FALSE)</f>
        <v>2324</v>
      </c>
      <c r="F562" s="69">
        <f t="shared" si="105"/>
        <v>3166</v>
      </c>
      <c r="G562" s="72">
        <f>VLOOKUP(B562,'114+320'!$B$15:$AB$785,20,FALSE)</f>
        <v>3519</v>
      </c>
      <c r="H562" s="72">
        <f>VLOOKUP(B562,'114+320'!$B$15:$AB$785,4,FALSE)</f>
        <v>917</v>
      </c>
      <c r="I562" s="68">
        <f t="shared" si="106"/>
        <v>2249</v>
      </c>
      <c r="J562" s="71">
        <f>VLOOKUP(B562,'114+320'!$B$15:$AB$785,13,FALSE)</f>
        <v>-751</v>
      </c>
      <c r="K562" s="66">
        <f>'114+320'!Q563</f>
        <v>7</v>
      </c>
      <c r="L562" s="65">
        <f t="shared" si="111"/>
        <v>571</v>
      </c>
      <c r="M562" s="70">
        <f>VLOOKUP(B562,'114+320'!$B$14:$AB$785,21,FALSE)</f>
        <v>3497</v>
      </c>
      <c r="N562" s="69">
        <f>VLOOKUP(B562,'114+320'!$B$15:$AB$785,5,FALSE)</f>
        <v>939</v>
      </c>
      <c r="O562" s="68">
        <f t="shared" si="107"/>
        <v>2227</v>
      </c>
      <c r="P562" s="71">
        <f>VLOOKUP(B562,'114+320'!$B$15:$AB$785,14,FALSE)</f>
        <v>-773</v>
      </c>
      <c r="Q562" s="66">
        <f>'114+320'!R563</f>
        <v>7</v>
      </c>
      <c r="R562" s="65">
        <f t="shared" si="112"/>
        <v>593</v>
      </c>
      <c r="S562" s="70">
        <f>VLOOKUP(B562,'114+320'!$B$14:$AB$785,22,FALSE)</f>
        <v>3575</v>
      </c>
      <c r="T562" s="69">
        <f>VLOOKUP(B562,'114+320'!$B$15:$AB$785,6,FALSE)</f>
        <v>801</v>
      </c>
      <c r="U562" s="68">
        <f t="shared" si="108"/>
        <v>2365</v>
      </c>
      <c r="V562" s="67">
        <f>VLOOKUP(B562,'114+320'!$B$15:$AB$785,15,FALSE)</f>
        <v>-635</v>
      </c>
      <c r="W562" s="66">
        <f>'114+320'!S563</f>
        <v>7</v>
      </c>
      <c r="X562" s="65">
        <f t="shared" si="113"/>
        <v>515</v>
      </c>
      <c r="Y562" s="64">
        <f t="shared" si="114"/>
        <v>-7</v>
      </c>
      <c r="Z562" s="63">
        <f t="shared" si="115"/>
        <v>0</v>
      </c>
      <c r="AA562" s="62">
        <f t="shared" si="116"/>
        <v>4.0990000000000002</v>
      </c>
      <c r="AB562" s="62">
        <f t="shared" si="117"/>
        <v>3.0840000000000001</v>
      </c>
    </row>
    <row r="563" spans="2:28">
      <c r="B563" s="106">
        <f>'114+320'!B564</f>
        <v>45593</v>
      </c>
      <c r="C563" s="75">
        <f t="shared" si="109"/>
        <v>1</v>
      </c>
      <c r="D563" s="74">
        <f t="shared" si="110"/>
        <v>842</v>
      </c>
      <c r="E563" s="73">
        <f>VLOOKUP(B563,'114+320'!B564:AB950,3,FALSE)</f>
        <v>2326</v>
      </c>
      <c r="F563" s="69">
        <f t="shared" si="105"/>
        <v>3168</v>
      </c>
      <c r="G563" s="72">
        <f>VLOOKUP(B563,'114+320'!$B$15:$AB$785,20,FALSE)</f>
        <v>3514</v>
      </c>
      <c r="H563" s="72">
        <f>VLOOKUP(B563,'114+320'!$B$15:$AB$785,4,FALSE)</f>
        <v>924</v>
      </c>
      <c r="I563" s="68">
        <f t="shared" si="106"/>
        <v>2244</v>
      </c>
      <c r="J563" s="71">
        <f>VLOOKUP(B563,'114+320'!$B$15:$AB$785,13,FALSE)</f>
        <v>-756</v>
      </c>
      <c r="K563" s="66">
        <f>'114+320'!Q564</f>
        <v>5</v>
      </c>
      <c r="L563" s="65">
        <f t="shared" si="111"/>
        <v>576</v>
      </c>
      <c r="M563" s="70">
        <f>VLOOKUP(B563,'114+320'!$B$14:$AB$785,21,FALSE)</f>
        <v>3488</v>
      </c>
      <c r="N563" s="69">
        <f>VLOOKUP(B563,'114+320'!$B$15:$AB$785,5,FALSE)</f>
        <v>950</v>
      </c>
      <c r="O563" s="68">
        <f t="shared" si="107"/>
        <v>2218</v>
      </c>
      <c r="P563" s="71">
        <f>VLOOKUP(B563,'114+320'!$B$15:$AB$785,14,FALSE)</f>
        <v>-782</v>
      </c>
      <c r="Q563" s="66">
        <f>'114+320'!R564</f>
        <v>9</v>
      </c>
      <c r="R563" s="65">
        <f t="shared" si="112"/>
        <v>602</v>
      </c>
      <c r="S563" s="70">
        <f>VLOOKUP(B563,'114+320'!$B$14:$AB$785,22,FALSE)</f>
        <v>3566</v>
      </c>
      <c r="T563" s="69">
        <f>VLOOKUP(B563,'114+320'!$B$15:$AB$785,6,FALSE)</f>
        <v>812</v>
      </c>
      <c r="U563" s="68">
        <f t="shared" si="108"/>
        <v>2356</v>
      </c>
      <c r="V563" s="67">
        <f>VLOOKUP(B563,'114+320'!$B$15:$AB$785,15,FALSE)</f>
        <v>-644</v>
      </c>
      <c r="W563" s="66">
        <f>'114+320'!S564</f>
        <v>9</v>
      </c>
      <c r="X563" s="65">
        <f t="shared" si="113"/>
        <v>524</v>
      </c>
      <c r="Y563" s="64">
        <f t="shared" si="114"/>
        <v>-9</v>
      </c>
      <c r="Z563" s="63">
        <f t="shared" si="115"/>
        <v>0</v>
      </c>
      <c r="AA563" s="62">
        <f t="shared" si="116"/>
        <v>4.0990000000000002</v>
      </c>
      <c r="AB563" s="62">
        <f t="shared" si="117"/>
        <v>3.0659999999999998</v>
      </c>
    </row>
    <row r="564" spans="2:28">
      <c r="B564" s="106">
        <f>'114+320'!B565</f>
        <v>45594</v>
      </c>
      <c r="C564" s="75">
        <f t="shared" si="109"/>
        <v>1</v>
      </c>
      <c r="D564" s="74">
        <f t="shared" si="110"/>
        <v>842</v>
      </c>
      <c r="E564" s="73">
        <f>VLOOKUP(B564,'114+320'!B565:AB951,3,FALSE)</f>
        <v>2328</v>
      </c>
      <c r="F564" s="69">
        <f t="shared" si="105"/>
        <v>3170</v>
      </c>
      <c r="G564" s="72">
        <f>VLOOKUP(B564,'114+320'!$B$15:$AB$785,20,FALSE)</f>
        <v>3509</v>
      </c>
      <c r="H564" s="72">
        <f>VLOOKUP(B564,'114+320'!$B$15:$AB$785,4,FALSE)</f>
        <v>931</v>
      </c>
      <c r="I564" s="68">
        <f t="shared" si="106"/>
        <v>2239</v>
      </c>
      <c r="J564" s="71">
        <f>VLOOKUP(B564,'114+320'!$B$15:$AB$785,13,FALSE)</f>
        <v>-761</v>
      </c>
      <c r="K564" s="66">
        <f>'114+320'!Q565</f>
        <v>5</v>
      </c>
      <c r="L564" s="65">
        <f t="shared" si="111"/>
        <v>581</v>
      </c>
      <c r="M564" s="70">
        <f>VLOOKUP(B564,'114+320'!$B$14:$AB$785,21,FALSE)</f>
        <v>3480</v>
      </c>
      <c r="N564" s="69">
        <f>VLOOKUP(B564,'114+320'!$B$15:$AB$785,5,FALSE)</f>
        <v>960</v>
      </c>
      <c r="O564" s="68">
        <f t="shared" si="107"/>
        <v>2210</v>
      </c>
      <c r="P564" s="71">
        <f>VLOOKUP(B564,'114+320'!$B$15:$AB$785,14,FALSE)</f>
        <v>-790</v>
      </c>
      <c r="Q564" s="66">
        <f>'114+320'!R565</f>
        <v>8</v>
      </c>
      <c r="R564" s="65">
        <f t="shared" si="112"/>
        <v>610</v>
      </c>
      <c r="S564" s="70">
        <f>VLOOKUP(B564,'114+320'!$B$14:$AB$785,22,FALSE)</f>
        <v>3558</v>
      </c>
      <c r="T564" s="69">
        <f>VLOOKUP(B564,'114+320'!$B$15:$AB$785,6,FALSE)</f>
        <v>822</v>
      </c>
      <c r="U564" s="68">
        <f t="shared" si="108"/>
        <v>2348</v>
      </c>
      <c r="V564" s="67">
        <f>VLOOKUP(B564,'114+320'!$B$15:$AB$785,15,FALSE)</f>
        <v>-652</v>
      </c>
      <c r="W564" s="66">
        <f>'114+320'!S565</f>
        <v>8</v>
      </c>
      <c r="X564" s="65">
        <f t="shared" si="113"/>
        <v>532</v>
      </c>
      <c r="Y564" s="64">
        <f t="shared" si="114"/>
        <v>-8</v>
      </c>
      <c r="Z564" s="63">
        <f t="shared" si="115"/>
        <v>0</v>
      </c>
      <c r="AA564" s="62">
        <f t="shared" si="116"/>
        <v>4.0990000000000002</v>
      </c>
      <c r="AB564" s="62">
        <f t="shared" si="117"/>
        <v>3.05</v>
      </c>
    </row>
    <row r="565" spans="2:28">
      <c r="B565" s="106">
        <f>'114+320'!B566</f>
        <v>45595</v>
      </c>
      <c r="C565" s="75">
        <f t="shared" si="109"/>
        <v>1</v>
      </c>
      <c r="D565" s="74">
        <f t="shared" si="110"/>
        <v>842</v>
      </c>
      <c r="E565" s="73">
        <f>VLOOKUP(B565,'114+320'!B566:AB952,3,FALSE)</f>
        <v>2330</v>
      </c>
      <c r="F565" s="69">
        <f t="shared" si="105"/>
        <v>3172</v>
      </c>
      <c r="G565" s="72">
        <f>VLOOKUP(B565,'114+320'!$B$15:$AB$785,20,FALSE)</f>
        <v>3505</v>
      </c>
      <c r="H565" s="72">
        <f>VLOOKUP(B565,'114+320'!$B$15:$AB$785,4,FALSE)</f>
        <v>937</v>
      </c>
      <c r="I565" s="68">
        <f t="shared" si="106"/>
        <v>2235</v>
      </c>
      <c r="J565" s="71">
        <f>VLOOKUP(B565,'114+320'!$B$15:$AB$785,13,FALSE)</f>
        <v>-765</v>
      </c>
      <c r="K565" s="66">
        <f>'114+320'!Q566</f>
        <v>4</v>
      </c>
      <c r="L565" s="65">
        <f t="shared" si="111"/>
        <v>585</v>
      </c>
      <c r="M565" s="70">
        <f>VLOOKUP(B565,'114+320'!$B$14:$AB$785,21,FALSE)</f>
        <v>3473</v>
      </c>
      <c r="N565" s="69">
        <f>VLOOKUP(B565,'114+320'!$B$15:$AB$785,5,FALSE)</f>
        <v>969</v>
      </c>
      <c r="O565" s="68">
        <f t="shared" si="107"/>
        <v>2203</v>
      </c>
      <c r="P565" s="71">
        <f>VLOOKUP(B565,'114+320'!$B$15:$AB$785,14,FALSE)</f>
        <v>-797</v>
      </c>
      <c r="Q565" s="66">
        <f>'114+320'!R566</f>
        <v>7</v>
      </c>
      <c r="R565" s="65">
        <f t="shared" si="112"/>
        <v>617</v>
      </c>
      <c r="S565" s="70">
        <f>VLOOKUP(B565,'114+320'!$B$14:$AB$785,22,FALSE)</f>
        <v>3551</v>
      </c>
      <c r="T565" s="69">
        <f>VLOOKUP(B565,'114+320'!$B$15:$AB$785,6,FALSE)</f>
        <v>831</v>
      </c>
      <c r="U565" s="68">
        <f t="shared" si="108"/>
        <v>2341</v>
      </c>
      <c r="V565" s="67">
        <f>VLOOKUP(B565,'114+320'!$B$15:$AB$785,15,FALSE)</f>
        <v>-659</v>
      </c>
      <c r="W565" s="66">
        <f>'114+320'!S566</f>
        <v>7</v>
      </c>
      <c r="X565" s="65">
        <f t="shared" si="113"/>
        <v>539</v>
      </c>
      <c r="Y565" s="64">
        <f t="shared" si="114"/>
        <v>-7</v>
      </c>
      <c r="Z565" s="63">
        <f t="shared" si="115"/>
        <v>0</v>
      </c>
      <c r="AA565" s="62">
        <f t="shared" si="116"/>
        <v>4.0990000000000002</v>
      </c>
      <c r="AB565" s="62">
        <f t="shared" si="117"/>
        <v>3.036</v>
      </c>
    </row>
    <row r="566" spans="2:28">
      <c r="B566" s="106">
        <f>'114+320'!B567</f>
        <v>45596</v>
      </c>
      <c r="C566" s="75">
        <f t="shared" si="109"/>
        <v>1</v>
      </c>
      <c r="D566" s="74">
        <f t="shared" si="110"/>
        <v>842</v>
      </c>
      <c r="E566" s="73">
        <f>VLOOKUP(B566,'114+320'!B567:AB953,3,FALSE)</f>
        <v>2332</v>
      </c>
      <c r="F566" s="69">
        <f t="shared" si="105"/>
        <v>3174</v>
      </c>
      <c r="G566" s="72">
        <f>VLOOKUP(B566,'114+320'!$B$15:$AB$785,20,FALSE)</f>
        <v>3502</v>
      </c>
      <c r="H566" s="72">
        <f>VLOOKUP(B566,'114+320'!$B$15:$AB$785,4,FALSE)</f>
        <v>942</v>
      </c>
      <c r="I566" s="68">
        <f t="shared" si="106"/>
        <v>2232</v>
      </c>
      <c r="J566" s="71">
        <f>VLOOKUP(B566,'114+320'!$B$15:$AB$785,13,FALSE)</f>
        <v>-768</v>
      </c>
      <c r="K566" s="66">
        <f>'114+320'!Q567</f>
        <v>3</v>
      </c>
      <c r="L566" s="65">
        <f t="shared" si="111"/>
        <v>588</v>
      </c>
      <c r="M566" s="70">
        <f>VLOOKUP(B566,'114+320'!$B$14:$AB$785,21,FALSE)</f>
        <v>3466</v>
      </c>
      <c r="N566" s="69">
        <f>VLOOKUP(B566,'114+320'!$B$15:$AB$785,5,FALSE)</f>
        <v>978</v>
      </c>
      <c r="O566" s="68">
        <f t="shared" si="107"/>
        <v>2196</v>
      </c>
      <c r="P566" s="71">
        <f>VLOOKUP(B566,'114+320'!$B$15:$AB$785,14,FALSE)</f>
        <v>-804</v>
      </c>
      <c r="Q566" s="66">
        <f>'114+320'!R567</f>
        <v>7</v>
      </c>
      <c r="R566" s="65">
        <f t="shared" si="112"/>
        <v>624</v>
      </c>
      <c r="S566" s="70">
        <f>VLOOKUP(B566,'114+320'!$B$14:$AB$785,22,FALSE)</f>
        <v>3542</v>
      </c>
      <c r="T566" s="69">
        <f>VLOOKUP(B566,'114+320'!$B$15:$AB$785,6,FALSE)</f>
        <v>842</v>
      </c>
      <c r="U566" s="68">
        <f t="shared" si="108"/>
        <v>2332</v>
      </c>
      <c r="V566" s="67">
        <f>VLOOKUP(B566,'114+320'!$B$15:$AB$785,15,FALSE)</f>
        <v>-668</v>
      </c>
      <c r="W566" s="66">
        <f>'114+320'!S567</f>
        <v>9</v>
      </c>
      <c r="X566" s="65">
        <f t="shared" si="113"/>
        <v>548</v>
      </c>
      <c r="Y566" s="64">
        <f t="shared" si="114"/>
        <v>-9</v>
      </c>
      <c r="Z566" s="63">
        <f t="shared" si="115"/>
        <v>0</v>
      </c>
      <c r="AA566" s="62">
        <f t="shared" si="116"/>
        <v>4.0990000000000002</v>
      </c>
      <c r="AB566" s="62">
        <f t="shared" si="117"/>
        <v>3.0219999999999998</v>
      </c>
    </row>
    <row r="567" spans="2:28">
      <c r="B567" s="106">
        <f>'114+320'!B568</f>
        <v>45597</v>
      </c>
      <c r="C567" s="75">
        <f t="shared" si="109"/>
        <v>1</v>
      </c>
      <c r="D567" s="74">
        <f t="shared" si="110"/>
        <v>842</v>
      </c>
      <c r="E567" s="73">
        <f>VLOOKUP(B567,'114+320'!B568:AB954,3,FALSE)</f>
        <v>2334</v>
      </c>
      <c r="F567" s="69">
        <f t="shared" si="105"/>
        <v>3176</v>
      </c>
      <c r="G567" s="72">
        <f>VLOOKUP(B567,'114+320'!$B$15:$AB$785,20,FALSE)</f>
        <v>3500</v>
      </c>
      <c r="H567" s="72">
        <f>VLOOKUP(B567,'114+320'!$B$15:$AB$785,4,FALSE)</f>
        <v>946</v>
      </c>
      <c r="I567" s="68">
        <f t="shared" si="106"/>
        <v>2230</v>
      </c>
      <c r="J567" s="71">
        <f>VLOOKUP(B567,'114+320'!$B$15:$AB$785,13,FALSE)</f>
        <v>-770</v>
      </c>
      <c r="K567" s="66">
        <f>'114+320'!Q568</f>
        <v>2</v>
      </c>
      <c r="L567" s="65">
        <f t="shared" si="111"/>
        <v>590</v>
      </c>
      <c r="M567" s="70">
        <f>VLOOKUP(B567,'114+320'!$B$14:$AB$785,21,FALSE)</f>
        <v>3460</v>
      </c>
      <c r="N567" s="69">
        <f>VLOOKUP(B567,'114+320'!$B$15:$AB$785,5,FALSE)</f>
        <v>986</v>
      </c>
      <c r="O567" s="68">
        <f t="shared" si="107"/>
        <v>2190</v>
      </c>
      <c r="P567" s="71">
        <f>VLOOKUP(B567,'114+320'!$B$15:$AB$785,14,FALSE)</f>
        <v>-810</v>
      </c>
      <c r="Q567" s="66">
        <f>'114+320'!R568</f>
        <v>6</v>
      </c>
      <c r="R567" s="65">
        <f t="shared" si="112"/>
        <v>630</v>
      </c>
      <c r="S567" s="70">
        <f>VLOOKUP(B567,'114+320'!$B$14:$AB$785,22,FALSE)</f>
        <v>3534</v>
      </c>
      <c r="T567" s="69">
        <f>VLOOKUP(B567,'114+320'!$B$15:$AB$785,6,FALSE)</f>
        <v>852</v>
      </c>
      <c r="U567" s="68">
        <f t="shared" si="108"/>
        <v>2324</v>
      </c>
      <c r="V567" s="67">
        <f>VLOOKUP(B567,'114+320'!$B$15:$AB$785,15,FALSE)</f>
        <v>-676</v>
      </c>
      <c r="W567" s="66">
        <f>'114+320'!S568</f>
        <v>8</v>
      </c>
      <c r="X567" s="65">
        <f t="shared" si="113"/>
        <v>556</v>
      </c>
      <c r="Y567" s="64">
        <f t="shared" si="114"/>
        <v>-8</v>
      </c>
      <c r="Z567" s="63">
        <f t="shared" si="115"/>
        <v>0</v>
      </c>
      <c r="AA567" s="62">
        <f t="shared" si="116"/>
        <v>4.0990000000000002</v>
      </c>
      <c r="AB567" s="62">
        <f t="shared" si="117"/>
        <v>3.01</v>
      </c>
    </row>
    <row r="568" spans="2:28">
      <c r="B568" s="106">
        <f>'114+320'!B569</f>
        <v>45598</v>
      </c>
      <c r="C568" s="75">
        <f t="shared" si="109"/>
        <v>1</v>
      </c>
      <c r="D568" s="74">
        <f t="shared" si="110"/>
        <v>842</v>
      </c>
      <c r="E568" s="73">
        <f>VLOOKUP(B568,'114+320'!B569:AB955,3,FALSE)</f>
        <v>2336</v>
      </c>
      <c r="F568" s="69">
        <f t="shared" si="105"/>
        <v>3178</v>
      </c>
      <c r="G568" s="72">
        <f>VLOOKUP(B568,'114+320'!$B$15:$AB$785,20,FALSE)</f>
        <v>3496</v>
      </c>
      <c r="H568" s="72">
        <f>VLOOKUP(B568,'114+320'!$B$15:$AB$785,4,FALSE)</f>
        <v>952</v>
      </c>
      <c r="I568" s="68">
        <f t="shared" si="106"/>
        <v>2226</v>
      </c>
      <c r="J568" s="71">
        <f>VLOOKUP(B568,'114+320'!$B$15:$AB$785,13,FALSE)</f>
        <v>-774</v>
      </c>
      <c r="K568" s="66">
        <f>'114+320'!Q569</f>
        <v>4</v>
      </c>
      <c r="L568" s="65">
        <f t="shared" si="111"/>
        <v>594</v>
      </c>
      <c r="M568" s="70">
        <f>VLOOKUP(B568,'114+320'!$B$14:$AB$785,21,FALSE)</f>
        <v>3452</v>
      </c>
      <c r="N568" s="69">
        <f>VLOOKUP(B568,'114+320'!$B$15:$AB$785,5,FALSE)</f>
        <v>996</v>
      </c>
      <c r="O568" s="68">
        <f t="shared" si="107"/>
        <v>2182</v>
      </c>
      <c r="P568" s="71">
        <f>VLOOKUP(B568,'114+320'!$B$15:$AB$785,14,FALSE)</f>
        <v>-818</v>
      </c>
      <c r="Q568" s="66">
        <f>'114+320'!R569</f>
        <v>8</v>
      </c>
      <c r="R568" s="65">
        <f t="shared" si="112"/>
        <v>638</v>
      </c>
      <c r="S568" s="70">
        <f>VLOOKUP(B568,'114+320'!$B$14:$AB$785,22,FALSE)</f>
        <v>3527</v>
      </c>
      <c r="T568" s="69">
        <f>VLOOKUP(B568,'114+320'!$B$15:$AB$785,6,FALSE)</f>
        <v>861</v>
      </c>
      <c r="U568" s="68">
        <f t="shared" si="108"/>
        <v>2317</v>
      </c>
      <c r="V568" s="67">
        <f>VLOOKUP(B568,'114+320'!$B$15:$AB$785,15,FALSE)</f>
        <v>-683</v>
      </c>
      <c r="W568" s="66">
        <f>'114+320'!S569</f>
        <v>7</v>
      </c>
      <c r="X568" s="65">
        <f t="shared" si="113"/>
        <v>563</v>
      </c>
      <c r="Y568" s="64">
        <f t="shared" si="114"/>
        <v>-7</v>
      </c>
      <c r="Z568" s="63">
        <f t="shared" si="115"/>
        <v>0</v>
      </c>
      <c r="AA568" s="62">
        <f t="shared" si="116"/>
        <v>4.0990000000000002</v>
      </c>
      <c r="AB568" s="62">
        <f t="shared" si="117"/>
        <v>2.9940000000000002</v>
      </c>
    </row>
    <row r="569" spans="2:28">
      <c r="B569" s="106">
        <f>'114+320'!B570</f>
        <v>45599</v>
      </c>
      <c r="C569" s="75">
        <f t="shared" si="109"/>
        <v>1</v>
      </c>
      <c r="D569" s="74">
        <f t="shared" si="110"/>
        <v>842</v>
      </c>
      <c r="E569" s="73">
        <f>VLOOKUP(B569,'114+320'!B570:AB956,3,FALSE)</f>
        <v>2338</v>
      </c>
      <c r="F569" s="69">
        <f t="shared" si="105"/>
        <v>3180</v>
      </c>
      <c r="G569" s="72">
        <f>VLOOKUP(B569,'114+320'!$B$15:$AB$785,20,FALSE)</f>
        <v>3489</v>
      </c>
      <c r="H569" s="72">
        <f>VLOOKUP(B569,'114+320'!$B$15:$AB$785,4,FALSE)</f>
        <v>961</v>
      </c>
      <c r="I569" s="68">
        <f t="shared" si="106"/>
        <v>2219</v>
      </c>
      <c r="J569" s="71">
        <f>VLOOKUP(B569,'114+320'!$B$15:$AB$785,13,FALSE)</f>
        <v>-781</v>
      </c>
      <c r="K569" s="66">
        <f>'114+320'!Q570</f>
        <v>7</v>
      </c>
      <c r="L569" s="65">
        <f t="shared" si="111"/>
        <v>601</v>
      </c>
      <c r="M569" s="70">
        <f>VLOOKUP(B569,'114+320'!$B$14:$AB$785,21,FALSE)</f>
        <v>3445</v>
      </c>
      <c r="N569" s="69">
        <f>VLOOKUP(B569,'114+320'!$B$15:$AB$785,5,FALSE)</f>
        <v>1005</v>
      </c>
      <c r="O569" s="68">
        <f t="shared" si="107"/>
        <v>2175</v>
      </c>
      <c r="P569" s="71">
        <f>VLOOKUP(B569,'114+320'!$B$15:$AB$785,14,FALSE)</f>
        <v>-825</v>
      </c>
      <c r="Q569" s="66">
        <f>'114+320'!R570</f>
        <v>7</v>
      </c>
      <c r="R569" s="65">
        <f t="shared" si="112"/>
        <v>645</v>
      </c>
      <c r="S569" s="70">
        <f>VLOOKUP(B569,'114+320'!$B$14:$AB$785,22,FALSE)</f>
        <v>3523</v>
      </c>
      <c r="T569" s="69">
        <f>VLOOKUP(B569,'114+320'!$B$15:$AB$785,6,FALSE)</f>
        <v>867</v>
      </c>
      <c r="U569" s="68">
        <f t="shared" si="108"/>
        <v>2313</v>
      </c>
      <c r="V569" s="67">
        <f>VLOOKUP(B569,'114+320'!$B$15:$AB$785,15,FALSE)</f>
        <v>-687</v>
      </c>
      <c r="W569" s="66">
        <f>'114+320'!S570</f>
        <v>4</v>
      </c>
      <c r="X569" s="65">
        <f t="shared" si="113"/>
        <v>567</v>
      </c>
      <c r="Y569" s="64">
        <f t="shared" si="114"/>
        <v>-4</v>
      </c>
      <c r="Z569" s="63">
        <f t="shared" si="115"/>
        <v>0</v>
      </c>
      <c r="AA569" s="62">
        <f t="shared" si="116"/>
        <v>4.0990000000000002</v>
      </c>
      <c r="AB569" s="62">
        <f t="shared" si="117"/>
        <v>2.98</v>
      </c>
    </row>
    <row r="570" spans="2:28">
      <c r="B570" s="106">
        <f>'114+320'!B571</f>
        <v>45600</v>
      </c>
      <c r="C570" s="75">
        <f t="shared" si="109"/>
        <v>1</v>
      </c>
      <c r="D570" s="74">
        <f t="shared" si="110"/>
        <v>842</v>
      </c>
      <c r="E570" s="73">
        <f>VLOOKUP(B570,'114+320'!B571:AB957,3,FALSE)</f>
        <v>2340</v>
      </c>
      <c r="F570" s="69">
        <f t="shared" si="105"/>
        <v>3182</v>
      </c>
      <c r="G570" s="72">
        <f>VLOOKUP(B570,'114+320'!$B$15:$AB$785,20,FALSE)</f>
        <v>3484</v>
      </c>
      <c r="H570" s="72">
        <f>VLOOKUP(B570,'114+320'!$B$15:$AB$785,4,FALSE)</f>
        <v>968</v>
      </c>
      <c r="I570" s="68">
        <f t="shared" si="106"/>
        <v>2214</v>
      </c>
      <c r="J570" s="71">
        <f>VLOOKUP(B570,'114+320'!$B$15:$AB$785,13,FALSE)</f>
        <v>-786</v>
      </c>
      <c r="K570" s="66">
        <f>'114+320'!Q571</f>
        <v>5</v>
      </c>
      <c r="L570" s="65">
        <f t="shared" si="111"/>
        <v>606</v>
      </c>
      <c r="M570" s="70">
        <f>VLOOKUP(B570,'114+320'!$B$14:$AB$785,21,FALSE)</f>
        <v>3436</v>
      </c>
      <c r="N570" s="69">
        <f>VLOOKUP(B570,'114+320'!$B$15:$AB$785,5,FALSE)</f>
        <v>1016</v>
      </c>
      <c r="O570" s="68">
        <f t="shared" si="107"/>
        <v>2166</v>
      </c>
      <c r="P570" s="71">
        <f>VLOOKUP(B570,'114+320'!$B$15:$AB$785,14,FALSE)</f>
        <v>-834</v>
      </c>
      <c r="Q570" s="66">
        <f>'114+320'!R571</f>
        <v>9</v>
      </c>
      <c r="R570" s="65">
        <f t="shared" si="112"/>
        <v>654</v>
      </c>
      <c r="S570" s="70">
        <f>VLOOKUP(B570,'114+320'!$B$14:$AB$785,22,FALSE)</f>
        <v>3520</v>
      </c>
      <c r="T570" s="69">
        <f>VLOOKUP(B570,'114+320'!$B$15:$AB$785,6,FALSE)</f>
        <v>872</v>
      </c>
      <c r="U570" s="68">
        <f t="shared" si="108"/>
        <v>2310</v>
      </c>
      <c r="V570" s="67">
        <f>VLOOKUP(B570,'114+320'!$B$15:$AB$785,15,FALSE)</f>
        <v>-690</v>
      </c>
      <c r="W570" s="66">
        <f>'114+320'!S571</f>
        <v>3</v>
      </c>
      <c r="X570" s="65">
        <f t="shared" si="113"/>
        <v>570</v>
      </c>
      <c r="Y570" s="64">
        <f t="shared" si="114"/>
        <v>-3</v>
      </c>
      <c r="Z570" s="63">
        <f t="shared" si="115"/>
        <v>0</v>
      </c>
      <c r="AA570" s="62">
        <f t="shared" si="116"/>
        <v>4.0990000000000002</v>
      </c>
      <c r="AB570" s="62">
        <f t="shared" si="117"/>
        <v>2.9620000000000002</v>
      </c>
    </row>
    <row r="571" spans="2:28">
      <c r="B571" s="106">
        <f>'114+320'!B572</f>
        <v>45601</v>
      </c>
      <c r="C571" s="75">
        <f t="shared" si="109"/>
        <v>1</v>
      </c>
      <c r="D571" s="74">
        <f t="shared" si="110"/>
        <v>842</v>
      </c>
      <c r="E571" s="73">
        <f>VLOOKUP(B571,'114+320'!B572:AB958,3,FALSE)</f>
        <v>2342</v>
      </c>
      <c r="F571" s="69">
        <f t="shared" si="105"/>
        <v>3184</v>
      </c>
      <c r="G571" s="72">
        <f>VLOOKUP(B571,'114+320'!$B$15:$AB$785,20,FALSE)</f>
        <v>3479</v>
      </c>
      <c r="H571" s="72">
        <f>VLOOKUP(B571,'114+320'!$B$15:$AB$785,4,FALSE)</f>
        <v>975</v>
      </c>
      <c r="I571" s="68">
        <f t="shared" si="106"/>
        <v>2209</v>
      </c>
      <c r="J571" s="71">
        <f>VLOOKUP(B571,'114+320'!$B$15:$AB$785,13,FALSE)</f>
        <v>-791</v>
      </c>
      <c r="K571" s="66">
        <f>'114+320'!Q572</f>
        <v>5</v>
      </c>
      <c r="L571" s="65">
        <f t="shared" si="111"/>
        <v>611</v>
      </c>
      <c r="M571" s="70">
        <f>VLOOKUP(B571,'114+320'!$B$14:$AB$785,21,FALSE)</f>
        <v>3428</v>
      </c>
      <c r="N571" s="69">
        <f>VLOOKUP(B571,'114+320'!$B$15:$AB$785,5,FALSE)</f>
        <v>1026</v>
      </c>
      <c r="O571" s="68">
        <f t="shared" si="107"/>
        <v>2158</v>
      </c>
      <c r="P571" s="71">
        <f>VLOOKUP(B571,'114+320'!$B$15:$AB$785,14,FALSE)</f>
        <v>-842</v>
      </c>
      <c r="Q571" s="66">
        <f>'114+320'!R572</f>
        <v>8</v>
      </c>
      <c r="R571" s="65">
        <f t="shared" si="112"/>
        <v>662</v>
      </c>
      <c r="S571" s="70">
        <f>VLOOKUP(B571,'114+320'!$B$14:$AB$785,22,FALSE)</f>
        <v>3518</v>
      </c>
      <c r="T571" s="69">
        <f>VLOOKUP(B571,'114+320'!$B$15:$AB$785,6,FALSE)</f>
        <v>876</v>
      </c>
      <c r="U571" s="68">
        <f t="shared" si="108"/>
        <v>2308</v>
      </c>
      <c r="V571" s="67">
        <f>VLOOKUP(B571,'114+320'!$B$15:$AB$785,15,FALSE)</f>
        <v>-692</v>
      </c>
      <c r="W571" s="66">
        <f>'114+320'!S572</f>
        <v>2</v>
      </c>
      <c r="X571" s="65">
        <f t="shared" si="113"/>
        <v>572</v>
      </c>
      <c r="Y571" s="64">
        <f t="shared" si="114"/>
        <v>-2</v>
      </c>
      <c r="Z571" s="63">
        <f t="shared" si="115"/>
        <v>0</v>
      </c>
      <c r="AA571" s="62">
        <f t="shared" si="116"/>
        <v>4.0990000000000002</v>
      </c>
      <c r="AB571" s="62">
        <f t="shared" si="117"/>
        <v>2.9460000000000002</v>
      </c>
    </row>
    <row r="572" spans="2:28">
      <c r="B572" s="106">
        <f>'114+320'!B573</f>
        <v>45602</v>
      </c>
      <c r="C572" s="75">
        <f t="shared" si="109"/>
        <v>1</v>
      </c>
      <c r="D572" s="74">
        <f t="shared" si="110"/>
        <v>842</v>
      </c>
      <c r="E572" s="73">
        <f>VLOOKUP(B572,'114+320'!B573:AB959,3,FALSE)</f>
        <v>2344</v>
      </c>
      <c r="F572" s="69">
        <f t="shared" si="105"/>
        <v>3186</v>
      </c>
      <c r="G572" s="72">
        <f>VLOOKUP(B572,'114+320'!$B$15:$AB$785,20,FALSE)</f>
        <v>3475</v>
      </c>
      <c r="H572" s="72">
        <f>VLOOKUP(B572,'114+320'!$B$15:$AB$785,4,FALSE)</f>
        <v>981</v>
      </c>
      <c r="I572" s="68">
        <f t="shared" si="106"/>
        <v>2205</v>
      </c>
      <c r="J572" s="71">
        <f>VLOOKUP(B572,'114+320'!$B$15:$AB$785,13,FALSE)</f>
        <v>-795</v>
      </c>
      <c r="K572" s="66">
        <f>'114+320'!Q573</f>
        <v>4</v>
      </c>
      <c r="L572" s="65">
        <f t="shared" si="111"/>
        <v>615</v>
      </c>
      <c r="M572" s="70">
        <f>VLOOKUP(B572,'114+320'!$B$14:$AB$785,21,FALSE)</f>
        <v>3420</v>
      </c>
      <c r="N572" s="69">
        <f>VLOOKUP(B572,'114+320'!$B$15:$AB$785,5,FALSE)</f>
        <v>1036</v>
      </c>
      <c r="O572" s="68">
        <f t="shared" si="107"/>
        <v>2150</v>
      </c>
      <c r="P572" s="71">
        <f>VLOOKUP(B572,'114+320'!$B$15:$AB$785,14,FALSE)</f>
        <v>-850</v>
      </c>
      <c r="Q572" s="66">
        <f>'114+320'!R573</f>
        <v>8</v>
      </c>
      <c r="R572" s="65">
        <f t="shared" si="112"/>
        <v>670</v>
      </c>
      <c r="S572" s="70">
        <f>VLOOKUP(B572,'114+320'!$B$14:$AB$785,22,FALSE)</f>
        <v>3514</v>
      </c>
      <c r="T572" s="69">
        <f>VLOOKUP(B572,'114+320'!$B$15:$AB$785,6,FALSE)</f>
        <v>882</v>
      </c>
      <c r="U572" s="68">
        <f t="shared" si="108"/>
        <v>2304</v>
      </c>
      <c r="V572" s="67">
        <f>VLOOKUP(B572,'114+320'!$B$15:$AB$785,15,FALSE)</f>
        <v>-696</v>
      </c>
      <c r="W572" s="66">
        <f>'114+320'!S573</f>
        <v>4</v>
      </c>
      <c r="X572" s="65">
        <f t="shared" si="113"/>
        <v>576</v>
      </c>
      <c r="Y572" s="64">
        <f t="shared" si="114"/>
        <v>-4</v>
      </c>
      <c r="Z572" s="63">
        <f t="shared" si="115"/>
        <v>0</v>
      </c>
      <c r="AA572" s="62">
        <f t="shared" si="116"/>
        <v>4.0990000000000002</v>
      </c>
      <c r="AB572" s="62">
        <f t="shared" si="117"/>
        <v>2.93</v>
      </c>
    </row>
    <row r="573" spans="2:28">
      <c r="B573" s="106">
        <f>'114+320'!B574</f>
        <v>45603</v>
      </c>
      <c r="C573" s="75">
        <f t="shared" si="109"/>
        <v>1</v>
      </c>
      <c r="D573" s="74">
        <f t="shared" si="110"/>
        <v>842</v>
      </c>
      <c r="E573" s="73">
        <f>VLOOKUP(B573,'114+320'!B574:AB960,3,FALSE)</f>
        <v>2346</v>
      </c>
      <c r="F573" s="69">
        <f t="shared" si="105"/>
        <v>3188</v>
      </c>
      <c r="G573" s="72">
        <f>VLOOKUP(B573,'114+320'!$B$15:$AB$785,20,FALSE)</f>
        <v>3472</v>
      </c>
      <c r="H573" s="72">
        <f>VLOOKUP(B573,'114+320'!$B$15:$AB$785,4,FALSE)</f>
        <v>986</v>
      </c>
      <c r="I573" s="68">
        <f t="shared" si="106"/>
        <v>2202</v>
      </c>
      <c r="J573" s="71">
        <f>VLOOKUP(B573,'114+320'!$B$15:$AB$785,13,FALSE)</f>
        <v>-798</v>
      </c>
      <c r="K573" s="66">
        <f>'114+320'!Q574</f>
        <v>3</v>
      </c>
      <c r="L573" s="65">
        <f t="shared" si="111"/>
        <v>618</v>
      </c>
      <c r="M573" s="70">
        <f>VLOOKUP(B573,'114+320'!$B$14:$AB$785,21,FALSE)</f>
        <v>3411</v>
      </c>
      <c r="N573" s="69">
        <f>VLOOKUP(B573,'114+320'!$B$15:$AB$785,5,FALSE)</f>
        <v>1047</v>
      </c>
      <c r="O573" s="68">
        <f t="shared" si="107"/>
        <v>2141</v>
      </c>
      <c r="P573" s="71">
        <f>VLOOKUP(B573,'114+320'!$B$15:$AB$785,14,FALSE)</f>
        <v>-859</v>
      </c>
      <c r="Q573" s="66">
        <f>'114+320'!R574</f>
        <v>9</v>
      </c>
      <c r="R573" s="65">
        <f t="shared" si="112"/>
        <v>679</v>
      </c>
      <c r="S573" s="70">
        <f>VLOOKUP(B573,'114+320'!$B$14:$AB$785,22,FALSE)</f>
        <v>3507</v>
      </c>
      <c r="T573" s="69">
        <f>VLOOKUP(B573,'114+320'!$B$15:$AB$785,6,FALSE)</f>
        <v>891</v>
      </c>
      <c r="U573" s="68">
        <f t="shared" si="108"/>
        <v>2297</v>
      </c>
      <c r="V573" s="67">
        <f>VLOOKUP(B573,'114+320'!$B$15:$AB$785,15,FALSE)</f>
        <v>-703</v>
      </c>
      <c r="W573" s="66">
        <f>'114+320'!S574</f>
        <v>7</v>
      </c>
      <c r="X573" s="65">
        <f t="shared" si="113"/>
        <v>583</v>
      </c>
      <c r="Y573" s="64">
        <f t="shared" si="114"/>
        <v>-7</v>
      </c>
      <c r="Z573" s="63">
        <f t="shared" si="115"/>
        <v>0</v>
      </c>
      <c r="AA573" s="62">
        <f t="shared" si="116"/>
        <v>4.0990000000000002</v>
      </c>
      <c r="AB573" s="62">
        <f t="shared" si="117"/>
        <v>2.9119999999999999</v>
      </c>
    </row>
    <row r="574" spans="2:28">
      <c r="B574" s="106">
        <f>'114+320'!B575</f>
        <v>45604</v>
      </c>
      <c r="C574" s="75">
        <f t="shared" si="109"/>
        <v>1</v>
      </c>
      <c r="D574" s="74">
        <f t="shared" si="110"/>
        <v>842</v>
      </c>
      <c r="E574" s="73">
        <f>VLOOKUP(B574,'114+320'!B575:AB961,3,FALSE)</f>
        <v>2348</v>
      </c>
      <c r="F574" s="69">
        <f t="shared" si="105"/>
        <v>3190</v>
      </c>
      <c r="G574" s="72">
        <f>VLOOKUP(B574,'114+320'!$B$15:$AB$785,20,FALSE)</f>
        <v>3470</v>
      </c>
      <c r="H574" s="72">
        <f>VLOOKUP(B574,'114+320'!$B$15:$AB$785,4,FALSE)</f>
        <v>990</v>
      </c>
      <c r="I574" s="68">
        <f t="shared" si="106"/>
        <v>2200</v>
      </c>
      <c r="J574" s="71">
        <f>VLOOKUP(B574,'114+320'!$B$15:$AB$785,13,FALSE)</f>
        <v>-800</v>
      </c>
      <c r="K574" s="66">
        <f>'114+320'!Q575</f>
        <v>2</v>
      </c>
      <c r="L574" s="65">
        <f t="shared" si="111"/>
        <v>620</v>
      </c>
      <c r="M574" s="70">
        <f>VLOOKUP(B574,'114+320'!$B$14:$AB$785,21,FALSE)</f>
        <v>3403</v>
      </c>
      <c r="N574" s="69">
        <f>VLOOKUP(B574,'114+320'!$B$15:$AB$785,5,FALSE)</f>
        <v>1057</v>
      </c>
      <c r="O574" s="68">
        <f t="shared" si="107"/>
        <v>2133</v>
      </c>
      <c r="P574" s="71">
        <f>VLOOKUP(B574,'114+320'!$B$15:$AB$785,14,FALSE)</f>
        <v>-867</v>
      </c>
      <c r="Q574" s="66">
        <f>'114+320'!R575</f>
        <v>8</v>
      </c>
      <c r="R574" s="65">
        <f t="shared" si="112"/>
        <v>687</v>
      </c>
      <c r="S574" s="70">
        <f>VLOOKUP(B574,'114+320'!$B$14:$AB$785,22,FALSE)</f>
        <v>3502</v>
      </c>
      <c r="T574" s="69">
        <f>VLOOKUP(B574,'114+320'!$B$15:$AB$785,6,FALSE)</f>
        <v>898</v>
      </c>
      <c r="U574" s="68">
        <f t="shared" si="108"/>
        <v>2292</v>
      </c>
      <c r="V574" s="67">
        <f>VLOOKUP(B574,'114+320'!$B$15:$AB$785,15,FALSE)</f>
        <v>-708</v>
      </c>
      <c r="W574" s="66">
        <f>'114+320'!S575</f>
        <v>5</v>
      </c>
      <c r="X574" s="65">
        <f t="shared" si="113"/>
        <v>588</v>
      </c>
      <c r="Y574" s="64">
        <f t="shared" si="114"/>
        <v>-5</v>
      </c>
      <c r="Z574" s="63">
        <f t="shared" si="115"/>
        <v>0</v>
      </c>
      <c r="AA574" s="62">
        <f t="shared" si="116"/>
        <v>4.0990000000000002</v>
      </c>
      <c r="AB574" s="62">
        <f t="shared" si="117"/>
        <v>2.8959999999999999</v>
      </c>
    </row>
    <row r="575" spans="2:28">
      <c r="B575" s="106">
        <f>'114+320'!B576</f>
        <v>45605</v>
      </c>
      <c r="C575" s="75">
        <f t="shared" si="109"/>
        <v>1</v>
      </c>
      <c r="D575" s="74">
        <f t="shared" si="110"/>
        <v>842</v>
      </c>
      <c r="E575" s="73">
        <f>VLOOKUP(B575,'114+320'!B576:AB962,3,FALSE)</f>
        <v>2350</v>
      </c>
      <c r="F575" s="69">
        <f t="shared" si="105"/>
        <v>3192</v>
      </c>
      <c r="G575" s="72">
        <f>VLOOKUP(B575,'114+320'!$B$15:$AB$785,20,FALSE)</f>
        <v>3466</v>
      </c>
      <c r="H575" s="72">
        <f>VLOOKUP(B575,'114+320'!$B$15:$AB$785,4,FALSE)</f>
        <v>996</v>
      </c>
      <c r="I575" s="68">
        <f t="shared" si="106"/>
        <v>2196</v>
      </c>
      <c r="J575" s="71">
        <f>VLOOKUP(B575,'114+320'!$B$15:$AB$785,13,FALSE)</f>
        <v>-804</v>
      </c>
      <c r="K575" s="66">
        <f>'114+320'!Q576</f>
        <v>4</v>
      </c>
      <c r="L575" s="65">
        <f t="shared" si="111"/>
        <v>624</v>
      </c>
      <c r="M575" s="70">
        <f>VLOOKUP(B575,'114+320'!$B$14:$AB$785,21,FALSE)</f>
        <v>3394</v>
      </c>
      <c r="N575" s="69">
        <f>VLOOKUP(B575,'114+320'!$B$15:$AB$785,5,FALSE)</f>
        <v>1068</v>
      </c>
      <c r="O575" s="68">
        <f t="shared" si="107"/>
        <v>2124</v>
      </c>
      <c r="P575" s="71">
        <f>VLOOKUP(B575,'114+320'!$B$15:$AB$785,14,FALSE)</f>
        <v>-876</v>
      </c>
      <c r="Q575" s="66">
        <f>'114+320'!R576</f>
        <v>9</v>
      </c>
      <c r="R575" s="65">
        <f t="shared" si="112"/>
        <v>696</v>
      </c>
      <c r="S575" s="70">
        <f>VLOOKUP(B575,'114+320'!$B$14:$AB$785,22,FALSE)</f>
        <v>3497</v>
      </c>
      <c r="T575" s="69">
        <f>VLOOKUP(B575,'114+320'!$B$15:$AB$785,6,FALSE)</f>
        <v>905</v>
      </c>
      <c r="U575" s="68">
        <f t="shared" si="108"/>
        <v>2287</v>
      </c>
      <c r="V575" s="67">
        <f>VLOOKUP(B575,'114+320'!$B$15:$AB$785,15,FALSE)</f>
        <v>-713</v>
      </c>
      <c r="W575" s="66">
        <f>'114+320'!S576</f>
        <v>5</v>
      </c>
      <c r="X575" s="65">
        <f t="shared" si="113"/>
        <v>593</v>
      </c>
      <c r="Y575" s="64">
        <f t="shared" si="114"/>
        <v>-5</v>
      </c>
      <c r="Z575" s="63">
        <f t="shared" si="115"/>
        <v>0</v>
      </c>
      <c r="AA575" s="62">
        <f t="shared" si="116"/>
        <v>4.0990000000000002</v>
      </c>
      <c r="AB575" s="62">
        <f t="shared" si="117"/>
        <v>2.8780000000000001</v>
      </c>
    </row>
    <row r="576" spans="2:28">
      <c r="B576" s="106">
        <f>'114+320'!B577</f>
        <v>45606</v>
      </c>
      <c r="C576" s="75">
        <f t="shared" si="109"/>
        <v>1</v>
      </c>
      <c r="D576" s="74">
        <f t="shared" si="110"/>
        <v>842</v>
      </c>
      <c r="E576" s="73">
        <f>VLOOKUP(B576,'114+320'!B577:AB963,3,FALSE)</f>
        <v>2352</v>
      </c>
      <c r="F576" s="69">
        <f t="shared" si="105"/>
        <v>3194</v>
      </c>
      <c r="G576" s="72">
        <f>VLOOKUP(B576,'114+320'!$B$15:$AB$785,20,FALSE)</f>
        <v>3463</v>
      </c>
      <c r="H576" s="72">
        <f>VLOOKUP(B576,'114+320'!$B$15:$AB$785,4,FALSE)</f>
        <v>1001</v>
      </c>
      <c r="I576" s="68">
        <f t="shared" si="106"/>
        <v>2193</v>
      </c>
      <c r="J576" s="71">
        <f>VLOOKUP(B576,'114+320'!$B$15:$AB$785,13,FALSE)</f>
        <v>-807</v>
      </c>
      <c r="K576" s="66">
        <f>'114+320'!Q577</f>
        <v>3</v>
      </c>
      <c r="L576" s="65">
        <f t="shared" si="111"/>
        <v>627</v>
      </c>
      <c r="M576" s="70">
        <f>VLOOKUP(B576,'114+320'!$B$14:$AB$785,21,FALSE)</f>
        <v>3386</v>
      </c>
      <c r="N576" s="69">
        <f>VLOOKUP(B576,'114+320'!$B$15:$AB$785,5,FALSE)</f>
        <v>1078</v>
      </c>
      <c r="O576" s="68">
        <f t="shared" si="107"/>
        <v>2116</v>
      </c>
      <c r="P576" s="71">
        <f>VLOOKUP(B576,'114+320'!$B$15:$AB$785,14,FALSE)</f>
        <v>-884</v>
      </c>
      <c r="Q576" s="66">
        <f>'114+320'!R577</f>
        <v>8</v>
      </c>
      <c r="R576" s="65">
        <f t="shared" si="112"/>
        <v>704</v>
      </c>
      <c r="S576" s="70">
        <f>VLOOKUP(B576,'114+320'!$B$14:$AB$785,22,FALSE)</f>
        <v>3493</v>
      </c>
      <c r="T576" s="69">
        <f>VLOOKUP(B576,'114+320'!$B$15:$AB$785,6,FALSE)</f>
        <v>911</v>
      </c>
      <c r="U576" s="68">
        <f t="shared" si="108"/>
        <v>2283</v>
      </c>
      <c r="V576" s="67">
        <f>VLOOKUP(B576,'114+320'!$B$15:$AB$785,15,FALSE)</f>
        <v>-717</v>
      </c>
      <c r="W576" s="66">
        <f>'114+320'!S577</f>
        <v>4</v>
      </c>
      <c r="X576" s="65">
        <f t="shared" si="113"/>
        <v>597</v>
      </c>
      <c r="Y576" s="64">
        <f t="shared" si="114"/>
        <v>-4</v>
      </c>
      <c r="Z576" s="63">
        <f t="shared" si="115"/>
        <v>0</v>
      </c>
      <c r="AA576" s="62">
        <f t="shared" si="116"/>
        <v>4.0990000000000002</v>
      </c>
      <c r="AB576" s="62">
        <f t="shared" si="117"/>
        <v>2.8620000000000001</v>
      </c>
    </row>
    <row r="577" spans="2:28">
      <c r="B577" s="106">
        <f>'114+320'!B578</f>
        <v>45607</v>
      </c>
      <c r="C577" s="75">
        <f t="shared" si="109"/>
        <v>1</v>
      </c>
      <c r="D577" s="74">
        <f t="shared" si="110"/>
        <v>842</v>
      </c>
      <c r="E577" s="73">
        <f>VLOOKUP(B577,'114+320'!B578:AB964,3,FALSE)</f>
        <v>2354</v>
      </c>
      <c r="F577" s="69">
        <f t="shared" si="105"/>
        <v>3196</v>
      </c>
      <c r="G577" s="72">
        <f>VLOOKUP(B577,'114+320'!$B$15:$AB$785,20,FALSE)</f>
        <v>3461</v>
      </c>
      <c r="H577" s="72">
        <f>VLOOKUP(B577,'114+320'!$B$15:$AB$785,4,FALSE)</f>
        <v>1005</v>
      </c>
      <c r="I577" s="68">
        <f t="shared" si="106"/>
        <v>2191</v>
      </c>
      <c r="J577" s="71">
        <f>VLOOKUP(B577,'114+320'!$B$15:$AB$785,13,FALSE)</f>
        <v>-809</v>
      </c>
      <c r="K577" s="66">
        <f>'114+320'!Q578</f>
        <v>2</v>
      </c>
      <c r="L577" s="65">
        <f t="shared" si="111"/>
        <v>629</v>
      </c>
      <c r="M577" s="70">
        <f>VLOOKUP(B577,'114+320'!$B$14:$AB$785,21,FALSE)</f>
        <v>3379</v>
      </c>
      <c r="N577" s="69">
        <f>VLOOKUP(B577,'114+320'!$B$15:$AB$785,5,FALSE)</f>
        <v>1087</v>
      </c>
      <c r="O577" s="68">
        <f t="shared" si="107"/>
        <v>2109</v>
      </c>
      <c r="P577" s="71">
        <f>VLOOKUP(B577,'114+320'!$B$15:$AB$785,14,FALSE)</f>
        <v>-891</v>
      </c>
      <c r="Q577" s="66">
        <f>'114+320'!R578</f>
        <v>7</v>
      </c>
      <c r="R577" s="65">
        <f t="shared" si="112"/>
        <v>711</v>
      </c>
      <c r="S577" s="70">
        <f>VLOOKUP(B577,'114+320'!$B$14:$AB$785,22,FALSE)</f>
        <v>3490</v>
      </c>
      <c r="T577" s="69">
        <f>VLOOKUP(B577,'114+320'!$B$15:$AB$785,6,FALSE)</f>
        <v>916</v>
      </c>
      <c r="U577" s="68">
        <f t="shared" si="108"/>
        <v>2280</v>
      </c>
      <c r="V577" s="67">
        <f>VLOOKUP(B577,'114+320'!$B$15:$AB$785,15,FALSE)</f>
        <v>-720</v>
      </c>
      <c r="W577" s="66">
        <f>'114+320'!S578</f>
        <v>3</v>
      </c>
      <c r="X577" s="65">
        <f t="shared" si="113"/>
        <v>600</v>
      </c>
      <c r="Y577" s="64">
        <f t="shared" si="114"/>
        <v>-3</v>
      </c>
      <c r="Z577" s="63">
        <f t="shared" si="115"/>
        <v>0</v>
      </c>
      <c r="AA577" s="62">
        <f t="shared" si="116"/>
        <v>4.0990000000000002</v>
      </c>
      <c r="AB577" s="62">
        <f t="shared" si="117"/>
        <v>2.8479999999999999</v>
      </c>
    </row>
    <row r="578" spans="2:28">
      <c r="B578" s="106">
        <f>'114+320'!B579</f>
        <v>45608</v>
      </c>
      <c r="C578" s="75">
        <f t="shared" si="109"/>
        <v>1</v>
      </c>
      <c r="D578" s="74">
        <f t="shared" si="110"/>
        <v>842</v>
      </c>
      <c r="E578" s="73">
        <f>VLOOKUP(B578,'114+320'!B579:AB965,3,FALSE)</f>
        <v>2356</v>
      </c>
      <c r="F578" s="69">
        <f t="shared" si="105"/>
        <v>3198</v>
      </c>
      <c r="G578" s="72">
        <f>VLOOKUP(B578,'114+320'!$B$15:$AB$785,20,FALSE)</f>
        <v>3457</v>
      </c>
      <c r="H578" s="72">
        <f>VLOOKUP(B578,'114+320'!$B$15:$AB$785,4,FALSE)</f>
        <v>1011</v>
      </c>
      <c r="I578" s="68">
        <f t="shared" si="106"/>
        <v>2187</v>
      </c>
      <c r="J578" s="71">
        <f>VLOOKUP(B578,'114+320'!$B$15:$AB$785,13,FALSE)</f>
        <v>-813</v>
      </c>
      <c r="K578" s="66">
        <f>'114+320'!Q579</f>
        <v>4</v>
      </c>
      <c r="L578" s="65">
        <f t="shared" si="111"/>
        <v>633</v>
      </c>
      <c r="M578" s="70">
        <f>VLOOKUP(B578,'114+320'!$B$14:$AB$785,21,FALSE)</f>
        <v>3370</v>
      </c>
      <c r="N578" s="69">
        <f>VLOOKUP(B578,'114+320'!$B$15:$AB$785,5,FALSE)</f>
        <v>1098</v>
      </c>
      <c r="O578" s="68">
        <f t="shared" si="107"/>
        <v>2100</v>
      </c>
      <c r="P578" s="71">
        <f>VLOOKUP(B578,'114+320'!$B$15:$AB$785,14,FALSE)</f>
        <v>-900</v>
      </c>
      <c r="Q578" s="66">
        <f>'114+320'!R579</f>
        <v>9</v>
      </c>
      <c r="R578" s="65">
        <f t="shared" si="112"/>
        <v>720</v>
      </c>
      <c r="S578" s="70">
        <f>VLOOKUP(B578,'114+320'!$B$14:$AB$785,22,FALSE)</f>
        <v>3488</v>
      </c>
      <c r="T578" s="69">
        <f>VLOOKUP(B578,'114+320'!$B$15:$AB$785,6,FALSE)</f>
        <v>920</v>
      </c>
      <c r="U578" s="68">
        <f t="shared" si="108"/>
        <v>2278</v>
      </c>
      <c r="V578" s="67">
        <f>VLOOKUP(B578,'114+320'!$B$15:$AB$785,15,FALSE)</f>
        <v>-722</v>
      </c>
      <c r="W578" s="66">
        <f>'114+320'!S579</f>
        <v>2</v>
      </c>
      <c r="X578" s="65">
        <f t="shared" si="113"/>
        <v>602</v>
      </c>
      <c r="Y578" s="64">
        <f t="shared" si="114"/>
        <v>-2</v>
      </c>
      <c r="Z578" s="63">
        <f t="shared" si="115"/>
        <v>0</v>
      </c>
      <c r="AA578" s="62">
        <f t="shared" si="116"/>
        <v>4.0990000000000002</v>
      </c>
      <c r="AB578" s="62">
        <f t="shared" si="117"/>
        <v>2.83</v>
      </c>
    </row>
    <row r="579" spans="2:28">
      <c r="B579" s="106">
        <f>'114+320'!B580</f>
        <v>45609</v>
      </c>
      <c r="C579" s="75">
        <f t="shared" si="109"/>
        <v>1</v>
      </c>
      <c r="D579" s="74">
        <f t="shared" si="110"/>
        <v>842</v>
      </c>
      <c r="E579" s="73">
        <f>VLOOKUP(B579,'114+320'!B580:AB966,3,FALSE)</f>
        <v>2358</v>
      </c>
      <c r="F579" s="69">
        <f t="shared" si="105"/>
        <v>3200</v>
      </c>
      <c r="G579" s="72">
        <f>VLOOKUP(B579,'114+320'!$B$15:$AB$785,20,FALSE)</f>
        <v>3450</v>
      </c>
      <c r="H579" s="72">
        <f>VLOOKUP(B579,'114+320'!$B$15:$AB$785,4,FALSE)</f>
        <v>1020</v>
      </c>
      <c r="I579" s="68">
        <f t="shared" si="106"/>
        <v>2180</v>
      </c>
      <c r="J579" s="71">
        <f>VLOOKUP(B579,'114+320'!$B$15:$AB$785,13,FALSE)</f>
        <v>-820</v>
      </c>
      <c r="K579" s="66">
        <f>'114+320'!Q580</f>
        <v>7</v>
      </c>
      <c r="L579" s="65">
        <f t="shared" si="111"/>
        <v>640</v>
      </c>
      <c r="M579" s="70">
        <f>VLOOKUP(B579,'114+320'!$B$14:$AB$785,21,FALSE)</f>
        <v>3362</v>
      </c>
      <c r="N579" s="69">
        <f>VLOOKUP(B579,'114+320'!$B$15:$AB$785,5,FALSE)</f>
        <v>1108</v>
      </c>
      <c r="O579" s="68">
        <f t="shared" si="107"/>
        <v>2092</v>
      </c>
      <c r="P579" s="71">
        <f>VLOOKUP(B579,'114+320'!$B$15:$AB$785,14,FALSE)</f>
        <v>-908</v>
      </c>
      <c r="Q579" s="66">
        <f>'114+320'!R580</f>
        <v>8</v>
      </c>
      <c r="R579" s="65">
        <f t="shared" si="112"/>
        <v>728</v>
      </c>
      <c r="S579" s="70">
        <f>VLOOKUP(B579,'114+320'!$B$14:$AB$785,22,FALSE)</f>
        <v>3484</v>
      </c>
      <c r="T579" s="69">
        <f>VLOOKUP(B579,'114+320'!$B$15:$AB$785,6,FALSE)</f>
        <v>926</v>
      </c>
      <c r="U579" s="68">
        <f t="shared" si="108"/>
        <v>2274</v>
      </c>
      <c r="V579" s="67">
        <f>VLOOKUP(B579,'114+320'!$B$15:$AB$785,15,FALSE)</f>
        <v>-726</v>
      </c>
      <c r="W579" s="66">
        <f>'114+320'!S580</f>
        <v>4</v>
      </c>
      <c r="X579" s="65">
        <f t="shared" si="113"/>
        <v>606</v>
      </c>
      <c r="Y579" s="64">
        <f t="shared" si="114"/>
        <v>-4</v>
      </c>
      <c r="Z579" s="63">
        <f t="shared" si="115"/>
        <v>0</v>
      </c>
      <c r="AA579" s="62">
        <f t="shared" si="116"/>
        <v>4.0990000000000002</v>
      </c>
      <c r="AB579" s="62">
        <f t="shared" si="117"/>
        <v>2.8140000000000001</v>
      </c>
    </row>
    <row r="580" spans="2:28">
      <c r="B580" s="106">
        <f>'114+320'!B581</f>
        <v>45610</v>
      </c>
      <c r="C580" s="75">
        <f t="shared" si="109"/>
        <v>1</v>
      </c>
      <c r="D580" s="74">
        <f t="shared" si="110"/>
        <v>842</v>
      </c>
      <c r="E580" s="73">
        <f>VLOOKUP(B580,'114+320'!B581:AB967,3,FALSE)</f>
        <v>2360</v>
      </c>
      <c r="F580" s="69">
        <f t="shared" si="105"/>
        <v>3202</v>
      </c>
      <c r="G580" s="72">
        <f>VLOOKUP(B580,'114+320'!$B$15:$AB$785,20,FALSE)</f>
        <v>3445</v>
      </c>
      <c r="H580" s="72">
        <f>VLOOKUP(B580,'114+320'!$B$15:$AB$785,4,FALSE)</f>
        <v>1027</v>
      </c>
      <c r="I580" s="68">
        <f t="shared" si="106"/>
        <v>2175</v>
      </c>
      <c r="J580" s="71">
        <f>VLOOKUP(B580,'114+320'!$B$15:$AB$785,13,FALSE)</f>
        <v>-825</v>
      </c>
      <c r="K580" s="66">
        <f>'114+320'!Q581</f>
        <v>5</v>
      </c>
      <c r="L580" s="65">
        <f t="shared" si="111"/>
        <v>645</v>
      </c>
      <c r="M580" s="70">
        <f>VLOOKUP(B580,'114+320'!$B$14:$AB$785,21,FALSE)</f>
        <v>3355</v>
      </c>
      <c r="N580" s="69">
        <f>VLOOKUP(B580,'114+320'!$B$15:$AB$785,5,FALSE)</f>
        <v>1117</v>
      </c>
      <c r="O580" s="68">
        <f t="shared" si="107"/>
        <v>2085</v>
      </c>
      <c r="P580" s="71">
        <f>VLOOKUP(B580,'114+320'!$B$15:$AB$785,14,FALSE)</f>
        <v>-915</v>
      </c>
      <c r="Q580" s="66">
        <f>'114+320'!R581</f>
        <v>7</v>
      </c>
      <c r="R580" s="65">
        <f t="shared" si="112"/>
        <v>735</v>
      </c>
      <c r="S580" s="70">
        <f>VLOOKUP(B580,'114+320'!$B$14:$AB$785,22,FALSE)</f>
        <v>3481</v>
      </c>
      <c r="T580" s="69">
        <f>VLOOKUP(B580,'114+320'!$B$15:$AB$785,6,FALSE)</f>
        <v>931</v>
      </c>
      <c r="U580" s="68">
        <f t="shared" si="108"/>
        <v>2271</v>
      </c>
      <c r="V580" s="67">
        <f>VLOOKUP(B580,'114+320'!$B$15:$AB$785,15,FALSE)</f>
        <v>-729</v>
      </c>
      <c r="W580" s="66">
        <f>'114+320'!S581</f>
        <v>3</v>
      </c>
      <c r="X580" s="65">
        <f t="shared" si="113"/>
        <v>609</v>
      </c>
      <c r="Y580" s="64">
        <f t="shared" si="114"/>
        <v>-3</v>
      </c>
      <c r="Z580" s="63">
        <f t="shared" si="115"/>
        <v>0</v>
      </c>
      <c r="AA580" s="62">
        <f t="shared" si="116"/>
        <v>4.0990000000000002</v>
      </c>
      <c r="AB580" s="62">
        <f t="shared" si="117"/>
        <v>2.8</v>
      </c>
    </row>
    <row r="581" spans="2:28">
      <c r="B581" s="106">
        <f>'114+320'!B582</f>
        <v>45611</v>
      </c>
      <c r="C581" s="75">
        <f t="shared" si="109"/>
        <v>1</v>
      </c>
      <c r="D581" s="74">
        <f t="shared" si="110"/>
        <v>842</v>
      </c>
      <c r="E581" s="73">
        <f>VLOOKUP(B581,'114+320'!B582:AB968,3,FALSE)</f>
        <v>2362</v>
      </c>
      <c r="F581" s="69">
        <f t="shared" si="105"/>
        <v>3204</v>
      </c>
      <c r="G581" s="72">
        <f>VLOOKUP(B581,'114+320'!$B$15:$AB$785,20,FALSE)</f>
        <v>3440</v>
      </c>
      <c r="H581" s="72">
        <f>VLOOKUP(B581,'114+320'!$B$15:$AB$785,4,FALSE)</f>
        <v>1034</v>
      </c>
      <c r="I581" s="68">
        <f t="shared" si="106"/>
        <v>2170</v>
      </c>
      <c r="J581" s="71">
        <f>VLOOKUP(B581,'114+320'!$B$15:$AB$785,13,FALSE)</f>
        <v>-830</v>
      </c>
      <c r="K581" s="66">
        <f>'114+320'!Q582</f>
        <v>5</v>
      </c>
      <c r="L581" s="65">
        <f t="shared" si="111"/>
        <v>650</v>
      </c>
      <c r="M581" s="70">
        <f>VLOOKUP(B581,'114+320'!$B$14:$AB$785,21,FALSE)</f>
        <v>3348</v>
      </c>
      <c r="N581" s="69">
        <f>VLOOKUP(B581,'114+320'!$B$15:$AB$785,5,FALSE)</f>
        <v>1126</v>
      </c>
      <c r="O581" s="68">
        <f t="shared" si="107"/>
        <v>2078</v>
      </c>
      <c r="P581" s="71">
        <f>VLOOKUP(B581,'114+320'!$B$15:$AB$785,14,FALSE)</f>
        <v>-922</v>
      </c>
      <c r="Q581" s="66">
        <f>'114+320'!R582</f>
        <v>7</v>
      </c>
      <c r="R581" s="65">
        <f t="shared" si="112"/>
        <v>742</v>
      </c>
      <c r="S581" s="70">
        <f>VLOOKUP(B581,'114+320'!$B$14:$AB$785,22,FALSE)</f>
        <v>3479</v>
      </c>
      <c r="T581" s="69">
        <f>VLOOKUP(B581,'114+320'!$B$15:$AB$785,6,FALSE)</f>
        <v>935</v>
      </c>
      <c r="U581" s="68">
        <f t="shared" si="108"/>
        <v>2269</v>
      </c>
      <c r="V581" s="67">
        <f>VLOOKUP(B581,'114+320'!$B$15:$AB$785,15,FALSE)</f>
        <v>-731</v>
      </c>
      <c r="W581" s="66">
        <f>'114+320'!S582</f>
        <v>2</v>
      </c>
      <c r="X581" s="65">
        <f t="shared" si="113"/>
        <v>611</v>
      </c>
      <c r="Y581" s="64">
        <f t="shared" si="114"/>
        <v>-2</v>
      </c>
      <c r="Z581" s="63">
        <f t="shared" si="115"/>
        <v>0</v>
      </c>
      <c r="AA581" s="62">
        <f t="shared" si="116"/>
        <v>4.0990000000000002</v>
      </c>
      <c r="AB581" s="62">
        <f t="shared" si="117"/>
        <v>2.786</v>
      </c>
    </row>
    <row r="582" spans="2:28">
      <c r="B582" s="106">
        <f>'114+320'!B583</f>
        <v>45612</v>
      </c>
      <c r="C582" s="75">
        <f t="shared" si="109"/>
        <v>1</v>
      </c>
      <c r="D582" s="74">
        <f t="shared" si="110"/>
        <v>842</v>
      </c>
      <c r="E582" s="73">
        <f>VLOOKUP(B582,'114+320'!B583:AB969,3,FALSE)</f>
        <v>2364</v>
      </c>
      <c r="F582" s="69">
        <f t="shared" si="105"/>
        <v>3206</v>
      </c>
      <c r="G582" s="72">
        <f>VLOOKUP(B582,'114+320'!$B$15:$AB$785,20,FALSE)</f>
        <v>3436</v>
      </c>
      <c r="H582" s="72">
        <f>VLOOKUP(B582,'114+320'!$B$15:$AB$785,4,FALSE)</f>
        <v>1040</v>
      </c>
      <c r="I582" s="68">
        <f t="shared" si="106"/>
        <v>2166</v>
      </c>
      <c r="J582" s="71">
        <f>VLOOKUP(B582,'114+320'!$B$15:$AB$785,13,FALSE)</f>
        <v>-834</v>
      </c>
      <c r="K582" s="66">
        <f>'114+320'!Q583</f>
        <v>4</v>
      </c>
      <c r="L582" s="65">
        <f t="shared" si="111"/>
        <v>654</v>
      </c>
      <c r="M582" s="70">
        <f>VLOOKUP(B582,'114+320'!$B$14:$AB$785,21,FALSE)</f>
        <v>3342</v>
      </c>
      <c r="N582" s="69">
        <f>VLOOKUP(B582,'114+320'!$B$15:$AB$785,5,FALSE)</f>
        <v>1134</v>
      </c>
      <c r="O582" s="68">
        <f t="shared" si="107"/>
        <v>2072</v>
      </c>
      <c r="P582" s="71">
        <f>VLOOKUP(B582,'114+320'!$B$15:$AB$785,14,FALSE)</f>
        <v>-928</v>
      </c>
      <c r="Q582" s="66">
        <f>'114+320'!R583</f>
        <v>6</v>
      </c>
      <c r="R582" s="65">
        <f t="shared" si="112"/>
        <v>748</v>
      </c>
      <c r="S582" s="70">
        <f>VLOOKUP(B582,'114+320'!$B$14:$AB$785,22,FALSE)</f>
        <v>3475</v>
      </c>
      <c r="T582" s="69">
        <f>VLOOKUP(B582,'114+320'!$B$15:$AB$785,6,FALSE)</f>
        <v>941</v>
      </c>
      <c r="U582" s="68">
        <f t="shared" si="108"/>
        <v>2265</v>
      </c>
      <c r="V582" s="67">
        <f>VLOOKUP(B582,'114+320'!$B$15:$AB$785,15,FALSE)</f>
        <v>-735</v>
      </c>
      <c r="W582" s="66">
        <f>'114+320'!S583</f>
        <v>4</v>
      </c>
      <c r="X582" s="65">
        <f t="shared" si="113"/>
        <v>615</v>
      </c>
      <c r="Y582" s="64">
        <f t="shared" si="114"/>
        <v>-4</v>
      </c>
      <c r="Z582" s="63">
        <f t="shared" si="115"/>
        <v>0</v>
      </c>
      <c r="AA582" s="62">
        <f t="shared" si="116"/>
        <v>4.0990000000000002</v>
      </c>
      <c r="AB582" s="62">
        <f t="shared" si="117"/>
        <v>2.774</v>
      </c>
    </row>
    <row r="583" spans="2:28">
      <c r="B583" s="106">
        <f>'114+320'!B584</f>
        <v>45613</v>
      </c>
      <c r="C583" s="75">
        <f t="shared" si="109"/>
        <v>1</v>
      </c>
      <c r="D583" s="74">
        <f t="shared" si="110"/>
        <v>842</v>
      </c>
      <c r="E583" s="73">
        <f>VLOOKUP(B583,'114+320'!B584:AB970,3,FALSE)</f>
        <v>2366</v>
      </c>
      <c r="F583" s="69">
        <f t="shared" si="105"/>
        <v>3208</v>
      </c>
      <c r="G583" s="72">
        <f>VLOOKUP(B583,'114+320'!$B$15:$AB$785,20,FALSE)</f>
        <v>3433</v>
      </c>
      <c r="H583" s="72">
        <f>VLOOKUP(B583,'114+320'!$B$15:$AB$785,4,FALSE)</f>
        <v>1045</v>
      </c>
      <c r="I583" s="68">
        <f t="shared" si="106"/>
        <v>2163</v>
      </c>
      <c r="J583" s="71">
        <f>VLOOKUP(B583,'114+320'!$B$15:$AB$785,13,FALSE)</f>
        <v>-837</v>
      </c>
      <c r="K583" s="66">
        <f>'114+320'!Q584</f>
        <v>3</v>
      </c>
      <c r="L583" s="65">
        <f t="shared" si="111"/>
        <v>657</v>
      </c>
      <c r="M583" s="70">
        <f>VLOOKUP(B583,'114+320'!$B$14:$AB$785,21,FALSE)</f>
        <v>3339</v>
      </c>
      <c r="N583" s="69">
        <f>VLOOKUP(B583,'114+320'!$B$15:$AB$785,5,FALSE)</f>
        <v>1139</v>
      </c>
      <c r="O583" s="68">
        <f t="shared" si="107"/>
        <v>2069</v>
      </c>
      <c r="P583" s="71">
        <f>VLOOKUP(B583,'114+320'!$B$15:$AB$785,14,FALSE)</f>
        <v>-931</v>
      </c>
      <c r="Q583" s="66">
        <f>'114+320'!R584</f>
        <v>3</v>
      </c>
      <c r="R583" s="65">
        <f t="shared" si="112"/>
        <v>751</v>
      </c>
      <c r="S583" s="70">
        <f>VLOOKUP(B583,'114+320'!$B$14:$AB$785,22,FALSE)</f>
        <v>3468</v>
      </c>
      <c r="T583" s="69">
        <f>VLOOKUP(B583,'114+320'!$B$15:$AB$785,6,FALSE)</f>
        <v>950</v>
      </c>
      <c r="U583" s="68">
        <f t="shared" si="108"/>
        <v>2258</v>
      </c>
      <c r="V583" s="67">
        <f>VLOOKUP(B583,'114+320'!$B$15:$AB$785,15,FALSE)</f>
        <v>-742</v>
      </c>
      <c r="W583" s="66">
        <f>'114+320'!S584</f>
        <v>7</v>
      </c>
      <c r="X583" s="65">
        <f t="shared" si="113"/>
        <v>622</v>
      </c>
      <c r="Y583" s="64">
        <f t="shared" si="114"/>
        <v>-7</v>
      </c>
      <c r="Z583" s="63">
        <f t="shared" si="115"/>
        <v>0</v>
      </c>
      <c r="AA583" s="62">
        <f t="shared" si="116"/>
        <v>4.0990000000000002</v>
      </c>
      <c r="AB583" s="62">
        <f t="shared" si="117"/>
        <v>2.7679999999999998</v>
      </c>
    </row>
    <row r="584" spans="2:28">
      <c r="B584" s="106">
        <f>'114+320'!B585</f>
        <v>45614</v>
      </c>
      <c r="C584" s="75">
        <f t="shared" si="109"/>
        <v>1</v>
      </c>
      <c r="D584" s="74">
        <f t="shared" si="110"/>
        <v>842</v>
      </c>
      <c r="E584" s="73">
        <f>VLOOKUP(B584,'114+320'!B585:AB971,3,FALSE)</f>
        <v>2368</v>
      </c>
      <c r="F584" s="69">
        <f t="shared" si="105"/>
        <v>3210</v>
      </c>
      <c r="G584" s="72">
        <f>VLOOKUP(B584,'114+320'!$B$15:$AB$785,20,FALSE)</f>
        <v>3431</v>
      </c>
      <c r="H584" s="72">
        <f>VLOOKUP(B584,'114+320'!$B$15:$AB$785,4,FALSE)</f>
        <v>1049</v>
      </c>
      <c r="I584" s="68">
        <f t="shared" si="106"/>
        <v>2161</v>
      </c>
      <c r="J584" s="71">
        <f>VLOOKUP(B584,'114+320'!$B$15:$AB$785,13,FALSE)</f>
        <v>-839</v>
      </c>
      <c r="K584" s="66">
        <f>'114+320'!Q585</f>
        <v>2</v>
      </c>
      <c r="L584" s="65">
        <f t="shared" si="111"/>
        <v>659</v>
      </c>
      <c r="M584" s="70">
        <f>VLOOKUP(B584,'114+320'!$B$14:$AB$785,21,FALSE)</f>
        <v>3337</v>
      </c>
      <c r="N584" s="69">
        <f>VLOOKUP(B584,'114+320'!$B$15:$AB$785,5,FALSE)</f>
        <v>1143</v>
      </c>
      <c r="O584" s="68">
        <f t="shared" si="107"/>
        <v>2067</v>
      </c>
      <c r="P584" s="71">
        <f>VLOOKUP(B584,'114+320'!$B$15:$AB$785,14,FALSE)</f>
        <v>-933</v>
      </c>
      <c r="Q584" s="66">
        <f>'114+320'!R585</f>
        <v>2</v>
      </c>
      <c r="R584" s="65">
        <f t="shared" si="112"/>
        <v>753</v>
      </c>
      <c r="S584" s="70">
        <f>VLOOKUP(B584,'114+320'!$B$14:$AB$785,22,FALSE)</f>
        <v>3463</v>
      </c>
      <c r="T584" s="69">
        <f>VLOOKUP(B584,'114+320'!$B$15:$AB$785,6,FALSE)</f>
        <v>957</v>
      </c>
      <c r="U584" s="68">
        <f t="shared" si="108"/>
        <v>2253</v>
      </c>
      <c r="V584" s="67">
        <f>VLOOKUP(B584,'114+320'!$B$15:$AB$785,15,FALSE)</f>
        <v>-747</v>
      </c>
      <c r="W584" s="66">
        <f>'114+320'!S585</f>
        <v>5</v>
      </c>
      <c r="X584" s="65">
        <f t="shared" si="113"/>
        <v>627</v>
      </c>
      <c r="Y584" s="64">
        <f t="shared" si="114"/>
        <v>-5</v>
      </c>
      <c r="Z584" s="63">
        <f t="shared" si="115"/>
        <v>0</v>
      </c>
      <c r="AA584" s="62">
        <f t="shared" si="116"/>
        <v>4.0990000000000002</v>
      </c>
      <c r="AB584" s="62">
        <f t="shared" si="117"/>
        <v>2.7639999999999998</v>
      </c>
    </row>
    <row r="585" spans="2:28">
      <c r="B585" s="106">
        <f>'114+320'!B586</f>
        <v>45615</v>
      </c>
      <c r="C585" s="75">
        <f t="shared" si="109"/>
        <v>1</v>
      </c>
      <c r="D585" s="74">
        <f t="shared" si="110"/>
        <v>842</v>
      </c>
      <c r="E585" s="73">
        <f>VLOOKUP(B585,'114+320'!B586:AB972,3,FALSE)</f>
        <v>2370</v>
      </c>
      <c r="F585" s="69">
        <f t="shared" si="105"/>
        <v>3212</v>
      </c>
      <c r="G585" s="72">
        <f>VLOOKUP(B585,'114+320'!$B$15:$AB$785,20,FALSE)</f>
        <v>3427</v>
      </c>
      <c r="H585" s="72">
        <f>VLOOKUP(B585,'114+320'!$B$15:$AB$785,4,FALSE)</f>
        <v>1055</v>
      </c>
      <c r="I585" s="68">
        <f t="shared" si="106"/>
        <v>2157</v>
      </c>
      <c r="J585" s="71">
        <f>VLOOKUP(B585,'114+320'!$B$15:$AB$785,13,FALSE)</f>
        <v>-843</v>
      </c>
      <c r="K585" s="66">
        <f>'114+320'!Q586</f>
        <v>4</v>
      </c>
      <c r="L585" s="65">
        <f t="shared" si="111"/>
        <v>663</v>
      </c>
      <c r="M585" s="70">
        <f>VLOOKUP(B585,'114+320'!$B$14:$AB$785,21,FALSE)</f>
        <v>3333</v>
      </c>
      <c r="N585" s="69">
        <f>VLOOKUP(B585,'114+320'!$B$15:$AB$785,5,FALSE)</f>
        <v>1149</v>
      </c>
      <c r="O585" s="68">
        <f t="shared" si="107"/>
        <v>2063</v>
      </c>
      <c r="P585" s="71">
        <f>VLOOKUP(B585,'114+320'!$B$15:$AB$785,14,FALSE)</f>
        <v>-937</v>
      </c>
      <c r="Q585" s="66">
        <f>'114+320'!R586</f>
        <v>4</v>
      </c>
      <c r="R585" s="65">
        <f t="shared" si="112"/>
        <v>757</v>
      </c>
      <c r="S585" s="70">
        <f>VLOOKUP(B585,'114+320'!$B$14:$AB$785,22,FALSE)</f>
        <v>3458</v>
      </c>
      <c r="T585" s="69">
        <f>VLOOKUP(B585,'114+320'!$B$15:$AB$785,6,FALSE)</f>
        <v>964</v>
      </c>
      <c r="U585" s="68">
        <f t="shared" si="108"/>
        <v>2248</v>
      </c>
      <c r="V585" s="67">
        <f>VLOOKUP(B585,'114+320'!$B$15:$AB$785,15,FALSE)</f>
        <v>-752</v>
      </c>
      <c r="W585" s="66">
        <f>'114+320'!S586</f>
        <v>5</v>
      </c>
      <c r="X585" s="65">
        <f t="shared" si="113"/>
        <v>632</v>
      </c>
      <c r="Y585" s="64">
        <f t="shared" si="114"/>
        <v>-5</v>
      </c>
      <c r="Z585" s="63">
        <f t="shared" si="115"/>
        <v>0</v>
      </c>
      <c r="AA585" s="62">
        <f t="shared" si="116"/>
        <v>4.0990000000000002</v>
      </c>
      <c r="AB585" s="62">
        <f t="shared" si="117"/>
        <v>2.7559999999999998</v>
      </c>
    </row>
    <row r="586" spans="2:28">
      <c r="B586" s="106">
        <f>'114+320'!B587</f>
        <v>45616</v>
      </c>
      <c r="C586" s="75">
        <f t="shared" si="109"/>
        <v>1</v>
      </c>
      <c r="D586" s="74">
        <f t="shared" si="110"/>
        <v>842</v>
      </c>
      <c r="E586" s="73">
        <f>VLOOKUP(B586,'114+320'!B587:AB973,3,FALSE)</f>
        <v>2372</v>
      </c>
      <c r="F586" s="69">
        <f t="shared" si="105"/>
        <v>3214</v>
      </c>
      <c r="G586" s="72">
        <f>VLOOKUP(B586,'114+320'!$B$15:$AB$785,20,FALSE)</f>
        <v>3424</v>
      </c>
      <c r="H586" s="72">
        <f>VLOOKUP(B586,'114+320'!$B$15:$AB$785,4,FALSE)</f>
        <v>1060</v>
      </c>
      <c r="I586" s="68">
        <f t="shared" si="106"/>
        <v>2154</v>
      </c>
      <c r="J586" s="71">
        <f>VLOOKUP(B586,'114+320'!$B$15:$AB$785,13,FALSE)</f>
        <v>-846</v>
      </c>
      <c r="K586" s="66">
        <f>'114+320'!Q587</f>
        <v>3</v>
      </c>
      <c r="L586" s="65">
        <f t="shared" si="111"/>
        <v>666</v>
      </c>
      <c r="M586" s="70">
        <f>VLOOKUP(B586,'114+320'!$B$14:$AB$785,21,FALSE)</f>
        <v>3330</v>
      </c>
      <c r="N586" s="69">
        <f>VLOOKUP(B586,'114+320'!$B$15:$AB$785,5,FALSE)</f>
        <v>1154</v>
      </c>
      <c r="O586" s="68">
        <f t="shared" si="107"/>
        <v>2060</v>
      </c>
      <c r="P586" s="71">
        <f>VLOOKUP(B586,'114+320'!$B$15:$AB$785,14,FALSE)</f>
        <v>-940</v>
      </c>
      <c r="Q586" s="66">
        <f>'114+320'!R587</f>
        <v>3</v>
      </c>
      <c r="R586" s="65">
        <f t="shared" si="112"/>
        <v>760</v>
      </c>
      <c r="S586" s="70">
        <f>VLOOKUP(B586,'114+320'!$B$14:$AB$785,22,FALSE)</f>
        <v>3454</v>
      </c>
      <c r="T586" s="69">
        <f>VLOOKUP(B586,'114+320'!$B$15:$AB$785,6,FALSE)</f>
        <v>970</v>
      </c>
      <c r="U586" s="68">
        <f t="shared" si="108"/>
        <v>2244</v>
      </c>
      <c r="V586" s="67">
        <f>VLOOKUP(B586,'114+320'!$B$15:$AB$785,15,FALSE)</f>
        <v>-756</v>
      </c>
      <c r="W586" s="66">
        <f>'114+320'!S587</f>
        <v>4</v>
      </c>
      <c r="X586" s="65">
        <f t="shared" si="113"/>
        <v>636</v>
      </c>
      <c r="Y586" s="64">
        <f t="shared" si="114"/>
        <v>-4</v>
      </c>
      <c r="Z586" s="63">
        <f t="shared" si="115"/>
        <v>0</v>
      </c>
      <c r="AA586" s="62">
        <f t="shared" si="116"/>
        <v>4.0990000000000002</v>
      </c>
      <c r="AB586" s="62">
        <f t="shared" si="117"/>
        <v>2.75</v>
      </c>
    </row>
    <row r="587" spans="2:28">
      <c r="B587" s="106">
        <f>'114+320'!B588</f>
        <v>45617</v>
      </c>
      <c r="C587" s="75">
        <f t="shared" si="109"/>
        <v>1</v>
      </c>
      <c r="D587" s="74">
        <f t="shared" si="110"/>
        <v>842</v>
      </c>
      <c r="E587" s="73">
        <f>VLOOKUP(B587,'114+320'!B588:AB974,3,FALSE)</f>
        <v>2374</v>
      </c>
      <c r="F587" s="69">
        <f t="shared" si="105"/>
        <v>3216</v>
      </c>
      <c r="G587" s="72">
        <f>VLOOKUP(B587,'114+320'!$B$15:$AB$785,20,FALSE)</f>
        <v>3420</v>
      </c>
      <c r="H587" s="72">
        <f>VLOOKUP(B587,'114+320'!$B$15:$AB$785,4,FALSE)</f>
        <v>1066</v>
      </c>
      <c r="I587" s="68">
        <f t="shared" si="106"/>
        <v>2150</v>
      </c>
      <c r="J587" s="71">
        <f>VLOOKUP(B587,'114+320'!$B$15:$AB$785,13,FALSE)</f>
        <v>-850</v>
      </c>
      <c r="K587" s="66">
        <f>'114+320'!Q588</f>
        <v>4</v>
      </c>
      <c r="L587" s="65">
        <f t="shared" si="111"/>
        <v>670</v>
      </c>
      <c r="M587" s="70">
        <f>VLOOKUP(B587,'114+320'!$B$14:$AB$785,21,FALSE)</f>
        <v>3326</v>
      </c>
      <c r="N587" s="69">
        <f>VLOOKUP(B587,'114+320'!$B$15:$AB$785,5,FALSE)</f>
        <v>1160</v>
      </c>
      <c r="O587" s="68">
        <f t="shared" si="107"/>
        <v>2056</v>
      </c>
      <c r="P587" s="71">
        <f>VLOOKUP(B587,'114+320'!$B$15:$AB$785,14,FALSE)</f>
        <v>-944</v>
      </c>
      <c r="Q587" s="66">
        <f>'114+320'!R588</f>
        <v>4</v>
      </c>
      <c r="R587" s="65">
        <f t="shared" si="112"/>
        <v>764</v>
      </c>
      <c r="S587" s="70">
        <f>VLOOKUP(B587,'114+320'!$B$14:$AB$785,22,FALSE)</f>
        <v>3451</v>
      </c>
      <c r="T587" s="69">
        <f>VLOOKUP(B587,'114+320'!$B$15:$AB$785,6,FALSE)</f>
        <v>975</v>
      </c>
      <c r="U587" s="68">
        <f t="shared" si="108"/>
        <v>2241</v>
      </c>
      <c r="V587" s="67">
        <f>VLOOKUP(B587,'114+320'!$B$15:$AB$785,15,FALSE)</f>
        <v>-759</v>
      </c>
      <c r="W587" s="66">
        <f>'114+320'!S588</f>
        <v>3</v>
      </c>
      <c r="X587" s="65">
        <f t="shared" si="113"/>
        <v>639</v>
      </c>
      <c r="Y587" s="64">
        <f t="shared" si="114"/>
        <v>-3</v>
      </c>
      <c r="Z587" s="63">
        <f t="shared" si="115"/>
        <v>0</v>
      </c>
      <c r="AA587" s="62">
        <f t="shared" si="116"/>
        <v>4.0990000000000002</v>
      </c>
      <c r="AB587" s="62">
        <f t="shared" si="117"/>
        <v>2.742</v>
      </c>
    </row>
    <row r="588" spans="2:28">
      <c r="B588" s="106">
        <f>'114+320'!B589</f>
        <v>45618</v>
      </c>
      <c r="C588" s="75">
        <f t="shared" si="109"/>
        <v>1</v>
      </c>
      <c r="D588" s="74">
        <f t="shared" si="110"/>
        <v>842</v>
      </c>
      <c r="E588" s="73">
        <f>VLOOKUP(B588,'114+320'!B589:AB975,3,FALSE)</f>
        <v>2376</v>
      </c>
      <c r="F588" s="69">
        <f t="shared" si="105"/>
        <v>3218</v>
      </c>
      <c r="G588" s="72">
        <f>VLOOKUP(B588,'114+320'!$B$15:$AB$785,20,FALSE)</f>
        <v>3413</v>
      </c>
      <c r="H588" s="72">
        <f>VLOOKUP(B588,'114+320'!$B$15:$AB$785,4,FALSE)</f>
        <v>1075</v>
      </c>
      <c r="I588" s="68">
        <f t="shared" si="106"/>
        <v>2143</v>
      </c>
      <c r="J588" s="71">
        <f>VLOOKUP(B588,'114+320'!$B$15:$AB$785,13,FALSE)</f>
        <v>-857</v>
      </c>
      <c r="K588" s="66">
        <f>'114+320'!Q589</f>
        <v>7</v>
      </c>
      <c r="L588" s="65">
        <f t="shared" si="111"/>
        <v>677</v>
      </c>
      <c r="M588" s="70">
        <f>VLOOKUP(B588,'114+320'!$B$14:$AB$785,21,FALSE)</f>
        <v>3323</v>
      </c>
      <c r="N588" s="69">
        <f>VLOOKUP(B588,'114+320'!$B$15:$AB$785,5,FALSE)</f>
        <v>1165</v>
      </c>
      <c r="O588" s="68">
        <f t="shared" si="107"/>
        <v>2053</v>
      </c>
      <c r="P588" s="71">
        <f>VLOOKUP(B588,'114+320'!$B$15:$AB$785,14,FALSE)</f>
        <v>-947</v>
      </c>
      <c r="Q588" s="66">
        <f>'114+320'!R589</f>
        <v>3</v>
      </c>
      <c r="R588" s="65">
        <f t="shared" si="112"/>
        <v>767</v>
      </c>
      <c r="S588" s="70">
        <f>VLOOKUP(B588,'114+320'!$B$14:$AB$785,22,FALSE)</f>
        <v>3449</v>
      </c>
      <c r="T588" s="69">
        <f>VLOOKUP(B588,'114+320'!$B$15:$AB$785,6,FALSE)</f>
        <v>979</v>
      </c>
      <c r="U588" s="68">
        <f t="shared" si="108"/>
        <v>2239</v>
      </c>
      <c r="V588" s="67">
        <f>VLOOKUP(B588,'114+320'!$B$15:$AB$785,15,FALSE)</f>
        <v>-761</v>
      </c>
      <c r="W588" s="66">
        <f>'114+320'!S589</f>
        <v>2</v>
      </c>
      <c r="X588" s="65">
        <f t="shared" si="113"/>
        <v>641</v>
      </c>
      <c r="Y588" s="64">
        <f t="shared" si="114"/>
        <v>-2</v>
      </c>
      <c r="Z588" s="63">
        <f t="shared" si="115"/>
        <v>0</v>
      </c>
      <c r="AA588" s="62">
        <f t="shared" si="116"/>
        <v>4.0990000000000002</v>
      </c>
      <c r="AB588" s="62">
        <f t="shared" si="117"/>
        <v>2.7360000000000002</v>
      </c>
    </row>
    <row r="589" spans="2:28">
      <c r="B589" s="106">
        <f>'114+320'!B590</f>
        <v>45619</v>
      </c>
      <c r="C589" s="75">
        <f t="shared" si="109"/>
        <v>1</v>
      </c>
      <c r="D589" s="74">
        <f t="shared" si="110"/>
        <v>842</v>
      </c>
      <c r="E589" s="73">
        <f>VLOOKUP(B589,'114+320'!B590:AB976,3,FALSE)</f>
        <v>2378</v>
      </c>
      <c r="F589" s="69">
        <f t="shared" ref="F589:F652" si="118">D589+E589</f>
        <v>3220</v>
      </c>
      <c r="G589" s="72">
        <f>VLOOKUP(B589,'114+320'!$B$15:$AB$785,20,FALSE)</f>
        <v>3408</v>
      </c>
      <c r="H589" s="72">
        <f>VLOOKUP(B589,'114+320'!$B$15:$AB$785,4,FALSE)</f>
        <v>1082</v>
      </c>
      <c r="I589" s="68">
        <f t="shared" ref="I589:I652" si="119">F589-H589</f>
        <v>2138</v>
      </c>
      <c r="J589" s="71">
        <f>VLOOKUP(B589,'114+320'!$B$15:$AB$785,13,FALSE)</f>
        <v>-862</v>
      </c>
      <c r="K589" s="66">
        <f>'114+320'!Q590</f>
        <v>5</v>
      </c>
      <c r="L589" s="65">
        <f t="shared" si="111"/>
        <v>682</v>
      </c>
      <c r="M589" s="70">
        <f>VLOOKUP(B589,'114+320'!$B$14:$AB$785,21,FALSE)</f>
        <v>3321</v>
      </c>
      <c r="N589" s="69">
        <f>VLOOKUP(B589,'114+320'!$B$15:$AB$785,5,FALSE)</f>
        <v>1169</v>
      </c>
      <c r="O589" s="68">
        <f t="shared" ref="O589:O652" si="120">F589-N589</f>
        <v>2051</v>
      </c>
      <c r="P589" s="71">
        <f>VLOOKUP(B589,'114+320'!$B$15:$AB$785,14,FALSE)</f>
        <v>-949</v>
      </c>
      <c r="Q589" s="66">
        <f>'114+320'!R590</f>
        <v>2</v>
      </c>
      <c r="R589" s="65">
        <f t="shared" si="112"/>
        <v>769</v>
      </c>
      <c r="S589" s="70">
        <f>VLOOKUP(B589,'114+320'!$B$14:$AB$785,22,FALSE)</f>
        <v>3445</v>
      </c>
      <c r="T589" s="69">
        <f>VLOOKUP(B589,'114+320'!$B$15:$AB$785,6,FALSE)</f>
        <v>985</v>
      </c>
      <c r="U589" s="68">
        <f t="shared" ref="U589:U652" si="121">F589-T589</f>
        <v>2235</v>
      </c>
      <c r="V589" s="67">
        <f>VLOOKUP(B589,'114+320'!$B$15:$AB$785,15,FALSE)</f>
        <v>-765</v>
      </c>
      <c r="W589" s="66">
        <f>'114+320'!S590</f>
        <v>4</v>
      </c>
      <c r="X589" s="65">
        <f t="shared" si="113"/>
        <v>645</v>
      </c>
      <c r="Y589" s="64">
        <f t="shared" si="114"/>
        <v>-4</v>
      </c>
      <c r="Z589" s="63">
        <f t="shared" si="115"/>
        <v>0</v>
      </c>
      <c r="AA589" s="62">
        <f t="shared" si="116"/>
        <v>4.0990000000000002</v>
      </c>
      <c r="AB589" s="62">
        <f t="shared" si="117"/>
        <v>2.7320000000000002</v>
      </c>
    </row>
    <row r="590" spans="2:28">
      <c r="B590" s="106">
        <f>'114+320'!B591</f>
        <v>45620</v>
      </c>
      <c r="C590" s="75">
        <f t="shared" ref="C590:C653" si="122">B590-B589</f>
        <v>1</v>
      </c>
      <c r="D590" s="74">
        <f t="shared" ref="D590:D653" si="123">D589</f>
        <v>842</v>
      </c>
      <c r="E590" s="73">
        <f>VLOOKUP(B590,'114+320'!B591:AB977,3,FALSE)</f>
        <v>2380</v>
      </c>
      <c r="F590" s="69">
        <f t="shared" si="118"/>
        <v>3222</v>
      </c>
      <c r="G590" s="72">
        <f>VLOOKUP(B590,'114+320'!$B$15:$AB$785,20,FALSE)</f>
        <v>3403</v>
      </c>
      <c r="H590" s="72">
        <f>VLOOKUP(B590,'114+320'!$B$15:$AB$785,4,FALSE)</f>
        <v>1089</v>
      </c>
      <c r="I590" s="68">
        <f t="shared" si="119"/>
        <v>2133</v>
      </c>
      <c r="J590" s="71">
        <f>VLOOKUP(B590,'114+320'!$B$15:$AB$785,13,FALSE)</f>
        <v>-867</v>
      </c>
      <c r="K590" s="66">
        <f>'114+320'!Q591</f>
        <v>5</v>
      </c>
      <c r="L590" s="65">
        <f t="shared" ref="L590:L653" si="124">+K590+L589</f>
        <v>687</v>
      </c>
      <c r="M590" s="70">
        <f>VLOOKUP(B590,'114+320'!$B$14:$AB$785,21,FALSE)</f>
        <v>3317</v>
      </c>
      <c r="N590" s="69">
        <f>VLOOKUP(B590,'114+320'!$B$15:$AB$785,5,FALSE)</f>
        <v>1175</v>
      </c>
      <c r="O590" s="68">
        <f t="shared" si="120"/>
        <v>2047</v>
      </c>
      <c r="P590" s="71">
        <f>VLOOKUP(B590,'114+320'!$B$15:$AB$785,14,FALSE)</f>
        <v>-953</v>
      </c>
      <c r="Q590" s="66">
        <f>'114+320'!R591</f>
        <v>4</v>
      </c>
      <c r="R590" s="65">
        <f t="shared" ref="R590:R653" si="125">+Q590+R589</f>
        <v>773</v>
      </c>
      <c r="S590" s="70">
        <f>VLOOKUP(B590,'114+320'!$B$14:$AB$785,22,FALSE)</f>
        <v>3442</v>
      </c>
      <c r="T590" s="69">
        <f>VLOOKUP(B590,'114+320'!$B$15:$AB$785,6,FALSE)</f>
        <v>990</v>
      </c>
      <c r="U590" s="68">
        <f t="shared" si="121"/>
        <v>2232</v>
      </c>
      <c r="V590" s="67">
        <f>VLOOKUP(B590,'114+320'!$B$15:$AB$785,15,FALSE)</f>
        <v>-768</v>
      </c>
      <c r="W590" s="66">
        <f>'114+320'!S591</f>
        <v>3</v>
      </c>
      <c r="X590" s="65">
        <f t="shared" ref="X590:X653" si="126">+W590+X589</f>
        <v>648</v>
      </c>
      <c r="Y590" s="64">
        <f t="shared" ref="Y590:Y653" si="127">S590-S589</f>
        <v>-3</v>
      </c>
      <c r="Z590" s="63">
        <f t="shared" ref="Z590:Z653" si="128">IF(Y590&gt;0,Y590,0)/1000</f>
        <v>0</v>
      </c>
      <c r="AA590" s="62">
        <f t="shared" ref="AA590:AA653" si="129">AA589+Z590</f>
        <v>4.0990000000000002</v>
      </c>
      <c r="AB590" s="62">
        <f t="shared" ref="AB590:AB653" si="130">(M590-$M$13-R590)/1000</f>
        <v>2.7240000000000002</v>
      </c>
    </row>
    <row r="591" spans="2:28">
      <c r="B591" s="106">
        <f>'114+320'!B592</f>
        <v>45621</v>
      </c>
      <c r="C591" s="75">
        <f t="shared" si="122"/>
        <v>1</v>
      </c>
      <c r="D591" s="74">
        <f t="shared" si="123"/>
        <v>842</v>
      </c>
      <c r="E591" s="73">
        <f>VLOOKUP(B591,'114+320'!B592:AB978,3,FALSE)</f>
        <v>2382</v>
      </c>
      <c r="F591" s="69">
        <f t="shared" si="118"/>
        <v>3224</v>
      </c>
      <c r="G591" s="72">
        <f>VLOOKUP(B591,'114+320'!$B$15:$AB$785,20,FALSE)</f>
        <v>3399</v>
      </c>
      <c r="H591" s="72">
        <f>VLOOKUP(B591,'114+320'!$B$15:$AB$785,4,FALSE)</f>
        <v>1095</v>
      </c>
      <c r="I591" s="68">
        <f t="shared" si="119"/>
        <v>2129</v>
      </c>
      <c r="J591" s="71">
        <f>VLOOKUP(B591,'114+320'!$B$15:$AB$785,13,FALSE)</f>
        <v>-871</v>
      </c>
      <c r="K591" s="66">
        <f>'114+320'!Q592</f>
        <v>4</v>
      </c>
      <c r="L591" s="65">
        <f t="shared" si="124"/>
        <v>691</v>
      </c>
      <c r="M591" s="70">
        <f>VLOOKUP(B591,'114+320'!$B$14:$AB$785,21,FALSE)</f>
        <v>3310</v>
      </c>
      <c r="N591" s="69">
        <f>VLOOKUP(B591,'114+320'!$B$15:$AB$785,5,FALSE)</f>
        <v>1184</v>
      </c>
      <c r="O591" s="68">
        <f t="shared" si="120"/>
        <v>2040</v>
      </c>
      <c r="P591" s="71">
        <f>VLOOKUP(B591,'114+320'!$B$15:$AB$785,14,FALSE)</f>
        <v>-960</v>
      </c>
      <c r="Q591" s="66">
        <f>'114+320'!R592</f>
        <v>7</v>
      </c>
      <c r="R591" s="65">
        <f t="shared" si="125"/>
        <v>780</v>
      </c>
      <c r="S591" s="70">
        <f>VLOOKUP(B591,'114+320'!$B$14:$AB$785,22,FALSE)</f>
        <v>3438</v>
      </c>
      <c r="T591" s="69">
        <f>VLOOKUP(B591,'114+320'!$B$15:$AB$785,6,FALSE)</f>
        <v>996</v>
      </c>
      <c r="U591" s="68">
        <f t="shared" si="121"/>
        <v>2228</v>
      </c>
      <c r="V591" s="67">
        <f>VLOOKUP(B591,'114+320'!$B$15:$AB$785,15,FALSE)</f>
        <v>-772</v>
      </c>
      <c r="W591" s="66">
        <f>'114+320'!S592</f>
        <v>4</v>
      </c>
      <c r="X591" s="65">
        <f t="shared" si="126"/>
        <v>652</v>
      </c>
      <c r="Y591" s="64">
        <f t="shared" si="127"/>
        <v>-4</v>
      </c>
      <c r="Z591" s="63">
        <f t="shared" si="128"/>
        <v>0</v>
      </c>
      <c r="AA591" s="62">
        <f t="shared" si="129"/>
        <v>4.0990000000000002</v>
      </c>
      <c r="AB591" s="62">
        <f t="shared" si="130"/>
        <v>2.71</v>
      </c>
    </row>
    <row r="592" spans="2:28">
      <c r="B592" s="106">
        <f>'114+320'!B593</f>
        <v>45622</v>
      </c>
      <c r="C592" s="75">
        <f t="shared" si="122"/>
        <v>1</v>
      </c>
      <c r="D592" s="74">
        <f t="shared" si="123"/>
        <v>842</v>
      </c>
      <c r="E592" s="73">
        <f>VLOOKUP(B592,'114+320'!B593:AB979,3,FALSE)</f>
        <v>2384</v>
      </c>
      <c r="F592" s="69">
        <f t="shared" si="118"/>
        <v>3226</v>
      </c>
      <c r="G592" s="72">
        <f>VLOOKUP(B592,'114+320'!$B$15:$AB$785,20,FALSE)</f>
        <v>3396</v>
      </c>
      <c r="H592" s="72">
        <f>VLOOKUP(B592,'114+320'!$B$15:$AB$785,4,FALSE)</f>
        <v>1100</v>
      </c>
      <c r="I592" s="68">
        <f t="shared" si="119"/>
        <v>2126</v>
      </c>
      <c r="J592" s="71">
        <f>VLOOKUP(B592,'114+320'!$B$15:$AB$785,13,FALSE)</f>
        <v>-874</v>
      </c>
      <c r="K592" s="66">
        <f>'114+320'!Q593</f>
        <v>3</v>
      </c>
      <c r="L592" s="65">
        <f t="shared" si="124"/>
        <v>694</v>
      </c>
      <c r="M592" s="70">
        <f>VLOOKUP(B592,'114+320'!$B$14:$AB$785,21,FALSE)</f>
        <v>3305</v>
      </c>
      <c r="N592" s="69">
        <f>VLOOKUP(B592,'114+320'!$B$15:$AB$785,5,FALSE)</f>
        <v>1191</v>
      </c>
      <c r="O592" s="68">
        <f t="shared" si="120"/>
        <v>2035</v>
      </c>
      <c r="P592" s="71">
        <f>VLOOKUP(B592,'114+320'!$B$15:$AB$785,14,FALSE)</f>
        <v>-965</v>
      </c>
      <c r="Q592" s="66">
        <f>'114+320'!R593</f>
        <v>5</v>
      </c>
      <c r="R592" s="65">
        <f t="shared" si="125"/>
        <v>785</v>
      </c>
      <c r="S592" s="70">
        <f>VLOOKUP(B592,'114+320'!$B$14:$AB$785,22,FALSE)</f>
        <v>3431</v>
      </c>
      <c r="T592" s="69">
        <f>VLOOKUP(B592,'114+320'!$B$15:$AB$785,6,FALSE)</f>
        <v>1005</v>
      </c>
      <c r="U592" s="68">
        <f t="shared" si="121"/>
        <v>2221</v>
      </c>
      <c r="V592" s="67">
        <f>VLOOKUP(B592,'114+320'!$B$15:$AB$785,15,FALSE)</f>
        <v>-779</v>
      </c>
      <c r="W592" s="66">
        <f>'114+320'!S593</f>
        <v>7</v>
      </c>
      <c r="X592" s="65">
        <f t="shared" si="126"/>
        <v>659</v>
      </c>
      <c r="Y592" s="64">
        <f t="shared" si="127"/>
        <v>-7</v>
      </c>
      <c r="Z592" s="63">
        <f t="shared" si="128"/>
        <v>0</v>
      </c>
      <c r="AA592" s="62">
        <f t="shared" si="129"/>
        <v>4.0990000000000002</v>
      </c>
      <c r="AB592" s="62">
        <f t="shared" si="130"/>
        <v>2.7</v>
      </c>
    </row>
    <row r="593" spans="2:28">
      <c r="B593" s="106">
        <f>'114+320'!B594</f>
        <v>45623</v>
      </c>
      <c r="C593" s="75">
        <f t="shared" si="122"/>
        <v>1</v>
      </c>
      <c r="D593" s="74">
        <f t="shared" si="123"/>
        <v>842</v>
      </c>
      <c r="E593" s="73">
        <f>VLOOKUP(B593,'114+320'!B594:AB980,3,FALSE)</f>
        <v>2386</v>
      </c>
      <c r="F593" s="69">
        <f t="shared" si="118"/>
        <v>3228</v>
      </c>
      <c r="G593" s="72">
        <f>VLOOKUP(B593,'114+320'!$B$15:$AB$785,20,FALSE)</f>
        <v>3394</v>
      </c>
      <c r="H593" s="72">
        <f>VLOOKUP(B593,'114+320'!$B$15:$AB$785,4,FALSE)</f>
        <v>1104</v>
      </c>
      <c r="I593" s="68">
        <f t="shared" si="119"/>
        <v>2124</v>
      </c>
      <c r="J593" s="71">
        <f>VLOOKUP(B593,'114+320'!$B$15:$AB$785,13,FALSE)</f>
        <v>-876</v>
      </c>
      <c r="K593" s="66">
        <f>'114+320'!Q594</f>
        <v>2</v>
      </c>
      <c r="L593" s="65">
        <f t="shared" si="124"/>
        <v>696</v>
      </c>
      <c r="M593" s="70">
        <f>VLOOKUP(B593,'114+320'!$B$14:$AB$785,21,FALSE)</f>
        <v>3300</v>
      </c>
      <c r="N593" s="69">
        <f>VLOOKUP(B593,'114+320'!$B$15:$AB$785,5,FALSE)</f>
        <v>1198</v>
      </c>
      <c r="O593" s="68">
        <f t="shared" si="120"/>
        <v>2030</v>
      </c>
      <c r="P593" s="71">
        <f>VLOOKUP(B593,'114+320'!$B$15:$AB$785,14,FALSE)</f>
        <v>-970</v>
      </c>
      <c r="Q593" s="66">
        <f>'114+320'!R594</f>
        <v>5</v>
      </c>
      <c r="R593" s="65">
        <f t="shared" si="125"/>
        <v>790</v>
      </c>
      <c r="S593" s="70">
        <f>VLOOKUP(B593,'114+320'!$B$14:$AB$785,22,FALSE)</f>
        <v>3426</v>
      </c>
      <c r="T593" s="69">
        <f>VLOOKUP(B593,'114+320'!$B$15:$AB$785,6,FALSE)</f>
        <v>1012</v>
      </c>
      <c r="U593" s="68">
        <f t="shared" si="121"/>
        <v>2216</v>
      </c>
      <c r="V593" s="67">
        <f>VLOOKUP(B593,'114+320'!$B$15:$AB$785,15,FALSE)</f>
        <v>-784</v>
      </c>
      <c r="W593" s="66">
        <f>'114+320'!S594</f>
        <v>5</v>
      </c>
      <c r="X593" s="65">
        <f t="shared" si="126"/>
        <v>664</v>
      </c>
      <c r="Y593" s="64">
        <f t="shared" si="127"/>
        <v>-5</v>
      </c>
      <c r="Z593" s="63">
        <f t="shared" si="128"/>
        <v>0</v>
      </c>
      <c r="AA593" s="62">
        <f t="shared" si="129"/>
        <v>4.0990000000000002</v>
      </c>
      <c r="AB593" s="62">
        <f t="shared" si="130"/>
        <v>2.69</v>
      </c>
    </row>
    <row r="594" spans="2:28">
      <c r="B594" s="106">
        <f>'114+320'!B595</f>
        <v>45624</v>
      </c>
      <c r="C594" s="75">
        <f t="shared" si="122"/>
        <v>1</v>
      </c>
      <c r="D594" s="74">
        <f t="shared" si="123"/>
        <v>842</v>
      </c>
      <c r="E594" s="73">
        <f>VLOOKUP(B594,'114+320'!B595:AB981,3,FALSE)</f>
        <v>2388</v>
      </c>
      <c r="F594" s="69">
        <f t="shared" si="118"/>
        <v>3230</v>
      </c>
      <c r="G594" s="72">
        <f>VLOOKUP(B594,'114+320'!$B$15:$AB$785,20,FALSE)</f>
        <v>3390</v>
      </c>
      <c r="H594" s="72">
        <f>VLOOKUP(B594,'114+320'!$B$15:$AB$785,4,FALSE)</f>
        <v>1110</v>
      </c>
      <c r="I594" s="68">
        <f t="shared" si="119"/>
        <v>2120</v>
      </c>
      <c r="J594" s="71">
        <f>VLOOKUP(B594,'114+320'!$B$15:$AB$785,13,FALSE)</f>
        <v>-880</v>
      </c>
      <c r="K594" s="66">
        <f>'114+320'!Q595</f>
        <v>4</v>
      </c>
      <c r="L594" s="65">
        <f t="shared" si="124"/>
        <v>700</v>
      </c>
      <c r="M594" s="70">
        <f>VLOOKUP(B594,'114+320'!$B$14:$AB$785,21,FALSE)</f>
        <v>3296</v>
      </c>
      <c r="N594" s="69">
        <f>VLOOKUP(B594,'114+320'!$B$15:$AB$785,5,FALSE)</f>
        <v>1204</v>
      </c>
      <c r="O594" s="68">
        <f t="shared" si="120"/>
        <v>2026</v>
      </c>
      <c r="P594" s="71">
        <f>VLOOKUP(B594,'114+320'!$B$15:$AB$785,14,FALSE)</f>
        <v>-974</v>
      </c>
      <c r="Q594" s="66">
        <f>'114+320'!R595</f>
        <v>4</v>
      </c>
      <c r="R594" s="65">
        <f t="shared" si="125"/>
        <v>794</v>
      </c>
      <c r="S594" s="70">
        <f>VLOOKUP(B594,'114+320'!$B$14:$AB$785,22,FALSE)</f>
        <v>3421</v>
      </c>
      <c r="T594" s="69">
        <f>VLOOKUP(B594,'114+320'!$B$15:$AB$785,6,FALSE)</f>
        <v>1019</v>
      </c>
      <c r="U594" s="68">
        <f t="shared" si="121"/>
        <v>2211</v>
      </c>
      <c r="V594" s="67">
        <f>VLOOKUP(B594,'114+320'!$B$15:$AB$785,15,FALSE)</f>
        <v>-789</v>
      </c>
      <c r="W594" s="66">
        <f>'114+320'!S595</f>
        <v>5</v>
      </c>
      <c r="X594" s="65">
        <f t="shared" si="126"/>
        <v>669</v>
      </c>
      <c r="Y594" s="64">
        <f t="shared" si="127"/>
        <v>-5</v>
      </c>
      <c r="Z594" s="63">
        <f t="shared" si="128"/>
        <v>0</v>
      </c>
      <c r="AA594" s="62">
        <f t="shared" si="129"/>
        <v>4.0990000000000002</v>
      </c>
      <c r="AB594" s="62">
        <f t="shared" si="130"/>
        <v>2.6819999999999999</v>
      </c>
    </row>
    <row r="595" spans="2:28">
      <c r="B595" s="106">
        <f>'114+320'!B596</f>
        <v>45625</v>
      </c>
      <c r="C595" s="75">
        <f t="shared" si="122"/>
        <v>1</v>
      </c>
      <c r="D595" s="74">
        <f t="shared" si="123"/>
        <v>842</v>
      </c>
      <c r="E595" s="73">
        <f>VLOOKUP(B595,'114+320'!B596:AB982,3,FALSE)</f>
        <v>2390</v>
      </c>
      <c r="F595" s="69">
        <f t="shared" si="118"/>
        <v>3232</v>
      </c>
      <c r="G595" s="72">
        <f>VLOOKUP(B595,'114+320'!$B$15:$AB$785,20,FALSE)</f>
        <v>3387</v>
      </c>
      <c r="H595" s="72">
        <f>VLOOKUP(B595,'114+320'!$B$15:$AB$785,4,FALSE)</f>
        <v>1115</v>
      </c>
      <c r="I595" s="68">
        <f t="shared" si="119"/>
        <v>2117</v>
      </c>
      <c r="J595" s="71">
        <f>VLOOKUP(B595,'114+320'!$B$15:$AB$785,13,FALSE)</f>
        <v>-883</v>
      </c>
      <c r="K595" s="66">
        <f>'114+320'!Q596</f>
        <v>3</v>
      </c>
      <c r="L595" s="65">
        <f t="shared" si="124"/>
        <v>703</v>
      </c>
      <c r="M595" s="70">
        <f>VLOOKUP(B595,'114+320'!$B$14:$AB$785,21,FALSE)</f>
        <v>3293</v>
      </c>
      <c r="N595" s="69">
        <f>VLOOKUP(B595,'114+320'!$B$15:$AB$785,5,FALSE)</f>
        <v>1209</v>
      </c>
      <c r="O595" s="68">
        <f t="shared" si="120"/>
        <v>2023</v>
      </c>
      <c r="P595" s="71">
        <f>VLOOKUP(B595,'114+320'!$B$15:$AB$785,14,FALSE)</f>
        <v>-977</v>
      </c>
      <c r="Q595" s="66">
        <f>'114+320'!R596</f>
        <v>3</v>
      </c>
      <c r="R595" s="65">
        <f t="shared" si="125"/>
        <v>797</v>
      </c>
      <c r="S595" s="70">
        <f>VLOOKUP(B595,'114+320'!$B$14:$AB$785,22,FALSE)</f>
        <v>3417</v>
      </c>
      <c r="T595" s="69">
        <f>VLOOKUP(B595,'114+320'!$B$15:$AB$785,6,FALSE)</f>
        <v>1025</v>
      </c>
      <c r="U595" s="68">
        <f t="shared" si="121"/>
        <v>2207</v>
      </c>
      <c r="V595" s="67">
        <f>VLOOKUP(B595,'114+320'!$B$15:$AB$785,15,FALSE)</f>
        <v>-793</v>
      </c>
      <c r="W595" s="66">
        <f>'114+320'!S596</f>
        <v>4</v>
      </c>
      <c r="X595" s="65">
        <f t="shared" si="126"/>
        <v>673</v>
      </c>
      <c r="Y595" s="64">
        <f t="shared" si="127"/>
        <v>-4</v>
      </c>
      <c r="Z595" s="63">
        <f t="shared" si="128"/>
        <v>0</v>
      </c>
      <c r="AA595" s="62">
        <f t="shared" si="129"/>
        <v>4.0990000000000002</v>
      </c>
      <c r="AB595" s="62">
        <f t="shared" si="130"/>
        <v>2.6760000000000002</v>
      </c>
    </row>
    <row r="596" spans="2:28">
      <c r="B596" s="106">
        <f>'114+320'!B597</f>
        <v>45626</v>
      </c>
      <c r="C596" s="75">
        <f t="shared" si="122"/>
        <v>1</v>
      </c>
      <c r="D596" s="74">
        <f t="shared" si="123"/>
        <v>842</v>
      </c>
      <c r="E596" s="73">
        <f>VLOOKUP(B596,'114+320'!B597:AB983,3,FALSE)</f>
        <v>2392</v>
      </c>
      <c r="F596" s="69">
        <f t="shared" si="118"/>
        <v>3234</v>
      </c>
      <c r="G596" s="72">
        <f>VLOOKUP(B596,'114+320'!$B$15:$AB$785,20,FALSE)</f>
        <v>3385</v>
      </c>
      <c r="H596" s="72">
        <f>VLOOKUP(B596,'114+320'!$B$15:$AB$785,4,FALSE)</f>
        <v>1119</v>
      </c>
      <c r="I596" s="68">
        <f t="shared" si="119"/>
        <v>2115</v>
      </c>
      <c r="J596" s="71">
        <f>VLOOKUP(B596,'114+320'!$B$15:$AB$785,13,FALSE)</f>
        <v>-885</v>
      </c>
      <c r="K596" s="66">
        <f>'114+320'!Q597</f>
        <v>2</v>
      </c>
      <c r="L596" s="65">
        <f t="shared" si="124"/>
        <v>705</v>
      </c>
      <c r="M596" s="70">
        <f>VLOOKUP(B596,'114+320'!$B$14:$AB$785,21,FALSE)</f>
        <v>3291</v>
      </c>
      <c r="N596" s="69">
        <f>VLOOKUP(B596,'114+320'!$B$15:$AB$785,5,FALSE)</f>
        <v>1213</v>
      </c>
      <c r="O596" s="68">
        <f t="shared" si="120"/>
        <v>2021</v>
      </c>
      <c r="P596" s="71">
        <f>VLOOKUP(B596,'114+320'!$B$15:$AB$785,14,FALSE)</f>
        <v>-979</v>
      </c>
      <c r="Q596" s="66">
        <f>'114+320'!R597</f>
        <v>2</v>
      </c>
      <c r="R596" s="65">
        <f t="shared" si="125"/>
        <v>799</v>
      </c>
      <c r="S596" s="70">
        <f>VLOOKUP(B596,'114+320'!$B$14:$AB$785,22,FALSE)</f>
        <v>3414</v>
      </c>
      <c r="T596" s="69">
        <f>VLOOKUP(B596,'114+320'!$B$15:$AB$785,6,FALSE)</f>
        <v>1030</v>
      </c>
      <c r="U596" s="68">
        <f t="shared" si="121"/>
        <v>2204</v>
      </c>
      <c r="V596" s="67">
        <f>VLOOKUP(B596,'114+320'!$B$15:$AB$785,15,FALSE)</f>
        <v>-796</v>
      </c>
      <c r="W596" s="66">
        <f>'114+320'!S597</f>
        <v>3</v>
      </c>
      <c r="X596" s="65">
        <f t="shared" si="126"/>
        <v>676</v>
      </c>
      <c r="Y596" s="64">
        <f t="shared" si="127"/>
        <v>-3</v>
      </c>
      <c r="Z596" s="63">
        <f t="shared" si="128"/>
        <v>0</v>
      </c>
      <c r="AA596" s="62">
        <f t="shared" si="129"/>
        <v>4.0990000000000002</v>
      </c>
      <c r="AB596" s="62">
        <f t="shared" si="130"/>
        <v>2.6720000000000002</v>
      </c>
    </row>
    <row r="597" spans="2:28">
      <c r="B597" s="106">
        <f>'114+320'!B598</f>
        <v>45627</v>
      </c>
      <c r="C597" s="75">
        <f t="shared" si="122"/>
        <v>1</v>
      </c>
      <c r="D597" s="74">
        <f t="shared" si="123"/>
        <v>842</v>
      </c>
      <c r="E597" s="73">
        <f>VLOOKUP(B597,'114+320'!B598:AB984,3,FALSE)</f>
        <v>2394</v>
      </c>
      <c r="F597" s="69">
        <f t="shared" si="118"/>
        <v>3236</v>
      </c>
      <c r="G597" s="72">
        <f>VLOOKUP(B597,'114+320'!$B$15:$AB$785,20,FALSE)</f>
        <v>3381</v>
      </c>
      <c r="H597" s="72">
        <f>VLOOKUP(B597,'114+320'!$B$15:$AB$785,4,FALSE)</f>
        <v>1125</v>
      </c>
      <c r="I597" s="68">
        <f t="shared" si="119"/>
        <v>2111</v>
      </c>
      <c r="J597" s="71">
        <f>VLOOKUP(B597,'114+320'!$B$15:$AB$785,13,FALSE)</f>
        <v>-889</v>
      </c>
      <c r="K597" s="66">
        <f>'114+320'!Q598</f>
        <v>4</v>
      </c>
      <c r="L597" s="65">
        <f t="shared" si="124"/>
        <v>709</v>
      </c>
      <c r="M597" s="70">
        <f>VLOOKUP(B597,'114+320'!$B$14:$AB$785,21,FALSE)</f>
        <v>3287</v>
      </c>
      <c r="N597" s="69">
        <f>VLOOKUP(B597,'114+320'!$B$15:$AB$785,5,FALSE)</f>
        <v>1219</v>
      </c>
      <c r="O597" s="68">
        <f t="shared" si="120"/>
        <v>2017</v>
      </c>
      <c r="P597" s="71">
        <f>VLOOKUP(B597,'114+320'!$B$15:$AB$785,14,FALSE)</f>
        <v>-983</v>
      </c>
      <c r="Q597" s="66">
        <f>'114+320'!R598</f>
        <v>4</v>
      </c>
      <c r="R597" s="65">
        <f t="shared" si="125"/>
        <v>803</v>
      </c>
      <c r="S597" s="70">
        <f>VLOOKUP(B597,'114+320'!$B$14:$AB$785,22,FALSE)</f>
        <v>3412</v>
      </c>
      <c r="T597" s="69">
        <f>VLOOKUP(B597,'114+320'!$B$15:$AB$785,6,FALSE)</f>
        <v>1034</v>
      </c>
      <c r="U597" s="68">
        <f t="shared" si="121"/>
        <v>2202</v>
      </c>
      <c r="V597" s="67">
        <f>VLOOKUP(B597,'114+320'!$B$15:$AB$785,15,FALSE)</f>
        <v>-798</v>
      </c>
      <c r="W597" s="66">
        <f>'114+320'!S598</f>
        <v>2</v>
      </c>
      <c r="X597" s="65">
        <f t="shared" si="126"/>
        <v>678</v>
      </c>
      <c r="Y597" s="64">
        <f t="shared" si="127"/>
        <v>-2</v>
      </c>
      <c r="Z597" s="63">
        <f t="shared" si="128"/>
        <v>0</v>
      </c>
      <c r="AA597" s="62">
        <f t="shared" si="129"/>
        <v>4.0990000000000002</v>
      </c>
      <c r="AB597" s="62">
        <f t="shared" si="130"/>
        <v>2.6640000000000001</v>
      </c>
    </row>
    <row r="598" spans="2:28">
      <c r="B598" s="106">
        <f>'114+320'!B599</f>
        <v>45628</v>
      </c>
      <c r="C598" s="75">
        <f t="shared" si="122"/>
        <v>1</v>
      </c>
      <c r="D598" s="74">
        <f t="shared" si="123"/>
        <v>842</v>
      </c>
      <c r="E598" s="73">
        <f>VLOOKUP(B598,'114+320'!B599:AB985,3,FALSE)</f>
        <v>2396</v>
      </c>
      <c r="F598" s="69">
        <f t="shared" si="118"/>
        <v>3238</v>
      </c>
      <c r="G598" s="72">
        <f>VLOOKUP(B598,'114+320'!$B$15:$AB$785,20,FALSE)</f>
        <v>3379</v>
      </c>
      <c r="H598" s="72">
        <f>VLOOKUP(B598,'114+320'!$B$15:$AB$785,4,FALSE)</f>
        <v>1129</v>
      </c>
      <c r="I598" s="68">
        <f t="shared" si="119"/>
        <v>2109</v>
      </c>
      <c r="J598" s="71">
        <f>VLOOKUP(B598,'114+320'!$B$15:$AB$785,13,FALSE)</f>
        <v>-891</v>
      </c>
      <c r="K598" s="66">
        <f>'114+320'!Q599</f>
        <v>2</v>
      </c>
      <c r="L598" s="65">
        <f t="shared" si="124"/>
        <v>711</v>
      </c>
      <c r="M598" s="70">
        <f>VLOOKUP(B598,'114+320'!$B$14:$AB$785,21,FALSE)</f>
        <v>3280</v>
      </c>
      <c r="N598" s="69">
        <f>VLOOKUP(B598,'114+320'!$B$15:$AB$785,5,FALSE)</f>
        <v>1228</v>
      </c>
      <c r="O598" s="68">
        <f t="shared" si="120"/>
        <v>2010</v>
      </c>
      <c r="P598" s="71">
        <f>VLOOKUP(B598,'114+320'!$B$15:$AB$785,14,FALSE)</f>
        <v>-990</v>
      </c>
      <c r="Q598" s="66">
        <f>'114+320'!R599</f>
        <v>7</v>
      </c>
      <c r="R598" s="65">
        <f t="shared" si="125"/>
        <v>810</v>
      </c>
      <c r="S598" s="70">
        <f>VLOOKUP(B598,'114+320'!$B$14:$AB$785,22,FALSE)</f>
        <v>3408</v>
      </c>
      <c r="T598" s="69">
        <f>VLOOKUP(B598,'114+320'!$B$15:$AB$785,6,FALSE)</f>
        <v>1040</v>
      </c>
      <c r="U598" s="68">
        <f t="shared" si="121"/>
        <v>2198</v>
      </c>
      <c r="V598" s="67">
        <f>VLOOKUP(B598,'114+320'!$B$15:$AB$785,15,FALSE)</f>
        <v>-802</v>
      </c>
      <c r="W598" s="66">
        <f>'114+320'!S599</f>
        <v>4</v>
      </c>
      <c r="X598" s="65">
        <f t="shared" si="126"/>
        <v>682</v>
      </c>
      <c r="Y598" s="64">
        <f t="shared" si="127"/>
        <v>-4</v>
      </c>
      <c r="Z598" s="63">
        <f t="shared" si="128"/>
        <v>0</v>
      </c>
      <c r="AA598" s="62">
        <f t="shared" si="129"/>
        <v>4.0990000000000002</v>
      </c>
      <c r="AB598" s="62">
        <f t="shared" si="130"/>
        <v>2.65</v>
      </c>
    </row>
    <row r="599" spans="2:28">
      <c r="B599" s="106">
        <f>'114+320'!B600</f>
        <v>45629</v>
      </c>
      <c r="C599" s="75">
        <f t="shared" si="122"/>
        <v>1</v>
      </c>
      <c r="D599" s="74">
        <f t="shared" si="123"/>
        <v>842</v>
      </c>
      <c r="E599" s="73">
        <f>VLOOKUP(B599,'114+320'!B600:AB986,3,FALSE)</f>
        <v>2398</v>
      </c>
      <c r="F599" s="69">
        <f t="shared" si="118"/>
        <v>3240</v>
      </c>
      <c r="G599" s="72">
        <f>VLOOKUP(B599,'114+320'!$B$15:$AB$785,20,FALSE)</f>
        <v>3377</v>
      </c>
      <c r="H599" s="72">
        <f>VLOOKUP(B599,'114+320'!$B$15:$AB$785,4,FALSE)</f>
        <v>1133</v>
      </c>
      <c r="I599" s="68">
        <f t="shared" si="119"/>
        <v>2107</v>
      </c>
      <c r="J599" s="71">
        <f>VLOOKUP(B599,'114+320'!$B$15:$AB$785,13,FALSE)</f>
        <v>-893</v>
      </c>
      <c r="K599" s="66">
        <f>'114+320'!Q600</f>
        <v>2</v>
      </c>
      <c r="L599" s="65">
        <f t="shared" si="124"/>
        <v>713</v>
      </c>
      <c r="M599" s="70">
        <f>VLOOKUP(B599,'114+320'!$B$14:$AB$785,21,FALSE)</f>
        <v>3275</v>
      </c>
      <c r="N599" s="69">
        <f>VLOOKUP(B599,'114+320'!$B$15:$AB$785,5,FALSE)</f>
        <v>1235</v>
      </c>
      <c r="O599" s="68">
        <f t="shared" si="120"/>
        <v>2005</v>
      </c>
      <c r="P599" s="71">
        <f>VLOOKUP(B599,'114+320'!$B$15:$AB$785,14,FALSE)</f>
        <v>-995</v>
      </c>
      <c r="Q599" s="66">
        <f>'114+320'!R600</f>
        <v>5</v>
      </c>
      <c r="R599" s="65">
        <f t="shared" si="125"/>
        <v>815</v>
      </c>
      <c r="S599" s="70">
        <f>VLOOKUP(B599,'114+320'!$B$14:$AB$785,22,FALSE)</f>
        <v>3405</v>
      </c>
      <c r="T599" s="69">
        <f>VLOOKUP(B599,'114+320'!$B$15:$AB$785,6,FALSE)</f>
        <v>1045</v>
      </c>
      <c r="U599" s="68">
        <f t="shared" si="121"/>
        <v>2195</v>
      </c>
      <c r="V599" s="67">
        <f>VLOOKUP(B599,'114+320'!$B$15:$AB$785,15,FALSE)</f>
        <v>-805</v>
      </c>
      <c r="W599" s="66">
        <f>'114+320'!S600</f>
        <v>3</v>
      </c>
      <c r="X599" s="65">
        <f t="shared" si="126"/>
        <v>685</v>
      </c>
      <c r="Y599" s="64">
        <f t="shared" si="127"/>
        <v>-3</v>
      </c>
      <c r="Z599" s="63">
        <f t="shared" si="128"/>
        <v>0</v>
      </c>
      <c r="AA599" s="62">
        <f t="shared" si="129"/>
        <v>4.0990000000000002</v>
      </c>
      <c r="AB599" s="62">
        <f t="shared" si="130"/>
        <v>2.64</v>
      </c>
    </row>
    <row r="600" spans="2:28">
      <c r="B600" s="106">
        <f>'114+320'!B601</f>
        <v>45630</v>
      </c>
      <c r="C600" s="75">
        <f t="shared" si="122"/>
        <v>1</v>
      </c>
      <c r="D600" s="74">
        <f t="shared" si="123"/>
        <v>842</v>
      </c>
      <c r="E600" s="73">
        <f>VLOOKUP(B600,'114+320'!B601:AB987,3,FALSE)</f>
        <v>2400</v>
      </c>
      <c r="F600" s="69">
        <f t="shared" si="118"/>
        <v>3242</v>
      </c>
      <c r="G600" s="72">
        <f>VLOOKUP(B600,'114+320'!$B$15:$AB$785,20,FALSE)</f>
        <v>3374</v>
      </c>
      <c r="H600" s="72">
        <f>VLOOKUP(B600,'114+320'!$B$15:$AB$785,4,FALSE)</f>
        <v>1138</v>
      </c>
      <c r="I600" s="68">
        <f t="shared" si="119"/>
        <v>2104</v>
      </c>
      <c r="J600" s="71">
        <f>VLOOKUP(B600,'114+320'!$B$15:$AB$785,13,FALSE)</f>
        <v>-896</v>
      </c>
      <c r="K600" s="66">
        <f>'114+320'!Q601</f>
        <v>3</v>
      </c>
      <c r="L600" s="65">
        <f t="shared" si="124"/>
        <v>716</v>
      </c>
      <c r="M600" s="70">
        <f>VLOOKUP(B600,'114+320'!$B$14:$AB$785,21,FALSE)</f>
        <v>3270</v>
      </c>
      <c r="N600" s="69">
        <f>VLOOKUP(B600,'114+320'!$B$15:$AB$785,5,FALSE)</f>
        <v>1242</v>
      </c>
      <c r="O600" s="68">
        <f t="shared" si="120"/>
        <v>2000</v>
      </c>
      <c r="P600" s="71">
        <f>VLOOKUP(B600,'114+320'!$B$15:$AB$785,14,FALSE)</f>
        <v>-1000</v>
      </c>
      <c r="Q600" s="66">
        <f>'114+320'!R601</f>
        <v>5</v>
      </c>
      <c r="R600" s="65">
        <f t="shared" si="125"/>
        <v>820</v>
      </c>
      <c r="S600" s="70">
        <f>VLOOKUP(B600,'114+320'!$B$14:$AB$785,22,FALSE)</f>
        <v>3403</v>
      </c>
      <c r="T600" s="69">
        <f>VLOOKUP(B600,'114+320'!$B$15:$AB$785,6,FALSE)</f>
        <v>1049</v>
      </c>
      <c r="U600" s="68">
        <f t="shared" si="121"/>
        <v>2193</v>
      </c>
      <c r="V600" s="67">
        <f>VLOOKUP(B600,'114+320'!$B$15:$AB$785,15,FALSE)</f>
        <v>-807</v>
      </c>
      <c r="W600" s="66">
        <f>'114+320'!S601</f>
        <v>2</v>
      </c>
      <c r="X600" s="65">
        <f t="shared" si="126"/>
        <v>687</v>
      </c>
      <c r="Y600" s="64">
        <f t="shared" si="127"/>
        <v>-2</v>
      </c>
      <c r="Z600" s="63">
        <f t="shared" si="128"/>
        <v>0</v>
      </c>
      <c r="AA600" s="62">
        <f t="shared" si="129"/>
        <v>4.0990000000000002</v>
      </c>
      <c r="AB600" s="62">
        <f t="shared" si="130"/>
        <v>2.63</v>
      </c>
    </row>
    <row r="601" spans="2:28">
      <c r="B601" s="106">
        <f>'114+320'!B602</f>
        <v>45631</v>
      </c>
      <c r="C601" s="75">
        <f t="shared" si="122"/>
        <v>1</v>
      </c>
      <c r="D601" s="74">
        <f t="shared" si="123"/>
        <v>842</v>
      </c>
      <c r="E601" s="73">
        <f>VLOOKUP(B601,'114+320'!B602:AB988,3,FALSE)</f>
        <v>2402</v>
      </c>
      <c r="F601" s="69">
        <f t="shared" si="118"/>
        <v>3244</v>
      </c>
      <c r="G601" s="72">
        <f>VLOOKUP(B601,'114+320'!$B$15:$AB$785,20,FALSE)</f>
        <v>3370</v>
      </c>
      <c r="H601" s="72">
        <f>VLOOKUP(B601,'114+320'!$B$15:$AB$785,4,FALSE)</f>
        <v>1144</v>
      </c>
      <c r="I601" s="68">
        <f t="shared" si="119"/>
        <v>2100</v>
      </c>
      <c r="J601" s="71">
        <f>VLOOKUP(B601,'114+320'!$B$15:$AB$785,13,FALSE)</f>
        <v>-900</v>
      </c>
      <c r="K601" s="66">
        <f>'114+320'!Q602</f>
        <v>4</v>
      </c>
      <c r="L601" s="65">
        <f t="shared" si="124"/>
        <v>720</v>
      </c>
      <c r="M601" s="70">
        <f>VLOOKUP(B601,'114+320'!$B$14:$AB$785,21,FALSE)</f>
        <v>3266</v>
      </c>
      <c r="N601" s="69">
        <f>VLOOKUP(B601,'114+320'!$B$15:$AB$785,5,FALSE)</f>
        <v>1248</v>
      </c>
      <c r="O601" s="68">
        <f t="shared" si="120"/>
        <v>1996</v>
      </c>
      <c r="P601" s="71">
        <f>VLOOKUP(B601,'114+320'!$B$15:$AB$785,14,FALSE)</f>
        <v>-1004</v>
      </c>
      <c r="Q601" s="66">
        <f>'114+320'!R602</f>
        <v>4</v>
      </c>
      <c r="R601" s="65">
        <f t="shared" si="125"/>
        <v>824</v>
      </c>
      <c r="S601" s="70">
        <f>VLOOKUP(B601,'114+320'!$B$14:$AB$785,22,FALSE)</f>
        <v>3399</v>
      </c>
      <c r="T601" s="69">
        <f>VLOOKUP(B601,'114+320'!$B$15:$AB$785,6,FALSE)</f>
        <v>1055</v>
      </c>
      <c r="U601" s="68">
        <f t="shared" si="121"/>
        <v>2189</v>
      </c>
      <c r="V601" s="67">
        <f>VLOOKUP(B601,'114+320'!$B$15:$AB$785,15,FALSE)</f>
        <v>-811</v>
      </c>
      <c r="W601" s="66">
        <f>'114+320'!S602</f>
        <v>4</v>
      </c>
      <c r="X601" s="65">
        <f t="shared" si="126"/>
        <v>691</v>
      </c>
      <c r="Y601" s="64">
        <f t="shared" si="127"/>
        <v>-4</v>
      </c>
      <c r="Z601" s="63">
        <f t="shared" si="128"/>
        <v>0</v>
      </c>
      <c r="AA601" s="62">
        <f t="shared" si="129"/>
        <v>4.0990000000000002</v>
      </c>
      <c r="AB601" s="62">
        <f t="shared" si="130"/>
        <v>2.6219999999999999</v>
      </c>
    </row>
    <row r="602" spans="2:28">
      <c r="B602" s="106">
        <f>'114+320'!B603</f>
        <v>45632</v>
      </c>
      <c r="C602" s="75">
        <f t="shared" si="122"/>
        <v>1</v>
      </c>
      <c r="D602" s="74">
        <f t="shared" si="123"/>
        <v>842</v>
      </c>
      <c r="E602" s="73">
        <f>VLOOKUP(B602,'114+320'!B603:AB989,3,FALSE)</f>
        <v>2404</v>
      </c>
      <c r="F602" s="69">
        <f t="shared" si="118"/>
        <v>3246</v>
      </c>
      <c r="G602" s="72">
        <f>VLOOKUP(B602,'114+320'!$B$15:$AB$785,20,FALSE)</f>
        <v>3367</v>
      </c>
      <c r="H602" s="72">
        <f>VLOOKUP(B602,'114+320'!$B$15:$AB$785,4,FALSE)</f>
        <v>1149</v>
      </c>
      <c r="I602" s="68">
        <f t="shared" si="119"/>
        <v>2097</v>
      </c>
      <c r="J602" s="71">
        <f>VLOOKUP(B602,'114+320'!$B$15:$AB$785,13,FALSE)</f>
        <v>-903</v>
      </c>
      <c r="K602" s="66">
        <f>'114+320'!Q603</f>
        <v>3</v>
      </c>
      <c r="L602" s="65">
        <f t="shared" si="124"/>
        <v>723</v>
      </c>
      <c r="M602" s="70">
        <f>VLOOKUP(B602,'114+320'!$B$14:$AB$785,21,FALSE)</f>
        <v>3263</v>
      </c>
      <c r="N602" s="69">
        <f>VLOOKUP(B602,'114+320'!$B$15:$AB$785,5,FALSE)</f>
        <v>1253</v>
      </c>
      <c r="O602" s="68">
        <f t="shared" si="120"/>
        <v>1993</v>
      </c>
      <c r="P602" s="71">
        <f>VLOOKUP(B602,'114+320'!$B$15:$AB$785,14,FALSE)</f>
        <v>-1007</v>
      </c>
      <c r="Q602" s="66">
        <f>'114+320'!R603</f>
        <v>3</v>
      </c>
      <c r="R602" s="65">
        <f t="shared" si="125"/>
        <v>827</v>
      </c>
      <c r="S602" s="70">
        <f>VLOOKUP(B602,'114+320'!$B$14:$AB$785,22,FALSE)</f>
        <v>3392</v>
      </c>
      <c r="T602" s="69">
        <f>VLOOKUP(B602,'114+320'!$B$15:$AB$785,6,FALSE)</f>
        <v>1064</v>
      </c>
      <c r="U602" s="68">
        <f t="shared" si="121"/>
        <v>2182</v>
      </c>
      <c r="V602" s="67">
        <f>VLOOKUP(B602,'114+320'!$B$15:$AB$785,15,FALSE)</f>
        <v>-818</v>
      </c>
      <c r="W602" s="66">
        <f>'114+320'!S603</f>
        <v>7</v>
      </c>
      <c r="X602" s="65">
        <f t="shared" si="126"/>
        <v>698</v>
      </c>
      <c r="Y602" s="64">
        <f t="shared" si="127"/>
        <v>-7</v>
      </c>
      <c r="Z602" s="63">
        <f t="shared" si="128"/>
        <v>0</v>
      </c>
      <c r="AA602" s="62">
        <f t="shared" si="129"/>
        <v>4.0990000000000002</v>
      </c>
      <c r="AB602" s="62">
        <f t="shared" si="130"/>
        <v>2.6160000000000001</v>
      </c>
    </row>
    <row r="603" spans="2:28">
      <c r="B603" s="106">
        <f>'114+320'!B604</f>
        <v>45633</v>
      </c>
      <c r="C603" s="75">
        <f t="shared" si="122"/>
        <v>1</v>
      </c>
      <c r="D603" s="74">
        <f t="shared" si="123"/>
        <v>842</v>
      </c>
      <c r="E603" s="73">
        <f>VLOOKUP(B603,'114+320'!B604:AB990,3,FALSE)</f>
        <v>2406</v>
      </c>
      <c r="F603" s="69">
        <f t="shared" si="118"/>
        <v>3248</v>
      </c>
      <c r="G603" s="72">
        <f>VLOOKUP(B603,'114+320'!$B$15:$AB$785,20,FALSE)</f>
        <v>3365</v>
      </c>
      <c r="H603" s="72">
        <f>VLOOKUP(B603,'114+320'!$B$15:$AB$785,4,FALSE)</f>
        <v>1153</v>
      </c>
      <c r="I603" s="68">
        <f t="shared" si="119"/>
        <v>2095</v>
      </c>
      <c r="J603" s="71">
        <f>VLOOKUP(B603,'114+320'!$B$15:$AB$785,13,FALSE)</f>
        <v>-905</v>
      </c>
      <c r="K603" s="66">
        <f>'114+320'!Q604</f>
        <v>2</v>
      </c>
      <c r="L603" s="65">
        <f t="shared" si="124"/>
        <v>725</v>
      </c>
      <c r="M603" s="70">
        <f>VLOOKUP(B603,'114+320'!$B$14:$AB$785,21,FALSE)</f>
        <v>3261</v>
      </c>
      <c r="N603" s="69">
        <f>VLOOKUP(B603,'114+320'!$B$15:$AB$785,5,FALSE)</f>
        <v>1257</v>
      </c>
      <c r="O603" s="68">
        <f t="shared" si="120"/>
        <v>1991</v>
      </c>
      <c r="P603" s="71">
        <f>VLOOKUP(B603,'114+320'!$B$15:$AB$785,14,FALSE)</f>
        <v>-1009</v>
      </c>
      <c r="Q603" s="66">
        <f>'114+320'!R604</f>
        <v>2</v>
      </c>
      <c r="R603" s="65">
        <f t="shared" si="125"/>
        <v>829</v>
      </c>
      <c r="S603" s="70">
        <f>VLOOKUP(B603,'114+320'!$B$14:$AB$785,22,FALSE)</f>
        <v>3387</v>
      </c>
      <c r="T603" s="69">
        <f>VLOOKUP(B603,'114+320'!$B$15:$AB$785,6,FALSE)</f>
        <v>1071</v>
      </c>
      <c r="U603" s="68">
        <f t="shared" si="121"/>
        <v>2177</v>
      </c>
      <c r="V603" s="67">
        <f>VLOOKUP(B603,'114+320'!$B$15:$AB$785,15,FALSE)</f>
        <v>-823</v>
      </c>
      <c r="W603" s="66">
        <f>'114+320'!S604</f>
        <v>5</v>
      </c>
      <c r="X603" s="65">
        <f t="shared" si="126"/>
        <v>703</v>
      </c>
      <c r="Y603" s="64">
        <f t="shared" si="127"/>
        <v>-5</v>
      </c>
      <c r="Z603" s="63">
        <f t="shared" si="128"/>
        <v>0</v>
      </c>
      <c r="AA603" s="62">
        <f t="shared" si="129"/>
        <v>4.0990000000000002</v>
      </c>
      <c r="AB603" s="62">
        <f t="shared" si="130"/>
        <v>2.6120000000000001</v>
      </c>
    </row>
    <row r="604" spans="2:28">
      <c r="B604" s="106">
        <f>'114+320'!B605</f>
        <v>45634</v>
      </c>
      <c r="C604" s="75">
        <f t="shared" si="122"/>
        <v>1</v>
      </c>
      <c r="D604" s="74">
        <f t="shared" si="123"/>
        <v>842</v>
      </c>
      <c r="E604" s="73">
        <f>VLOOKUP(B604,'114+320'!B605:AB991,3,FALSE)</f>
        <v>2408</v>
      </c>
      <c r="F604" s="69">
        <f t="shared" si="118"/>
        <v>3250</v>
      </c>
      <c r="G604" s="72">
        <f>VLOOKUP(B604,'114+320'!$B$15:$AB$785,20,FALSE)</f>
        <v>3361</v>
      </c>
      <c r="H604" s="72">
        <f>VLOOKUP(B604,'114+320'!$B$15:$AB$785,4,FALSE)</f>
        <v>1159</v>
      </c>
      <c r="I604" s="68">
        <f t="shared" si="119"/>
        <v>2091</v>
      </c>
      <c r="J604" s="71">
        <f>VLOOKUP(B604,'114+320'!$B$15:$AB$785,13,FALSE)</f>
        <v>-909</v>
      </c>
      <c r="K604" s="66">
        <f>'114+320'!Q605</f>
        <v>4</v>
      </c>
      <c r="L604" s="65">
        <f t="shared" si="124"/>
        <v>729</v>
      </c>
      <c r="M604" s="70">
        <f>VLOOKUP(B604,'114+320'!$B$14:$AB$785,21,FALSE)</f>
        <v>3257</v>
      </c>
      <c r="N604" s="69">
        <f>VLOOKUP(B604,'114+320'!$B$15:$AB$785,5,FALSE)</f>
        <v>1263</v>
      </c>
      <c r="O604" s="68">
        <f t="shared" si="120"/>
        <v>1987</v>
      </c>
      <c r="P604" s="71">
        <f>VLOOKUP(B604,'114+320'!$B$15:$AB$785,14,FALSE)</f>
        <v>-1013</v>
      </c>
      <c r="Q604" s="66">
        <f>'114+320'!R605</f>
        <v>4</v>
      </c>
      <c r="R604" s="65">
        <f t="shared" si="125"/>
        <v>833</v>
      </c>
      <c r="S604" s="70">
        <f>VLOOKUP(B604,'114+320'!$B$14:$AB$785,22,FALSE)</f>
        <v>3382</v>
      </c>
      <c r="T604" s="69">
        <f>VLOOKUP(B604,'114+320'!$B$15:$AB$785,6,FALSE)</f>
        <v>1078</v>
      </c>
      <c r="U604" s="68">
        <f t="shared" si="121"/>
        <v>2172</v>
      </c>
      <c r="V604" s="67">
        <f>VLOOKUP(B604,'114+320'!$B$15:$AB$785,15,FALSE)</f>
        <v>-828</v>
      </c>
      <c r="W604" s="66">
        <f>'114+320'!S605</f>
        <v>5</v>
      </c>
      <c r="X604" s="65">
        <f t="shared" si="126"/>
        <v>708</v>
      </c>
      <c r="Y604" s="64">
        <f t="shared" si="127"/>
        <v>-5</v>
      </c>
      <c r="Z604" s="63">
        <f t="shared" si="128"/>
        <v>0</v>
      </c>
      <c r="AA604" s="62">
        <f t="shared" si="129"/>
        <v>4.0990000000000002</v>
      </c>
      <c r="AB604" s="62">
        <f t="shared" si="130"/>
        <v>2.6040000000000001</v>
      </c>
    </row>
    <row r="605" spans="2:28">
      <c r="B605" s="106">
        <f>'114+320'!B606</f>
        <v>45635</v>
      </c>
      <c r="C605" s="75">
        <f t="shared" si="122"/>
        <v>1</v>
      </c>
      <c r="D605" s="74">
        <f t="shared" si="123"/>
        <v>842</v>
      </c>
      <c r="E605" s="73">
        <f>VLOOKUP(B605,'114+320'!B606:AB992,3,FALSE)</f>
        <v>2410</v>
      </c>
      <c r="F605" s="69">
        <f t="shared" si="118"/>
        <v>3252</v>
      </c>
      <c r="G605" s="72">
        <f>VLOOKUP(B605,'114+320'!$B$15:$AB$785,20,FALSE)</f>
        <v>3358</v>
      </c>
      <c r="H605" s="72">
        <f>VLOOKUP(B605,'114+320'!$B$15:$AB$785,4,FALSE)</f>
        <v>1164</v>
      </c>
      <c r="I605" s="68">
        <f t="shared" si="119"/>
        <v>2088</v>
      </c>
      <c r="J605" s="71">
        <f>VLOOKUP(B605,'114+320'!$B$15:$AB$785,13,FALSE)</f>
        <v>-912</v>
      </c>
      <c r="K605" s="66">
        <f>'114+320'!Q606</f>
        <v>3</v>
      </c>
      <c r="L605" s="65">
        <f t="shared" si="124"/>
        <v>732</v>
      </c>
      <c r="M605" s="70">
        <f>VLOOKUP(B605,'114+320'!$B$14:$AB$785,21,FALSE)</f>
        <v>3254</v>
      </c>
      <c r="N605" s="69">
        <f>VLOOKUP(B605,'114+320'!$B$15:$AB$785,5,FALSE)</f>
        <v>1268</v>
      </c>
      <c r="O605" s="68">
        <f t="shared" si="120"/>
        <v>1984</v>
      </c>
      <c r="P605" s="71">
        <f>VLOOKUP(B605,'114+320'!$B$15:$AB$785,14,FALSE)</f>
        <v>-1016</v>
      </c>
      <c r="Q605" s="66">
        <f>'114+320'!R606</f>
        <v>3</v>
      </c>
      <c r="R605" s="65">
        <f t="shared" si="125"/>
        <v>836</v>
      </c>
      <c r="S605" s="70">
        <f>VLOOKUP(B605,'114+320'!$B$14:$AB$785,22,FALSE)</f>
        <v>3378</v>
      </c>
      <c r="T605" s="69">
        <f>VLOOKUP(B605,'114+320'!$B$15:$AB$785,6,FALSE)</f>
        <v>1084</v>
      </c>
      <c r="U605" s="68">
        <f t="shared" si="121"/>
        <v>2168</v>
      </c>
      <c r="V605" s="67">
        <f>VLOOKUP(B605,'114+320'!$B$15:$AB$785,15,FALSE)</f>
        <v>-832</v>
      </c>
      <c r="W605" s="66">
        <f>'114+320'!S606</f>
        <v>4</v>
      </c>
      <c r="X605" s="65">
        <f t="shared" si="126"/>
        <v>712</v>
      </c>
      <c r="Y605" s="64">
        <f t="shared" si="127"/>
        <v>-4</v>
      </c>
      <c r="Z605" s="63">
        <f t="shared" si="128"/>
        <v>0</v>
      </c>
      <c r="AA605" s="62">
        <f t="shared" si="129"/>
        <v>4.0990000000000002</v>
      </c>
      <c r="AB605" s="62">
        <f t="shared" si="130"/>
        <v>2.5979999999999999</v>
      </c>
    </row>
    <row r="606" spans="2:28">
      <c r="B606" s="106">
        <f>'114+320'!B607</f>
        <v>45636</v>
      </c>
      <c r="C606" s="75">
        <f t="shared" si="122"/>
        <v>1</v>
      </c>
      <c r="D606" s="74">
        <f t="shared" si="123"/>
        <v>842</v>
      </c>
      <c r="E606" s="73">
        <f>VLOOKUP(B606,'114+320'!B607:AB993,3,FALSE)</f>
        <v>2412</v>
      </c>
      <c r="F606" s="69">
        <f t="shared" si="118"/>
        <v>3254</v>
      </c>
      <c r="G606" s="72">
        <f>VLOOKUP(B606,'114+320'!$B$15:$AB$785,20,FALSE)</f>
        <v>3354</v>
      </c>
      <c r="H606" s="72">
        <f>VLOOKUP(B606,'114+320'!$B$15:$AB$785,4,FALSE)</f>
        <v>1170</v>
      </c>
      <c r="I606" s="68">
        <f t="shared" si="119"/>
        <v>2084</v>
      </c>
      <c r="J606" s="71">
        <f>VLOOKUP(B606,'114+320'!$B$15:$AB$785,13,FALSE)</f>
        <v>-916</v>
      </c>
      <c r="K606" s="66">
        <f>'114+320'!Q607</f>
        <v>4</v>
      </c>
      <c r="L606" s="65">
        <f t="shared" si="124"/>
        <v>736</v>
      </c>
      <c r="M606" s="70">
        <f>VLOOKUP(B606,'114+320'!$B$14:$AB$785,21,FALSE)</f>
        <v>3250</v>
      </c>
      <c r="N606" s="69">
        <f>VLOOKUP(B606,'114+320'!$B$15:$AB$785,5,FALSE)</f>
        <v>1274</v>
      </c>
      <c r="O606" s="68">
        <f t="shared" si="120"/>
        <v>1980</v>
      </c>
      <c r="P606" s="71">
        <f>VLOOKUP(B606,'114+320'!$B$15:$AB$785,14,FALSE)</f>
        <v>-1020</v>
      </c>
      <c r="Q606" s="66">
        <f>'114+320'!R607</f>
        <v>4</v>
      </c>
      <c r="R606" s="65">
        <f t="shared" si="125"/>
        <v>840</v>
      </c>
      <c r="S606" s="70">
        <f>VLOOKUP(B606,'114+320'!$B$14:$AB$785,22,FALSE)</f>
        <v>3375</v>
      </c>
      <c r="T606" s="69">
        <f>VLOOKUP(B606,'114+320'!$B$15:$AB$785,6,FALSE)</f>
        <v>1089</v>
      </c>
      <c r="U606" s="68">
        <f t="shared" si="121"/>
        <v>2165</v>
      </c>
      <c r="V606" s="67">
        <f>VLOOKUP(B606,'114+320'!$B$15:$AB$785,15,FALSE)</f>
        <v>-835</v>
      </c>
      <c r="W606" s="66">
        <f>'114+320'!S607</f>
        <v>3</v>
      </c>
      <c r="X606" s="65">
        <f t="shared" si="126"/>
        <v>715</v>
      </c>
      <c r="Y606" s="64">
        <f t="shared" si="127"/>
        <v>-3</v>
      </c>
      <c r="Z606" s="63">
        <f t="shared" si="128"/>
        <v>0</v>
      </c>
      <c r="AA606" s="62">
        <f t="shared" si="129"/>
        <v>4.0990000000000002</v>
      </c>
      <c r="AB606" s="62">
        <f t="shared" si="130"/>
        <v>2.59</v>
      </c>
    </row>
    <row r="607" spans="2:28">
      <c r="B607" s="106">
        <f>'114+320'!B608</f>
        <v>45637</v>
      </c>
      <c r="C607" s="75">
        <f t="shared" si="122"/>
        <v>1</v>
      </c>
      <c r="D607" s="74">
        <f t="shared" si="123"/>
        <v>842</v>
      </c>
      <c r="E607" s="73">
        <f>VLOOKUP(B607,'114+320'!B608:AB994,3,FALSE)</f>
        <v>2414</v>
      </c>
      <c r="F607" s="69">
        <f t="shared" si="118"/>
        <v>3256</v>
      </c>
      <c r="G607" s="72">
        <f>VLOOKUP(B607,'114+320'!$B$15:$AB$785,20,FALSE)</f>
        <v>3347</v>
      </c>
      <c r="H607" s="72">
        <f>VLOOKUP(B607,'114+320'!$B$15:$AB$785,4,FALSE)</f>
        <v>1179</v>
      </c>
      <c r="I607" s="68">
        <f t="shared" si="119"/>
        <v>2077</v>
      </c>
      <c r="J607" s="71">
        <f>VLOOKUP(B607,'114+320'!$B$15:$AB$785,13,FALSE)</f>
        <v>-923</v>
      </c>
      <c r="K607" s="66">
        <f>'114+320'!Q608</f>
        <v>7</v>
      </c>
      <c r="L607" s="65">
        <f t="shared" si="124"/>
        <v>743</v>
      </c>
      <c r="M607" s="70">
        <f>VLOOKUP(B607,'114+320'!$B$14:$AB$785,21,FALSE)</f>
        <v>3247</v>
      </c>
      <c r="N607" s="69">
        <f>VLOOKUP(B607,'114+320'!$B$15:$AB$785,5,FALSE)</f>
        <v>1279</v>
      </c>
      <c r="O607" s="68">
        <f t="shared" si="120"/>
        <v>1977</v>
      </c>
      <c r="P607" s="71">
        <f>VLOOKUP(B607,'114+320'!$B$15:$AB$785,14,FALSE)</f>
        <v>-1023</v>
      </c>
      <c r="Q607" s="66">
        <f>'114+320'!R608</f>
        <v>3</v>
      </c>
      <c r="R607" s="65">
        <f t="shared" si="125"/>
        <v>843</v>
      </c>
      <c r="S607" s="70">
        <f>VLOOKUP(B607,'114+320'!$B$14:$AB$785,22,FALSE)</f>
        <v>3373</v>
      </c>
      <c r="T607" s="69">
        <f>VLOOKUP(B607,'114+320'!$B$15:$AB$785,6,FALSE)</f>
        <v>1093</v>
      </c>
      <c r="U607" s="68">
        <f t="shared" si="121"/>
        <v>2163</v>
      </c>
      <c r="V607" s="67">
        <f>VLOOKUP(B607,'114+320'!$B$15:$AB$785,15,FALSE)</f>
        <v>-837</v>
      </c>
      <c r="W607" s="66">
        <f>'114+320'!S608</f>
        <v>2</v>
      </c>
      <c r="X607" s="65">
        <f t="shared" si="126"/>
        <v>717</v>
      </c>
      <c r="Y607" s="64">
        <f t="shared" si="127"/>
        <v>-2</v>
      </c>
      <c r="Z607" s="63">
        <f t="shared" si="128"/>
        <v>0</v>
      </c>
      <c r="AA607" s="62">
        <f t="shared" si="129"/>
        <v>4.0990000000000002</v>
      </c>
      <c r="AB607" s="62">
        <f t="shared" si="130"/>
        <v>2.5840000000000001</v>
      </c>
    </row>
    <row r="608" spans="2:28">
      <c r="B608" s="106">
        <f>'114+320'!B609</f>
        <v>45638</v>
      </c>
      <c r="C608" s="75">
        <f t="shared" si="122"/>
        <v>1</v>
      </c>
      <c r="D608" s="74">
        <f t="shared" si="123"/>
        <v>842</v>
      </c>
      <c r="E608" s="73">
        <f>VLOOKUP(B608,'114+320'!B609:AB995,3,FALSE)</f>
        <v>2416</v>
      </c>
      <c r="F608" s="69">
        <f t="shared" si="118"/>
        <v>3258</v>
      </c>
      <c r="G608" s="72">
        <f>VLOOKUP(B608,'114+320'!$B$15:$AB$785,20,FALSE)</f>
        <v>3342</v>
      </c>
      <c r="H608" s="72">
        <f>VLOOKUP(B608,'114+320'!$B$15:$AB$785,4,FALSE)</f>
        <v>1186</v>
      </c>
      <c r="I608" s="68">
        <f t="shared" si="119"/>
        <v>2072</v>
      </c>
      <c r="J608" s="71">
        <f>VLOOKUP(B608,'114+320'!$B$15:$AB$785,13,FALSE)</f>
        <v>-928</v>
      </c>
      <c r="K608" s="66">
        <f>'114+320'!Q609</f>
        <v>5</v>
      </c>
      <c r="L608" s="65">
        <f t="shared" si="124"/>
        <v>748</v>
      </c>
      <c r="M608" s="70">
        <f>VLOOKUP(B608,'114+320'!$B$14:$AB$785,21,FALSE)</f>
        <v>3245</v>
      </c>
      <c r="N608" s="69">
        <f>VLOOKUP(B608,'114+320'!$B$15:$AB$785,5,FALSE)</f>
        <v>1283</v>
      </c>
      <c r="O608" s="68">
        <f t="shared" si="120"/>
        <v>1975</v>
      </c>
      <c r="P608" s="71">
        <f>VLOOKUP(B608,'114+320'!$B$15:$AB$785,14,FALSE)</f>
        <v>-1025</v>
      </c>
      <c r="Q608" s="66">
        <f>'114+320'!R609</f>
        <v>2</v>
      </c>
      <c r="R608" s="65">
        <f t="shared" si="125"/>
        <v>845</v>
      </c>
      <c r="S608" s="70">
        <f>VLOOKUP(B608,'114+320'!$B$14:$AB$785,22,FALSE)</f>
        <v>3369</v>
      </c>
      <c r="T608" s="69">
        <f>VLOOKUP(B608,'114+320'!$B$15:$AB$785,6,FALSE)</f>
        <v>1099</v>
      </c>
      <c r="U608" s="68">
        <f t="shared" si="121"/>
        <v>2159</v>
      </c>
      <c r="V608" s="67">
        <f>VLOOKUP(B608,'114+320'!$B$15:$AB$785,15,FALSE)</f>
        <v>-841</v>
      </c>
      <c r="W608" s="66">
        <f>'114+320'!S609</f>
        <v>4</v>
      </c>
      <c r="X608" s="65">
        <f t="shared" si="126"/>
        <v>721</v>
      </c>
      <c r="Y608" s="64">
        <f t="shared" si="127"/>
        <v>-4</v>
      </c>
      <c r="Z608" s="63">
        <f t="shared" si="128"/>
        <v>0</v>
      </c>
      <c r="AA608" s="62">
        <f t="shared" si="129"/>
        <v>4.0990000000000002</v>
      </c>
      <c r="AB608" s="62">
        <f t="shared" si="130"/>
        <v>2.58</v>
      </c>
    </row>
    <row r="609" spans="2:28">
      <c r="B609" s="106">
        <f>'114+320'!B610</f>
        <v>45639</v>
      </c>
      <c r="C609" s="75">
        <f t="shared" si="122"/>
        <v>1</v>
      </c>
      <c r="D609" s="74">
        <f t="shared" si="123"/>
        <v>842</v>
      </c>
      <c r="E609" s="73">
        <f>VLOOKUP(B609,'114+320'!B610:AB996,3,FALSE)</f>
        <v>2418</v>
      </c>
      <c r="F609" s="69">
        <f t="shared" si="118"/>
        <v>3260</v>
      </c>
      <c r="G609" s="72">
        <f>VLOOKUP(B609,'114+320'!$B$15:$AB$785,20,FALSE)</f>
        <v>3337</v>
      </c>
      <c r="H609" s="72">
        <f>VLOOKUP(B609,'114+320'!$B$15:$AB$785,4,FALSE)</f>
        <v>1193</v>
      </c>
      <c r="I609" s="68">
        <f t="shared" si="119"/>
        <v>2067</v>
      </c>
      <c r="J609" s="71">
        <f>VLOOKUP(B609,'114+320'!$B$15:$AB$785,13,FALSE)</f>
        <v>-933</v>
      </c>
      <c r="K609" s="66">
        <f>'114+320'!Q610</f>
        <v>5</v>
      </c>
      <c r="L609" s="65">
        <f t="shared" si="124"/>
        <v>753</v>
      </c>
      <c r="M609" s="70">
        <f>VLOOKUP(B609,'114+320'!$B$14:$AB$785,21,FALSE)</f>
        <v>3241</v>
      </c>
      <c r="N609" s="69">
        <f>VLOOKUP(B609,'114+320'!$B$15:$AB$785,5,FALSE)</f>
        <v>1289</v>
      </c>
      <c r="O609" s="68">
        <f t="shared" si="120"/>
        <v>1971</v>
      </c>
      <c r="P609" s="71">
        <f>VLOOKUP(B609,'114+320'!$B$15:$AB$785,14,FALSE)</f>
        <v>-1029</v>
      </c>
      <c r="Q609" s="66">
        <f>'114+320'!R610</f>
        <v>4</v>
      </c>
      <c r="R609" s="65">
        <f t="shared" si="125"/>
        <v>849</v>
      </c>
      <c r="S609" s="70">
        <f>VLOOKUP(B609,'114+320'!$B$14:$AB$785,22,FALSE)</f>
        <v>3366</v>
      </c>
      <c r="T609" s="69">
        <f>VLOOKUP(B609,'114+320'!$B$15:$AB$785,6,FALSE)</f>
        <v>1104</v>
      </c>
      <c r="U609" s="68">
        <f t="shared" si="121"/>
        <v>2156</v>
      </c>
      <c r="V609" s="67">
        <f>VLOOKUP(B609,'114+320'!$B$15:$AB$785,15,FALSE)</f>
        <v>-844</v>
      </c>
      <c r="W609" s="66">
        <f>'114+320'!S610</f>
        <v>3</v>
      </c>
      <c r="X609" s="65">
        <f t="shared" si="126"/>
        <v>724</v>
      </c>
      <c r="Y609" s="64">
        <f t="shared" si="127"/>
        <v>-3</v>
      </c>
      <c r="Z609" s="63">
        <f t="shared" si="128"/>
        <v>0</v>
      </c>
      <c r="AA609" s="62">
        <f t="shared" si="129"/>
        <v>4.0990000000000002</v>
      </c>
      <c r="AB609" s="62">
        <f t="shared" si="130"/>
        <v>2.5720000000000001</v>
      </c>
    </row>
    <row r="610" spans="2:28">
      <c r="B610" s="106">
        <f>'114+320'!B611</f>
        <v>45640</v>
      </c>
      <c r="C610" s="75">
        <f t="shared" si="122"/>
        <v>1</v>
      </c>
      <c r="D610" s="74">
        <f t="shared" si="123"/>
        <v>842</v>
      </c>
      <c r="E610" s="73">
        <f>VLOOKUP(B610,'114+320'!B611:AB997,3,FALSE)</f>
        <v>2420</v>
      </c>
      <c r="F610" s="69">
        <f t="shared" si="118"/>
        <v>3262</v>
      </c>
      <c r="G610" s="72">
        <f>VLOOKUP(B610,'114+320'!$B$15:$AB$785,20,FALSE)</f>
        <v>3333</v>
      </c>
      <c r="H610" s="72">
        <f>VLOOKUP(B610,'114+320'!$B$15:$AB$785,4,FALSE)</f>
        <v>1199</v>
      </c>
      <c r="I610" s="68">
        <f t="shared" si="119"/>
        <v>2063</v>
      </c>
      <c r="J610" s="71">
        <f>VLOOKUP(B610,'114+320'!$B$15:$AB$785,13,FALSE)</f>
        <v>-937</v>
      </c>
      <c r="K610" s="66">
        <f>'114+320'!Q611</f>
        <v>4</v>
      </c>
      <c r="L610" s="65">
        <f t="shared" si="124"/>
        <v>757</v>
      </c>
      <c r="M610" s="70">
        <f>VLOOKUP(B610,'114+320'!$B$14:$AB$785,21,FALSE)</f>
        <v>3234</v>
      </c>
      <c r="N610" s="69">
        <f>VLOOKUP(B610,'114+320'!$B$15:$AB$785,5,FALSE)</f>
        <v>1298</v>
      </c>
      <c r="O610" s="68">
        <f t="shared" si="120"/>
        <v>1964</v>
      </c>
      <c r="P610" s="71">
        <f>VLOOKUP(B610,'114+320'!$B$15:$AB$785,14,FALSE)</f>
        <v>-1036</v>
      </c>
      <c r="Q610" s="66">
        <f>'114+320'!R611</f>
        <v>7</v>
      </c>
      <c r="R610" s="65">
        <f t="shared" si="125"/>
        <v>856</v>
      </c>
      <c r="S610" s="70">
        <f>VLOOKUP(B610,'114+320'!$B$14:$AB$785,22,FALSE)</f>
        <v>3362</v>
      </c>
      <c r="T610" s="69">
        <f>VLOOKUP(B610,'114+320'!$B$15:$AB$785,6,FALSE)</f>
        <v>1110</v>
      </c>
      <c r="U610" s="68">
        <f t="shared" si="121"/>
        <v>2152</v>
      </c>
      <c r="V610" s="67">
        <f>VLOOKUP(B610,'114+320'!$B$15:$AB$785,15,FALSE)</f>
        <v>-848</v>
      </c>
      <c r="W610" s="66">
        <f>'114+320'!S611</f>
        <v>4</v>
      </c>
      <c r="X610" s="65">
        <f t="shared" si="126"/>
        <v>728</v>
      </c>
      <c r="Y610" s="64">
        <f t="shared" si="127"/>
        <v>-4</v>
      </c>
      <c r="Z610" s="63">
        <f t="shared" si="128"/>
        <v>0</v>
      </c>
      <c r="AA610" s="62">
        <f t="shared" si="129"/>
        <v>4.0990000000000002</v>
      </c>
      <c r="AB610" s="62">
        <f t="shared" si="130"/>
        <v>2.5579999999999998</v>
      </c>
    </row>
    <row r="611" spans="2:28">
      <c r="B611" s="106">
        <f>'114+320'!B612</f>
        <v>45641</v>
      </c>
      <c r="C611" s="75">
        <f t="shared" si="122"/>
        <v>1</v>
      </c>
      <c r="D611" s="74">
        <f t="shared" si="123"/>
        <v>842</v>
      </c>
      <c r="E611" s="73">
        <f>VLOOKUP(B611,'114+320'!B612:AB998,3,FALSE)</f>
        <v>2422</v>
      </c>
      <c r="F611" s="69">
        <f t="shared" si="118"/>
        <v>3264</v>
      </c>
      <c r="G611" s="72">
        <f>VLOOKUP(B611,'114+320'!$B$15:$AB$785,20,FALSE)</f>
        <v>3330</v>
      </c>
      <c r="H611" s="72">
        <f>VLOOKUP(B611,'114+320'!$B$15:$AB$785,4,FALSE)</f>
        <v>1204</v>
      </c>
      <c r="I611" s="68">
        <f t="shared" si="119"/>
        <v>2060</v>
      </c>
      <c r="J611" s="71">
        <f>VLOOKUP(B611,'114+320'!$B$15:$AB$785,13,FALSE)</f>
        <v>-940</v>
      </c>
      <c r="K611" s="66">
        <f>'114+320'!Q612</f>
        <v>3</v>
      </c>
      <c r="L611" s="65">
        <f t="shared" si="124"/>
        <v>760</v>
      </c>
      <c r="M611" s="70">
        <f>VLOOKUP(B611,'114+320'!$B$14:$AB$785,21,FALSE)</f>
        <v>3229</v>
      </c>
      <c r="N611" s="69">
        <f>VLOOKUP(B611,'114+320'!$B$15:$AB$785,5,FALSE)</f>
        <v>1305</v>
      </c>
      <c r="O611" s="68">
        <f t="shared" si="120"/>
        <v>1959</v>
      </c>
      <c r="P611" s="71">
        <f>VLOOKUP(B611,'114+320'!$B$15:$AB$785,14,FALSE)</f>
        <v>-1041</v>
      </c>
      <c r="Q611" s="66">
        <f>'114+320'!R612</f>
        <v>5</v>
      </c>
      <c r="R611" s="65">
        <f t="shared" si="125"/>
        <v>861</v>
      </c>
      <c r="S611" s="70">
        <f>VLOOKUP(B611,'114+320'!$B$14:$AB$785,22,FALSE)</f>
        <v>3355</v>
      </c>
      <c r="T611" s="69">
        <f>VLOOKUP(B611,'114+320'!$B$15:$AB$785,6,FALSE)</f>
        <v>1119</v>
      </c>
      <c r="U611" s="68">
        <f t="shared" si="121"/>
        <v>2145</v>
      </c>
      <c r="V611" s="67">
        <f>VLOOKUP(B611,'114+320'!$B$15:$AB$785,15,FALSE)</f>
        <v>-855</v>
      </c>
      <c r="W611" s="66">
        <f>'114+320'!S612</f>
        <v>7</v>
      </c>
      <c r="X611" s="65">
        <f t="shared" si="126"/>
        <v>735</v>
      </c>
      <c r="Y611" s="64">
        <f t="shared" si="127"/>
        <v>-7</v>
      </c>
      <c r="Z611" s="63">
        <f t="shared" si="128"/>
        <v>0</v>
      </c>
      <c r="AA611" s="62">
        <f t="shared" si="129"/>
        <v>4.0990000000000002</v>
      </c>
      <c r="AB611" s="62">
        <f t="shared" si="130"/>
        <v>2.548</v>
      </c>
    </row>
    <row r="612" spans="2:28">
      <c r="B612" s="106">
        <f>'114+320'!B613</f>
        <v>45642</v>
      </c>
      <c r="C612" s="75">
        <f t="shared" si="122"/>
        <v>1</v>
      </c>
      <c r="D612" s="74">
        <f t="shared" si="123"/>
        <v>842</v>
      </c>
      <c r="E612" s="73">
        <f>VLOOKUP(B612,'114+320'!B613:AB999,3,FALSE)</f>
        <v>2424</v>
      </c>
      <c r="F612" s="69">
        <f t="shared" si="118"/>
        <v>3266</v>
      </c>
      <c r="G612" s="72">
        <f>VLOOKUP(B612,'114+320'!$B$15:$AB$785,20,FALSE)</f>
        <v>3328</v>
      </c>
      <c r="H612" s="72">
        <f>VLOOKUP(B612,'114+320'!$B$15:$AB$785,4,FALSE)</f>
        <v>1208</v>
      </c>
      <c r="I612" s="68">
        <f t="shared" si="119"/>
        <v>2058</v>
      </c>
      <c r="J612" s="71">
        <f>VLOOKUP(B612,'114+320'!$B$15:$AB$785,13,FALSE)</f>
        <v>-942</v>
      </c>
      <c r="K612" s="66">
        <f>'114+320'!Q613</f>
        <v>2</v>
      </c>
      <c r="L612" s="65">
        <f t="shared" si="124"/>
        <v>762</v>
      </c>
      <c r="M612" s="70">
        <f>VLOOKUP(B612,'114+320'!$B$14:$AB$785,21,FALSE)</f>
        <v>3224</v>
      </c>
      <c r="N612" s="69">
        <f>VLOOKUP(B612,'114+320'!$B$15:$AB$785,5,FALSE)</f>
        <v>1312</v>
      </c>
      <c r="O612" s="68">
        <f t="shared" si="120"/>
        <v>1954</v>
      </c>
      <c r="P612" s="71">
        <f>VLOOKUP(B612,'114+320'!$B$15:$AB$785,14,FALSE)</f>
        <v>-1046</v>
      </c>
      <c r="Q612" s="66">
        <f>'114+320'!R613</f>
        <v>5</v>
      </c>
      <c r="R612" s="65">
        <f t="shared" si="125"/>
        <v>866</v>
      </c>
      <c r="S612" s="70">
        <f>VLOOKUP(B612,'114+320'!$B$14:$AB$785,22,FALSE)</f>
        <v>3350</v>
      </c>
      <c r="T612" s="69">
        <f>VLOOKUP(B612,'114+320'!$B$15:$AB$785,6,FALSE)</f>
        <v>1126</v>
      </c>
      <c r="U612" s="68">
        <f t="shared" si="121"/>
        <v>2140</v>
      </c>
      <c r="V612" s="67">
        <f>VLOOKUP(B612,'114+320'!$B$15:$AB$785,15,FALSE)</f>
        <v>-860</v>
      </c>
      <c r="W612" s="66">
        <f>'114+320'!S613</f>
        <v>5</v>
      </c>
      <c r="X612" s="65">
        <f t="shared" si="126"/>
        <v>740</v>
      </c>
      <c r="Y612" s="64">
        <f t="shared" si="127"/>
        <v>-5</v>
      </c>
      <c r="Z612" s="63">
        <f t="shared" si="128"/>
        <v>0</v>
      </c>
      <c r="AA612" s="62">
        <f t="shared" si="129"/>
        <v>4.0990000000000002</v>
      </c>
      <c r="AB612" s="62">
        <f t="shared" si="130"/>
        <v>2.5379999999999998</v>
      </c>
    </row>
    <row r="613" spans="2:28">
      <c r="B613" s="106">
        <f>'114+320'!B614</f>
        <v>45643</v>
      </c>
      <c r="C613" s="75">
        <f t="shared" si="122"/>
        <v>1</v>
      </c>
      <c r="D613" s="74">
        <f t="shared" si="123"/>
        <v>842</v>
      </c>
      <c r="E613" s="73">
        <f>VLOOKUP(B613,'114+320'!B614:AB1000,3,FALSE)</f>
        <v>2426</v>
      </c>
      <c r="F613" s="69">
        <f t="shared" si="118"/>
        <v>3268</v>
      </c>
      <c r="G613" s="72">
        <f>VLOOKUP(B613,'114+320'!$B$15:$AB$785,20,FALSE)</f>
        <v>3324</v>
      </c>
      <c r="H613" s="72">
        <f>VLOOKUP(B613,'114+320'!$B$15:$AB$785,4,FALSE)</f>
        <v>1214</v>
      </c>
      <c r="I613" s="68">
        <f t="shared" si="119"/>
        <v>2054</v>
      </c>
      <c r="J613" s="71">
        <f>VLOOKUP(B613,'114+320'!$B$15:$AB$785,13,FALSE)</f>
        <v>-946</v>
      </c>
      <c r="K613" s="66">
        <f>'114+320'!Q614</f>
        <v>4</v>
      </c>
      <c r="L613" s="65">
        <f t="shared" si="124"/>
        <v>766</v>
      </c>
      <c r="M613" s="70">
        <f>VLOOKUP(B613,'114+320'!$B$14:$AB$785,21,FALSE)</f>
        <v>3220</v>
      </c>
      <c r="N613" s="69">
        <f>VLOOKUP(B613,'114+320'!$B$15:$AB$785,5,FALSE)</f>
        <v>1318</v>
      </c>
      <c r="O613" s="68">
        <f t="shared" si="120"/>
        <v>1950</v>
      </c>
      <c r="P613" s="71">
        <f>VLOOKUP(B613,'114+320'!$B$15:$AB$785,14,FALSE)</f>
        <v>-1050</v>
      </c>
      <c r="Q613" s="66">
        <f>'114+320'!R614</f>
        <v>4</v>
      </c>
      <c r="R613" s="65">
        <f t="shared" si="125"/>
        <v>870</v>
      </c>
      <c r="S613" s="70">
        <f>VLOOKUP(B613,'114+320'!$B$14:$AB$785,22,FALSE)</f>
        <v>3345</v>
      </c>
      <c r="T613" s="69">
        <f>VLOOKUP(B613,'114+320'!$B$15:$AB$785,6,FALSE)</f>
        <v>1133</v>
      </c>
      <c r="U613" s="68">
        <f t="shared" si="121"/>
        <v>2135</v>
      </c>
      <c r="V613" s="67">
        <f>VLOOKUP(B613,'114+320'!$B$15:$AB$785,15,FALSE)</f>
        <v>-865</v>
      </c>
      <c r="W613" s="66">
        <f>'114+320'!S614</f>
        <v>5</v>
      </c>
      <c r="X613" s="65">
        <f t="shared" si="126"/>
        <v>745</v>
      </c>
      <c r="Y613" s="64">
        <f t="shared" si="127"/>
        <v>-5</v>
      </c>
      <c r="Z613" s="63">
        <f t="shared" si="128"/>
        <v>0</v>
      </c>
      <c r="AA613" s="62">
        <f t="shared" si="129"/>
        <v>4.0990000000000002</v>
      </c>
      <c r="AB613" s="62">
        <f t="shared" si="130"/>
        <v>2.5299999999999998</v>
      </c>
    </row>
    <row r="614" spans="2:28">
      <c r="B614" s="106">
        <f>'114+320'!B615</f>
        <v>45644</v>
      </c>
      <c r="C614" s="75">
        <f t="shared" si="122"/>
        <v>1</v>
      </c>
      <c r="D614" s="74">
        <f t="shared" si="123"/>
        <v>842</v>
      </c>
      <c r="E614" s="73">
        <f>VLOOKUP(B614,'114+320'!B615:AB1001,3,FALSE)</f>
        <v>2428</v>
      </c>
      <c r="F614" s="69">
        <f t="shared" si="118"/>
        <v>3270</v>
      </c>
      <c r="G614" s="72">
        <f>VLOOKUP(B614,'114+320'!$B$15:$AB$785,20,FALSE)</f>
        <v>3321</v>
      </c>
      <c r="H614" s="72">
        <f>VLOOKUP(B614,'114+320'!$B$15:$AB$785,4,FALSE)</f>
        <v>1219</v>
      </c>
      <c r="I614" s="68">
        <f t="shared" si="119"/>
        <v>2051</v>
      </c>
      <c r="J614" s="71">
        <f>VLOOKUP(B614,'114+320'!$B$15:$AB$785,13,FALSE)</f>
        <v>-949</v>
      </c>
      <c r="K614" s="66">
        <f>'114+320'!Q615</f>
        <v>3</v>
      </c>
      <c r="L614" s="65">
        <f t="shared" si="124"/>
        <v>769</v>
      </c>
      <c r="M614" s="70">
        <f>VLOOKUP(B614,'114+320'!$B$14:$AB$785,21,FALSE)</f>
        <v>3217</v>
      </c>
      <c r="N614" s="69">
        <f>VLOOKUP(B614,'114+320'!$B$15:$AB$785,5,FALSE)</f>
        <v>1323</v>
      </c>
      <c r="O614" s="68">
        <f t="shared" si="120"/>
        <v>1947</v>
      </c>
      <c r="P614" s="71">
        <f>VLOOKUP(B614,'114+320'!$B$15:$AB$785,14,FALSE)</f>
        <v>-1053</v>
      </c>
      <c r="Q614" s="66">
        <f>'114+320'!R615</f>
        <v>3</v>
      </c>
      <c r="R614" s="65">
        <f t="shared" si="125"/>
        <v>873</v>
      </c>
      <c r="S614" s="70">
        <f>VLOOKUP(B614,'114+320'!$B$14:$AB$785,22,FALSE)</f>
        <v>3341</v>
      </c>
      <c r="T614" s="69">
        <f>VLOOKUP(B614,'114+320'!$B$15:$AB$785,6,FALSE)</f>
        <v>1139</v>
      </c>
      <c r="U614" s="68">
        <f t="shared" si="121"/>
        <v>2131</v>
      </c>
      <c r="V614" s="67">
        <f>VLOOKUP(B614,'114+320'!$B$15:$AB$785,15,FALSE)</f>
        <v>-869</v>
      </c>
      <c r="W614" s="66">
        <f>'114+320'!S615</f>
        <v>4</v>
      </c>
      <c r="X614" s="65">
        <f t="shared" si="126"/>
        <v>749</v>
      </c>
      <c r="Y614" s="64">
        <f t="shared" si="127"/>
        <v>-4</v>
      </c>
      <c r="Z614" s="63">
        <f t="shared" si="128"/>
        <v>0</v>
      </c>
      <c r="AA614" s="62">
        <f t="shared" si="129"/>
        <v>4.0990000000000002</v>
      </c>
      <c r="AB614" s="62">
        <f t="shared" si="130"/>
        <v>2.524</v>
      </c>
    </row>
    <row r="615" spans="2:28">
      <c r="B615" s="106">
        <f>'114+320'!B616</f>
        <v>45645</v>
      </c>
      <c r="C615" s="75">
        <f t="shared" si="122"/>
        <v>1</v>
      </c>
      <c r="D615" s="74">
        <f t="shared" si="123"/>
        <v>842</v>
      </c>
      <c r="E615" s="73">
        <f>VLOOKUP(B615,'114+320'!B616:AB1002,3,FALSE)</f>
        <v>2430</v>
      </c>
      <c r="F615" s="69">
        <f t="shared" si="118"/>
        <v>3272</v>
      </c>
      <c r="G615" s="72">
        <f>VLOOKUP(B615,'114+320'!$B$15:$AB$785,20,FALSE)</f>
        <v>3319</v>
      </c>
      <c r="H615" s="72">
        <f>VLOOKUP(B615,'114+320'!$B$15:$AB$785,4,FALSE)</f>
        <v>1223</v>
      </c>
      <c r="I615" s="68">
        <f t="shared" si="119"/>
        <v>2049</v>
      </c>
      <c r="J615" s="71">
        <f>VLOOKUP(B615,'114+320'!$B$15:$AB$785,13,FALSE)</f>
        <v>-951</v>
      </c>
      <c r="K615" s="66">
        <f>'114+320'!Q616</f>
        <v>2</v>
      </c>
      <c r="L615" s="65">
        <f t="shared" si="124"/>
        <v>771</v>
      </c>
      <c r="M615" s="70">
        <f>VLOOKUP(B615,'114+320'!$B$14:$AB$785,21,FALSE)</f>
        <v>3215</v>
      </c>
      <c r="N615" s="69">
        <f>VLOOKUP(B615,'114+320'!$B$15:$AB$785,5,FALSE)</f>
        <v>1327</v>
      </c>
      <c r="O615" s="68">
        <f t="shared" si="120"/>
        <v>1945</v>
      </c>
      <c r="P615" s="71">
        <f>VLOOKUP(B615,'114+320'!$B$15:$AB$785,14,FALSE)</f>
        <v>-1055</v>
      </c>
      <c r="Q615" s="66">
        <f>'114+320'!R616</f>
        <v>2</v>
      </c>
      <c r="R615" s="65">
        <f t="shared" si="125"/>
        <v>875</v>
      </c>
      <c r="S615" s="70">
        <f>VLOOKUP(B615,'114+320'!$B$14:$AB$785,22,FALSE)</f>
        <v>3338</v>
      </c>
      <c r="T615" s="69">
        <f>VLOOKUP(B615,'114+320'!$B$15:$AB$785,6,FALSE)</f>
        <v>1144</v>
      </c>
      <c r="U615" s="68">
        <f t="shared" si="121"/>
        <v>2128</v>
      </c>
      <c r="V615" s="67">
        <f>VLOOKUP(B615,'114+320'!$B$15:$AB$785,15,FALSE)</f>
        <v>-872</v>
      </c>
      <c r="W615" s="66">
        <f>'114+320'!S616</f>
        <v>3</v>
      </c>
      <c r="X615" s="65">
        <f t="shared" si="126"/>
        <v>752</v>
      </c>
      <c r="Y615" s="64">
        <f t="shared" si="127"/>
        <v>-3</v>
      </c>
      <c r="Z615" s="63">
        <f t="shared" si="128"/>
        <v>0</v>
      </c>
      <c r="AA615" s="62">
        <f t="shared" si="129"/>
        <v>4.0990000000000002</v>
      </c>
      <c r="AB615" s="62">
        <f t="shared" si="130"/>
        <v>2.52</v>
      </c>
    </row>
    <row r="616" spans="2:28">
      <c r="B616" s="106">
        <f>'114+320'!B617</f>
        <v>45646</v>
      </c>
      <c r="C616" s="75">
        <f t="shared" si="122"/>
        <v>1</v>
      </c>
      <c r="D616" s="74">
        <f t="shared" si="123"/>
        <v>842</v>
      </c>
      <c r="E616" s="73">
        <f>VLOOKUP(B616,'114+320'!B617:AB1003,3,FALSE)</f>
        <v>2432</v>
      </c>
      <c r="F616" s="69">
        <f t="shared" si="118"/>
        <v>3274</v>
      </c>
      <c r="G616" s="72">
        <f>VLOOKUP(B616,'114+320'!$B$15:$AB$785,20,FALSE)</f>
        <v>3315</v>
      </c>
      <c r="H616" s="72">
        <f>VLOOKUP(B616,'114+320'!$B$15:$AB$785,4,FALSE)</f>
        <v>1229</v>
      </c>
      <c r="I616" s="68">
        <f t="shared" si="119"/>
        <v>2045</v>
      </c>
      <c r="J616" s="71">
        <f>VLOOKUP(B616,'114+320'!$B$15:$AB$785,13,FALSE)</f>
        <v>-955</v>
      </c>
      <c r="K616" s="66">
        <f>'114+320'!Q617</f>
        <v>4</v>
      </c>
      <c r="L616" s="65">
        <f t="shared" si="124"/>
        <v>775</v>
      </c>
      <c r="M616" s="70">
        <f>VLOOKUP(B616,'114+320'!$B$14:$AB$785,21,FALSE)</f>
        <v>3211</v>
      </c>
      <c r="N616" s="69">
        <f>VLOOKUP(B616,'114+320'!$B$15:$AB$785,5,FALSE)</f>
        <v>1333</v>
      </c>
      <c r="O616" s="68">
        <f t="shared" si="120"/>
        <v>1941</v>
      </c>
      <c r="P616" s="71">
        <f>VLOOKUP(B616,'114+320'!$B$15:$AB$785,14,FALSE)</f>
        <v>-1059</v>
      </c>
      <c r="Q616" s="66">
        <f>'114+320'!R617</f>
        <v>4</v>
      </c>
      <c r="R616" s="65">
        <f t="shared" si="125"/>
        <v>879</v>
      </c>
      <c r="S616" s="70">
        <f>VLOOKUP(B616,'114+320'!$B$14:$AB$785,22,FALSE)</f>
        <v>3336</v>
      </c>
      <c r="T616" s="69">
        <f>VLOOKUP(B616,'114+320'!$B$15:$AB$785,6,FALSE)</f>
        <v>1148</v>
      </c>
      <c r="U616" s="68">
        <f t="shared" si="121"/>
        <v>2126</v>
      </c>
      <c r="V616" s="67">
        <f>VLOOKUP(B616,'114+320'!$B$15:$AB$785,15,FALSE)</f>
        <v>-874</v>
      </c>
      <c r="W616" s="66">
        <f>'114+320'!S617</f>
        <v>2</v>
      </c>
      <c r="X616" s="65">
        <f t="shared" si="126"/>
        <v>754</v>
      </c>
      <c r="Y616" s="64">
        <f t="shared" si="127"/>
        <v>-2</v>
      </c>
      <c r="Z616" s="63">
        <f t="shared" si="128"/>
        <v>0</v>
      </c>
      <c r="AA616" s="62">
        <f t="shared" si="129"/>
        <v>4.0990000000000002</v>
      </c>
      <c r="AB616" s="62">
        <f t="shared" si="130"/>
        <v>2.512</v>
      </c>
    </row>
    <row r="617" spans="2:28">
      <c r="B617" s="106">
        <f>'114+320'!B618</f>
        <v>45647</v>
      </c>
      <c r="C617" s="75">
        <f t="shared" si="122"/>
        <v>1</v>
      </c>
      <c r="D617" s="74">
        <f t="shared" si="123"/>
        <v>842</v>
      </c>
      <c r="E617" s="73">
        <f>VLOOKUP(B617,'114+320'!B618:AB1004,3,FALSE)</f>
        <v>2434</v>
      </c>
      <c r="F617" s="69">
        <f t="shared" si="118"/>
        <v>3276</v>
      </c>
      <c r="G617" s="72">
        <f>VLOOKUP(B617,'114+320'!$B$15:$AB$785,20,FALSE)</f>
        <v>3308</v>
      </c>
      <c r="H617" s="72">
        <f>VLOOKUP(B617,'114+320'!$B$15:$AB$785,4,FALSE)</f>
        <v>1238</v>
      </c>
      <c r="I617" s="68">
        <f t="shared" si="119"/>
        <v>2038</v>
      </c>
      <c r="J617" s="71">
        <f>VLOOKUP(B617,'114+320'!$B$15:$AB$785,13,FALSE)</f>
        <v>-962</v>
      </c>
      <c r="K617" s="66">
        <f>'114+320'!Q618</f>
        <v>7</v>
      </c>
      <c r="L617" s="65">
        <f t="shared" si="124"/>
        <v>782</v>
      </c>
      <c r="M617" s="70">
        <f>VLOOKUP(B617,'114+320'!$B$14:$AB$785,21,FALSE)</f>
        <v>3204</v>
      </c>
      <c r="N617" s="69">
        <f>VLOOKUP(B617,'114+320'!$B$15:$AB$785,5,FALSE)</f>
        <v>1342</v>
      </c>
      <c r="O617" s="68">
        <f t="shared" si="120"/>
        <v>1934</v>
      </c>
      <c r="P617" s="71">
        <f>VLOOKUP(B617,'114+320'!$B$15:$AB$785,14,FALSE)</f>
        <v>-1066</v>
      </c>
      <c r="Q617" s="66">
        <f>'114+320'!R618</f>
        <v>7</v>
      </c>
      <c r="R617" s="65">
        <f t="shared" si="125"/>
        <v>886</v>
      </c>
      <c r="S617" s="70">
        <f>VLOOKUP(B617,'114+320'!$B$14:$AB$785,22,FALSE)</f>
        <v>3332</v>
      </c>
      <c r="T617" s="69">
        <f>VLOOKUP(B617,'114+320'!$B$15:$AB$785,6,FALSE)</f>
        <v>1154</v>
      </c>
      <c r="U617" s="68">
        <f t="shared" si="121"/>
        <v>2122</v>
      </c>
      <c r="V617" s="67">
        <f>VLOOKUP(B617,'114+320'!$B$15:$AB$785,15,FALSE)</f>
        <v>-878</v>
      </c>
      <c r="W617" s="66">
        <f>'114+320'!S618</f>
        <v>4</v>
      </c>
      <c r="X617" s="65">
        <f t="shared" si="126"/>
        <v>758</v>
      </c>
      <c r="Y617" s="64">
        <f t="shared" si="127"/>
        <v>-4</v>
      </c>
      <c r="Z617" s="63">
        <f t="shared" si="128"/>
        <v>0</v>
      </c>
      <c r="AA617" s="62">
        <f t="shared" si="129"/>
        <v>4.0990000000000002</v>
      </c>
      <c r="AB617" s="62">
        <f t="shared" si="130"/>
        <v>2.4980000000000002</v>
      </c>
    </row>
    <row r="618" spans="2:28">
      <c r="B618" s="106">
        <f>'114+320'!B619</f>
        <v>45648</v>
      </c>
      <c r="C618" s="75">
        <f t="shared" si="122"/>
        <v>1</v>
      </c>
      <c r="D618" s="74">
        <f t="shared" si="123"/>
        <v>842</v>
      </c>
      <c r="E618" s="73">
        <f>VLOOKUP(B618,'114+320'!B619:AB1005,3,FALSE)</f>
        <v>2436</v>
      </c>
      <c r="F618" s="69">
        <f t="shared" si="118"/>
        <v>3278</v>
      </c>
      <c r="G618" s="72">
        <f>VLOOKUP(B618,'114+320'!$B$15:$AB$785,20,FALSE)</f>
        <v>3303</v>
      </c>
      <c r="H618" s="72">
        <f>VLOOKUP(B618,'114+320'!$B$15:$AB$785,4,FALSE)</f>
        <v>1245</v>
      </c>
      <c r="I618" s="68">
        <f t="shared" si="119"/>
        <v>2033</v>
      </c>
      <c r="J618" s="71">
        <f>VLOOKUP(B618,'114+320'!$B$15:$AB$785,13,FALSE)</f>
        <v>-967</v>
      </c>
      <c r="K618" s="66">
        <f>'114+320'!Q619</f>
        <v>5</v>
      </c>
      <c r="L618" s="65">
        <f t="shared" si="124"/>
        <v>787</v>
      </c>
      <c r="M618" s="70">
        <f>VLOOKUP(B618,'114+320'!$B$14:$AB$785,21,FALSE)</f>
        <v>3199</v>
      </c>
      <c r="N618" s="69">
        <f>VLOOKUP(B618,'114+320'!$B$15:$AB$785,5,FALSE)</f>
        <v>1349</v>
      </c>
      <c r="O618" s="68">
        <f t="shared" si="120"/>
        <v>1929</v>
      </c>
      <c r="P618" s="71">
        <f>VLOOKUP(B618,'114+320'!$B$15:$AB$785,14,FALSE)</f>
        <v>-1071</v>
      </c>
      <c r="Q618" s="66">
        <f>'114+320'!R619</f>
        <v>5</v>
      </c>
      <c r="R618" s="65">
        <f t="shared" si="125"/>
        <v>891</v>
      </c>
      <c r="S618" s="70">
        <f>VLOOKUP(B618,'114+320'!$B$14:$AB$785,22,FALSE)</f>
        <v>3329</v>
      </c>
      <c r="T618" s="69">
        <f>VLOOKUP(B618,'114+320'!$B$15:$AB$785,6,FALSE)</f>
        <v>1159</v>
      </c>
      <c r="U618" s="68">
        <f t="shared" si="121"/>
        <v>2119</v>
      </c>
      <c r="V618" s="67">
        <f>VLOOKUP(B618,'114+320'!$B$15:$AB$785,15,FALSE)</f>
        <v>-881</v>
      </c>
      <c r="W618" s="66">
        <f>'114+320'!S619</f>
        <v>3</v>
      </c>
      <c r="X618" s="65">
        <f t="shared" si="126"/>
        <v>761</v>
      </c>
      <c r="Y618" s="64">
        <f t="shared" si="127"/>
        <v>-3</v>
      </c>
      <c r="Z618" s="63">
        <f t="shared" si="128"/>
        <v>0</v>
      </c>
      <c r="AA618" s="62">
        <f t="shared" si="129"/>
        <v>4.0990000000000002</v>
      </c>
      <c r="AB618" s="62">
        <f t="shared" si="130"/>
        <v>2.488</v>
      </c>
    </row>
    <row r="619" spans="2:28">
      <c r="B619" s="106">
        <f>'114+320'!B620</f>
        <v>45649</v>
      </c>
      <c r="C619" s="75">
        <f t="shared" si="122"/>
        <v>1</v>
      </c>
      <c r="D619" s="74">
        <f t="shared" si="123"/>
        <v>842</v>
      </c>
      <c r="E619" s="73">
        <f>VLOOKUP(B619,'114+320'!B620:AB1006,3,FALSE)</f>
        <v>2438</v>
      </c>
      <c r="F619" s="69">
        <f t="shared" si="118"/>
        <v>3280</v>
      </c>
      <c r="G619" s="72">
        <f>VLOOKUP(B619,'114+320'!$B$15:$AB$785,20,FALSE)</f>
        <v>3298</v>
      </c>
      <c r="H619" s="72">
        <f>VLOOKUP(B619,'114+320'!$B$15:$AB$785,4,FALSE)</f>
        <v>1252</v>
      </c>
      <c r="I619" s="68">
        <f t="shared" si="119"/>
        <v>2028</v>
      </c>
      <c r="J619" s="71">
        <f>VLOOKUP(B619,'114+320'!$B$15:$AB$785,13,FALSE)</f>
        <v>-972</v>
      </c>
      <c r="K619" s="66">
        <f>'114+320'!Q620</f>
        <v>5</v>
      </c>
      <c r="L619" s="65">
        <f t="shared" si="124"/>
        <v>792</v>
      </c>
      <c r="M619" s="70">
        <f>VLOOKUP(B619,'114+320'!$B$14:$AB$785,21,FALSE)</f>
        <v>3194</v>
      </c>
      <c r="N619" s="69">
        <f>VLOOKUP(B619,'114+320'!$B$15:$AB$785,5,FALSE)</f>
        <v>1356</v>
      </c>
      <c r="O619" s="68">
        <f t="shared" si="120"/>
        <v>1924</v>
      </c>
      <c r="P619" s="71">
        <f>VLOOKUP(B619,'114+320'!$B$15:$AB$785,14,FALSE)</f>
        <v>-1076</v>
      </c>
      <c r="Q619" s="66">
        <f>'114+320'!R620</f>
        <v>5</v>
      </c>
      <c r="R619" s="65">
        <f t="shared" si="125"/>
        <v>896</v>
      </c>
      <c r="S619" s="70">
        <f>VLOOKUP(B619,'114+320'!$B$14:$AB$785,22,FALSE)</f>
        <v>3327</v>
      </c>
      <c r="T619" s="69">
        <f>VLOOKUP(B619,'114+320'!$B$15:$AB$785,6,FALSE)</f>
        <v>1163</v>
      </c>
      <c r="U619" s="68">
        <f t="shared" si="121"/>
        <v>2117</v>
      </c>
      <c r="V619" s="67">
        <f>VLOOKUP(B619,'114+320'!$B$15:$AB$785,15,FALSE)</f>
        <v>-883</v>
      </c>
      <c r="W619" s="66">
        <f>'114+320'!S620</f>
        <v>2</v>
      </c>
      <c r="X619" s="65">
        <f t="shared" si="126"/>
        <v>763</v>
      </c>
      <c r="Y619" s="64">
        <f t="shared" si="127"/>
        <v>-2</v>
      </c>
      <c r="Z619" s="63">
        <f t="shared" si="128"/>
        <v>0</v>
      </c>
      <c r="AA619" s="62">
        <f t="shared" si="129"/>
        <v>4.0990000000000002</v>
      </c>
      <c r="AB619" s="62">
        <f t="shared" si="130"/>
        <v>2.4780000000000002</v>
      </c>
    </row>
    <row r="620" spans="2:28">
      <c r="B620" s="106">
        <f>'114+320'!B621</f>
        <v>45650</v>
      </c>
      <c r="C620" s="75">
        <f t="shared" si="122"/>
        <v>1</v>
      </c>
      <c r="D620" s="74">
        <f t="shared" si="123"/>
        <v>842</v>
      </c>
      <c r="E620" s="73">
        <f>VLOOKUP(B620,'114+320'!B621:AB1007,3,FALSE)</f>
        <v>2440</v>
      </c>
      <c r="F620" s="69">
        <f t="shared" si="118"/>
        <v>3282</v>
      </c>
      <c r="G620" s="72">
        <f>VLOOKUP(B620,'114+320'!$B$15:$AB$785,20,FALSE)</f>
        <v>3294</v>
      </c>
      <c r="H620" s="72">
        <f>VLOOKUP(B620,'114+320'!$B$15:$AB$785,4,FALSE)</f>
        <v>1258</v>
      </c>
      <c r="I620" s="68">
        <f t="shared" si="119"/>
        <v>2024</v>
      </c>
      <c r="J620" s="71">
        <f>VLOOKUP(B620,'114+320'!$B$15:$AB$785,13,FALSE)</f>
        <v>-976</v>
      </c>
      <c r="K620" s="66">
        <f>'114+320'!Q621</f>
        <v>4</v>
      </c>
      <c r="L620" s="65">
        <f t="shared" si="124"/>
        <v>796</v>
      </c>
      <c r="M620" s="70">
        <f>VLOOKUP(B620,'114+320'!$B$14:$AB$785,21,FALSE)</f>
        <v>3190</v>
      </c>
      <c r="N620" s="69">
        <f>VLOOKUP(B620,'114+320'!$B$15:$AB$785,5,FALSE)</f>
        <v>1362</v>
      </c>
      <c r="O620" s="68">
        <f t="shared" si="120"/>
        <v>1920</v>
      </c>
      <c r="P620" s="71">
        <f>VLOOKUP(B620,'114+320'!$B$15:$AB$785,14,FALSE)</f>
        <v>-1080</v>
      </c>
      <c r="Q620" s="66">
        <f>'114+320'!R621</f>
        <v>4</v>
      </c>
      <c r="R620" s="65">
        <f t="shared" si="125"/>
        <v>900</v>
      </c>
      <c r="S620" s="70">
        <f>VLOOKUP(B620,'114+320'!$B$14:$AB$785,22,FALSE)</f>
        <v>3323</v>
      </c>
      <c r="T620" s="69">
        <f>VLOOKUP(B620,'114+320'!$B$15:$AB$785,6,FALSE)</f>
        <v>1169</v>
      </c>
      <c r="U620" s="68">
        <f t="shared" si="121"/>
        <v>2113</v>
      </c>
      <c r="V620" s="67">
        <f>VLOOKUP(B620,'114+320'!$B$15:$AB$785,15,FALSE)</f>
        <v>-887</v>
      </c>
      <c r="W620" s="66">
        <f>'114+320'!S621</f>
        <v>4</v>
      </c>
      <c r="X620" s="65">
        <f t="shared" si="126"/>
        <v>767</v>
      </c>
      <c r="Y620" s="64">
        <f t="shared" si="127"/>
        <v>-4</v>
      </c>
      <c r="Z620" s="63">
        <f t="shared" si="128"/>
        <v>0</v>
      </c>
      <c r="AA620" s="62">
        <f t="shared" si="129"/>
        <v>4.0990000000000002</v>
      </c>
      <c r="AB620" s="62">
        <f t="shared" si="130"/>
        <v>2.4700000000000002</v>
      </c>
    </row>
    <row r="621" spans="2:28">
      <c r="B621" s="106">
        <f>'114+320'!B622</f>
        <v>45651</v>
      </c>
      <c r="C621" s="75">
        <f t="shared" si="122"/>
        <v>1</v>
      </c>
      <c r="D621" s="74">
        <f t="shared" si="123"/>
        <v>842</v>
      </c>
      <c r="E621" s="73">
        <f>VLOOKUP(B621,'114+320'!B622:AB1008,3,FALSE)</f>
        <v>2442</v>
      </c>
      <c r="F621" s="69">
        <f t="shared" si="118"/>
        <v>3284</v>
      </c>
      <c r="G621" s="72">
        <f>VLOOKUP(B621,'114+320'!$B$15:$AB$785,20,FALSE)</f>
        <v>3291</v>
      </c>
      <c r="H621" s="72">
        <f>VLOOKUP(B621,'114+320'!$B$15:$AB$785,4,FALSE)</f>
        <v>1263</v>
      </c>
      <c r="I621" s="68">
        <f t="shared" si="119"/>
        <v>2021</v>
      </c>
      <c r="J621" s="71">
        <f>VLOOKUP(B621,'114+320'!$B$15:$AB$785,13,FALSE)</f>
        <v>-979</v>
      </c>
      <c r="K621" s="66">
        <f>'114+320'!Q622</f>
        <v>3</v>
      </c>
      <c r="L621" s="65">
        <f t="shared" si="124"/>
        <v>799</v>
      </c>
      <c r="M621" s="70">
        <f>VLOOKUP(B621,'114+320'!$B$14:$AB$785,21,FALSE)</f>
        <v>3187</v>
      </c>
      <c r="N621" s="69">
        <f>VLOOKUP(B621,'114+320'!$B$15:$AB$785,5,FALSE)</f>
        <v>1367</v>
      </c>
      <c r="O621" s="68">
        <f t="shared" si="120"/>
        <v>1917</v>
      </c>
      <c r="P621" s="71">
        <f>VLOOKUP(B621,'114+320'!$B$15:$AB$785,14,FALSE)</f>
        <v>-1083</v>
      </c>
      <c r="Q621" s="66">
        <f>'114+320'!R622</f>
        <v>3</v>
      </c>
      <c r="R621" s="65">
        <f t="shared" si="125"/>
        <v>903</v>
      </c>
      <c r="S621" s="70">
        <f>VLOOKUP(B621,'114+320'!$B$14:$AB$785,22,FALSE)</f>
        <v>3316</v>
      </c>
      <c r="T621" s="69">
        <f>VLOOKUP(B621,'114+320'!$B$15:$AB$785,6,FALSE)</f>
        <v>1178</v>
      </c>
      <c r="U621" s="68">
        <f t="shared" si="121"/>
        <v>2106</v>
      </c>
      <c r="V621" s="67">
        <f>VLOOKUP(B621,'114+320'!$B$15:$AB$785,15,FALSE)</f>
        <v>-894</v>
      </c>
      <c r="W621" s="66">
        <f>'114+320'!S622</f>
        <v>7</v>
      </c>
      <c r="X621" s="65">
        <f t="shared" si="126"/>
        <v>774</v>
      </c>
      <c r="Y621" s="64">
        <f t="shared" si="127"/>
        <v>-7</v>
      </c>
      <c r="Z621" s="63">
        <f t="shared" si="128"/>
        <v>0</v>
      </c>
      <c r="AA621" s="62">
        <f t="shared" si="129"/>
        <v>4.0990000000000002</v>
      </c>
      <c r="AB621" s="62">
        <f t="shared" si="130"/>
        <v>2.464</v>
      </c>
    </row>
    <row r="622" spans="2:28">
      <c r="B622" s="106">
        <f>'114+320'!B623</f>
        <v>45652</v>
      </c>
      <c r="C622" s="75">
        <f t="shared" si="122"/>
        <v>1</v>
      </c>
      <c r="D622" s="74">
        <f t="shared" si="123"/>
        <v>842</v>
      </c>
      <c r="E622" s="73">
        <f>VLOOKUP(B622,'114+320'!B623:AB1009,3,FALSE)</f>
        <v>2444</v>
      </c>
      <c r="F622" s="69">
        <f t="shared" si="118"/>
        <v>3286</v>
      </c>
      <c r="G622" s="72">
        <f>VLOOKUP(B622,'114+320'!$B$15:$AB$785,20,FALSE)</f>
        <v>3289</v>
      </c>
      <c r="H622" s="72">
        <f>VLOOKUP(B622,'114+320'!$B$15:$AB$785,4,FALSE)</f>
        <v>1267</v>
      </c>
      <c r="I622" s="68">
        <f t="shared" si="119"/>
        <v>2019</v>
      </c>
      <c r="J622" s="71">
        <f>VLOOKUP(B622,'114+320'!$B$15:$AB$785,13,FALSE)</f>
        <v>-981</v>
      </c>
      <c r="K622" s="66">
        <f>'114+320'!Q623</f>
        <v>2</v>
      </c>
      <c r="L622" s="65">
        <f t="shared" si="124"/>
        <v>801</v>
      </c>
      <c r="M622" s="70">
        <f>VLOOKUP(B622,'114+320'!$B$14:$AB$785,21,FALSE)</f>
        <v>3185</v>
      </c>
      <c r="N622" s="69">
        <f>VLOOKUP(B622,'114+320'!$B$15:$AB$785,5,FALSE)</f>
        <v>1371</v>
      </c>
      <c r="O622" s="68">
        <f t="shared" si="120"/>
        <v>1915</v>
      </c>
      <c r="P622" s="71">
        <f>VLOOKUP(B622,'114+320'!$B$15:$AB$785,14,FALSE)</f>
        <v>-1085</v>
      </c>
      <c r="Q622" s="66">
        <f>'114+320'!R623</f>
        <v>2</v>
      </c>
      <c r="R622" s="65">
        <f t="shared" si="125"/>
        <v>905</v>
      </c>
      <c r="S622" s="70">
        <f>VLOOKUP(B622,'114+320'!$B$14:$AB$785,22,FALSE)</f>
        <v>3311</v>
      </c>
      <c r="T622" s="69">
        <f>VLOOKUP(B622,'114+320'!$B$15:$AB$785,6,FALSE)</f>
        <v>1185</v>
      </c>
      <c r="U622" s="68">
        <f t="shared" si="121"/>
        <v>2101</v>
      </c>
      <c r="V622" s="67">
        <f>VLOOKUP(B622,'114+320'!$B$15:$AB$785,15,FALSE)</f>
        <v>-899</v>
      </c>
      <c r="W622" s="66">
        <f>'114+320'!S623</f>
        <v>5</v>
      </c>
      <c r="X622" s="65">
        <f t="shared" si="126"/>
        <v>779</v>
      </c>
      <c r="Y622" s="64">
        <f t="shared" si="127"/>
        <v>-5</v>
      </c>
      <c r="Z622" s="63">
        <f t="shared" si="128"/>
        <v>0</v>
      </c>
      <c r="AA622" s="62">
        <f t="shared" si="129"/>
        <v>4.0990000000000002</v>
      </c>
      <c r="AB622" s="62">
        <f t="shared" si="130"/>
        <v>2.46</v>
      </c>
    </row>
    <row r="623" spans="2:28">
      <c r="B623" s="106">
        <f>'114+320'!B624</f>
        <v>45653</v>
      </c>
      <c r="C623" s="75">
        <f t="shared" si="122"/>
        <v>1</v>
      </c>
      <c r="D623" s="74">
        <f t="shared" si="123"/>
        <v>842</v>
      </c>
      <c r="E623" s="73">
        <f>VLOOKUP(B623,'114+320'!B624:AB1010,3,FALSE)</f>
        <v>2446</v>
      </c>
      <c r="F623" s="69">
        <f t="shared" si="118"/>
        <v>3288</v>
      </c>
      <c r="G623" s="72">
        <f>VLOOKUP(B623,'114+320'!$B$15:$AB$785,20,FALSE)</f>
        <v>3285</v>
      </c>
      <c r="H623" s="72">
        <f>VLOOKUP(B623,'114+320'!$B$15:$AB$785,4,FALSE)</f>
        <v>1273</v>
      </c>
      <c r="I623" s="68">
        <f t="shared" si="119"/>
        <v>2015</v>
      </c>
      <c r="J623" s="71">
        <f>VLOOKUP(B623,'114+320'!$B$15:$AB$785,13,FALSE)</f>
        <v>-985</v>
      </c>
      <c r="K623" s="66">
        <f>'114+320'!Q624</f>
        <v>4</v>
      </c>
      <c r="L623" s="65">
        <f t="shared" si="124"/>
        <v>805</v>
      </c>
      <c r="M623" s="70">
        <f>VLOOKUP(B623,'114+320'!$B$14:$AB$785,21,FALSE)</f>
        <v>3181</v>
      </c>
      <c r="N623" s="69">
        <f>VLOOKUP(B623,'114+320'!$B$15:$AB$785,5,FALSE)</f>
        <v>1377</v>
      </c>
      <c r="O623" s="68">
        <f t="shared" si="120"/>
        <v>1911</v>
      </c>
      <c r="P623" s="71">
        <f>VLOOKUP(B623,'114+320'!$B$15:$AB$785,14,FALSE)</f>
        <v>-1089</v>
      </c>
      <c r="Q623" s="66">
        <f>'114+320'!R624</f>
        <v>4</v>
      </c>
      <c r="R623" s="65">
        <f t="shared" si="125"/>
        <v>909</v>
      </c>
      <c r="S623" s="70">
        <f>VLOOKUP(B623,'114+320'!$B$14:$AB$785,22,FALSE)</f>
        <v>3306</v>
      </c>
      <c r="T623" s="69">
        <f>VLOOKUP(B623,'114+320'!$B$15:$AB$785,6,FALSE)</f>
        <v>1192</v>
      </c>
      <c r="U623" s="68">
        <f t="shared" si="121"/>
        <v>2096</v>
      </c>
      <c r="V623" s="67">
        <f>VLOOKUP(B623,'114+320'!$B$15:$AB$785,15,FALSE)</f>
        <v>-904</v>
      </c>
      <c r="W623" s="66">
        <f>'114+320'!S624</f>
        <v>5</v>
      </c>
      <c r="X623" s="65">
        <f t="shared" si="126"/>
        <v>784</v>
      </c>
      <c r="Y623" s="64">
        <f t="shared" si="127"/>
        <v>-5</v>
      </c>
      <c r="Z623" s="63">
        <f t="shared" si="128"/>
        <v>0</v>
      </c>
      <c r="AA623" s="62">
        <f t="shared" si="129"/>
        <v>4.0990000000000002</v>
      </c>
      <c r="AB623" s="62">
        <f t="shared" si="130"/>
        <v>2.452</v>
      </c>
    </row>
    <row r="624" spans="2:28">
      <c r="B624" s="106">
        <f>'114+320'!B625</f>
        <v>45654</v>
      </c>
      <c r="C624" s="75">
        <f t="shared" si="122"/>
        <v>1</v>
      </c>
      <c r="D624" s="74">
        <f t="shared" si="123"/>
        <v>842</v>
      </c>
      <c r="E624" s="73">
        <f>VLOOKUP(B624,'114+320'!B625:AB1011,3,FALSE)</f>
        <v>2448</v>
      </c>
      <c r="F624" s="69">
        <f t="shared" si="118"/>
        <v>3290</v>
      </c>
      <c r="G624" s="72">
        <f>VLOOKUP(B624,'114+320'!$B$15:$AB$785,20,FALSE)</f>
        <v>3282</v>
      </c>
      <c r="H624" s="72">
        <f>VLOOKUP(B624,'114+320'!$B$15:$AB$785,4,FALSE)</f>
        <v>1278</v>
      </c>
      <c r="I624" s="68">
        <f t="shared" si="119"/>
        <v>2012</v>
      </c>
      <c r="J624" s="71">
        <f>VLOOKUP(B624,'114+320'!$B$15:$AB$785,13,FALSE)</f>
        <v>-988</v>
      </c>
      <c r="K624" s="66">
        <f>'114+320'!Q625</f>
        <v>3</v>
      </c>
      <c r="L624" s="65">
        <f t="shared" si="124"/>
        <v>808</v>
      </c>
      <c r="M624" s="70">
        <f>VLOOKUP(B624,'114+320'!$B$14:$AB$785,21,FALSE)</f>
        <v>3179</v>
      </c>
      <c r="N624" s="69">
        <f>VLOOKUP(B624,'114+320'!$B$15:$AB$785,5,FALSE)</f>
        <v>1381</v>
      </c>
      <c r="O624" s="68">
        <f t="shared" si="120"/>
        <v>1909</v>
      </c>
      <c r="P624" s="71">
        <f>VLOOKUP(B624,'114+320'!$B$15:$AB$785,14,FALSE)</f>
        <v>-1091</v>
      </c>
      <c r="Q624" s="66">
        <f>'114+320'!R625</f>
        <v>2</v>
      </c>
      <c r="R624" s="65">
        <f t="shared" si="125"/>
        <v>911</v>
      </c>
      <c r="S624" s="70">
        <f>VLOOKUP(B624,'114+320'!$B$14:$AB$785,22,FALSE)</f>
        <v>3302</v>
      </c>
      <c r="T624" s="69">
        <f>VLOOKUP(B624,'114+320'!$B$15:$AB$785,6,FALSE)</f>
        <v>1198</v>
      </c>
      <c r="U624" s="68">
        <f t="shared" si="121"/>
        <v>2092</v>
      </c>
      <c r="V624" s="67">
        <f>VLOOKUP(B624,'114+320'!$B$15:$AB$785,15,FALSE)</f>
        <v>-908</v>
      </c>
      <c r="W624" s="66">
        <f>'114+320'!S625</f>
        <v>4</v>
      </c>
      <c r="X624" s="65">
        <f t="shared" si="126"/>
        <v>788</v>
      </c>
      <c r="Y624" s="64">
        <f t="shared" si="127"/>
        <v>-4</v>
      </c>
      <c r="Z624" s="63">
        <f t="shared" si="128"/>
        <v>0</v>
      </c>
      <c r="AA624" s="62">
        <f t="shared" si="129"/>
        <v>4.0990000000000002</v>
      </c>
      <c r="AB624" s="62">
        <f t="shared" si="130"/>
        <v>2.448</v>
      </c>
    </row>
    <row r="625" spans="2:28">
      <c r="B625" s="106">
        <f>'114+320'!B626</f>
        <v>45655</v>
      </c>
      <c r="C625" s="75">
        <f t="shared" si="122"/>
        <v>1</v>
      </c>
      <c r="D625" s="74">
        <f t="shared" si="123"/>
        <v>842</v>
      </c>
      <c r="E625" s="73">
        <f>VLOOKUP(B625,'114+320'!B626:AB1012,3,FALSE)</f>
        <v>2450</v>
      </c>
      <c r="F625" s="69">
        <f t="shared" si="118"/>
        <v>3292</v>
      </c>
      <c r="G625" s="72">
        <f>VLOOKUP(B625,'114+320'!$B$15:$AB$785,20,FALSE)</f>
        <v>3278</v>
      </c>
      <c r="H625" s="72">
        <f>VLOOKUP(B625,'114+320'!$B$15:$AB$785,4,FALSE)</f>
        <v>1284</v>
      </c>
      <c r="I625" s="68">
        <f t="shared" si="119"/>
        <v>2008</v>
      </c>
      <c r="J625" s="71">
        <f>VLOOKUP(B625,'114+320'!$B$15:$AB$785,13,FALSE)</f>
        <v>-992</v>
      </c>
      <c r="K625" s="66">
        <f>'114+320'!Q626</f>
        <v>4</v>
      </c>
      <c r="L625" s="65">
        <f t="shared" si="124"/>
        <v>812</v>
      </c>
      <c r="M625" s="70">
        <f>VLOOKUP(B625,'114+320'!$B$14:$AB$785,21,FALSE)</f>
        <v>3175</v>
      </c>
      <c r="N625" s="69">
        <f>VLOOKUP(B625,'114+320'!$B$15:$AB$785,5,FALSE)</f>
        <v>1387</v>
      </c>
      <c r="O625" s="68">
        <f t="shared" si="120"/>
        <v>1905</v>
      </c>
      <c r="P625" s="71">
        <f>VLOOKUP(B625,'114+320'!$B$15:$AB$785,14,FALSE)</f>
        <v>-1095</v>
      </c>
      <c r="Q625" s="66">
        <f>'114+320'!R626</f>
        <v>4</v>
      </c>
      <c r="R625" s="65">
        <f t="shared" si="125"/>
        <v>915</v>
      </c>
      <c r="S625" s="70">
        <f>VLOOKUP(B625,'114+320'!$B$14:$AB$785,22,FALSE)</f>
        <v>3299</v>
      </c>
      <c r="T625" s="69">
        <f>VLOOKUP(B625,'114+320'!$B$15:$AB$785,6,FALSE)</f>
        <v>1203</v>
      </c>
      <c r="U625" s="68">
        <f t="shared" si="121"/>
        <v>2089</v>
      </c>
      <c r="V625" s="67">
        <f>VLOOKUP(B625,'114+320'!$B$15:$AB$785,15,FALSE)</f>
        <v>-911</v>
      </c>
      <c r="W625" s="66">
        <f>'114+320'!S626</f>
        <v>3</v>
      </c>
      <c r="X625" s="65">
        <f t="shared" si="126"/>
        <v>791</v>
      </c>
      <c r="Y625" s="64">
        <f t="shared" si="127"/>
        <v>-3</v>
      </c>
      <c r="Z625" s="63">
        <f t="shared" si="128"/>
        <v>0</v>
      </c>
      <c r="AA625" s="62">
        <f t="shared" si="129"/>
        <v>4.0990000000000002</v>
      </c>
      <c r="AB625" s="62">
        <f t="shared" si="130"/>
        <v>2.44</v>
      </c>
    </row>
    <row r="626" spans="2:28">
      <c r="B626" s="106">
        <f>'114+320'!B627</f>
        <v>45656</v>
      </c>
      <c r="C626" s="75">
        <f t="shared" si="122"/>
        <v>1</v>
      </c>
      <c r="D626" s="74">
        <f t="shared" si="123"/>
        <v>842</v>
      </c>
      <c r="E626" s="73">
        <f>VLOOKUP(B626,'114+320'!B627:AB1013,3,FALSE)</f>
        <v>2452</v>
      </c>
      <c r="F626" s="69">
        <f t="shared" si="118"/>
        <v>3294</v>
      </c>
      <c r="G626" s="72">
        <f>VLOOKUP(B626,'114+320'!$B$15:$AB$785,20,FALSE)</f>
        <v>3277</v>
      </c>
      <c r="H626" s="72">
        <f>VLOOKUP(B626,'114+320'!$B$15:$AB$785,4,FALSE)</f>
        <v>1287</v>
      </c>
      <c r="I626" s="68">
        <f t="shared" si="119"/>
        <v>2007</v>
      </c>
      <c r="J626" s="71">
        <f>VLOOKUP(B626,'114+320'!$B$15:$AB$785,13,FALSE)</f>
        <v>-993</v>
      </c>
      <c r="K626" s="66">
        <f>'114+320'!Q627</f>
        <v>1</v>
      </c>
      <c r="L626" s="65">
        <f t="shared" si="124"/>
        <v>813</v>
      </c>
      <c r="M626" s="70">
        <f>VLOOKUP(B626,'114+320'!$B$14:$AB$785,21,FALSE)</f>
        <v>3174</v>
      </c>
      <c r="N626" s="69">
        <f>VLOOKUP(B626,'114+320'!$B$15:$AB$785,5,FALSE)</f>
        <v>1390</v>
      </c>
      <c r="O626" s="68">
        <f t="shared" si="120"/>
        <v>1904</v>
      </c>
      <c r="P626" s="71">
        <f>VLOOKUP(B626,'114+320'!$B$15:$AB$785,14,FALSE)</f>
        <v>-1096</v>
      </c>
      <c r="Q626" s="66">
        <f>'114+320'!R627</f>
        <v>1</v>
      </c>
      <c r="R626" s="65">
        <f t="shared" si="125"/>
        <v>916</v>
      </c>
      <c r="S626" s="70">
        <f>VLOOKUP(B626,'114+320'!$B$14:$AB$785,22,FALSE)</f>
        <v>3297</v>
      </c>
      <c r="T626" s="69">
        <f>VLOOKUP(B626,'114+320'!$B$15:$AB$785,6,FALSE)</f>
        <v>1207</v>
      </c>
      <c r="U626" s="68">
        <f t="shared" si="121"/>
        <v>2087</v>
      </c>
      <c r="V626" s="67">
        <f>VLOOKUP(B626,'114+320'!$B$15:$AB$785,15,FALSE)</f>
        <v>-913</v>
      </c>
      <c r="W626" s="66">
        <f>'114+320'!S627</f>
        <v>2</v>
      </c>
      <c r="X626" s="65">
        <f t="shared" si="126"/>
        <v>793</v>
      </c>
      <c r="Y626" s="64">
        <f t="shared" si="127"/>
        <v>-2</v>
      </c>
      <c r="Z626" s="63">
        <f t="shared" si="128"/>
        <v>0</v>
      </c>
      <c r="AA626" s="62">
        <f t="shared" si="129"/>
        <v>4.0990000000000002</v>
      </c>
      <c r="AB626" s="62">
        <f t="shared" si="130"/>
        <v>2.4380000000000002</v>
      </c>
    </row>
    <row r="627" spans="2:28">
      <c r="B627" s="106">
        <f>'114+320'!B628</f>
        <v>45657</v>
      </c>
      <c r="C627" s="75">
        <f t="shared" si="122"/>
        <v>1</v>
      </c>
      <c r="D627" s="74">
        <f t="shared" si="123"/>
        <v>842</v>
      </c>
      <c r="E627" s="73">
        <f>VLOOKUP(B627,'114+320'!B628:AB1014,3,FALSE)</f>
        <v>2454</v>
      </c>
      <c r="F627" s="69">
        <f t="shared" si="118"/>
        <v>3296</v>
      </c>
      <c r="G627" s="72">
        <f>VLOOKUP(B627,'114+320'!$B$15:$AB$785,20,FALSE)</f>
        <v>3273</v>
      </c>
      <c r="H627" s="72">
        <f>VLOOKUP(B627,'114+320'!$B$15:$AB$785,4,FALSE)</f>
        <v>1293</v>
      </c>
      <c r="I627" s="68">
        <f t="shared" si="119"/>
        <v>2003</v>
      </c>
      <c r="J627" s="71">
        <f>VLOOKUP(B627,'114+320'!$B$15:$AB$785,13,FALSE)</f>
        <v>-997</v>
      </c>
      <c r="K627" s="66">
        <f>'114+320'!Q628</f>
        <v>4</v>
      </c>
      <c r="L627" s="65">
        <f t="shared" si="124"/>
        <v>817</v>
      </c>
      <c r="M627" s="70">
        <f>VLOOKUP(B627,'114+320'!$B$14:$AB$785,21,FALSE)</f>
        <v>3173</v>
      </c>
      <c r="N627" s="69">
        <f>VLOOKUP(B627,'114+320'!$B$15:$AB$785,5,FALSE)</f>
        <v>1393</v>
      </c>
      <c r="O627" s="68">
        <f t="shared" si="120"/>
        <v>1903</v>
      </c>
      <c r="P627" s="71">
        <f>VLOOKUP(B627,'114+320'!$B$15:$AB$785,14,FALSE)</f>
        <v>-1097</v>
      </c>
      <c r="Q627" s="66">
        <f>'114+320'!R628</f>
        <v>1</v>
      </c>
      <c r="R627" s="65">
        <f t="shared" si="125"/>
        <v>917</v>
      </c>
      <c r="S627" s="70">
        <f>VLOOKUP(B627,'114+320'!$B$14:$AB$785,22,FALSE)</f>
        <v>3293</v>
      </c>
      <c r="T627" s="69">
        <f>VLOOKUP(B627,'114+320'!$B$15:$AB$785,6,FALSE)</f>
        <v>1213</v>
      </c>
      <c r="U627" s="68">
        <f t="shared" si="121"/>
        <v>2083</v>
      </c>
      <c r="V627" s="67">
        <f>VLOOKUP(B627,'114+320'!$B$15:$AB$785,15,FALSE)</f>
        <v>-917</v>
      </c>
      <c r="W627" s="66">
        <f>'114+320'!S628</f>
        <v>4</v>
      </c>
      <c r="X627" s="65">
        <f t="shared" si="126"/>
        <v>797</v>
      </c>
      <c r="Y627" s="64">
        <f t="shared" si="127"/>
        <v>-4</v>
      </c>
      <c r="Z627" s="63">
        <f t="shared" si="128"/>
        <v>0</v>
      </c>
      <c r="AA627" s="62">
        <f t="shared" si="129"/>
        <v>4.0990000000000002</v>
      </c>
      <c r="AB627" s="62">
        <f t="shared" si="130"/>
        <v>2.4359999999999999</v>
      </c>
    </row>
    <row r="628" spans="2:28">
      <c r="B628" s="106">
        <f>'114+320'!B629</f>
        <v>45658</v>
      </c>
      <c r="C628" s="75">
        <f t="shared" si="122"/>
        <v>1</v>
      </c>
      <c r="D628" s="74">
        <f t="shared" si="123"/>
        <v>842</v>
      </c>
      <c r="E628" s="73">
        <f>VLOOKUP(B628,'114+320'!B629:AB1015,3,FALSE)</f>
        <v>2456</v>
      </c>
      <c r="F628" s="69">
        <f t="shared" si="118"/>
        <v>3298</v>
      </c>
      <c r="G628" s="72">
        <f>VLOOKUP(B628,'114+320'!$B$15:$AB$785,20,FALSE)</f>
        <v>3273</v>
      </c>
      <c r="H628" s="72">
        <f>VLOOKUP(B628,'114+320'!$B$15:$AB$785,4,FALSE)</f>
        <v>1295</v>
      </c>
      <c r="I628" s="68">
        <f t="shared" si="119"/>
        <v>2003</v>
      </c>
      <c r="J628" s="71">
        <f>VLOOKUP(B628,'114+320'!$B$15:$AB$785,13,FALSE)</f>
        <v>-997</v>
      </c>
      <c r="K628" s="66">
        <f>'114+320'!Q629</f>
        <v>0</v>
      </c>
      <c r="L628" s="65">
        <f t="shared" si="124"/>
        <v>817</v>
      </c>
      <c r="M628" s="70">
        <f>VLOOKUP(B628,'114+320'!$B$14:$AB$785,21,FALSE)</f>
        <v>3172</v>
      </c>
      <c r="N628" s="69">
        <f>VLOOKUP(B628,'114+320'!$B$15:$AB$785,5,FALSE)</f>
        <v>1396</v>
      </c>
      <c r="O628" s="68">
        <f t="shared" si="120"/>
        <v>1902</v>
      </c>
      <c r="P628" s="71">
        <f>VLOOKUP(B628,'114+320'!$B$15:$AB$785,14,FALSE)</f>
        <v>-1098</v>
      </c>
      <c r="Q628" s="66">
        <f>'114+320'!R629</f>
        <v>1</v>
      </c>
      <c r="R628" s="65">
        <f t="shared" si="125"/>
        <v>918</v>
      </c>
      <c r="S628" s="70">
        <f>VLOOKUP(B628,'114+320'!$B$14:$AB$785,22,FALSE)</f>
        <v>3291</v>
      </c>
      <c r="T628" s="69">
        <f>VLOOKUP(B628,'114+320'!$B$15:$AB$785,6,FALSE)</f>
        <v>1217</v>
      </c>
      <c r="U628" s="68">
        <f t="shared" si="121"/>
        <v>2081</v>
      </c>
      <c r="V628" s="67">
        <f>VLOOKUP(B628,'114+320'!$B$15:$AB$785,15,FALSE)</f>
        <v>-919</v>
      </c>
      <c r="W628" s="66">
        <f>'114+320'!S629</f>
        <v>2</v>
      </c>
      <c r="X628" s="65">
        <f t="shared" si="126"/>
        <v>799</v>
      </c>
      <c r="Y628" s="64">
        <f t="shared" si="127"/>
        <v>-2</v>
      </c>
      <c r="Z628" s="63">
        <f t="shared" si="128"/>
        <v>0</v>
      </c>
      <c r="AA628" s="62">
        <f t="shared" si="129"/>
        <v>4.0990000000000002</v>
      </c>
      <c r="AB628" s="62">
        <f t="shared" si="130"/>
        <v>2.4340000000000002</v>
      </c>
    </row>
    <row r="629" spans="2:28">
      <c r="B629" s="106">
        <f>'114+320'!B630</f>
        <v>45659</v>
      </c>
      <c r="C629" s="75">
        <f t="shared" si="122"/>
        <v>1</v>
      </c>
      <c r="D629" s="74">
        <f t="shared" si="123"/>
        <v>842</v>
      </c>
      <c r="E629" s="73">
        <f>VLOOKUP(B629,'114+320'!B630:AB1016,3,FALSE)</f>
        <v>2458</v>
      </c>
      <c r="F629" s="69">
        <f t="shared" si="118"/>
        <v>3300</v>
      </c>
      <c r="G629" s="72">
        <f>VLOOKUP(B629,'114+320'!$B$15:$AB$785,20,FALSE)</f>
        <v>3271</v>
      </c>
      <c r="H629" s="72">
        <f>VLOOKUP(B629,'114+320'!$B$15:$AB$785,4,FALSE)</f>
        <v>1299</v>
      </c>
      <c r="I629" s="68">
        <f t="shared" si="119"/>
        <v>2001</v>
      </c>
      <c r="J629" s="71">
        <f>VLOOKUP(B629,'114+320'!$B$15:$AB$785,13,FALSE)</f>
        <v>-999</v>
      </c>
      <c r="K629" s="66">
        <f>'114+320'!Q630</f>
        <v>2</v>
      </c>
      <c r="L629" s="65">
        <f t="shared" si="124"/>
        <v>819</v>
      </c>
      <c r="M629" s="70">
        <f>VLOOKUP(B629,'114+320'!$B$14:$AB$785,21,FALSE)</f>
        <v>3169</v>
      </c>
      <c r="N629" s="69">
        <f>VLOOKUP(B629,'114+320'!$B$15:$AB$785,5,FALSE)</f>
        <v>1401</v>
      </c>
      <c r="O629" s="68">
        <f t="shared" si="120"/>
        <v>1899</v>
      </c>
      <c r="P629" s="71">
        <f>VLOOKUP(B629,'114+320'!$B$15:$AB$785,14,FALSE)</f>
        <v>-1101</v>
      </c>
      <c r="Q629" s="66">
        <f>'114+320'!R630</f>
        <v>3</v>
      </c>
      <c r="R629" s="65">
        <f t="shared" si="125"/>
        <v>921</v>
      </c>
      <c r="S629" s="70">
        <f>VLOOKUP(B629,'114+320'!$B$14:$AB$785,22,FALSE)</f>
        <v>3287</v>
      </c>
      <c r="T629" s="69">
        <f>VLOOKUP(B629,'114+320'!$B$15:$AB$785,6,FALSE)</f>
        <v>1223</v>
      </c>
      <c r="U629" s="68">
        <f t="shared" si="121"/>
        <v>2077</v>
      </c>
      <c r="V629" s="67">
        <f>VLOOKUP(B629,'114+320'!$B$15:$AB$785,15,FALSE)</f>
        <v>-923</v>
      </c>
      <c r="W629" s="66">
        <f>'114+320'!S630</f>
        <v>4</v>
      </c>
      <c r="X629" s="65">
        <f t="shared" si="126"/>
        <v>803</v>
      </c>
      <c r="Y629" s="64">
        <f t="shared" si="127"/>
        <v>-4</v>
      </c>
      <c r="Z629" s="63">
        <f t="shared" si="128"/>
        <v>0</v>
      </c>
      <c r="AA629" s="62">
        <f t="shared" si="129"/>
        <v>4.0990000000000002</v>
      </c>
      <c r="AB629" s="62">
        <f t="shared" si="130"/>
        <v>2.4279999999999999</v>
      </c>
    </row>
    <row r="630" spans="2:28">
      <c r="B630" s="106">
        <f>'114+320'!B631</f>
        <v>45660</v>
      </c>
      <c r="C630" s="75">
        <f t="shared" si="122"/>
        <v>1</v>
      </c>
      <c r="D630" s="74">
        <f t="shared" si="123"/>
        <v>842</v>
      </c>
      <c r="E630" s="73">
        <f>VLOOKUP(B630,'114+320'!B631:AB1017,3,FALSE)</f>
        <v>2460</v>
      </c>
      <c r="F630" s="69">
        <f t="shared" si="118"/>
        <v>3302</v>
      </c>
      <c r="G630" s="72">
        <f>VLOOKUP(B630,'114+320'!$B$15:$AB$785,20,FALSE)</f>
        <v>3267</v>
      </c>
      <c r="H630" s="72">
        <f>VLOOKUP(B630,'114+320'!$B$15:$AB$785,4,FALSE)</f>
        <v>1305</v>
      </c>
      <c r="I630" s="68">
        <f t="shared" si="119"/>
        <v>1997</v>
      </c>
      <c r="J630" s="71">
        <f>VLOOKUP(B630,'114+320'!$B$15:$AB$785,13,FALSE)</f>
        <v>-1003</v>
      </c>
      <c r="K630" s="66">
        <f>'114+320'!Q631</f>
        <v>4</v>
      </c>
      <c r="L630" s="65">
        <f t="shared" si="124"/>
        <v>823</v>
      </c>
      <c r="M630" s="70">
        <f>VLOOKUP(B630,'114+320'!$B$14:$AB$785,21,FALSE)</f>
        <v>3168</v>
      </c>
      <c r="N630" s="69">
        <f>VLOOKUP(B630,'114+320'!$B$15:$AB$785,5,FALSE)</f>
        <v>1404</v>
      </c>
      <c r="O630" s="68">
        <f t="shared" si="120"/>
        <v>1898</v>
      </c>
      <c r="P630" s="71">
        <f>VLOOKUP(B630,'114+320'!$B$15:$AB$785,14,FALSE)</f>
        <v>-1102</v>
      </c>
      <c r="Q630" s="66">
        <f>'114+320'!R631</f>
        <v>1</v>
      </c>
      <c r="R630" s="65">
        <f t="shared" si="125"/>
        <v>922</v>
      </c>
      <c r="S630" s="70">
        <f>VLOOKUP(B630,'114+320'!$B$14:$AB$785,22,FALSE)</f>
        <v>3286</v>
      </c>
      <c r="T630" s="69">
        <f>VLOOKUP(B630,'114+320'!$B$15:$AB$785,6,FALSE)</f>
        <v>1226</v>
      </c>
      <c r="U630" s="68">
        <f t="shared" si="121"/>
        <v>2076</v>
      </c>
      <c r="V630" s="67">
        <f>VLOOKUP(B630,'114+320'!$B$15:$AB$785,15,FALSE)</f>
        <v>-924</v>
      </c>
      <c r="W630" s="66">
        <f>'114+320'!S631</f>
        <v>1</v>
      </c>
      <c r="X630" s="65">
        <f t="shared" si="126"/>
        <v>804</v>
      </c>
      <c r="Y630" s="64">
        <f t="shared" si="127"/>
        <v>-1</v>
      </c>
      <c r="Z630" s="63">
        <f t="shared" si="128"/>
        <v>0</v>
      </c>
      <c r="AA630" s="62">
        <f t="shared" si="129"/>
        <v>4.0990000000000002</v>
      </c>
      <c r="AB630" s="62">
        <f t="shared" si="130"/>
        <v>2.4260000000000002</v>
      </c>
    </row>
    <row r="631" spans="2:28">
      <c r="B631" s="106">
        <f>'114+320'!B632</f>
        <v>45661</v>
      </c>
      <c r="C631" s="75">
        <f t="shared" si="122"/>
        <v>1</v>
      </c>
      <c r="D631" s="74">
        <f t="shared" si="123"/>
        <v>842</v>
      </c>
      <c r="E631" s="73">
        <f>VLOOKUP(B631,'114+320'!B632:AB1018,3,FALSE)</f>
        <v>2462</v>
      </c>
      <c r="F631" s="69">
        <f t="shared" si="118"/>
        <v>3304</v>
      </c>
      <c r="G631" s="72">
        <f>VLOOKUP(B631,'114+320'!$B$15:$AB$785,20,FALSE)</f>
        <v>3266</v>
      </c>
      <c r="H631" s="72">
        <f>VLOOKUP(B631,'114+320'!$B$15:$AB$785,4,FALSE)</f>
        <v>1308</v>
      </c>
      <c r="I631" s="68">
        <f t="shared" si="119"/>
        <v>1996</v>
      </c>
      <c r="J631" s="71">
        <f>VLOOKUP(B631,'114+320'!$B$15:$AB$785,13,FALSE)</f>
        <v>-1004</v>
      </c>
      <c r="K631" s="66">
        <f>'114+320'!Q632</f>
        <v>1</v>
      </c>
      <c r="L631" s="65">
        <f t="shared" si="124"/>
        <v>824</v>
      </c>
      <c r="M631" s="70">
        <f>VLOOKUP(B631,'114+320'!$B$14:$AB$785,21,FALSE)</f>
        <v>3166</v>
      </c>
      <c r="N631" s="69">
        <f>VLOOKUP(B631,'114+320'!$B$15:$AB$785,5,FALSE)</f>
        <v>1408</v>
      </c>
      <c r="O631" s="68">
        <f t="shared" si="120"/>
        <v>1896</v>
      </c>
      <c r="P631" s="71">
        <f>VLOOKUP(B631,'114+320'!$B$15:$AB$785,14,FALSE)</f>
        <v>-1104</v>
      </c>
      <c r="Q631" s="66">
        <f>'114+320'!R632</f>
        <v>2</v>
      </c>
      <c r="R631" s="65">
        <f t="shared" si="125"/>
        <v>924</v>
      </c>
      <c r="S631" s="70">
        <f>VLOOKUP(B631,'114+320'!$B$14:$AB$785,22,FALSE)</f>
        <v>3285</v>
      </c>
      <c r="T631" s="69">
        <f>VLOOKUP(B631,'114+320'!$B$15:$AB$785,6,FALSE)</f>
        <v>1229</v>
      </c>
      <c r="U631" s="68">
        <f t="shared" si="121"/>
        <v>2075</v>
      </c>
      <c r="V631" s="67">
        <f>VLOOKUP(B631,'114+320'!$B$15:$AB$785,15,FALSE)</f>
        <v>-925</v>
      </c>
      <c r="W631" s="66">
        <f>'114+320'!S632</f>
        <v>1</v>
      </c>
      <c r="X631" s="65">
        <f t="shared" si="126"/>
        <v>805</v>
      </c>
      <c r="Y631" s="64">
        <f t="shared" si="127"/>
        <v>-1</v>
      </c>
      <c r="Z631" s="63">
        <f t="shared" si="128"/>
        <v>0</v>
      </c>
      <c r="AA631" s="62">
        <f t="shared" si="129"/>
        <v>4.0990000000000002</v>
      </c>
      <c r="AB631" s="62">
        <f t="shared" si="130"/>
        <v>2.4220000000000002</v>
      </c>
    </row>
    <row r="632" spans="2:28">
      <c r="B632" s="106">
        <f>'114+320'!B633</f>
        <v>45662</v>
      </c>
      <c r="C632" s="75">
        <f t="shared" si="122"/>
        <v>1</v>
      </c>
      <c r="D632" s="74">
        <f t="shared" si="123"/>
        <v>842</v>
      </c>
      <c r="E632" s="73">
        <f>VLOOKUP(B632,'114+320'!B633:AB1019,3,FALSE)</f>
        <v>2464</v>
      </c>
      <c r="F632" s="69">
        <f t="shared" si="118"/>
        <v>3306</v>
      </c>
      <c r="G632" s="72">
        <f>VLOOKUP(B632,'114+320'!$B$15:$AB$785,20,FALSE)</f>
        <v>3265</v>
      </c>
      <c r="H632" s="72">
        <f>VLOOKUP(B632,'114+320'!$B$15:$AB$785,4,FALSE)</f>
        <v>1311</v>
      </c>
      <c r="I632" s="68">
        <f t="shared" si="119"/>
        <v>1995</v>
      </c>
      <c r="J632" s="71">
        <f>VLOOKUP(B632,'114+320'!$B$15:$AB$785,13,FALSE)</f>
        <v>-1005</v>
      </c>
      <c r="K632" s="66">
        <f>'114+320'!Q633</f>
        <v>1</v>
      </c>
      <c r="L632" s="65">
        <f t="shared" si="124"/>
        <v>825</v>
      </c>
      <c r="M632" s="70">
        <f>VLOOKUP(B632,'114+320'!$B$14:$AB$785,21,FALSE)</f>
        <v>3165</v>
      </c>
      <c r="N632" s="69">
        <f>VLOOKUP(B632,'114+320'!$B$15:$AB$785,5,FALSE)</f>
        <v>1411</v>
      </c>
      <c r="O632" s="68">
        <f t="shared" si="120"/>
        <v>1895</v>
      </c>
      <c r="P632" s="71">
        <f>VLOOKUP(B632,'114+320'!$B$15:$AB$785,14,FALSE)</f>
        <v>-1105</v>
      </c>
      <c r="Q632" s="66">
        <f>'114+320'!R633</f>
        <v>1</v>
      </c>
      <c r="R632" s="65">
        <f t="shared" si="125"/>
        <v>925</v>
      </c>
      <c r="S632" s="70">
        <f>VLOOKUP(B632,'114+320'!$B$14:$AB$785,22,FALSE)</f>
        <v>3284</v>
      </c>
      <c r="T632" s="69">
        <f>VLOOKUP(B632,'114+320'!$B$15:$AB$785,6,FALSE)</f>
        <v>1232</v>
      </c>
      <c r="U632" s="68">
        <f t="shared" si="121"/>
        <v>2074</v>
      </c>
      <c r="V632" s="67">
        <f>VLOOKUP(B632,'114+320'!$B$15:$AB$785,15,FALSE)</f>
        <v>-926</v>
      </c>
      <c r="W632" s="66">
        <f>'114+320'!S633</f>
        <v>1</v>
      </c>
      <c r="X632" s="65">
        <f t="shared" si="126"/>
        <v>806</v>
      </c>
      <c r="Y632" s="64">
        <f t="shared" si="127"/>
        <v>-1</v>
      </c>
      <c r="Z632" s="63">
        <f t="shared" si="128"/>
        <v>0</v>
      </c>
      <c r="AA632" s="62">
        <f t="shared" si="129"/>
        <v>4.0990000000000002</v>
      </c>
      <c r="AB632" s="62">
        <f t="shared" si="130"/>
        <v>2.42</v>
      </c>
    </row>
    <row r="633" spans="2:28">
      <c r="B633" s="106">
        <f>'114+320'!B634</f>
        <v>45663</v>
      </c>
      <c r="C633" s="75">
        <f t="shared" si="122"/>
        <v>1</v>
      </c>
      <c r="D633" s="74">
        <f t="shared" si="123"/>
        <v>842</v>
      </c>
      <c r="E633" s="73">
        <f>VLOOKUP(B633,'114+320'!B634:AB1020,3,FALSE)</f>
        <v>2466</v>
      </c>
      <c r="F633" s="69">
        <f t="shared" si="118"/>
        <v>3308</v>
      </c>
      <c r="G633" s="72">
        <f>VLOOKUP(B633,'114+320'!$B$15:$AB$785,20,FALSE)</f>
        <v>3264</v>
      </c>
      <c r="H633" s="72">
        <f>VLOOKUP(B633,'114+320'!$B$15:$AB$785,4,FALSE)</f>
        <v>1314</v>
      </c>
      <c r="I633" s="68">
        <f t="shared" si="119"/>
        <v>1994</v>
      </c>
      <c r="J633" s="71">
        <f>VLOOKUP(B633,'114+320'!$B$15:$AB$785,13,FALSE)</f>
        <v>-1006</v>
      </c>
      <c r="K633" s="66">
        <f>'114+320'!Q634</f>
        <v>1</v>
      </c>
      <c r="L633" s="65">
        <f t="shared" si="124"/>
        <v>826</v>
      </c>
      <c r="M633" s="70">
        <f>VLOOKUP(B633,'114+320'!$B$14:$AB$785,21,FALSE)</f>
        <v>3163</v>
      </c>
      <c r="N633" s="69">
        <f>VLOOKUP(B633,'114+320'!$B$15:$AB$785,5,FALSE)</f>
        <v>1415</v>
      </c>
      <c r="O633" s="68">
        <f t="shared" si="120"/>
        <v>1893</v>
      </c>
      <c r="P633" s="71">
        <f>VLOOKUP(B633,'114+320'!$B$15:$AB$785,14,FALSE)</f>
        <v>-1107</v>
      </c>
      <c r="Q633" s="66">
        <f>'114+320'!R634</f>
        <v>2</v>
      </c>
      <c r="R633" s="65">
        <f t="shared" si="125"/>
        <v>927</v>
      </c>
      <c r="S633" s="70">
        <f>VLOOKUP(B633,'114+320'!$B$14:$AB$785,22,FALSE)</f>
        <v>3281</v>
      </c>
      <c r="T633" s="69">
        <f>VLOOKUP(B633,'114+320'!$B$15:$AB$785,6,FALSE)</f>
        <v>1237</v>
      </c>
      <c r="U633" s="68">
        <f t="shared" si="121"/>
        <v>2071</v>
      </c>
      <c r="V633" s="67">
        <f>VLOOKUP(B633,'114+320'!$B$15:$AB$785,15,FALSE)</f>
        <v>-929</v>
      </c>
      <c r="W633" s="66">
        <f>'114+320'!S634</f>
        <v>3</v>
      </c>
      <c r="X633" s="65">
        <f t="shared" si="126"/>
        <v>809</v>
      </c>
      <c r="Y633" s="64">
        <f t="shared" si="127"/>
        <v>-3</v>
      </c>
      <c r="Z633" s="63">
        <f t="shared" si="128"/>
        <v>0</v>
      </c>
      <c r="AA633" s="62">
        <f t="shared" si="129"/>
        <v>4.0990000000000002</v>
      </c>
      <c r="AB633" s="62">
        <f t="shared" si="130"/>
        <v>2.4159999999999999</v>
      </c>
    </row>
    <row r="634" spans="2:28">
      <c r="B634" s="106">
        <f>'114+320'!B635</f>
        <v>45664</v>
      </c>
      <c r="C634" s="75">
        <f t="shared" si="122"/>
        <v>1</v>
      </c>
      <c r="D634" s="74">
        <f t="shared" si="123"/>
        <v>842</v>
      </c>
      <c r="E634" s="73">
        <f>VLOOKUP(B634,'114+320'!B635:AB1021,3,FALSE)</f>
        <v>2468</v>
      </c>
      <c r="F634" s="69">
        <f t="shared" si="118"/>
        <v>3310</v>
      </c>
      <c r="G634" s="72">
        <f>VLOOKUP(B634,'114+320'!$B$15:$AB$785,20,FALSE)</f>
        <v>3261</v>
      </c>
      <c r="H634" s="72">
        <f>VLOOKUP(B634,'114+320'!$B$15:$AB$785,4,FALSE)</f>
        <v>1319</v>
      </c>
      <c r="I634" s="68">
        <f t="shared" si="119"/>
        <v>1991</v>
      </c>
      <c r="J634" s="71">
        <f>VLOOKUP(B634,'114+320'!$B$15:$AB$785,13,FALSE)</f>
        <v>-1009</v>
      </c>
      <c r="K634" s="66">
        <f>'114+320'!Q635</f>
        <v>3</v>
      </c>
      <c r="L634" s="65">
        <f t="shared" si="124"/>
        <v>829</v>
      </c>
      <c r="M634" s="70">
        <f>VLOOKUP(B634,'114+320'!$B$14:$AB$785,21,FALSE)</f>
        <v>3161</v>
      </c>
      <c r="N634" s="69">
        <f>VLOOKUP(B634,'114+320'!$B$15:$AB$785,5,FALSE)</f>
        <v>1419</v>
      </c>
      <c r="O634" s="68">
        <f t="shared" si="120"/>
        <v>1891</v>
      </c>
      <c r="P634" s="71">
        <f>VLOOKUP(B634,'114+320'!$B$15:$AB$785,14,FALSE)</f>
        <v>-1109</v>
      </c>
      <c r="Q634" s="66">
        <f>'114+320'!R635</f>
        <v>2</v>
      </c>
      <c r="R634" s="65">
        <f t="shared" si="125"/>
        <v>929</v>
      </c>
      <c r="S634" s="70">
        <f>VLOOKUP(B634,'114+320'!$B$14:$AB$785,22,FALSE)</f>
        <v>3280</v>
      </c>
      <c r="T634" s="69">
        <f>VLOOKUP(B634,'114+320'!$B$15:$AB$785,6,FALSE)</f>
        <v>1240</v>
      </c>
      <c r="U634" s="68">
        <f t="shared" si="121"/>
        <v>2070</v>
      </c>
      <c r="V634" s="67">
        <f>VLOOKUP(B634,'114+320'!$B$15:$AB$785,15,FALSE)</f>
        <v>-930</v>
      </c>
      <c r="W634" s="66">
        <f>'114+320'!S635</f>
        <v>1</v>
      </c>
      <c r="X634" s="65">
        <f t="shared" si="126"/>
        <v>810</v>
      </c>
      <c r="Y634" s="64">
        <f t="shared" si="127"/>
        <v>-1</v>
      </c>
      <c r="Z634" s="63">
        <f t="shared" si="128"/>
        <v>0</v>
      </c>
      <c r="AA634" s="62">
        <f t="shared" si="129"/>
        <v>4.0990000000000002</v>
      </c>
      <c r="AB634" s="62">
        <f t="shared" si="130"/>
        <v>2.4119999999999999</v>
      </c>
    </row>
    <row r="635" spans="2:28">
      <c r="B635" s="106">
        <f>'114+320'!B636</f>
        <v>45665</v>
      </c>
      <c r="C635" s="75">
        <f t="shared" si="122"/>
        <v>1</v>
      </c>
      <c r="D635" s="74">
        <f t="shared" si="123"/>
        <v>842</v>
      </c>
      <c r="E635" s="73">
        <f>VLOOKUP(B635,'114+320'!B636:AB1022,3,FALSE)</f>
        <v>2470</v>
      </c>
      <c r="F635" s="69">
        <f t="shared" si="118"/>
        <v>3312</v>
      </c>
      <c r="G635" s="72">
        <f>VLOOKUP(B635,'114+320'!$B$15:$AB$785,20,FALSE)</f>
        <v>3260</v>
      </c>
      <c r="H635" s="72">
        <f>VLOOKUP(B635,'114+320'!$B$15:$AB$785,4,FALSE)</f>
        <v>1322</v>
      </c>
      <c r="I635" s="68">
        <f t="shared" si="119"/>
        <v>1990</v>
      </c>
      <c r="J635" s="71">
        <f>VLOOKUP(B635,'114+320'!$B$15:$AB$785,13,FALSE)</f>
        <v>-1010</v>
      </c>
      <c r="K635" s="66">
        <f>'114+320'!Q636</f>
        <v>1</v>
      </c>
      <c r="L635" s="65">
        <f t="shared" si="124"/>
        <v>830</v>
      </c>
      <c r="M635" s="70">
        <f>VLOOKUP(B635,'114+320'!$B$14:$AB$785,21,FALSE)</f>
        <v>3158</v>
      </c>
      <c r="N635" s="69">
        <f>VLOOKUP(B635,'114+320'!$B$15:$AB$785,5,FALSE)</f>
        <v>1424</v>
      </c>
      <c r="O635" s="68">
        <f t="shared" si="120"/>
        <v>1888</v>
      </c>
      <c r="P635" s="71">
        <f>VLOOKUP(B635,'114+320'!$B$15:$AB$785,14,FALSE)</f>
        <v>-1112</v>
      </c>
      <c r="Q635" s="66">
        <f>'114+320'!R636</f>
        <v>3</v>
      </c>
      <c r="R635" s="65">
        <f t="shared" si="125"/>
        <v>932</v>
      </c>
      <c r="S635" s="70">
        <f>VLOOKUP(B635,'114+320'!$B$14:$AB$785,22,FALSE)</f>
        <v>3278</v>
      </c>
      <c r="T635" s="69">
        <f>VLOOKUP(B635,'114+320'!$B$15:$AB$785,6,FALSE)</f>
        <v>1244</v>
      </c>
      <c r="U635" s="68">
        <f t="shared" si="121"/>
        <v>2068</v>
      </c>
      <c r="V635" s="67">
        <f>VLOOKUP(B635,'114+320'!$B$15:$AB$785,15,FALSE)</f>
        <v>-932</v>
      </c>
      <c r="W635" s="66">
        <f>'114+320'!S636</f>
        <v>2</v>
      </c>
      <c r="X635" s="65">
        <f t="shared" si="126"/>
        <v>812</v>
      </c>
      <c r="Y635" s="64">
        <f t="shared" si="127"/>
        <v>-2</v>
      </c>
      <c r="Z635" s="63">
        <f t="shared" si="128"/>
        <v>0</v>
      </c>
      <c r="AA635" s="62">
        <f t="shared" si="129"/>
        <v>4.0990000000000002</v>
      </c>
      <c r="AB635" s="62">
        <f t="shared" si="130"/>
        <v>2.4060000000000001</v>
      </c>
    </row>
    <row r="636" spans="2:28">
      <c r="B636" s="106">
        <f>'114+320'!B637</f>
        <v>45666</v>
      </c>
      <c r="C636" s="75">
        <f t="shared" si="122"/>
        <v>1</v>
      </c>
      <c r="D636" s="74">
        <f t="shared" si="123"/>
        <v>842</v>
      </c>
      <c r="E636" s="73">
        <f>VLOOKUP(B636,'114+320'!B637:AB1023,3,FALSE)</f>
        <v>2472</v>
      </c>
      <c r="F636" s="69">
        <f t="shared" si="118"/>
        <v>3314</v>
      </c>
      <c r="G636" s="72">
        <f>VLOOKUP(B636,'114+320'!$B$15:$AB$785,20,FALSE)</f>
        <v>3258</v>
      </c>
      <c r="H636" s="72">
        <f>VLOOKUP(B636,'114+320'!$B$15:$AB$785,4,FALSE)</f>
        <v>1326</v>
      </c>
      <c r="I636" s="68">
        <f t="shared" si="119"/>
        <v>1988</v>
      </c>
      <c r="J636" s="71">
        <f>VLOOKUP(B636,'114+320'!$B$15:$AB$785,13,FALSE)</f>
        <v>-1012</v>
      </c>
      <c r="K636" s="66">
        <f>'114+320'!Q637</f>
        <v>2</v>
      </c>
      <c r="L636" s="65">
        <f t="shared" si="124"/>
        <v>832</v>
      </c>
      <c r="M636" s="70">
        <f>VLOOKUP(B636,'114+320'!$B$14:$AB$785,21,FALSE)</f>
        <v>3157</v>
      </c>
      <c r="N636" s="69">
        <f>VLOOKUP(B636,'114+320'!$B$15:$AB$785,5,FALSE)</f>
        <v>1427</v>
      </c>
      <c r="O636" s="68">
        <f t="shared" si="120"/>
        <v>1887</v>
      </c>
      <c r="P636" s="71">
        <f>VLOOKUP(B636,'114+320'!$B$15:$AB$785,14,FALSE)</f>
        <v>-1113</v>
      </c>
      <c r="Q636" s="66">
        <f>'114+320'!R637</f>
        <v>1</v>
      </c>
      <c r="R636" s="65">
        <f t="shared" si="125"/>
        <v>933</v>
      </c>
      <c r="S636" s="70">
        <f>VLOOKUP(B636,'114+320'!$B$14:$AB$785,22,FALSE)</f>
        <v>3277</v>
      </c>
      <c r="T636" s="69">
        <f>VLOOKUP(B636,'114+320'!$B$15:$AB$785,6,FALSE)</f>
        <v>1247</v>
      </c>
      <c r="U636" s="68">
        <f t="shared" si="121"/>
        <v>2067</v>
      </c>
      <c r="V636" s="67">
        <f>VLOOKUP(B636,'114+320'!$B$15:$AB$785,15,FALSE)</f>
        <v>-933</v>
      </c>
      <c r="W636" s="66">
        <f>'114+320'!S637</f>
        <v>1</v>
      </c>
      <c r="X636" s="65">
        <f t="shared" si="126"/>
        <v>813</v>
      </c>
      <c r="Y636" s="64">
        <f t="shared" si="127"/>
        <v>-1</v>
      </c>
      <c r="Z636" s="63">
        <f t="shared" si="128"/>
        <v>0</v>
      </c>
      <c r="AA636" s="62">
        <f t="shared" si="129"/>
        <v>4.0990000000000002</v>
      </c>
      <c r="AB636" s="62">
        <f t="shared" si="130"/>
        <v>2.4039999999999999</v>
      </c>
    </row>
    <row r="637" spans="2:28">
      <c r="B637" s="106">
        <f>'114+320'!B638</f>
        <v>45667</v>
      </c>
      <c r="C637" s="75">
        <f t="shared" si="122"/>
        <v>1</v>
      </c>
      <c r="D637" s="74">
        <f t="shared" si="123"/>
        <v>842</v>
      </c>
      <c r="E637" s="73">
        <f>VLOOKUP(B637,'114+320'!B638:AB1024,3,FALSE)</f>
        <v>2474</v>
      </c>
      <c r="F637" s="69">
        <f t="shared" si="118"/>
        <v>3316</v>
      </c>
      <c r="G637" s="72">
        <f>VLOOKUP(B637,'114+320'!$B$15:$AB$785,20,FALSE)</f>
        <v>3257</v>
      </c>
      <c r="H637" s="72">
        <f>VLOOKUP(B637,'114+320'!$B$15:$AB$785,4,FALSE)</f>
        <v>1329</v>
      </c>
      <c r="I637" s="68">
        <f t="shared" si="119"/>
        <v>1987</v>
      </c>
      <c r="J637" s="71">
        <f>VLOOKUP(B637,'114+320'!$B$15:$AB$785,13,FALSE)</f>
        <v>-1013</v>
      </c>
      <c r="K637" s="66">
        <f>'114+320'!Q638</f>
        <v>1</v>
      </c>
      <c r="L637" s="65">
        <f t="shared" si="124"/>
        <v>833</v>
      </c>
      <c r="M637" s="70">
        <f>VLOOKUP(B637,'114+320'!$B$14:$AB$785,21,FALSE)</f>
        <v>3155</v>
      </c>
      <c r="N637" s="69">
        <f>VLOOKUP(B637,'114+320'!$B$15:$AB$785,5,FALSE)</f>
        <v>1431</v>
      </c>
      <c r="O637" s="68">
        <f t="shared" si="120"/>
        <v>1885</v>
      </c>
      <c r="P637" s="71">
        <f>VLOOKUP(B637,'114+320'!$B$15:$AB$785,14,FALSE)</f>
        <v>-1115</v>
      </c>
      <c r="Q637" s="66">
        <f>'114+320'!R638</f>
        <v>2</v>
      </c>
      <c r="R637" s="65">
        <f t="shared" si="125"/>
        <v>935</v>
      </c>
      <c r="S637" s="70">
        <f>VLOOKUP(B637,'114+320'!$B$14:$AB$785,22,FALSE)</f>
        <v>3275</v>
      </c>
      <c r="T637" s="69">
        <f>VLOOKUP(B637,'114+320'!$B$15:$AB$785,6,FALSE)</f>
        <v>1251</v>
      </c>
      <c r="U637" s="68">
        <f t="shared" si="121"/>
        <v>2065</v>
      </c>
      <c r="V637" s="67">
        <f>VLOOKUP(B637,'114+320'!$B$15:$AB$785,15,FALSE)</f>
        <v>-935</v>
      </c>
      <c r="W637" s="66">
        <f>'114+320'!S638</f>
        <v>2</v>
      </c>
      <c r="X637" s="65">
        <f t="shared" si="126"/>
        <v>815</v>
      </c>
      <c r="Y637" s="64">
        <f t="shared" si="127"/>
        <v>-2</v>
      </c>
      <c r="Z637" s="63">
        <f t="shared" si="128"/>
        <v>0</v>
      </c>
      <c r="AA637" s="62">
        <f t="shared" si="129"/>
        <v>4.0990000000000002</v>
      </c>
      <c r="AB637" s="62">
        <f t="shared" si="130"/>
        <v>2.4</v>
      </c>
    </row>
    <row r="638" spans="2:28">
      <c r="B638" s="106">
        <f>'114+320'!B639</f>
        <v>45668</v>
      </c>
      <c r="C638" s="75">
        <f t="shared" si="122"/>
        <v>1</v>
      </c>
      <c r="D638" s="74">
        <f t="shared" si="123"/>
        <v>842</v>
      </c>
      <c r="E638" s="73">
        <f>VLOOKUP(B638,'114+320'!B639:AB1025,3,FALSE)</f>
        <v>2476</v>
      </c>
      <c r="F638" s="69">
        <f t="shared" si="118"/>
        <v>3318</v>
      </c>
      <c r="G638" s="72">
        <f>VLOOKUP(B638,'114+320'!$B$15:$AB$785,20,FALSE)</f>
        <v>3255</v>
      </c>
      <c r="H638" s="72">
        <f>VLOOKUP(B638,'114+320'!$B$15:$AB$785,4,FALSE)</f>
        <v>1333</v>
      </c>
      <c r="I638" s="68">
        <f t="shared" si="119"/>
        <v>1985</v>
      </c>
      <c r="J638" s="71">
        <f>VLOOKUP(B638,'114+320'!$B$15:$AB$785,13,FALSE)</f>
        <v>-1015</v>
      </c>
      <c r="K638" s="66">
        <f>'114+320'!Q639</f>
        <v>2</v>
      </c>
      <c r="L638" s="65">
        <f t="shared" si="124"/>
        <v>835</v>
      </c>
      <c r="M638" s="70">
        <f>VLOOKUP(B638,'114+320'!$B$14:$AB$785,21,FALSE)</f>
        <v>3153</v>
      </c>
      <c r="N638" s="69">
        <f>VLOOKUP(B638,'114+320'!$B$15:$AB$785,5,FALSE)</f>
        <v>1435</v>
      </c>
      <c r="O638" s="68">
        <f t="shared" si="120"/>
        <v>1883</v>
      </c>
      <c r="P638" s="71">
        <f>VLOOKUP(B638,'114+320'!$B$15:$AB$785,14,FALSE)</f>
        <v>-1117</v>
      </c>
      <c r="Q638" s="66">
        <f>'114+320'!R639</f>
        <v>2</v>
      </c>
      <c r="R638" s="65">
        <f t="shared" si="125"/>
        <v>937</v>
      </c>
      <c r="S638" s="70">
        <f>VLOOKUP(B638,'114+320'!$B$14:$AB$785,22,FALSE)</f>
        <v>3273</v>
      </c>
      <c r="T638" s="69">
        <f>VLOOKUP(B638,'114+320'!$B$15:$AB$785,6,FALSE)</f>
        <v>1255</v>
      </c>
      <c r="U638" s="68">
        <f t="shared" si="121"/>
        <v>2063</v>
      </c>
      <c r="V638" s="67">
        <f>VLOOKUP(B638,'114+320'!$B$15:$AB$785,15,FALSE)</f>
        <v>-937</v>
      </c>
      <c r="W638" s="66">
        <f>'114+320'!S639</f>
        <v>2</v>
      </c>
      <c r="X638" s="65">
        <f t="shared" si="126"/>
        <v>817</v>
      </c>
      <c r="Y638" s="64">
        <f t="shared" si="127"/>
        <v>-2</v>
      </c>
      <c r="Z638" s="63">
        <f t="shared" si="128"/>
        <v>0</v>
      </c>
      <c r="AA638" s="62">
        <f t="shared" si="129"/>
        <v>4.0990000000000002</v>
      </c>
      <c r="AB638" s="62">
        <f t="shared" si="130"/>
        <v>2.3959999999999999</v>
      </c>
    </row>
    <row r="639" spans="2:28">
      <c r="B639" s="106">
        <f>'114+320'!B640</f>
        <v>45669</v>
      </c>
      <c r="C639" s="75">
        <f t="shared" si="122"/>
        <v>1</v>
      </c>
      <c r="D639" s="74">
        <f t="shared" si="123"/>
        <v>842</v>
      </c>
      <c r="E639" s="73">
        <f>VLOOKUP(B639,'114+320'!B640:AB1026,3,FALSE)</f>
        <v>2478</v>
      </c>
      <c r="F639" s="69">
        <f t="shared" si="118"/>
        <v>3320</v>
      </c>
      <c r="G639" s="72">
        <f>VLOOKUP(B639,'114+320'!$B$15:$AB$785,20,FALSE)</f>
        <v>3253</v>
      </c>
      <c r="H639" s="72">
        <f>VLOOKUP(B639,'114+320'!$B$15:$AB$785,4,FALSE)</f>
        <v>1337</v>
      </c>
      <c r="I639" s="68">
        <f t="shared" si="119"/>
        <v>1983</v>
      </c>
      <c r="J639" s="71">
        <f>VLOOKUP(B639,'114+320'!$B$15:$AB$785,13,FALSE)</f>
        <v>-1017</v>
      </c>
      <c r="K639" s="66">
        <f>'114+320'!Q640</f>
        <v>2</v>
      </c>
      <c r="L639" s="65">
        <f t="shared" si="124"/>
        <v>837</v>
      </c>
      <c r="M639" s="70">
        <f>VLOOKUP(B639,'114+320'!$B$14:$AB$785,21,FALSE)</f>
        <v>3152</v>
      </c>
      <c r="N639" s="69">
        <f>VLOOKUP(B639,'114+320'!$B$15:$AB$785,5,FALSE)</f>
        <v>1438</v>
      </c>
      <c r="O639" s="68">
        <f t="shared" si="120"/>
        <v>1882</v>
      </c>
      <c r="P639" s="71">
        <f>VLOOKUP(B639,'114+320'!$B$15:$AB$785,14,FALSE)</f>
        <v>-1118</v>
      </c>
      <c r="Q639" s="66">
        <f>'114+320'!R640</f>
        <v>1</v>
      </c>
      <c r="R639" s="65">
        <f t="shared" si="125"/>
        <v>938</v>
      </c>
      <c r="S639" s="70">
        <f>VLOOKUP(B639,'114+320'!$B$14:$AB$785,22,FALSE)</f>
        <v>3270</v>
      </c>
      <c r="T639" s="69">
        <f>VLOOKUP(B639,'114+320'!$B$15:$AB$785,6,FALSE)</f>
        <v>1260</v>
      </c>
      <c r="U639" s="68">
        <f t="shared" si="121"/>
        <v>2060</v>
      </c>
      <c r="V639" s="67">
        <f>VLOOKUP(B639,'114+320'!$B$15:$AB$785,15,FALSE)</f>
        <v>-940</v>
      </c>
      <c r="W639" s="66">
        <f>'114+320'!S640</f>
        <v>3</v>
      </c>
      <c r="X639" s="65">
        <f t="shared" si="126"/>
        <v>820</v>
      </c>
      <c r="Y639" s="64">
        <f t="shared" si="127"/>
        <v>-3</v>
      </c>
      <c r="Z639" s="63">
        <f t="shared" si="128"/>
        <v>0</v>
      </c>
      <c r="AA639" s="62">
        <f t="shared" si="129"/>
        <v>4.0990000000000002</v>
      </c>
      <c r="AB639" s="62">
        <f t="shared" si="130"/>
        <v>2.3940000000000001</v>
      </c>
    </row>
    <row r="640" spans="2:28">
      <c r="B640" s="106">
        <f>'114+320'!B641</f>
        <v>45670</v>
      </c>
      <c r="C640" s="75">
        <f t="shared" si="122"/>
        <v>1</v>
      </c>
      <c r="D640" s="74">
        <f t="shared" si="123"/>
        <v>842</v>
      </c>
      <c r="E640" s="73">
        <f>VLOOKUP(B640,'114+320'!B641:AB1027,3,FALSE)</f>
        <v>2480</v>
      </c>
      <c r="F640" s="69">
        <f t="shared" si="118"/>
        <v>3322</v>
      </c>
      <c r="G640" s="72">
        <f>VLOOKUP(B640,'114+320'!$B$15:$AB$785,20,FALSE)</f>
        <v>3250</v>
      </c>
      <c r="H640" s="72">
        <f>VLOOKUP(B640,'114+320'!$B$15:$AB$785,4,FALSE)</f>
        <v>1342</v>
      </c>
      <c r="I640" s="68">
        <f t="shared" si="119"/>
        <v>1980</v>
      </c>
      <c r="J640" s="71">
        <f>VLOOKUP(B640,'114+320'!$B$15:$AB$785,13,FALSE)</f>
        <v>-1020</v>
      </c>
      <c r="K640" s="66">
        <f>'114+320'!Q641</f>
        <v>3</v>
      </c>
      <c r="L640" s="65">
        <f t="shared" si="124"/>
        <v>840</v>
      </c>
      <c r="M640" s="70">
        <f>VLOOKUP(B640,'114+320'!$B$14:$AB$785,21,FALSE)</f>
        <v>3150</v>
      </c>
      <c r="N640" s="69">
        <f>VLOOKUP(B640,'114+320'!$B$15:$AB$785,5,FALSE)</f>
        <v>1442</v>
      </c>
      <c r="O640" s="68">
        <f t="shared" si="120"/>
        <v>1880</v>
      </c>
      <c r="P640" s="71">
        <f>VLOOKUP(B640,'114+320'!$B$15:$AB$785,14,FALSE)</f>
        <v>-1120</v>
      </c>
      <c r="Q640" s="66">
        <f>'114+320'!R641</f>
        <v>2</v>
      </c>
      <c r="R640" s="65">
        <f t="shared" si="125"/>
        <v>940</v>
      </c>
      <c r="S640" s="70">
        <f>VLOOKUP(B640,'114+320'!$B$14:$AB$785,22,FALSE)</f>
        <v>3269</v>
      </c>
      <c r="T640" s="69">
        <f>VLOOKUP(B640,'114+320'!$B$15:$AB$785,6,FALSE)</f>
        <v>1263</v>
      </c>
      <c r="U640" s="68">
        <f t="shared" si="121"/>
        <v>2059</v>
      </c>
      <c r="V640" s="67">
        <f>VLOOKUP(B640,'114+320'!$B$15:$AB$785,15,FALSE)</f>
        <v>-941</v>
      </c>
      <c r="W640" s="66">
        <f>'114+320'!S641</f>
        <v>1</v>
      </c>
      <c r="X640" s="65">
        <f t="shared" si="126"/>
        <v>821</v>
      </c>
      <c r="Y640" s="64">
        <f t="shared" si="127"/>
        <v>-1</v>
      </c>
      <c r="Z640" s="63">
        <f t="shared" si="128"/>
        <v>0</v>
      </c>
      <c r="AA640" s="62">
        <f t="shared" si="129"/>
        <v>4.0990000000000002</v>
      </c>
      <c r="AB640" s="62">
        <f t="shared" si="130"/>
        <v>2.39</v>
      </c>
    </row>
    <row r="641" spans="2:28">
      <c r="B641" s="106">
        <f>'114+320'!B642</f>
        <v>45671</v>
      </c>
      <c r="C641" s="75">
        <f t="shared" si="122"/>
        <v>1</v>
      </c>
      <c r="D641" s="74">
        <f t="shared" si="123"/>
        <v>842</v>
      </c>
      <c r="E641" s="73">
        <f>VLOOKUP(B641,'114+320'!B642:AB1028,3,FALSE)</f>
        <v>2482</v>
      </c>
      <c r="F641" s="69">
        <f t="shared" si="118"/>
        <v>3324</v>
      </c>
      <c r="G641" s="72">
        <f>VLOOKUP(B641,'114+320'!$B$15:$AB$785,20,FALSE)</f>
        <v>3249</v>
      </c>
      <c r="H641" s="72">
        <f>VLOOKUP(B641,'114+320'!$B$15:$AB$785,4,FALSE)</f>
        <v>1345</v>
      </c>
      <c r="I641" s="68">
        <f t="shared" si="119"/>
        <v>1979</v>
      </c>
      <c r="J641" s="71">
        <f>VLOOKUP(B641,'114+320'!$B$15:$AB$785,13,FALSE)</f>
        <v>-1021</v>
      </c>
      <c r="K641" s="66">
        <f>'114+320'!Q642</f>
        <v>1</v>
      </c>
      <c r="L641" s="65">
        <f t="shared" si="124"/>
        <v>841</v>
      </c>
      <c r="M641" s="70">
        <f>VLOOKUP(B641,'114+320'!$B$14:$AB$785,21,FALSE)</f>
        <v>3146</v>
      </c>
      <c r="N641" s="69">
        <f>VLOOKUP(B641,'114+320'!$B$15:$AB$785,5,FALSE)</f>
        <v>1448</v>
      </c>
      <c r="O641" s="68">
        <f t="shared" si="120"/>
        <v>1876</v>
      </c>
      <c r="P641" s="71">
        <f>VLOOKUP(B641,'114+320'!$B$15:$AB$785,14,FALSE)</f>
        <v>-1124</v>
      </c>
      <c r="Q641" s="66">
        <f>'114+320'!R642</f>
        <v>4</v>
      </c>
      <c r="R641" s="65">
        <f t="shared" si="125"/>
        <v>944</v>
      </c>
      <c r="S641" s="70">
        <f>VLOOKUP(B641,'114+320'!$B$14:$AB$785,22,FALSE)</f>
        <v>3267</v>
      </c>
      <c r="T641" s="69">
        <f>VLOOKUP(B641,'114+320'!$B$15:$AB$785,6,FALSE)</f>
        <v>1267</v>
      </c>
      <c r="U641" s="68">
        <f t="shared" si="121"/>
        <v>2057</v>
      </c>
      <c r="V641" s="67">
        <f>VLOOKUP(B641,'114+320'!$B$15:$AB$785,15,FALSE)</f>
        <v>-943</v>
      </c>
      <c r="W641" s="66">
        <f>'114+320'!S642</f>
        <v>2</v>
      </c>
      <c r="X641" s="65">
        <f t="shared" si="126"/>
        <v>823</v>
      </c>
      <c r="Y641" s="64">
        <f t="shared" si="127"/>
        <v>-2</v>
      </c>
      <c r="Z641" s="63">
        <f t="shared" si="128"/>
        <v>0</v>
      </c>
      <c r="AA641" s="62">
        <f t="shared" si="129"/>
        <v>4.0990000000000002</v>
      </c>
      <c r="AB641" s="62">
        <f t="shared" si="130"/>
        <v>2.3820000000000001</v>
      </c>
    </row>
    <row r="642" spans="2:28">
      <c r="B642" s="106">
        <f>'114+320'!B643</f>
        <v>45672</v>
      </c>
      <c r="C642" s="75">
        <f t="shared" si="122"/>
        <v>1</v>
      </c>
      <c r="D642" s="74">
        <f t="shared" si="123"/>
        <v>842</v>
      </c>
      <c r="E642" s="73">
        <f>VLOOKUP(B642,'114+320'!B643:AB1029,3,FALSE)</f>
        <v>2484</v>
      </c>
      <c r="F642" s="69">
        <f t="shared" si="118"/>
        <v>3326</v>
      </c>
      <c r="G642" s="72">
        <f>VLOOKUP(B642,'114+320'!$B$15:$AB$785,20,FALSE)</f>
        <v>3247</v>
      </c>
      <c r="H642" s="72">
        <f>VLOOKUP(B642,'114+320'!$B$15:$AB$785,4,FALSE)</f>
        <v>1349</v>
      </c>
      <c r="I642" s="68">
        <f t="shared" si="119"/>
        <v>1977</v>
      </c>
      <c r="J642" s="71">
        <f>VLOOKUP(B642,'114+320'!$B$15:$AB$785,13,FALSE)</f>
        <v>-1023</v>
      </c>
      <c r="K642" s="66">
        <f>'114+320'!Q643</f>
        <v>2</v>
      </c>
      <c r="L642" s="65">
        <f t="shared" si="124"/>
        <v>843</v>
      </c>
      <c r="M642" s="70">
        <f>VLOOKUP(B642,'114+320'!$B$14:$AB$785,21,FALSE)</f>
        <v>3144</v>
      </c>
      <c r="N642" s="69">
        <f>VLOOKUP(B642,'114+320'!$B$15:$AB$785,5,FALSE)</f>
        <v>1452</v>
      </c>
      <c r="O642" s="68">
        <f t="shared" si="120"/>
        <v>1874</v>
      </c>
      <c r="P642" s="71">
        <f>VLOOKUP(B642,'114+320'!$B$15:$AB$785,14,FALSE)</f>
        <v>-1126</v>
      </c>
      <c r="Q642" s="66">
        <f>'114+320'!R643</f>
        <v>2</v>
      </c>
      <c r="R642" s="65">
        <f t="shared" si="125"/>
        <v>946</v>
      </c>
      <c r="S642" s="70">
        <f>VLOOKUP(B642,'114+320'!$B$14:$AB$785,22,FALSE)</f>
        <v>3265</v>
      </c>
      <c r="T642" s="69">
        <f>VLOOKUP(B642,'114+320'!$B$15:$AB$785,6,FALSE)</f>
        <v>1271</v>
      </c>
      <c r="U642" s="68">
        <f t="shared" si="121"/>
        <v>2055</v>
      </c>
      <c r="V642" s="67">
        <f>VLOOKUP(B642,'114+320'!$B$15:$AB$785,15,FALSE)</f>
        <v>-945</v>
      </c>
      <c r="W642" s="66">
        <f>'114+320'!S643</f>
        <v>2</v>
      </c>
      <c r="X642" s="65">
        <f t="shared" si="126"/>
        <v>825</v>
      </c>
      <c r="Y642" s="64">
        <f t="shared" si="127"/>
        <v>-2</v>
      </c>
      <c r="Z642" s="63">
        <f t="shared" si="128"/>
        <v>0</v>
      </c>
      <c r="AA642" s="62">
        <f t="shared" si="129"/>
        <v>4.0990000000000002</v>
      </c>
      <c r="AB642" s="62">
        <f t="shared" si="130"/>
        <v>2.3780000000000001</v>
      </c>
    </row>
    <row r="643" spans="2:28">
      <c r="B643" s="106">
        <f>'114+320'!B644</f>
        <v>45673</v>
      </c>
      <c r="C643" s="75">
        <f t="shared" si="122"/>
        <v>1</v>
      </c>
      <c r="D643" s="74">
        <f t="shared" si="123"/>
        <v>842</v>
      </c>
      <c r="E643" s="73">
        <f>VLOOKUP(B643,'114+320'!B644:AB1030,3,FALSE)</f>
        <v>2486</v>
      </c>
      <c r="F643" s="69">
        <f t="shared" si="118"/>
        <v>3328</v>
      </c>
      <c r="G643" s="72">
        <f>VLOOKUP(B643,'114+320'!$B$15:$AB$785,20,FALSE)</f>
        <v>3245</v>
      </c>
      <c r="H643" s="72">
        <f>VLOOKUP(B643,'114+320'!$B$15:$AB$785,4,FALSE)</f>
        <v>1353</v>
      </c>
      <c r="I643" s="68">
        <f t="shared" si="119"/>
        <v>1975</v>
      </c>
      <c r="J643" s="71">
        <f>VLOOKUP(B643,'114+320'!$B$15:$AB$785,13,FALSE)</f>
        <v>-1025</v>
      </c>
      <c r="K643" s="66">
        <f>'114+320'!Q644</f>
        <v>2</v>
      </c>
      <c r="L643" s="65">
        <f t="shared" si="124"/>
        <v>845</v>
      </c>
      <c r="M643" s="70">
        <f>VLOOKUP(B643,'114+320'!$B$14:$AB$785,21,FALSE)</f>
        <v>3142</v>
      </c>
      <c r="N643" s="69">
        <f>VLOOKUP(B643,'114+320'!$B$15:$AB$785,5,FALSE)</f>
        <v>1456</v>
      </c>
      <c r="O643" s="68">
        <f t="shared" si="120"/>
        <v>1872</v>
      </c>
      <c r="P643" s="71">
        <f>VLOOKUP(B643,'114+320'!$B$15:$AB$785,14,FALSE)</f>
        <v>-1128</v>
      </c>
      <c r="Q643" s="66">
        <f>'114+320'!R644</f>
        <v>2</v>
      </c>
      <c r="R643" s="65">
        <f t="shared" si="125"/>
        <v>948</v>
      </c>
      <c r="S643" s="70">
        <f>VLOOKUP(B643,'114+320'!$B$14:$AB$785,22,FALSE)</f>
        <v>3264</v>
      </c>
      <c r="T643" s="69">
        <f>VLOOKUP(B643,'114+320'!$B$15:$AB$785,6,FALSE)</f>
        <v>1274</v>
      </c>
      <c r="U643" s="68">
        <f t="shared" si="121"/>
        <v>2054</v>
      </c>
      <c r="V643" s="67">
        <f>VLOOKUP(B643,'114+320'!$B$15:$AB$785,15,FALSE)</f>
        <v>-946</v>
      </c>
      <c r="W643" s="66">
        <f>'114+320'!S644</f>
        <v>1</v>
      </c>
      <c r="X643" s="65">
        <f t="shared" si="126"/>
        <v>826</v>
      </c>
      <c r="Y643" s="64">
        <f t="shared" si="127"/>
        <v>-1</v>
      </c>
      <c r="Z643" s="63">
        <f t="shared" si="128"/>
        <v>0</v>
      </c>
      <c r="AA643" s="62">
        <f t="shared" si="129"/>
        <v>4.0990000000000002</v>
      </c>
      <c r="AB643" s="62">
        <f t="shared" si="130"/>
        <v>2.3740000000000001</v>
      </c>
    </row>
    <row r="644" spans="2:28">
      <c r="B644" s="106">
        <f>'114+320'!B645</f>
        <v>45674</v>
      </c>
      <c r="C644" s="75">
        <f t="shared" si="122"/>
        <v>1</v>
      </c>
      <c r="D644" s="74">
        <f t="shared" si="123"/>
        <v>842</v>
      </c>
      <c r="E644" s="73">
        <f>VLOOKUP(B644,'114+320'!B645:AB1031,3,FALSE)</f>
        <v>2488</v>
      </c>
      <c r="F644" s="69">
        <f t="shared" si="118"/>
        <v>3330</v>
      </c>
      <c r="G644" s="72">
        <f>VLOOKUP(B644,'114+320'!$B$15:$AB$785,20,FALSE)</f>
        <v>3244</v>
      </c>
      <c r="H644" s="72">
        <f>VLOOKUP(B644,'114+320'!$B$15:$AB$785,4,FALSE)</f>
        <v>1356</v>
      </c>
      <c r="I644" s="68">
        <f t="shared" si="119"/>
        <v>1974</v>
      </c>
      <c r="J644" s="71">
        <f>VLOOKUP(B644,'114+320'!$B$15:$AB$785,13,FALSE)</f>
        <v>-1026</v>
      </c>
      <c r="K644" s="66">
        <f>'114+320'!Q645</f>
        <v>1</v>
      </c>
      <c r="L644" s="65">
        <f t="shared" si="124"/>
        <v>846</v>
      </c>
      <c r="M644" s="70">
        <f>VLOOKUP(B644,'114+320'!$B$14:$AB$785,21,FALSE)</f>
        <v>3141</v>
      </c>
      <c r="N644" s="69">
        <f>VLOOKUP(B644,'114+320'!$B$15:$AB$785,5,FALSE)</f>
        <v>1459</v>
      </c>
      <c r="O644" s="68">
        <f t="shared" si="120"/>
        <v>1871</v>
      </c>
      <c r="P644" s="71">
        <f>VLOOKUP(B644,'114+320'!$B$15:$AB$785,14,FALSE)</f>
        <v>-1129</v>
      </c>
      <c r="Q644" s="66">
        <f>'114+320'!R645</f>
        <v>1</v>
      </c>
      <c r="R644" s="65">
        <f t="shared" si="125"/>
        <v>949</v>
      </c>
      <c r="S644" s="70">
        <f>VLOOKUP(B644,'114+320'!$B$14:$AB$785,22,FALSE)</f>
        <v>3262</v>
      </c>
      <c r="T644" s="69">
        <f>VLOOKUP(B644,'114+320'!$B$15:$AB$785,6,FALSE)</f>
        <v>1278</v>
      </c>
      <c r="U644" s="68">
        <f t="shared" si="121"/>
        <v>2052</v>
      </c>
      <c r="V644" s="67">
        <f>VLOOKUP(B644,'114+320'!$B$15:$AB$785,15,FALSE)</f>
        <v>-948</v>
      </c>
      <c r="W644" s="66">
        <f>'114+320'!S645</f>
        <v>2</v>
      </c>
      <c r="X644" s="65">
        <f t="shared" si="126"/>
        <v>828</v>
      </c>
      <c r="Y644" s="64">
        <f t="shared" si="127"/>
        <v>-2</v>
      </c>
      <c r="Z644" s="63">
        <f t="shared" si="128"/>
        <v>0</v>
      </c>
      <c r="AA644" s="62">
        <f t="shared" si="129"/>
        <v>4.0990000000000002</v>
      </c>
      <c r="AB644" s="62">
        <f t="shared" si="130"/>
        <v>2.3719999999999999</v>
      </c>
    </row>
    <row r="645" spans="2:28">
      <c r="B645" s="106">
        <f>'114+320'!B646</f>
        <v>45675</v>
      </c>
      <c r="C645" s="75">
        <f t="shared" si="122"/>
        <v>1</v>
      </c>
      <c r="D645" s="74">
        <f t="shared" si="123"/>
        <v>842</v>
      </c>
      <c r="E645" s="73">
        <f>VLOOKUP(B645,'114+320'!B646:AB1032,3,FALSE)</f>
        <v>2490</v>
      </c>
      <c r="F645" s="69">
        <f t="shared" si="118"/>
        <v>3332</v>
      </c>
      <c r="G645" s="72">
        <f>VLOOKUP(B645,'114+320'!$B$15:$AB$785,20,FALSE)</f>
        <v>3242</v>
      </c>
      <c r="H645" s="72">
        <f>VLOOKUP(B645,'114+320'!$B$15:$AB$785,4,FALSE)</f>
        <v>1360</v>
      </c>
      <c r="I645" s="68">
        <f t="shared" si="119"/>
        <v>1972</v>
      </c>
      <c r="J645" s="71">
        <f>VLOOKUP(B645,'114+320'!$B$15:$AB$785,13,FALSE)</f>
        <v>-1028</v>
      </c>
      <c r="K645" s="66">
        <f>'114+320'!Q646</f>
        <v>2</v>
      </c>
      <c r="L645" s="65">
        <f t="shared" si="124"/>
        <v>848</v>
      </c>
      <c r="M645" s="70">
        <f>VLOOKUP(B645,'114+320'!$B$14:$AB$785,21,FALSE)</f>
        <v>3139</v>
      </c>
      <c r="N645" s="69">
        <f>VLOOKUP(B645,'114+320'!$B$15:$AB$785,5,FALSE)</f>
        <v>1463</v>
      </c>
      <c r="O645" s="68">
        <f t="shared" si="120"/>
        <v>1869</v>
      </c>
      <c r="P645" s="71">
        <f>VLOOKUP(B645,'114+320'!$B$15:$AB$785,14,FALSE)</f>
        <v>-1131</v>
      </c>
      <c r="Q645" s="66">
        <f>'114+320'!R646</f>
        <v>2</v>
      </c>
      <c r="R645" s="65">
        <f t="shared" si="125"/>
        <v>951</v>
      </c>
      <c r="S645" s="70">
        <f>VLOOKUP(B645,'114+320'!$B$14:$AB$785,22,FALSE)</f>
        <v>3258</v>
      </c>
      <c r="T645" s="69">
        <f>VLOOKUP(B645,'114+320'!$B$15:$AB$785,6,FALSE)</f>
        <v>1284</v>
      </c>
      <c r="U645" s="68">
        <f t="shared" si="121"/>
        <v>2048</v>
      </c>
      <c r="V645" s="67">
        <f>VLOOKUP(B645,'114+320'!$B$15:$AB$785,15,FALSE)</f>
        <v>-952</v>
      </c>
      <c r="W645" s="66">
        <f>'114+320'!S646</f>
        <v>4</v>
      </c>
      <c r="X645" s="65">
        <f t="shared" si="126"/>
        <v>832</v>
      </c>
      <c r="Y645" s="64">
        <f t="shared" si="127"/>
        <v>-4</v>
      </c>
      <c r="Z645" s="63">
        <f t="shared" si="128"/>
        <v>0</v>
      </c>
      <c r="AA645" s="62">
        <f t="shared" si="129"/>
        <v>4.0990000000000002</v>
      </c>
      <c r="AB645" s="62">
        <f t="shared" si="130"/>
        <v>2.3679999999999999</v>
      </c>
    </row>
    <row r="646" spans="2:28">
      <c r="B646" s="106">
        <f>'114+320'!B647</f>
        <v>45676</v>
      </c>
      <c r="C646" s="75">
        <f t="shared" si="122"/>
        <v>1</v>
      </c>
      <c r="D646" s="74">
        <f t="shared" si="123"/>
        <v>842</v>
      </c>
      <c r="E646" s="73">
        <f>VLOOKUP(B646,'114+320'!B647:AB1033,3,FALSE)</f>
        <v>2492</v>
      </c>
      <c r="F646" s="69">
        <f t="shared" si="118"/>
        <v>3334</v>
      </c>
      <c r="G646" s="72">
        <f>VLOOKUP(B646,'114+320'!$B$15:$AB$785,20,FALSE)</f>
        <v>3238</v>
      </c>
      <c r="H646" s="72">
        <f>VLOOKUP(B646,'114+320'!$B$15:$AB$785,4,FALSE)</f>
        <v>1366</v>
      </c>
      <c r="I646" s="68">
        <f t="shared" si="119"/>
        <v>1968</v>
      </c>
      <c r="J646" s="71">
        <f>VLOOKUP(B646,'114+320'!$B$15:$AB$785,13,FALSE)</f>
        <v>-1032</v>
      </c>
      <c r="K646" s="66">
        <f>'114+320'!Q647</f>
        <v>4</v>
      </c>
      <c r="L646" s="65">
        <f t="shared" si="124"/>
        <v>852</v>
      </c>
      <c r="M646" s="70">
        <f>VLOOKUP(B646,'114+320'!$B$14:$AB$785,21,FALSE)</f>
        <v>3136</v>
      </c>
      <c r="N646" s="69">
        <f>VLOOKUP(B646,'114+320'!$B$15:$AB$785,5,FALSE)</f>
        <v>1468</v>
      </c>
      <c r="O646" s="68">
        <f t="shared" si="120"/>
        <v>1866</v>
      </c>
      <c r="P646" s="71">
        <f>VLOOKUP(B646,'114+320'!$B$15:$AB$785,14,FALSE)</f>
        <v>-1134</v>
      </c>
      <c r="Q646" s="66">
        <f>'114+320'!R647</f>
        <v>3</v>
      </c>
      <c r="R646" s="65">
        <f t="shared" si="125"/>
        <v>954</v>
      </c>
      <c r="S646" s="70">
        <f>VLOOKUP(B646,'114+320'!$B$14:$AB$785,22,FALSE)</f>
        <v>3256</v>
      </c>
      <c r="T646" s="69">
        <f>VLOOKUP(B646,'114+320'!$B$15:$AB$785,6,FALSE)</f>
        <v>1288</v>
      </c>
      <c r="U646" s="68">
        <f t="shared" si="121"/>
        <v>2046</v>
      </c>
      <c r="V646" s="67">
        <f>VLOOKUP(B646,'114+320'!$B$15:$AB$785,15,FALSE)</f>
        <v>-954</v>
      </c>
      <c r="W646" s="66">
        <f>'114+320'!S647</f>
        <v>2</v>
      </c>
      <c r="X646" s="65">
        <f t="shared" si="126"/>
        <v>834</v>
      </c>
      <c r="Y646" s="64">
        <f t="shared" si="127"/>
        <v>-2</v>
      </c>
      <c r="Z646" s="63">
        <f t="shared" si="128"/>
        <v>0</v>
      </c>
      <c r="AA646" s="62">
        <f t="shared" si="129"/>
        <v>4.0990000000000002</v>
      </c>
      <c r="AB646" s="62">
        <f t="shared" si="130"/>
        <v>2.3620000000000001</v>
      </c>
    </row>
    <row r="647" spans="2:28">
      <c r="B647" s="106">
        <f>'114+320'!B648</f>
        <v>45677</v>
      </c>
      <c r="C647" s="75">
        <f t="shared" si="122"/>
        <v>1</v>
      </c>
      <c r="D647" s="74">
        <f t="shared" si="123"/>
        <v>842</v>
      </c>
      <c r="E647" s="73">
        <f>VLOOKUP(B647,'114+320'!B648:AB1034,3,FALSE)</f>
        <v>2494</v>
      </c>
      <c r="F647" s="69">
        <f t="shared" si="118"/>
        <v>3336</v>
      </c>
      <c r="G647" s="72">
        <f>VLOOKUP(B647,'114+320'!$B$15:$AB$785,20,FALSE)</f>
        <v>3236</v>
      </c>
      <c r="H647" s="72">
        <f>VLOOKUP(B647,'114+320'!$B$15:$AB$785,4,FALSE)</f>
        <v>1370</v>
      </c>
      <c r="I647" s="68">
        <f t="shared" si="119"/>
        <v>1966</v>
      </c>
      <c r="J647" s="71">
        <f>VLOOKUP(B647,'114+320'!$B$15:$AB$785,13,FALSE)</f>
        <v>-1034</v>
      </c>
      <c r="K647" s="66">
        <f>'114+320'!Q648</f>
        <v>2</v>
      </c>
      <c r="L647" s="65">
        <f t="shared" si="124"/>
        <v>854</v>
      </c>
      <c r="M647" s="70">
        <f>VLOOKUP(B647,'114+320'!$B$14:$AB$785,21,FALSE)</f>
        <v>3134</v>
      </c>
      <c r="N647" s="69">
        <f>VLOOKUP(B647,'114+320'!$B$15:$AB$785,5,FALSE)</f>
        <v>1472</v>
      </c>
      <c r="O647" s="68">
        <f t="shared" si="120"/>
        <v>1864</v>
      </c>
      <c r="P647" s="71">
        <f>VLOOKUP(B647,'114+320'!$B$15:$AB$785,14,FALSE)</f>
        <v>-1136</v>
      </c>
      <c r="Q647" s="66">
        <f>'114+320'!R648</f>
        <v>2</v>
      </c>
      <c r="R647" s="65">
        <f t="shared" si="125"/>
        <v>956</v>
      </c>
      <c r="S647" s="70">
        <f>VLOOKUP(B647,'114+320'!$B$14:$AB$785,22,FALSE)</f>
        <v>3254</v>
      </c>
      <c r="T647" s="69">
        <f>VLOOKUP(B647,'114+320'!$B$15:$AB$785,6,FALSE)</f>
        <v>1292</v>
      </c>
      <c r="U647" s="68">
        <f t="shared" si="121"/>
        <v>2044</v>
      </c>
      <c r="V647" s="67">
        <f>VLOOKUP(B647,'114+320'!$B$15:$AB$785,15,FALSE)</f>
        <v>-956</v>
      </c>
      <c r="W647" s="66">
        <f>'114+320'!S648</f>
        <v>2</v>
      </c>
      <c r="X647" s="65">
        <f t="shared" si="126"/>
        <v>836</v>
      </c>
      <c r="Y647" s="64">
        <f t="shared" si="127"/>
        <v>-2</v>
      </c>
      <c r="Z647" s="63">
        <f t="shared" si="128"/>
        <v>0</v>
      </c>
      <c r="AA647" s="62">
        <f t="shared" si="129"/>
        <v>4.0990000000000002</v>
      </c>
      <c r="AB647" s="62">
        <f t="shared" si="130"/>
        <v>2.3580000000000001</v>
      </c>
    </row>
    <row r="648" spans="2:28">
      <c r="B648" s="106">
        <f>'114+320'!B649</f>
        <v>45678</v>
      </c>
      <c r="C648" s="75">
        <f t="shared" si="122"/>
        <v>1</v>
      </c>
      <c r="D648" s="74">
        <f t="shared" si="123"/>
        <v>842</v>
      </c>
      <c r="E648" s="73">
        <f>VLOOKUP(B648,'114+320'!B649:AB1035,3,FALSE)</f>
        <v>2496</v>
      </c>
      <c r="F648" s="69">
        <f t="shared" si="118"/>
        <v>3338</v>
      </c>
      <c r="G648" s="72">
        <f>VLOOKUP(B648,'114+320'!$B$15:$AB$785,20,FALSE)</f>
        <v>3234</v>
      </c>
      <c r="H648" s="72">
        <f>VLOOKUP(B648,'114+320'!$B$15:$AB$785,4,FALSE)</f>
        <v>1374</v>
      </c>
      <c r="I648" s="68">
        <f t="shared" si="119"/>
        <v>1964</v>
      </c>
      <c r="J648" s="71">
        <f>VLOOKUP(B648,'114+320'!$B$15:$AB$785,13,FALSE)</f>
        <v>-1036</v>
      </c>
      <c r="K648" s="66">
        <f>'114+320'!Q649</f>
        <v>2</v>
      </c>
      <c r="L648" s="65">
        <f t="shared" si="124"/>
        <v>856</v>
      </c>
      <c r="M648" s="70">
        <f>VLOOKUP(B648,'114+320'!$B$14:$AB$785,21,FALSE)</f>
        <v>3131</v>
      </c>
      <c r="N648" s="69">
        <f>VLOOKUP(B648,'114+320'!$B$15:$AB$785,5,FALSE)</f>
        <v>1477</v>
      </c>
      <c r="O648" s="68">
        <f t="shared" si="120"/>
        <v>1861</v>
      </c>
      <c r="P648" s="71">
        <f>VLOOKUP(B648,'114+320'!$B$15:$AB$785,14,FALSE)</f>
        <v>-1139</v>
      </c>
      <c r="Q648" s="66">
        <f>'114+320'!R649</f>
        <v>3</v>
      </c>
      <c r="R648" s="65">
        <f t="shared" si="125"/>
        <v>959</v>
      </c>
      <c r="S648" s="70">
        <f>VLOOKUP(B648,'114+320'!$B$14:$AB$785,22,FALSE)</f>
        <v>3253</v>
      </c>
      <c r="T648" s="69">
        <f>VLOOKUP(B648,'114+320'!$B$15:$AB$785,6,FALSE)</f>
        <v>1295</v>
      </c>
      <c r="U648" s="68">
        <f t="shared" si="121"/>
        <v>2043</v>
      </c>
      <c r="V648" s="67">
        <f>VLOOKUP(B648,'114+320'!$B$15:$AB$785,15,FALSE)</f>
        <v>-957</v>
      </c>
      <c r="W648" s="66">
        <f>'114+320'!S649</f>
        <v>1</v>
      </c>
      <c r="X648" s="65">
        <f t="shared" si="126"/>
        <v>837</v>
      </c>
      <c r="Y648" s="64">
        <f t="shared" si="127"/>
        <v>-1</v>
      </c>
      <c r="Z648" s="63">
        <f t="shared" si="128"/>
        <v>0</v>
      </c>
      <c r="AA648" s="62">
        <f t="shared" si="129"/>
        <v>4.0990000000000002</v>
      </c>
      <c r="AB648" s="62">
        <f t="shared" si="130"/>
        <v>2.3519999999999999</v>
      </c>
    </row>
    <row r="649" spans="2:28">
      <c r="B649" s="106">
        <f>'114+320'!B650</f>
        <v>45679</v>
      </c>
      <c r="C649" s="75">
        <f t="shared" si="122"/>
        <v>1</v>
      </c>
      <c r="D649" s="74">
        <f t="shared" si="123"/>
        <v>842</v>
      </c>
      <c r="E649" s="73">
        <f>VLOOKUP(B649,'114+320'!B650:AB1036,3,FALSE)</f>
        <v>2498</v>
      </c>
      <c r="F649" s="69">
        <f t="shared" si="118"/>
        <v>3340</v>
      </c>
      <c r="G649" s="72">
        <f>VLOOKUP(B649,'114+320'!$B$15:$AB$785,20,FALSE)</f>
        <v>3233</v>
      </c>
      <c r="H649" s="72">
        <f>VLOOKUP(B649,'114+320'!$B$15:$AB$785,4,FALSE)</f>
        <v>1377</v>
      </c>
      <c r="I649" s="68">
        <f t="shared" si="119"/>
        <v>1963</v>
      </c>
      <c r="J649" s="71">
        <f>VLOOKUP(B649,'114+320'!$B$15:$AB$785,13,FALSE)</f>
        <v>-1037</v>
      </c>
      <c r="K649" s="66">
        <f>'114+320'!Q650</f>
        <v>1</v>
      </c>
      <c r="L649" s="65">
        <f t="shared" si="124"/>
        <v>857</v>
      </c>
      <c r="M649" s="70">
        <f>VLOOKUP(B649,'114+320'!$B$14:$AB$785,21,FALSE)</f>
        <v>3127</v>
      </c>
      <c r="N649" s="69">
        <f>VLOOKUP(B649,'114+320'!$B$15:$AB$785,5,FALSE)</f>
        <v>1483</v>
      </c>
      <c r="O649" s="68">
        <f t="shared" si="120"/>
        <v>1857</v>
      </c>
      <c r="P649" s="71">
        <f>VLOOKUP(B649,'114+320'!$B$15:$AB$785,14,FALSE)</f>
        <v>-1143</v>
      </c>
      <c r="Q649" s="66">
        <f>'114+320'!R650</f>
        <v>4</v>
      </c>
      <c r="R649" s="65">
        <f t="shared" si="125"/>
        <v>963</v>
      </c>
      <c r="S649" s="70">
        <f>VLOOKUP(B649,'114+320'!$B$14:$AB$785,22,FALSE)</f>
        <v>3251</v>
      </c>
      <c r="T649" s="69">
        <f>VLOOKUP(B649,'114+320'!$B$15:$AB$785,6,FALSE)</f>
        <v>1299</v>
      </c>
      <c r="U649" s="68">
        <f t="shared" si="121"/>
        <v>2041</v>
      </c>
      <c r="V649" s="67">
        <f>VLOOKUP(B649,'114+320'!$B$15:$AB$785,15,FALSE)</f>
        <v>-959</v>
      </c>
      <c r="W649" s="66">
        <f>'114+320'!S650</f>
        <v>2</v>
      </c>
      <c r="X649" s="65">
        <f t="shared" si="126"/>
        <v>839</v>
      </c>
      <c r="Y649" s="64">
        <f t="shared" si="127"/>
        <v>-2</v>
      </c>
      <c r="Z649" s="63">
        <f t="shared" si="128"/>
        <v>0</v>
      </c>
      <c r="AA649" s="62">
        <f t="shared" si="129"/>
        <v>4.0990000000000002</v>
      </c>
      <c r="AB649" s="62">
        <f t="shared" si="130"/>
        <v>2.3439999999999999</v>
      </c>
    </row>
    <row r="650" spans="2:28">
      <c r="B650" s="106">
        <f>'114+320'!B651</f>
        <v>45680</v>
      </c>
      <c r="C650" s="75">
        <f t="shared" si="122"/>
        <v>1</v>
      </c>
      <c r="D650" s="74">
        <f t="shared" si="123"/>
        <v>842</v>
      </c>
      <c r="E650" s="73">
        <f>VLOOKUP(B650,'114+320'!B651:AB1037,3,FALSE)</f>
        <v>2500</v>
      </c>
      <c r="F650" s="69">
        <f t="shared" si="118"/>
        <v>3342</v>
      </c>
      <c r="G650" s="72">
        <f>VLOOKUP(B650,'114+320'!$B$15:$AB$785,20,FALSE)</f>
        <v>3231</v>
      </c>
      <c r="H650" s="72">
        <f>VLOOKUP(B650,'114+320'!$B$15:$AB$785,4,FALSE)</f>
        <v>1381</v>
      </c>
      <c r="I650" s="68">
        <f t="shared" si="119"/>
        <v>1961</v>
      </c>
      <c r="J650" s="71">
        <f>VLOOKUP(B650,'114+320'!$B$15:$AB$785,13,FALSE)</f>
        <v>-1039</v>
      </c>
      <c r="K650" s="66">
        <f>'114+320'!Q651</f>
        <v>2</v>
      </c>
      <c r="L650" s="65">
        <f t="shared" si="124"/>
        <v>859</v>
      </c>
      <c r="M650" s="70">
        <f>VLOOKUP(B650,'114+320'!$B$14:$AB$785,21,FALSE)</f>
        <v>3124</v>
      </c>
      <c r="N650" s="69">
        <f>VLOOKUP(B650,'114+320'!$B$15:$AB$785,5,FALSE)</f>
        <v>1488</v>
      </c>
      <c r="O650" s="68">
        <f t="shared" si="120"/>
        <v>1854</v>
      </c>
      <c r="P650" s="71">
        <f>VLOOKUP(B650,'114+320'!$B$15:$AB$785,14,FALSE)</f>
        <v>-1146</v>
      </c>
      <c r="Q650" s="66">
        <f>'114+320'!R651</f>
        <v>3</v>
      </c>
      <c r="R650" s="65">
        <f t="shared" si="125"/>
        <v>966</v>
      </c>
      <c r="S650" s="70">
        <f>VLOOKUP(B650,'114+320'!$B$14:$AB$785,22,FALSE)</f>
        <v>3248</v>
      </c>
      <c r="T650" s="69">
        <f>VLOOKUP(B650,'114+320'!$B$15:$AB$785,6,FALSE)</f>
        <v>1304</v>
      </c>
      <c r="U650" s="68">
        <f t="shared" si="121"/>
        <v>2038</v>
      </c>
      <c r="V650" s="67">
        <f>VLOOKUP(B650,'114+320'!$B$15:$AB$785,15,FALSE)</f>
        <v>-962</v>
      </c>
      <c r="W650" s="66">
        <f>'114+320'!S651</f>
        <v>3</v>
      </c>
      <c r="X650" s="65">
        <f t="shared" si="126"/>
        <v>842</v>
      </c>
      <c r="Y650" s="64">
        <f t="shared" si="127"/>
        <v>-3</v>
      </c>
      <c r="Z650" s="63">
        <f t="shared" si="128"/>
        <v>0</v>
      </c>
      <c r="AA650" s="62">
        <f t="shared" si="129"/>
        <v>4.0990000000000002</v>
      </c>
      <c r="AB650" s="62">
        <f t="shared" si="130"/>
        <v>2.3380000000000001</v>
      </c>
    </row>
    <row r="651" spans="2:28">
      <c r="B651" s="106">
        <f>'114+320'!B652</f>
        <v>45681</v>
      </c>
      <c r="C651" s="75">
        <f t="shared" si="122"/>
        <v>1</v>
      </c>
      <c r="D651" s="74">
        <f t="shared" si="123"/>
        <v>842</v>
      </c>
      <c r="E651" s="73">
        <f>VLOOKUP(B651,'114+320'!B652:AB1038,3,FALSE)</f>
        <v>2502</v>
      </c>
      <c r="F651" s="69">
        <f t="shared" si="118"/>
        <v>3344</v>
      </c>
      <c r="G651" s="72">
        <f>VLOOKUP(B651,'114+320'!$B$15:$AB$785,20,FALSE)</f>
        <v>3228</v>
      </c>
      <c r="H651" s="72">
        <f>VLOOKUP(B651,'114+320'!$B$15:$AB$785,4,FALSE)</f>
        <v>1386</v>
      </c>
      <c r="I651" s="68">
        <f t="shared" si="119"/>
        <v>1958</v>
      </c>
      <c r="J651" s="71">
        <f>VLOOKUP(B651,'114+320'!$B$15:$AB$785,13,FALSE)</f>
        <v>-1042</v>
      </c>
      <c r="K651" s="66">
        <f>'114+320'!Q652</f>
        <v>3</v>
      </c>
      <c r="L651" s="65">
        <f t="shared" si="124"/>
        <v>862</v>
      </c>
      <c r="M651" s="70">
        <f>VLOOKUP(B651,'114+320'!$B$14:$AB$785,21,FALSE)</f>
        <v>3123</v>
      </c>
      <c r="N651" s="69">
        <f>VLOOKUP(B651,'114+320'!$B$15:$AB$785,5,FALSE)</f>
        <v>1491</v>
      </c>
      <c r="O651" s="68">
        <f t="shared" si="120"/>
        <v>1853</v>
      </c>
      <c r="P651" s="71">
        <f>VLOOKUP(B651,'114+320'!$B$15:$AB$785,14,FALSE)</f>
        <v>-1147</v>
      </c>
      <c r="Q651" s="66">
        <f>'114+320'!R652</f>
        <v>1</v>
      </c>
      <c r="R651" s="65">
        <f t="shared" si="125"/>
        <v>967</v>
      </c>
      <c r="S651" s="70">
        <f>VLOOKUP(B651,'114+320'!$B$14:$AB$785,22,FALSE)</f>
        <v>3246</v>
      </c>
      <c r="T651" s="69">
        <f>VLOOKUP(B651,'114+320'!$B$15:$AB$785,6,FALSE)</f>
        <v>1308</v>
      </c>
      <c r="U651" s="68">
        <f t="shared" si="121"/>
        <v>2036</v>
      </c>
      <c r="V651" s="67">
        <f>VLOOKUP(B651,'114+320'!$B$15:$AB$785,15,FALSE)</f>
        <v>-964</v>
      </c>
      <c r="W651" s="66">
        <f>'114+320'!S652</f>
        <v>2</v>
      </c>
      <c r="X651" s="65">
        <f t="shared" si="126"/>
        <v>844</v>
      </c>
      <c r="Y651" s="64">
        <f t="shared" si="127"/>
        <v>-2</v>
      </c>
      <c r="Z651" s="63">
        <f t="shared" si="128"/>
        <v>0</v>
      </c>
      <c r="AA651" s="62">
        <f t="shared" si="129"/>
        <v>4.0990000000000002</v>
      </c>
      <c r="AB651" s="62">
        <f t="shared" si="130"/>
        <v>2.3359999999999999</v>
      </c>
    </row>
    <row r="652" spans="2:28">
      <c r="B652" s="106">
        <f>'114+320'!B653</f>
        <v>45682</v>
      </c>
      <c r="C652" s="75">
        <f t="shared" si="122"/>
        <v>1</v>
      </c>
      <c r="D652" s="74">
        <f t="shared" si="123"/>
        <v>842</v>
      </c>
      <c r="E652" s="73">
        <f>VLOOKUP(B652,'114+320'!B653:AB1039,3,FALSE)</f>
        <v>2504</v>
      </c>
      <c r="F652" s="69">
        <f t="shared" si="118"/>
        <v>3346</v>
      </c>
      <c r="G652" s="72">
        <f>VLOOKUP(B652,'114+320'!$B$15:$AB$785,20,FALSE)</f>
        <v>3226</v>
      </c>
      <c r="H652" s="72">
        <f>VLOOKUP(B652,'114+320'!$B$15:$AB$785,4,FALSE)</f>
        <v>1390</v>
      </c>
      <c r="I652" s="68">
        <f t="shared" si="119"/>
        <v>1956</v>
      </c>
      <c r="J652" s="71">
        <f>VLOOKUP(B652,'114+320'!$B$15:$AB$785,13,FALSE)</f>
        <v>-1044</v>
      </c>
      <c r="K652" s="66">
        <f>'114+320'!Q653</f>
        <v>2</v>
      </c>
      <c r="L652" s="65">
        <f t="shared" si="124"/>
        <v>864</v>
      </c>
      <c r="M652" s="70">
        <f>VLOOKUP(B652,'114+320'!$B$14:$AB$785,21,FALSE)</f>
        <v>3121</v>
      </c>
      <c r="N652" s="69">
        <f>VLOOKUP(B652,'114+320'!$B$15:$AB$785,5,FALSE)</f>
        <v>1495</v>
      </c>
      <c r="O652" s="68">
        <f t="shared" si="120"/>
        <v>1851</v>
      </c>
      <c r="P652" s="71">
        <f>VLOOKUP(B652,'114+320'!$B$15:$AB$785,14,FALSE)</f>
        <v>-1149</v>
      </c>
      <c r="Q652" s="66">
        <f>'114+320'!R653</f>
        <v>2</v>
      </c>
      <c r="R652" s="65">
        <f t="shared" si="125"/>
        <v>969</v>
      </c>
      <c r="S652" s="70">
        <f>VLOOKUP(B652,'114+320'!$B$14:$AB$785,22,FALSE)</f>
        <v>3243</v>
      </c>
      <c r="T652" s="69">
        <f>VLOOKUP(B652,'114+320'!$B$15:$AB$785,6,FALSE)</f>
        <v>1313</v>
      </c>
      <c r="U652" s="68">
        <f t="shared" si="121"/>
        <v>2033</v>
      </c>
      <c r="V652" s="67">
        <f>VLOOKUP(B652,'114+320'!$B$15:$AB$785,15,FALSE)</f>
        <v>-967</v>
      </c>
      <c r="W652" s="66">
        <f>'114+320'!S653</f>
        <v>3</v>
      </c>
      <c r="X652" s="65">
        <f t="shared" si="126"/>
        <v>847</v>
      </c>
      <c r="Y652" s="64">
        <f t="shared" si="127"/>
        <v>-3</v>
      </c>
      <c r="Z652" s="63">
        <f t="shared" si="128"/>
        <v>0</v>
      </c>
      <c r="AA652" s="62">
        <f t="shared" si="129"/>
        <v>4.0990000000000002</v>
      </c>
      <c r="AB652" s="62">
        <f t="shared" si="130"/>
        <v>2.3319999999999999</v>
      </c>
    </row>
    <row r="653" spans="2:28">
      <c r="B653" s="106">
        <f>'114+320'!B654</f>
        <v>45683</v>
      </c>
      <c r="C653" s="75">
        <f t="shared" si="122"/>
        <v>1</v>
      </c>
      <c r="D653" s="74">
        <f t="shared" si="123"/>
        <v>842</v>
      </c>
      <c r="E653" s="73">
        <f>VLOOKUP(B653,'114+320'!B654:AB1040,3,FALSE)</f>
        <v>2506</v>
      </c>
      <c r="F653" s="69">
        <f t="shared" ref="F653:F716" si="131">D653+E653</f>
        <v>3348</v>
      </c>
      <c r="G653" s="72">
        <f>VLOOKUP(B653,'114+320'!$B$15:$AB$785,20,FALSE)</f>
        <v>3223</v>
      </c>
      <c r="H653" s="72">
        <f>VLOOKUP(B653,'114+320'!$B$15:$AB$785,4,FALSE)</f>
        <v>1395</v>
      </c>
      <c r="I653" s="68">
        <f t="shared" ref="I653:I716" si="132">F653-H653</f>
        <v>1953</v>
      </c>
      <c r="J653" s="71">
        <f>VLOOKUP(B653,'114+320'!$B$15:$AB$785,13,FALSE)</f>
        <v>-1047</v>
      </c>
      <c r="K653" s="66">
        <f>'114+320'!Q654</f>
        <v>3</v>
      </c>
      <c r="L653" s="65">
        <f t="shared" si="124"/>
        <v>867</v>
      </c>
      <c r="M653" s="70">
        <f>VLOOKUP(B653,'114+320'!$B$14:$AB$785,21,FALSE)</f>
        <v>3118</v>
      </c>
      <c r="N653" s="69">
        <f>VLOOKUP(B653,'114+320'!$B$15:$AB$785,5,FALSE)</f>
        <v>1500</v>
      </c>
      <c r="O653" s="68">
        <f t="shared" ref="O653:O716" si="133">F653-N653</f>
        <v>1848</v>
      </c>
      <c r="P653" s="71">
        <f>VLOOKUP(B653,'114+320'!$B$15:$AB$785,14,FALSE)</f>
        <v>-1152</v>
      </c>
      <c r="Q653" s="66">
        <f>'114+320'!R654</f>
        <v>3</v>
      </c>
      <c r="R653" s="65">
        <f t="shared" si="125"/>
        <v>972</v>
      </c>
      <c r="S653" s="70">
        <f>VLOOKUP(B653,'114+320'!$B$14:$AB$785,22,FALSE)</f>
        <v>3239</v>
      </c>
      <c r="T653" s="69">
        <f>VLOOKUP(B653,'114+320'!$B$15:$AB$785,6,FALSE)</f>
        <v>1319</v>
      </c>
      <c r="U653" s="68">
        <f t="shared" ref="U653:U716" si="134">F653-T653</f>
        <v>2029</v>
      </c>
      <c r="V653" s="67">
        <f>VLOOKUP(B653,'114+320'!$B$15:$AB$785,15,FALSE)</f>
        <v>-971</v>
      </c>
      <c r="W653" s="66">
        <f>'114+320'!S654</f>
        <v>4</v>
      </c>
      <c r="X653" s="65">
        <f t="shared" si="126"/>
        <v>851</v>
      </c>
      <c r="Y653" s="64">
        <f t="shared" si="127"/>
        <v>-4</v>
      </c>
      <c r="Z653" s="63">
        <f t="shared" si="128"/>
        <v>0</v>
      </c>
      <c r="AA653" s="62">
        <f t="shared" si="129"/>
        <v>4.0990000000000002</v>
      </c>
      <c r="AB653" s="62">
        <f t="shared" si="130"/>
        <v>2.3260000000000001</v>
      </c>
    </row>
    <row r="654" spans="2:28">
      <c r="B654" s="106">
        <f>'114+320'!B655</f>
        <v>45684</v>
      </c>
      <c r="C654" s="75">
        <f t="shared" ref="C654:C718" si="135">B654-B653</f>
        <v>1</v>
      </c>
      <c r="D654" s="74">
        <f t="shared" ref="D654:D717" si="136">D653</f>
        <v>842</v>
      </c>
      <c r="E654" s="73">
        <f>VLOOKUP(B654,'114+320'!B655:AB1041,3,FALSE)</f>
        <v>2508</v>
      </c>
      <c r="F654" s="69">
        <f t="shared" si="131"/>
        <v>3350</v>
      </c>
      <c r="G654" s="72">
        <f>VLOOKUP(B654,'114+320'!$B$15:$AB$785,20,FALSE)</f>
        <v>3219</v>
      </c>
      <c r="H654" s="72">
        <f>VLOOKUP(B654,'114+320'!$B$15:$AB$785,4,FALSE)</f>
        <v>1401</v>
      </c>
      <c r="I654" s="68">
        <f t="shared" si="132"/>
        <v>1949</v>
      </c>
      <c r="J654" s="71">
        <f>VLOOKUP(B654,'114+320'!$B$15:$AB$785,13,FALSE)</f>
        <v>-1051</v>
      </c>
      <c r="K654" s="66">
        <f>'114+320'!Q655</f>
        <v>4</v>
      </c>
      <c r="L654" s="65">
        <f t="shared" ref="L654:L717" si="137">+K654+L653</f>
        <v>871</v>
      </c>
      <c r="M654" s="70">
        <f>VLOOKUP(B654,'114+320'!$B$14:$AB$785,21,FALSE)</f>
        <v>3115</v>
      </c>
      <c r="N654" s="69">
        <f>VLOOKUP(B654,'114+320'!$B$15:$AB$785,5,FALSE)</f>
        <v>1505</v>
      </c>
      <c r="O654" s="68">
        <f t="shared" si="133"/>
        <v>1845</v>
      </c>
      <c r="P654" s="71">
        <f>VLOOKUP(B654,'114+320'!$B$15:$AB$785,14,FALSE)</f>
        <v>-1155</v>
      </c>
      <c r="Q654" s="66">
        <f>'114+320'!R655</f>
        <v>3</v>
      </c>
      <c r="R654" s="65">
        <f t="shared" ref="R654:R717" si="138">+Q654+R653</f>
        <v>975</v>
      </c>
      <c r="S654" s="70">
        <f>VLOOKUP(B654,'114+320'!$B$14:$AB$785,22,FALSE)</f>
        <v>3236</v>
      </c>
      <c r="T654" s="69">
        <f>VLOOKUP(B654,'114+320'!$B$15:$AB$785,6,FALSE)</f>
        <v>1324</v>
      </c>
      <c r="U654" s="68">
        <f t="shared" si="134"/>
        <v>2026</v>
      </c>
      <c r="V654" s="67">
        <f>VLOOKUP(B654,'114+320'!$B$15:$AB$785,15,FALSE)</f>
        <v>-974</v>
      </c>
      <c r="W654" s="66">
        <f>'114+320'!S655</f>
        <v>3</v>
      </c>
      <c r="X654" s="65">
        <f t="shared" ref="X654:X717" si="139">+W654+X653</f>
        <v>854</v>
      </c>
      <c r="Y654" s="64">
        <f t="shared" ref="Y654:Y717" si="140">S654-S653</f>
        <v>-3</v>
      </c>
      <c r="Z654" s="63">
        <f t="shared" ref="Z654:Z718" si="141">IF(Y654&gt;0,Y654,0)/1000</f>
        <v>0</v>
      </c>
      <c r="AA654" s="62">
        <f t="shared" ref="AA654:AA717" si="142">AA653+Z654</f>
        <v>4.0990000000000002</v>
      </c>
      <c r="AB654" s="62">
        <f t="shared" ref="AB654:AB717" si="143">(M654-$M$13-R654)/1000</f>
        <v>2.3199999999999998</v>
      </c>
    </row>
    <row r="655" spans="2:28">
      <c r="B655" s="106">
        <f>'114+320'!B656</f>
        <v>45685</v>
      </c>
      <c r="C655" s="75">
        <f t="shared" si="135"/>
        <v>1</v>
      </c>
      <c r="D655" s="74">
        <f t="shared" si="136"/>
        <v>842</v>
      </c>
      <c r="E655" s="73">
        <f>VLOOKUP(B655,'114+320'!B656:AB1042,3,FALSE)</f>
        <v>2510</v>
      </c>
      <c r="F655" s="69">
        <f t="shared" si="131"/>
        <v>3352</v>
      </c>
      <c r="G655" s="72">
        <f>VLOOKUP(B655,'114+320'!$B$15:$AB$785,20,FALSE)</f>
        <v>3216</v>
      </c>
      <c r="H655" s="72">
        <f>VLOOKUP(B655,'114+320'!$B$15:$AB$785,4,FALSE)</f>
        <v>1406</v>
      </c>
      <c r="I655" s="68">
        <f t="shared" si="132"/>
        <v>1946</v>
      </c>
      <c r="J655" s="71">
        <f>VLOOKUP(B655,'114+320'!$B$15:$AB$785,13,FALSE)</f>
        <v>-1054</v>
      </c>
      <c r="K655" s="66">
        <f>'114+320'!Q656</f>
        <v>3</v>
      </c>
      <c r="L655" s="65">
        <f t="shared" si="137"/>
        <v>874</v>
      </c>
      <c r="M655" s="70">
        <f>VLOOKUP(B655,'114+320'!$B$14:$AB$785,21,FALSE)</f>
        <v>3111</v>
      </c>
      <c r="N655" s="69">
        <f>VLOOKUP(B655,'114+320'!$B$15:$AB$785,5,FALSE)</f>
        <v>1511</v>
      </c>
      <c r="O655" s="68">
        <f t="shared" si="133"/>
        <v>1841</v>
      </c>
      <c r="P655" s="71">
        <f>VLOOKUP(B655,'114+320'!$B$15:$AB$785,14,FALSE)</f>
        <v>-1159</v>
      </c>
      <c r="Q655" s="66">
        <f>'114+320'!R656</f>
        <v>4</v>
      </c>
      <c r="R655" s="65">
        <f t="shared" si="138"/>
        <v>979</v>
      </c>
      <c r="S655" s="70">
        <f>VLOOKUP(B655,'114+320'!$B$14:$AB$785,22,FALSE)</f>
        <v>3235</v>
      </c>
      <c r="T655" s="69">
        <f>VLOOKUP(B655,'114+320'!$B$15:$AB$785,6,FALSE)</f>
        <v>1327</v>
      </c>
      <c r="U655" s="68">
        <f t="shared" si="134"/>
        <v>2025</v>
      </c>
      <c r="V655" s="67">
        <f>VLOOKUP(B655,'114+320'!$B$15:$AB$785,15,FALSE)</f>
        <v>-975</v>
      </c>
      <c r="W655" s="66">
        <f>'114+320'!S656</f>
        <v>1</v>
      </c>
      <c r="X655" s="65">
        <f t="shared" si="139"/>
        <v>855</v>
      </c>
      <c r="Y655" s="64">
        <f t="shared" si="140"/>
        <v>-1</v>
      </c>
      <c r="Z655" s="63">
        <f t="shared" si="141"/>
        <v>0</v>
      </c>
      <c r="AA655" s="62">
        <f t="shared" si="142"/>
        <v>4.0990000000000002</v>
      </c>
      <c r="AB655" s="62">
        <f t="shared" si="143"/>
        <v>2.3119999999999998</v>
      </c>
    </row>
    <row r="656" spans="2:28">
      <c r="B656" s="106">
        <f>'114+320'!B657</f>
        <v>45686</v>
      </c>
      <c r="C656" s="75">
        <f t="shared" si="135"/>
        <v>1</v>
      </c>
      <c r="D656" s="74">
        <f t="shared" si="136"/>
        <v>842</v>
      </c>
      <c r="E656" s="73">
        <f>VLOOKUP(B656,'114+320'!B657:AB1043,3,FALSE)</f>
        <v>2512</v>
      </c>
      <c r="F656" s="69">
        <f t="shared" si="131"/>
        <v>3354</v>
      </c>
      <c r="G656" s="72">
        <f>VLOOKUP(B656,'114+320'!$B$15:$AB$785,20,FALSE)</f>
        <v>3215</v>
      </c>
      <c r="H656" s="72">
        <f>VLOOKUP(B656,'114+320'!$B$15:$AB$785,4,FALSE)</f>
        <v>1409</v>
      </c>
      <c r="I656" s="68">
        <f t="shared" si="132"/>
        <v>1945</v>
      </c>
      <c r="J656" s="71">
        <f>VLOOKUP(B656,'114+320'!$B$15:$AB$785,13,FALSE)</f>
        <v>-1055</v>
      </c>
      <c r="K656" s="66">
        <f>'114+320'!Q657</f>
        <v>1</v>
      </c>
      <c r="L656" s="65">
        <f t="shared" si="137"/>
        <v>875</v>
      </c>
      <c r="M656" s="70">
        <f>VLOOKUP(B656,'114+320'!$B$14:$AB$785,21,FALSE)</f>
        <v>3108</v>
      </c>
      <c r="N656" s="69">
        <f>VLOOKUP(B656,'114+320'!$B$15:$AB$785,5,FALSE)</f>
        <v>1516</v>
      </c>
      <c r="O656" s="68">
        <f t="shared" si="133"/>
        <v>1838</v>
      </c>
      <c r="P656" s="71">
        <f>VLOOKUP(B656,'114+320'!$B$15:$AB$785,14,FALSE)</f>
        <v>-1162</v>
      </c>
      <c r="Q656" s="66">
        <f>'114+320'!R657</f>
        <v>3</v>
      </c>
      <c r="R656" s="65">
        <f t="shared" si="138"/>
        <v>982</v>
      </c>
      <c r="S656" s="70">
        <f>VLOOKUP(B656,'114+320'!$B$14:$AB$785,22,FALSE)</f>
        <v>3233</v>
      </c>
      <c r="T656" s="69">
        <f>VLOOKUP(B656,'114+320'!$B$15:$AB$785,6,FALSE)</f>
        <v>1331</v>
      </c>
      <c r="U656" s="68">
        <f t="shared" si="134"/>
        <v>2023</v>
      </c>
      <c r="V656" s="67">
        <f>VLOOKUP(B656,'114+320'!$B$15:$AB$785,15,FALSE)</f>
        <v>-977</v>
      </c>
      <c r="W656" s="66">
        <f>'114+320'!S657</f>
        <v>2</v>
      </c>
      <c r="X656" s="65">
        <f t="shared" si="139"/>
        <v>857</v>
      </c>
      <c r="Y656" s="64">
        <f t="shared" si="140"/>
        <v>-2</v>
      </c>
      <c r="Z656" s="63">
        <f t="shared" si="141"/>
        <v>0</v>
      </c>
      <c r="AA656" s="62">
        <f t="shared" si="142"/>
        <v>4.0990000000000002</v>
      </c>
      <c r="AB656" s="62">
        <f t="shared" si="143"/>
        <v>2.306</v>
      </c>
    </row>
    <row r="657" spans="2:28">
      <c r="B657" s="106">
        <f>'114+320'!B658</f>
        <v>45687</v>
      </c>
      <c r="C657" s="75">
        <f t="shared" si="135"/>
        <v>1</v>
      </c>
      <c r="D657" s="74">
        <f t="shared" si="136"/>
        <v>842</v>
      </c>
      <c r="E657" s="73">
        <f>VLOOKUP(B657,'114+320'!B658:AB1044,3,FALSE)</f>
        <v>2514</v>
      </c>
      <c r="F657" s="69">
        <f t="shared" si="131"/>
        <v>3356</v>
      </c>
      <c r="G657" s="72">
        <f>VLOOKUP(B657,'114+320'!$B$15:$AB$785,20,FALSE)</f>
        <v>3213</v>
      </c>
      <c r="H657" s="72">
        <f>VLOOKUP(B657,'114+320'!$B$15:$AB$785,4,FALSE)</f>
        <v>1413</v>
      </c>
      <c r="I657" s="68">
        <f t="shared" si="132"/>
        <v>1943</v>
      </c>
      <c r="J657" s="71">
        <f>VLOOKUP(B657,'114+320'!$B$15:$AB$785,13,FALSE)</f>
        <v>-1057</v>
      </c>
      <c r="K657" s="66">
        <f>'114+320'!Q658</f>
        <v>2</v>
      </c>
      <c r="L657" s="65">
        <f t="shared" si="137"/>
        <v>877</v>
      </c>
      <c r="M657" s="70">
        <f>VLOOKUP(B657,'114+320'!$B$14:$AB$785,21,FALSE)</f>
        <v>3104</v>
      </c>
      <c r="N657" s="69">
        <f>VLOOKUP(B657,'114+320'!$B$15:$AB$785,5,FALSE)</f>
        <v>1522</v>
      </c>
      <c r="O657" s="68">
        <f t="shared" si="133"/>
        <v>1834</v>
      </c>
      <c r="P657" s="71">
        <f>VLOOKUP(B657,'114+320'!$B$15:$AB$785,14,FALSE)</f>
        <v>-1166</v>
      </c>
      <c r="Q657" s="66">
        <f>'114+320'!R658</f>
        <v>4</v>
      </c>
      <c r="R657" s="65">
        <f t="shared" si="138"/>
        <v>986</v>
      </c>
      <c r="S657" s="70">
        <f>VLOOKUP(B657,'114+320'!$B$14:$AB$785,22,FALSE)</f>
        <v>3230</v>
      </c>
      <c r="T657" s="69">
        <f>VLOOKUP(B657,'114+320'!$B$15:$AB$785,6,FALSE)</f>
        <v>1336</v>
      </c>
      <c r="U657" s="68">
        <f t="shared" si="134"/>
        <v>2020</v>
      </c>
      <c r="V657" s="67">
        <f>VLOOKUP(B657,'114+320'!$B$15:$AB$785,15,FALSE)</f>
        <v>-980</v>
      </c>
      <c r="W657" s="66">
        <f>'114+320'!S658</f>
        <v>3</v>
      </c>
      <c r="X657" s="65">
        <f t="shared" si="139"/>
        <v>860</v>
      </c>
      <c r="Y657" s="64">
        <f t="shared" si="140"/>
        <v>-3</v>
      </c>
      <c r="Z657" s="63">
        <f t="shared" si="141"/>
        <v>0</v>
      </c>
      <c r="AA657" s="62">
        <f t="shared" si="142"/>
        <v>4.0990000000000002</v>
      </c>
      <c r="AB657" s="62">
        <f t="shared" si="143"/>
        <v>2.298</v>
      </c>
    </row>
    <row r="658" spans="2:28">
      <c r="B658" s="106">
        <f>'114+320'!B659</f>
        <v>45688</v>
      </c>
      <c r="C658" s="75">
        <f t="shared" si="135"/>
        <v>1</v>
      </c>
      <c r="D658" s="74">
        <f t="shared" si="136"/>
        <v>842</v>
      </c>
      <c r="E658" s="73">
        <f>VLOOKUP(B658,'114+320'!B659:AB1045,3,FALSE)</f>
        <v>2516</v>
      </c>
      <c r="F658" s="69">
        <f t="shared" si="131"/>
        <v>3358</v>
      </c>
      <c r="G658" s="72">
        <f>VLOOKUP(B658,'114+320'!$B$15:$AB$785,20,FALSE)</f>
        <v>3210</v>
      </c>
      <c r="H658" s="72">
        <f>VLOOKUP(B658,'114+320'!$B$15:$AB$785,4,FALSE)</f>
        <v>1418</v>
      </c>
      <c r="I658" s="68">
        <f t="shared" si="132"/>
        <v>1940</v>
      </c>
      <c r="J658" s="71">
        <f>VLOOKUP(B658,'114+320'!$B$15:$AB$785,13,FALSE)</f>
        <v>-1060</v>
      </c>
      <c r="K658" s="66">
        <f>'114+320'!Q659</f>
        <v>3</v>
      </c>
      <c r="L658" s="65">
        <f t="shared" si="137"/>
        <v>880</v>
      </c>
      <c r="M658" s="70">
        <f>VLOOKUP(B658,'114+320'!$B$14:$AB$785,21,FALSE)</f>
        <v>3100</v>
      </c>
      <c r="N658" s="69">
        <f>VLOOKUP(B658,'114+320'!$B$15:$AB$785,5,FALSE)</f>
        <v>1528</v>
      </c>
      <c r="O658" s="68">
        <f t="shared" si="133"/>
        <v>1830</v>
      </c>
      <c r="P658" s="71">
        <f>VLOOKUP(B658,'114+320'!$B$15:$AB$785,14,FALSE)</f>
        <v>-1170</v>
      </c>
      <c r="Q658" s="66">
        <f>'114+320'!R659</f>
        <v>4</v>
      </c>
      <c r="R658" s="65">
        <f t="shared" si="138"/>
        <v>990</v>
      </c>
      <c r="S658" s="70">
        <f>VLOOKUP(B658,'114+320'!$B$14:$AB$785,22,FALSE)</f>
        <v>3227</v>
      </c>
      <c r="T658" s="69">
        <f>VLOOKUP(B658,'114+320'!$B$15:$AB$785,6,FALSE)</f>
        <v>1341</v>
      </c>
      <c r="U658" s="68">
        <f t="shared" si="134"/>
        <v>2017</v>
      </c>
      <c r="V658" s="67">
        <f>VLOOKUP(B658,'114+320'!$B$15:$AB$785,15,FALSE)</f>
        <v>-983</v>
      </c>
      <c r="W658" s="66">
        <f>'114+320'!S659</f>
        <v>3</v>
      </c>
      <c r="X658" s="65">
        <f t="shared" si="139"/>
        <v>863</v>
      </c>
      <c r="Y658" s="64">
        <f t="shared" si="140"/>
        <v>-3</v>
      </c>
      <c r="Z658" s="63">
        <f t="shared" si="141"/>
        <v>0</v>
      </c>
      <c r="AA658" s="62">
        <f t="shared" si="142"/>
        <v>4.0990000000000002</v>
      </c>
      <c r="AB658" s="62">
        <f t="shared" si="143"/>
        <v>2.29</v>
      </c>
    </row>
    <row r="659" spans="2:28">
      <c r="B659" s="106">
        <f>'114+320'!B660</f>
        <v>45689</v>
      </c>
      <c r="C659" s="75">
        <f t="shared" si="135"/>
        <v>1</v>
      </c>
      <c r="D659" s="74">
        <f t="shared" si="136"/>
        <v>842</v>
      </c>
      <c r="E659" s="73">
        <f>VLOOKUP(B659,'114+320'!B660:AB1046,3,FALSE)</f>
        <v>2518</v>
      </c>
      <c r="F659" s="69">
        <f t="shared" si="131"/>
        <v>3360</v>
      </c>
      <c r="G659" s="72">
        <f>VLOOKUP(B659,'114+320'!$B$15:$AB$785,20,FALSE)</f>
        <v>3207</v>
      </c>
      <c r="H659" s="72">
        <f>VLOOKUP(B659,'114+320'!$B$15:$AB$785,4,FALSE)</f>
        <v>1423</v>
      </c>
      <c r="I659" s="68">
        <f t="shared" si="132"/>
        <v>1937</v>
      </c>
      <c r="J659" s="71">
        <f>VLOOKUP(B659,'114+320'!$B$15:$AB$785,13,FALSE)</f>
        <v>-1063</v>
      </c>
      <c r="K659" s="66">
        <f>'114+320'!Q660</f>
        <v>3</v>
      </c>
      <c r="L659" s="65">
        <f t="shared" si="137"/>
        <v>883</v>
      </c>
      <c r="M659" s="70">
        <f>VLOOKUP(B659,'114+320'!$B$14:$AB$785,21,FALSE)</f>
        <v>3099</v>
      </c>
      <c r="N659" s="69">
        <f>VLOOKUP(B659,'114+320'!$B$15:$AB$785,5,FALSE)</f>
        <v>1531</v>
      </c>
      <c r="O659" s="68">
        <f t="shared" si="133"/>
        <v>1829</v>
      </c>
      <c r="P659" s="71">
        <f>VLOOKUP(B659,'114+320'!$B$15:$AB$785,14,FALSE)</f>
        <v>-1171</v>
      </c>
      <c r="Q659" s="66">
        <f>'114+320'!R660</f>
        <v>1</v>
      </c>
      <c r="R659" s="65">
        <f t="shared" si="138"/>
        <v>991</v>
      </c>
      <c r="S659" s="70">
        <f>VLOOKUP(B659,'114+320'!$B$14:$AB$785,22,FALSE)</f>
        <v>3223</v>
      </c>
      <c r="T659" s="69">
        <f>VLOOKUP(B659,'114+320'!$B$15:$AB$785,6,FALSE)</f>
        <v>1347</v>
      </c>
      <c r="U659" s="68">
        <f t="shared" si="134"/>
        <v>2013</v>
      </c>
      <c r="V659" s="67">
        <f>VLOOKUP(B659,'114+320'!$B$15:$AB$785,15,FALSE)</f>
        <v>-987</v>
      </c>
      <c r="W659" s="66">
        <f>'114+320'!S660</f>
        <v>4</v>
      </c>
      <c r="X659" s="65">
        <f t="shared" si="139"/>
        <v>867</v>
      </c>
      <c r="Y659" s="64">
        <f t="shared" si="140"/>
        <v>-4</v>
      </c>
      <c r="Z659" s="63">
        <f t="shared" si="141"/>
        <v>0</v>
      </c>
      <c r="AA659" s="62">
        <f t="shared" si="142"/>
        <v>4.0990000000000002</v>
      </c>
      <c r="AB659" s="62">
        <f t="shared" si="143"/>
        <v>2.2879999999999998</v>
      </c>
    </row>
    <row r="660" spans="2:28">
      <c r="B660" s="106">
        <f>'114+320'!B661</f>
        <v>45690</v>
      </c>
      <c r="C660" s="75">
        <f t="shared" si="135"/>
        <v>1</v>
      </c>
      <c r="D660" s="74">
        <f t="shared" si="136"/>
        <v>842</v>
      </c>
      <c r="E660" s="73">
        <f>VLOOKUP(B660,'114+320'!B661:AB1047,3,FALSE)</f>
        <v>2520</v>
      </c>
      <c r="F660" s="69">
        <f t="shared" si="131"/>
        <v>3362</v>
      </c>
      <c r="G660" s="72">
        <f>VLOOKUP(B660,'114+320'!$B$15:$AB$785,20,FALSE)</f>
        <v>3203</v>
      </c>
      <c r="H660" s="72">
        <f>VLOOKUP(B660,'114+320'!$B$15:$AB$785,4,FALSE)</f>
        <v>1429</v>
      </c>
      <c r="I660" s="68">
        <f t="shared" si="132"/>
        <v>1933</v>
      </c>
      <c r="J660" s="71">
        <f>VLOOKUP(B660,'114+320'!$B$15:$AB$785,13,FALSE)</f>
        <v>-1067</v>
      </c>
      <c r="K660" s="66">
        <f>'114+320'!Q661</f>
        <v>4</v>
      </c>
      <c r="L660" s="65">
        <f t="shared" si="137"/>
        <v>887</v>
      </c>
      <c r="M660" s="70">
        <f>VLOOKUP(B660,'114+320'!$B$14:$AB$785,21,FALSE)</f>
        <v>3097</v>
      </c>
      <c r="N660" s="69">
        <f>VLOOKUP(B660,'114+320'!$B$15:$AB$785,5,FALSE)</f>
        <v>1535</v>
      </c>
      <c r="O660" s="68">
        <f t="shared" si="133"/>
        <v>1827</v>
      </c>
      <c r="P660" s="71">
        <f>VLOOKUP(B660,'114+320'!$B$15:$AB$785,14,FALSE)</f>
        <v>-1173</v>
      </c>
      <c r="Q660" s="66">
        <f>'114+320'!R661</f>
        <v>2</v>
      </c>
      <c r="R660" s="65">
        <f t="shared" si="138"/>
        <v>993</v>
      </c>
      <c r="S660" s="70">
        <f>VLOOKUP(B660,'114+320'!$B$14:$AB$785,22,FALSE)</f>
        <v>3220</v>
      </c>
      <c r="T660" s="69">
        <f>VLOOKUP(B660,'114+320'!$B$15:$AB$785,6,FALSE)</f>
        <v>1352</v>
      </c>
      <c r="U660" s="68">
        <f t="shared" si="134"/>
        <v>2010</v>
      </c>
      <c r="V660" s="67">
        <f>VLOOKUP(B660,'114+320'!$B$15:$AB$785,15,FALSE)</f>
        <v>-990</v>
      </c>
      <c r="W660" s="66">
        <f>'114+320'!S661</f>
        <v>3</v>
      </c>
      <c r="X660" s="65">
        <f t="shared" si="139"/>
        <v>870</v>
      </c>
      <c r="Y660" s="64">
        <f t="shared" si="140"/>
        <v>-3</v>
      </c>
      <c r="Z660" s="63">
        <f t="shared" si="141"/>
        <v>0</v>
      </c>
      <c r="AA660" s="62">
        <f t="shared" si="142"/>
        <v>4.0990000000000002</v>
      </c>
      <c r="AB660" s="62">
        <f t="shared" si="143"/>
        <v>2.2839999999999998</v>
      </c>
    </row>
    <row r="661" spans="2:28">
      <c r="B661" s="106">
        <f>'114+320'!B662</f>
        <v>45691</v>
      </c>
      <c r="C661" s="75">
        <f t="shared" si="135"/>
        <v>1</v>
      </c>
      <c r="D661" s="74">
        <f t="shared" si="136"/>
        <v>842</v>
      </c>
      <c r="E661" s="73">
        <f>VLOOKUP(B661,'114+320'!B662:AB1048,3,FALSE)</f>
        <v>2522</v>
      </c>
      <c r="F661" s="69">
        <f t="shared" si="131"/>
        <v>3364</v>
      </c>
      <c r="G661" s="72">
        <f>VLOOKUP(B661,'114+320'!$B$15:$AB$785,20,FALSE)</f>
        <v>3200</v>
      </c>
      <c r="H661" s="72">
        <f>VLOOKUP(B661,'114+320'!$B$15:$AB$785,4,FALSE)</f>
        <v>1434</v>
      </c>
      <c r="I661" s="68">
        <f t="shared" si="132"/>
        <v>1930</v>
      </c>
      <c r="J661" s="71">
        <f>VLOOKUP(B661,'114+320'!$B$15:$AB$785,13,FALSE)</f>
        <v>-1070</v>
      </c>
      <c r="K661" s="66">
        <f>'114+320'!Q662</f>
        <v>3</v>
      </c>
      <c r="L661" s="65">
        <f t="shared" si="137"/>
        <v>890</v>
      </c>
      <c r="M661" s="70">
        <f>VLOOKUP(B661,'114+320'!$B$14:$AB$785,21,FALSE)</f>
        <v>3096</v>
      </c>
      <c r="N661" s="69">
        <f>VLOOKUP(B661,'114+320'!$B$15:$AB$785,5,FALSE)</f>
        <v>1538</v>
      </c>
      <c r="O661" s="68">
        <f t="shared" si="133"/>
        <v>1826</v>
      </c>
      <c r="P661" s="71">
        <f>VLOOKUP(B661,'114+320'!$B$15:$AB$785,14,FALSE)</f>
        <v>-1174</v>
      </c>
      <c r="Q661" s="66">
        <f>'114+320'!R662</f>
        <v>1</v>
      </c>
      <c r="R661" s="65">
        <f t="shared" si="138"/>
        <v>994</v>
      </c>
      <c r="S661" s="70">
        <f>VLOOKUP(B661,'114+320'!$B$14:$AB$785,22,FALSE)</f>
        <v>3216</v>
      </c>
      <c r="T661" s="69">
        <f>VLOOKUP(B661,'114+320'!$B$15:$AB$785,6,FALSE)</f>
        <v>1358</v>
      </c>
      <c r="U661" s="68">
        <f t="shared" si="134"/>
        <v>2006</v>
      </c>
      <c r="V661" s="67">
        <f>VLOOKUP(B661,'114+320'!$B$15:$AB$785,15,FALSE)</f>
        <v>-994</v>
      </c>
      <c r="W661" s="66">
        <f>'114+320'!S662</f>
        <v>4</v>
      </c>
      <c r="X661" s="65">
        <f t="shared" si="139"/>
        <v>874</v>
      </c>
      <c r="Y661" s="64">
        <f t="shared" si="140"/>
        <v>-4</v>
      </c>
      <c r="Z661" s="63">
        <f t="shared" si="141"/>
        <v>0</v>
      </c>
      <c r="AA661" s="62">
        <f t="shared" si="142"/>
        <v>4.0990000000000002</v>
      </c>
      <c r="AB661" s="62">
        <f t="shared" si="143"/>
        <v>2.282</v>
      </c>
    </row>
    <row r="662" spans="2:28">
      <c r="B662" s="106">
        <f>'114+320'!B663</f>
        <v>45692</v>
      </c>
      <c r="C662" s="75">
        <f t="shared" si="135"/>
        <v>1</v>
      </c>
      <c r="D662" s="74">
        <f t="shared" si="136"/>
        <v>842</v>
      </c>
      <c r="E662" s="73">
        <f>VLOOKUP(B662,'114+320'!B663:AB1049,3,FALSE)</f>
        <v>2524</v>
      </c>
      <c r="F662" s="69">
        <f t="shared" si="131"/>
        <v>3366</v>
      </c>
      <c r="G662" s="72">
        <f>VLOOKUP(B662,'114+320'!$B$15:$AB$785,20,FALSE)</f>
        <v>3196</v>
      </c>
      <c r="H662" s="72">
        <f>VLOOKUP(B662,'114+320'!$B$15:$AB$785,4,FALSE)</f>
        <v>1440</v>
      </c>
      <c r="I662" s="68">
        <f t="shared" si="132"/>
        <v>1926</v>
      </c>
      <c r="J662" s="71">
        <f>VLOOKUP(B662,'114+320'!$B$15:$AB$785,13,FALSE)</f>
        <v>-1074</v>
      </c>
      <c r="K662" s="66">
        <f>'114+320'!Q663</f>
        <v>4</v>
      </c>
      <c r="L662" s="65">
        <f t="shared" si="137"/>
        <v>894</v>
      </c>
      <c r="M662" s="70">
        <f>VLOOKUP(B662,'114+320'!$B$14:$AB$785,21,FALSE)</f>
        <v>3093</v>
      </c>
      <c r="N662" s="69">
        <f>VLOOKUP(B662,'114+320'!$B$15:$AB$785,5,FALSE)</f>
        <v>1543</v>
      </c>
      <c r="O662" s="68">
        <f t="shared" si="133"/>
        <v>1823</v>
      </c>
      <c r="P662" s="71">
        <f>VLOOKUP(B662,'114+320'!$B$15:$AB$785,14,FALSE)</f>
        <v>-1177</v>
      </c>
      <c r="Q662" s="66">
        <f>'114+320'!R663</f>
        <v>3</v>
      </c>
      <c r="R662" s="65">
        <f t="shared" si="138"/>
        <v>997</v>
      </c>
      <c r="S662" s="70">
        <f>VLOOKUP(B662,'114+320'!$B$14:$AB$785,22,FALSE)</f>
        <v>3212</v>
      </c>
      <c r="T662" s="69">
        <f>VLOOKUP(B662,'114+320'!$B$15:$AB$785,6,FALSE)</f>
        <v>1364</v>
      </c>
      <c r="U662" s="68">
        <f t="shared" si="134"/>
        <v>2002</v>
      </c>
      <c r="V662" s="67">
        <f>VLOOKUP(B662,'114+320'!$B$15:$AB$785,15,FALSE)</f>
        <v>-998</v>
      </c>
      <c r="W662" s="66">
        <f>'114+320'!S663</f>
        <v>4</v>
      </c>
      <c r="X662" s="65">
        <f t="shared" si="139"/>
        <v>878</v>
      </c>
      <c r="Y662" s="64">
        <f t="shared" si="140"/>
        <v>-4</v>
      </c>
      <c r="Z662" s="63">
        <f t="shared" si="141"/>
        <v>0</v>
      </c>
      <c r="AA662" s="62">
        <f t="shared" si="142"/>
        <v>4.0990000000000002</v>
      </c>
      <c r="AB662" s="62">
        <f t="shared" si="143"/>
        <v>2.2759999999999998</v>
      </c>
    </row>
    <row r="663" spans="2:28">
      <c r="B663" s="106">
        <f>'114+320'!B664</f>
        <v>45693</v>
      </c>
      <c r="C663" s="75">
        <f t="shared" si="135"/>
        <v>1</v>
      </c>
      <c r="D663" s="74">
        <f t="shared" si="136"/>
        <v>842</v>
      </c>
      <c r="E663" s="73">
        <f>VLOOKUP(B663,'114+320'!B664:AB1050,3,FALSE)</f>
        <v>2526</v>
      </c>
      <c r="F663" s="69">
        <f t="shared" si="131"/>
        <v>3368</v>
      </c>
      <c r="G663" s="72">
        <f>VLOOKUP(B663,'114+320'!$B$15:$AB$785,20,FALSE)</f>
        <v>3192</v>
      </c>
      <c r="H663" s="72">
        <f>VLOOKUP(B663,'114+320'!$B$15:$AB$785,4,FALSE)</f>
        <v>1446</v>
      </c>
      <c r="I663" s="68">
        <f t="shared" si="132"/>
        <v>1922</v>
      </c>
      <c r="J663" s="71">
        <f>VLOOKUP(B663,'114+320'!$B$15:$AB$785,13,FALSE)</f>
        <v>-1078</v>
      </c>
      <c r="K663" s="66">
        <f>'114+320'!Q664</f>
        <v>4</v>
      </c>
      <c r="L663" s="65">
        <f t="shared" si="137"/>
        <v>898</v>
      </c>
      <c r="M663" s="70">
        <f>VLOOKUP(B663,'114+320'!$B$14:$AB$785,21,FALSE)</f>
        <v>3091</v>
      </c>
      <c r="N663" s="69">
        <f>VLOOKUP(B663,'114+320'!$B$15:$AB$785,5,FALSE)</f>
        <v>1547</v>
      </c>
      <c r="O663" s="68">
        <f t="shared" si="133"/>
        <v>1821</v>
      </c>
      <c r="P663" s="71">
        <f>VLOOKUP(B663,'114+320'!$B$15:$AB$785,14,FALSE)</f>
        <v>-1179</v>
      </c>
      <c r="Q663" s="66">
        <f>'114+320'!R664</f>
        <v>2</v>
      </c>
      <c r="R663" s="65">
        <f t="shared" si="138"/>
        <v>999</v>
      </c>
      <c r="S663" s="70">
        <f>VLOOKUP(B663,'114+320'!$B$14:$AB$785,22,FALSE)</f>
        <v>3211</v>
      </c>
      <c r="T663" s="69">
        <f>VLOOKUP(B663,'114+320'!$B$15:$AB$785,6,FALSE)</f>
        <v>1367</v>
      </c>
      <c r="U663" s="68">
        <f t="shared" si="134"/>
        <v>2001</v>
      </c>
      <c r="V663" s="67">
        <f>VLOOKUP(B663,'114+320'!$B$15:$AB$785,15,FALSE)</f>
        <v>-999</v>
      </c>
      <c r="W663" s="66">
        <f>'114+320'!S664</f>
        <v>1</v>
      </c>
      <c r="X663" s="65">
        <f t="shared" si="139"/>
        <v>879</v>
      </c>
      <c r="Y663" s="64">
        <f t="shared" si="140"/>
        <v>-1</v>
      </c>
      <c r="Z663" s="63">
        <f t="shared" si="141"/>
        <v>0</v>
      </c>
      <c r="AA663" s="62">
        <f t="shared" si="142"/>
        <v>4.0990000000000002</v>
      </c>
      <c r="AB663" s="62">
        <f t="shared" si="143"/>
        <v>2.2719999999999998</v>
      </c>
    </row>
    <row r="664" spans="2:28">
      <c r="B664" s="106">
        <f>'114+320'!B665</f>
        <v>45694</v>
      </c>
      <c r="C664" s="75">
        <f t="shared" si="135"/>
        <v>1</v>
      </c>
      <c r="D664" s="74">
        <f t="shared" si="136"/>
        <v>842</v>
      </c>
      <c r="E664" s="73">
        <f>VLOOKUP(B664,'114+320'!B665:AB1051,3,FALSE)</f>
        <v>2528</v>
      </c>
      <c r="F664" s="69">
        <f t="shared" si="131"/>
        <v>3370</v>
      </c>
      <c r="G664" s="72">
        <f>VLOOKUP(B664,'114+320'!$B$15:$AB$785,20,FALSE)</f>
        <v>3191</v>
      </c>
      <c r="H664" s="72">
        <f>VLOOKUP(B664,'114+320'!$B$15:$AB$785,4,FALSE)</f>
        <v>1449</v>
      </c>
      <c r="I664" s="68">
        <f t="shared" si="132"/>
        <v>1921</v>
      </c>
      <c r="J664" s="71">
        <f>VLOOKUP(B664,'114+320'!$B$15:$AB$785,13,FALSE)</f>
        <v>-1079</v>
      </c>
      <c r="K664" s="66">
        <f>'114+320'!Q665</f>
        <v>1</v>
      </c>
      <c r="L664" s="65">
        <f t="shared" si="137"/>
        <v>899</v>
      </c>
      <c r="M664" s="70">
        <f>VLOOKUP(B664,'114+320'!$B$14:$AB$785,21,FALSE)</f>
        <v>3090</v>
      </c>
      <c r="N664" s="69">
        <f>VLOOKUP(B664,'114+320'!$B$15:$AB$785,5,FALSE)</f>
        <v>1550</v>
      </c>
      <c r="O664" s="68">
        <f t="shared" si="133"/>
        <v>1820</v>
      </c>
      <c r="P664" s="71">
        <f>VLOOKUP(B664,'114+320'!$B$15:$AB$785,14,FALSE)</f>
        <v>-1180</v>
      </c>
      <c r="Q664" s="66">
        <f>'114+320'!R665</f>
        <v>1</v>
      </c>
      <c r="R664" s="65">
        <f t="shared" si="138"/>
        <v>1000</v>
      </c>
      <c r="S664" s="70">
        <f>VLOOKUP(B664,'114+320'!$B$14:$AB$785,22,FALSE)</f>
        <v>3209</v>
      </c>
      <c r="T664" s="69">
        <f>VLOOKUP(B664,'114+320'!$B$15:$AB$785,6,FALSE)</f>
        <v>1371</v>
      </c>
      <c r="U664" s="68">
        <f t="shared" si="134"/>
        <v>1999</v>
      </c>
      <c r="V664" s="67">
        <f>VLOOKUP(B664,'114+320'!$B$15:$AB$785,15,FALSE)</f>
        <v>-1001</v>
      </c>
      <c r="W664" s="66">
        <f>'114+320'!S665</f>
        <v>2</v>
      </c>
      <c r="X664" s="65">
        <f t="shared" si="139"/>
        <v>881</v>
      </c>
      <c r="Y664" s="64">
        <f t="shared" si="140"/>
        <v>-2</v>
      </c>
      <c r="Z664" s="63">
        <f t="shared" si="141"/>
        <v>0</v>
      </c>
      <c r="AA664" s="62">
        <f t="shared" si="142"/>
        <v>4.0990000000000002</v>
      </c>
      <c r="AB664" s="62">
        <f t="shared" si="143"/>
        <v>2.27</v>
      </c>
    </row>
    <row r="665" spans="2:28">
      <c r="B665" s="106">
        <f>'114+320'!B666</f>
        <v>45695</v>
      </c>
      <c r="C665" s="75">
        <f t="shared" si="135"/>
        <v>1</v>
      </c>
      <c r="D665" s="74">
        <f t="shared" si="136"/>
        <v>842</v>
      </c>
      <c r="E665" s="73">
        <f>VLOOKUP(B665,'114+320'!B666:AB1052,3,FALSE)</f>
        <v>2530</v>
      </c>
      <c r="F665" s="69">
        <f t="shared" si="131"/>
        <v>3372</v>
      </c>
      <c r="G665" s="72">
        <f>VLOOKUP(B665,'114+320'!$B$15:$AB$785,20,FALSE)</f>
        <v>3189</v>
      </c>
      <c r="H665" s="72">
        <f>VLOOKUP(B665,'114+320'!$B$15:$AB$785,4,FALSE)</f>
        <v>1453</v>
      </c>
      <c r="I665" s="68">
        <f t="shared" si="132"/>
        <v>1919</v>
      </c>
      <c r="J665" s="71">
        <f>VLOOKUP(B665,'114+320'!$B$15:$AB$785,13,FALSE)</f>
        <v>-1081</v>
      </c>
      <c r="K665" s="66">
        <f>'114+320'!Q666</f>
        <v>2</v>
      </c>
      <c r="L665" s="65">
        <f t="shared" si="137"/>
        <v>901</v>
      </c>
      <c r="M665" s="70">
        <f>VLOOKUP(B665,'114+320'!$B$14:$AB$785,21,FALSE)</f>
        <v>3087</v>
      </c>
      <c r="N665" s="69">
        <f>VLOOKUP(B665,'114+320'!$B$15:$AB$785,5,FALSE)</f>
        <v>1555</v>
      </c>
      <c r="O665" s="68">
        <f t="shared" si="133"/>
        <v>1817</v>
      </c>
      <c r="P665" s="71">
        <f>VLOOKUP(B665,'114+320'!$B$15:$AB$785,14,FALSE)</f>
        <v>-1183</v>
      </c>
      <c r="Q665" s="66">
        <f>'114+320'!R666</f>
        <v>3</v>
      </c>
      <c r="R665" s="65">
        <f t="shared" si="138"/>
        <v>1003</v>
      </c>
      <c r="S665" s="70">
        <f>VLOOKUP(B665,'114+320'!$B$14:$AB$785,22,FALSE)</f>
        <v>3208</v>
      </c>
      <c r="T665" s="69">
        <f>VLOOKUP(B665,'114+320'!$B$15:$AB$785,6,FALSE)</f>
        <v>1374</v>
      </c>
      <c r="U665" s="68">
        <f t="shared" si="134"/>
        <v>1998</v>
      </c>
      <c r="V665" s="67">
        <f>VLOOKUP(B665,'114+320'!$B$15:$AB$785,15,FALSE)</f>
        <v>-1002</v>
      </c>
      <c r="W665" s="66">
        <f>'114+320'!S666</f>
        <v>1</v>
      </c>
      <c r="X665" s="65">
        <f t="shared" si="139"/>
        <v>882</v>
      </c>
      <c r="Y665" s="64">
        <f t="shared" si="140"/>
        <v>-1</v>
      </c>
      <c r="Z665" s="63">
        <f t="shared" si="141"/>
        <v>0</v>
      </c>
      <c r="AA665" s="62">
        <f t="shared" si="142"/>
        <v>4.0990000000000002</v>
      </c>
      <c r="AB665" s="62">
        <f t="shared" si="143"/>
        <v>2.2639999999999998</v>
      </c>
    </row>
    <row r="666" spans="2:28">
      <c r="B666" s="106">
        <f>'114+320'!B667</f>
        <v>45696</v>
      </c>
      <c r="C666" s="75">
        <f t="shared" si="135"/>
        <v>1</v>
      </c>
      <c r="D666" s="74">
        <f t="shared" si="136"/>
        <v>842</v>
      </c>
      <c r="E666" s="73">
        <f>VLOOKUP(B666,'114+320'!B667:AB1053,3,FALSE)</f>
        <v>2532</v>
      </c>
      <c r="F666" s="69">
        <f t="shared" si="131"/>
        <v>3374</v>
      </c>
      <c r="G666" s="72">
        <f>VLOOKUP(B666,'114+320'!$B$15:$AB$785,20,FALSE)</f>
        <v>3188</v>
      </c>
      <c r="H666" s="72">
        <f>VLOOKUP(B666,'114+320'!$B$15:$AB$785,4,FALSE)</f>
        <v>1456</v>
      </c>
      <c r="I666" s="68">
        <f t="shared" si="132"/>
        <v>1918</v>
      </c>
      <c r="J666" s="71">
        <f>VLOOKUP(B666,'114+320'!$B$15:$AB$785,13,FALSE)</f>
        <v>-1082</v>
      </c>
      <c r="K666" s="66">
        <f>'114+320'!Q667</f>
        <v>1</v>
      </c>
      <c r="L666" s="65">
        <f t="shared" si="137"/>
        <v>902</v>
      </c>
      <c r="M666" s="70">
        <f>VLOOKUP(B666,'114+320'!$B$14:$AB$785,21,FALSE)</f>
        <v>3084</v>
      </c>
      <c r="N666" s="69">
        <f>VLOOKUP(B666,'114+320'!$B$15:$AB$785,5,FALSE)</f>
        <v>1560</v>
      </c>
      <c r="O666" s="68">
        <f t="shared" si="133"/>
        <v>1814</v>
      </c>
      <c r="P666" s="71">
        <f>VLOOKUP(B666,'114+320'!$B$15:$AB$785,14,FALSE)</f>
        <v>-1186</v>
      </c>
      <c r="Q666" s="66">
        <f>'114+320'!R667</f>
        <v>3</v>
      </c>
      <c r="R666" s="65">
        <f t="shared" si="138"/>
        <v>1006</v>
      </c>
      <c r="S666" s="70">
        <f>VLOOKUP(B666,'114+320'!$B$14:$AB$785,22,FALSE)</f>
        <v>3205</v>
      </c>
      <c r="T666" s="69">
        <f>VLOOKUP(B666,'114+320'!$B$15:$AB$785,6,FALSE)</f>
        <v>1379</v>
      </c>
      <c r="U666" s="68">
        <f t="shared" si="134"/>
        <v>1995</v>
      </c>
      <c r="V666" s="67">
        <f>VLOOKUP(B666,'114+320'!$B$15:$AB$785,15,FALSE)</f>
        <v>-1005</v>
      </c>
      <c r="W666" s="66">
        <f>'114+320'!S667</f>
        <v>3</v>
      </c>
      <c r="X666" s="65">
        <f t="shared" si="139"/>
        <v>885</v>
      </c>
      <c r="Y666" s="64">
        <f t="shared" si="140"/>
        <v>-3</v>
      </c>
      <c r="Z666" s="63">
        <f t="shared" si="141"/>
        <v>0</v>
      </c>
      <c r="AA666" s="62">
        <f t="shared" si="142"/>
        <v>4.0990000000000002</v>
      </c>
      <c r="AB666" s="62">
        <f t="shared" si="143"/>
        <v>2.258</v>
      </c>
    </row>
    <row r="667" spans="2:28">
      <c r="B667" s="106">
        <f>'114+320'!B668</f>
        <v>45697</v>
      </c>
      <c r="C667" s="75">
        <f t="shared" si="135"/>
        <v>1</v>
      </c>
      <c r="D667" s="74">
        <f t="shared" si="136"/>
        <v>842</v>
      </c>
      <c r="E667" s="73">
        <f>VLOOKUP(B667,'114+320'!B668:AB1054,3,FALSE)</f>
        <v>2534</v>
      </c>
      <c r="F667" s="69">
        <f t="shared" si="131"/>
        <v>3376</v>
      </c>
      <c r="G667" s="72">
        <f>VLOOKUP(B667,'114+320'!$B$15:$AB$785,20,FALSE)</f>
        <v>3185</v>
      </c>
      <c r="H667" s="72">
        <f>VLOOKUP(B667,'114+320'!$B$15:$AB$785,4,FALSE)</f>
        <v>1461</v>
      </c>
      <c r="I667" s="68">
        <f t="shared" si="132"/>
        <v>1915</v>
      </c>
      <c r="J667" s="71">
        <f>VLOOKUP(B667,'114+320'!$B$15:$AB$785,13,FALSE)</f>
        <v>-1085</v>
      </c>
      <c r="K667" s="66">
        <f>'114+320'!Q668</f>
        <v>3</v>
      </c>
      <c r="L667" s="65">
        <f t="shared" si="137"/>
        <v>905</v>
      </c>
      <c r="M667" s="70">
        <f>VLOOKUP(B667,'114+320'!$B$14:$AB$785,21,FALSE)</f>
        <v>3081</v>
      </c>
      <c r="N667" s="69">
        <f>VLOOKUP(B667,'114+320'!$B$15:$AB$785,5,FALSE)</f>
        <v>1565</v>
      </c>
      <c r="O667" s="68">
        <f t="shared" si="133"/>
        <v>1811</v>
      </c>
      <c r="P667" s="71">
        <f>VLOOKUP(B667,'114+320'!$B$15:$AB$785,14,FALSE)</f>
        <v>-1189</v>
      </c>
      <c r="Q667" s="66">
        <f>'114+320'!R668</f>
        <v>3</v>
      </c>
      <c r="R667" s="65">
        <f t="shared" si="138"/>
        <v>1009</v>
      </c>
      <c r="S667" s="70">
        <f>VLOOKUP(B667,'114+320'!$B$14:$AB$785,22,FALSE)</f>
        <v>3203</v>
      </c>
      <c r="T667" s="69">
        <f>VLOOKUP(B667,'114+320'!$B$15:$AB$785,6,FALSE)</f>
        <v>1383</v>
      </c>
      <c r="U667" s="68">
        <f t="shared" si="134"/>
        <v>1993</v>
      </c>
      <c r="V667" s="67">
        <f>VLOOKUP(B667,'114+320'!$B$15:$AB$785,15,FALSE)</f>
        <v>-1007</v>
      </c>
      <c r="W667" s="66">
        <f>'114+320'!S668</f>
        <v>2</v>
      </c>
      <c r="X667" s="65">
        <f t="shared" si="139"/>
        <v>887</v>
      </c>
      <c r="Y667" s="64">
        <f t="shared" si="140"/>
        <v>-2</v>
      </c>
      <c r="Z667" s="63">
        <f t="shared" si="141"/>
        <v>0</v>
      </c>
      <c r="AA667" s="62">
        <f t="shared" si="142"/>
        <v>4.0990000000000002</v>
      </c>
      <c r="AB667" s="62">
        <f t="shared" si="143"/>
        <v>2.2519999999999998</v>
      </c>
    </row>
    <row r="668" spans="2:28">
      <c r="B668" s="106">
        <f>'114+320'!B669</f>
        <v>45698</v>
      </c>
      <c r="C668" s="75">
        <f t="shared" si="135"/>
        <v>1</v>
      </c>
      <c r="D668" s="74">
        <f t="shared" si="136"/>
        <v>842</v>
      </c>
      <c r="E668" s="73">
        <f>VLOOKUP(B668,'114+320'!B669:AB1055,3,FALSE)</f>
        <v>2536</v>
      </c>
      <c r="F668" s="69">
        <f t="shared" si="131"/>
        <v>3378</v>
      </c>
      <c r="G668" s="72">
        <f>VLOOKUP(B668,'114+320'!$B$15:$AB$785,20,FALSE)</f>
        <v>3183</v>
      </c>
      <c r="H668" s="72">
        <f>VLOOKUP(B668,'114+320'!$B$15:$AB$785,4,FALSE)</f>
        <v>1465</v>
      </c>
      <c r="I668" s="68">
        <f t="shared" si="132"/>
        <v>1913</v>
      </c>
      <c r="J668" s="71">
        <f>VLOOKUP(B668,'114+320'!$B$15:$AB$785,13,FALSE)</f>
        <v>-1087</v>
      </c>
      <c r="K668" s="66">
        <f>'114+320'!Q669</f>
        <v>2</v>
      </c>
      <c r="L668" s="65">
        <f t="shared" si="137"/>
        <v>907</v>
      </c>
      <c r="M668" s="70">
        <f>VLOOKUP(B668,'114+320'!$B$14:$AB$785,21,FALSE)</f>
        <v>3078</v>
      </c>
      <c r="N668" s="69">
        <f>VLOOKUP(B668,'114+320'!$B$15:$AB$785,5,FALSE)</f>
        <v>1570</v>
      </c>
      <c r="O668" s="68">
        <f t="shared" si="133"/>
        <v>1808</v>
      </c>
      <c r="P668" s="71">
        <f>VLOOKUP(B668,'114+320'!$B$15:$AB$785,14,FALSE)</f>
        <v>-1192</v>
      </c>
      <c r="Q668" s="66">
        <f>'114+320'!R669</f>
        <v>3</v>
      </c>
      <c r="R668" s="65">
        <f t="shared" si="138"/>
        <v>1012</v>
      </c>
      <c r="S668" s="70">
        <f>VLOOKUP(B668,'114+320'!$B$14:$AB$785,22,FALSE)</f>
        <v>3202</v>
      </c>
      <c r="T668" s="69">
        <f>VLOOKUP(B668,'114+320'!$B$15:$AB$785,6,FALSE)</f>
        <v>1386</v>
      </c>
      <c r="U668" s="68">
        <f t="shared" si="134"/>
        <v>1992</v>
      </c>
      <c r="V668" s="67">
        <f>VLOOKUP(B668,'114+320'!$B$15:$AB$785,15,FALSE)</f>
        <v>-1008</v>
      </c>
      <c r="W668" s="66">
        <f>'114+320'!S669</f>
        <v>1</v>
      </c>
      <c r="X668" s="65">
        <f t="shared" si="139"/>
        <v>888</v>
      </c>
      <c r="Y668" s="64">
        <f t="shared" si="140"/>
        <v>-1</v>
      </c>
      <c r="Z668" s="63">
        <f t="shared" si="141"/>
        <v>0</v>
      </c>
      <c r="AA668" s="62">
        <f t="shared" si="142"/>
        <v>4.0990000000000002</v>
      </c>
      <c r="AB668" s="62">
        <f t="shared" si="143"/>
        <v>2.246</v>
      </c>
    </row>
    <row r="669" spans="2:28">
      <c r="B669" s="106">
        <f>'114+320'!B670</f>
        <v>45699</v>
      </c>
      <c r="C669" s="75">
        <f t="shared" si="135"/>
        <v>1</v>
      </c>
      <c r="D669" s="74">
        <f t="shared" si="136"/>
        <v>842</v>
      </c>
      <c r="E669" s="73">
        <f>VLOOKUP(B669,'114+320'!B670:AB1056,3,FALSE)</f>
        <v>2538</v>
      </c>
      <c r="F669" s="69">
        <f t="shared" si="131"/>
        <v>3380</v>
      </c>
      <c r="G669" s="72">
        <f>VLOOKUP(B669,'114+320'!$B$15:$AB$785,20,FALSE)</f>
        <v>3182</v>
      </c>
      <c r="H669" s="72">
        <f>VLOOKUP(B669,'114+320'!$B$15:$AB$785,4,FALSE)</f>
        <v>1468</v>
      </c>
      <c r="I669" s="68">
        <f t="shared" si="132"/>
        <v>1912</v>
      </c>
      <c r="J669" s="71">
        <f>VLOOKUP(B669,'114+320'!$B$15:$AB$785,13,FALSE)</f>
        <v>-1088</v>
      </c>
      <c r="K669" s="66">
        <f>'114+320'!Q670</f>
        <v>1</v>
      </c>
      <c r="L669" s="65">
        <f t="shared" si="137"/>
        <v>908</v>
      </c>
      <c r="M669" s="70">
        <f>VLOOKUP(B669,'114+320'!$B$14:$AB$785,21,FALSE)</f>
        <v>3076</v>
      </c>
      <c r="N669" s="69">
        <f>VLOOKUP(B669,'114+320'!$B$15:$AB$785,5,FALSE)</f>
        <v>1574</v>
      </c>
      <c r="O669" s="68">
        <f t="shared" si="133"/>
        <v>1806</v>
      </c>
      <c r="P669" s="71">
        <f>VLOOKUP(B669,'114+320'!$B$15:$AB$785,14,FALSE)</f>
        <v>-1194</v>
      </c>
      <c r="Q669" s="66">
        <f>'114+320'!R670</f>
        <v>2</v>
      </c>
      <c r="R669" s="65">
        <f t="shared" si="138"/>
        <v>1014</v>
      </c>
      <c r="S669" s="70">
        <f>VLOOKUP(B669,'114+320'!$B$14:$AB$785,22,FALSE)</f>
        <v>3199</v>
      </c>
      <c r="T669" s="69">
        <f>VLOOKUP(B669,'114+320'!$B$15:$AB$785,6,FALSE)</f>
        <v>1391</v>
      </c>
      <c r="U669" s="68">
        <f t="shared" si="134"/>
        <v>1989</v>
      </c>
      <c r="V669" s="67">
        <f>VLOOKUP(B669,'114+320'!$B$15:$AB$785,15,FALSE)</f>
        <v>-1011</v>
      </c>
      <c r="W669" s="66">
        <f>'114+320'!S670</f>
        <v>3</v>
      </c>
      <c r="X669" s="65">
        <f t="shared" si="139"/>
        <v>891</v>
      </c>
      <c r="Y669" s="64">
        <f t="shared" si="140"/>
        <v>-3</v>
      </c>
      <c r="Z669" s="63">
        <f t="shared" si="141"/>
        <v>0</v>
      </c>
      <c r="AA669" s="62">
        <f t="shared" si="142"/>
        <v>4.0990000000000002</v>
      </c>
      <c r="AB669" s="62">
        <f t="shared" si="143"/>
        <v>2.242</v>
      </c>
    </row>
    <row r="670" spans="2:28">
      <c r="B670" s="106">
        <f>'114+320'!B671</f>
        <v>45700</v>
      </c>
      <c r="C670" s="75">
        <f t="shared" si="135"/>
        <v>1</v>
      </c>
      <c r="D670" s="74">
        <f t="shared" si="136"/>
        <v>842</v>
      </c>
      <c r="E670" s="73">
        <f>VLOOKUP(B670,'114+320'!B671:AB1057,3,FALSE)</f>
        <v>2540</v>
      </c>
      <c r="F670" s="69">
        <f t="shared" si="131"/>
        <v>3382</v>
      </c>
      <c r="G670" s="72">
        <f>VLOOKUP(B670,'114+320'!$B$15:$AB$785,20,FALSE)</f>
        <v>3179</v>
      </c>
      <c r="H670" s="72">
        <f>VLOOKUP(B670,'114+320'!$B$15:$AB$785,4,FALSE)</f>
        <v>1473</v>
      </c>
      <c r="I670" s="68">
        <f t="shared" si="132"/>
        <v>1909</v>
      </c>
      <c r="J670" s="71">
        <f>VLOOKUP(B670,'114+320'!$B$15:$AB$785,13,FALSE)</f>
        <v>-1091</v>
      </c>
      <c r="K670" s="66">
        <f>'114+320'!Q671</f>
        <v>3</v>
      </c>
      <c r="L670" s="65">
        <f t="shared" si="137"/>
        <v>911</v>
      </c>
      <c r="M670" s="70">
        <f>VLOOKUP(B670,'114+320'!$B$14:$AB$785,21,FALSE)</f>
        <v>3074</v>
      </c>
      <c r="N670" s="69">
        <f>VLOOKUP(B670,'114+320'!$B$15:$AB$785,5,FALSE)</f>
        <v>1578</v>
      </c>
      <c r="O670" s="68">
        <f t="shared" si="133"/>
        <v>1804</v>
      </c>
      <c r="P670" s="71">
        <f>VLOOKUP(B670,'114+320'!$B$15:$AB$785,14,FALSE)</f>
        <v>-1196</v>
      </c>
      <c r="Q670" s="66">
        <f>'114+320'!R671</f>
        <v>2</v>
      </c>
      <c r="R670" s="65">
        <f t="shared" si="138"/>
        <v>1016</v>
      </c>
      <c r="S670" s="70">
        <f>VLOOKUP(B670,'114+320'!$B$14:$AB$785,22,FALSE)</f>
        <v>3196</v>
      </c>
      <c r="T670" s="69">
        <f>VLOOKUP(B670,'114+320'!$B$15:$AB$785,6,FALSE)</f>
        <v>1396</v>
      </c>
      <c r="U670" s="68">
        <f t="shared" si="134"/>
        <v>1986</v>
      </c>
      <c r="V670" s="67">
        <f>VLOOKUP(B670,'114+320'!$B$15:$AB$785,15,FALSE)</f>
        <v>-1014</v>
      </c>
      <c r="W670" s="66">
        <f>'114+320'!S671</f>
        <v>3</v>
      </c>
      <c r="X670" s="65">
        <f t="shared" si="139"/>
        <v>894</v>
      </c>
      <c r="Y670" s="64">
        <f t="shared" si="140"/>
        <v>-3</v>
      </c>
      <c r="Z670" s="63">
        <f t="shared" si="141"/>
        <v>0</v>
      </c>
      <c r="AA670" s="62">
        <f t="shared" si="142"/>
        <v>4.0990000000000002</v>
      </c>
      <c r="AB670" s="62">
        <f t="shared" si="143"/>
        <v>2.238</v>
      </c>
    </row>
    <row r="671" spans="2:28">
      <c r="B671" s="106">
        <f>'114+320'!B672</f>
        <v>45701</v>
      </c>
      <c r="C671" s="75">
        <f t="shared" si="135"/>
        <v>1</v>
      </c>
      <c r="D671" s="74">
        <f t="shared" si="136"/>
        <v>842</v>
      </c>
      <c r="E671" s="73">
        <f>VLOOKUP(B671,'114+320'!B672:AB1058,3,FALSE)</f>
        <v>2542</v>
      </c>
      <c r="F671" s="69">
        <f t="shared" si="131"/>
        <v>3384</v>
      </c>
      <c r="G671" s="72">
        <f>VLOOKUP(B671,'114+320'!$B$15:$AB$785,20,FALSE)</f>
        <v>3176</v>
      </c>
      <c r="H671" s="72">
        <f>VLOOKUP(B671,'114+320'!$B$15:$AB$785,4,FALSE)</f>
        <v>1478</v>
      </c>
      <c r="I671" s="68">
        <f t="shared" si="132"/>
        <v>1906</v>
      </c>
      <c r="J671" s="71">
        <f>VLOOKUP(B671,'114+320'!$B$15:$AB$785,13,FALSE)</f>
        <v>-1094</v>
      </c>
      <c r="K671" s="66">
        <f>'114+320'!Q672</f>
        <v>3</v>
      </c>
      <c r="L671" s="65">
        <f t="shared" si="137"/>
        <v>914</v>
      </c>
      <c r="M671" s="70">
        <f>VLOOKUP(B671,'114+320'!$B$14:$AB$785,21,FALSE)</f>
        <v>3072</v>
      </c>
      <c r="N671" s="69">
        <f>VLOOKUP(B671,'114+320'!$B$15:$AB$785,5,FALSE)</f>
        <v>1582</v>
      </c>
      <c r="O671" s="68">
        <f t="shared" si="133"/>
        <v>1802</v>
      </c>
      <c r="P671" s="71">
        <f>VLOOKUP(B671,'114+320'!$B$15:$AB$785,14,FALSE)</f>
        <v>-1198</v>
      </c>
      <c r="Q671" s="66">
        <f>'114+320'!R672</f>
        <v>2</v>
      </c>
      <c r="R671" s="65">
        <f t="shared" si="138"/>
        <v>1018</v>
      </c>
      <c r="S671" s="70">
        <f>VLOOKUP(B671,'114+320'!$B$14:$AB$785,22,FALSE)</f>
        <v>3193</v>
      </c>
      <c r="T671" s="69">
        <f>VLOOKUP(B671,'114+320'!$B$15:$AB$785,6,FALSE)</f>
        <v>1401</v>
      </c>
      <c r="U671" s="68">
        <f t="shared" si="134"/>
        <v>1983</v>
      </c>
      <c r="V671" s="67">
        <f>VLOOKUP(B671,'114+320'!$B$15:$AB$785,15,FALSE)</f>
        <v>-1017</v>
      </c>
      <c r="W671" s="66">
        <f>'114+320'!S672</f>
        <v>3</v>
      </c>
      <c r="X671" s="65">
        <f t="shared" si="139"/>
        <v>897</v>
      </c>
      <c r="Y671" s="64">
        <f t="shared" si="140"/>
        <v>-3</v>
      </c>
      <c r="Z671" s="63">
        <f t="shared" si="141"/>
        <v>0</v>
      </c>
      <c r="AA671" s="62">
        <f t="shared" si="142"/>
        <v>4.0990000000000002</v>
      </c>
      <c r="AB671" s="62">
        <f t="shared" si="143"/>
        <v>2.234</v>
      </c>
    </row>
    <row r="672" spans="2:28">
      <c r="B672" s="106">
        <f>'114+320'!B673</f>
        <v>45702</v>
      </c>
      <c r="C672" s="75">
        <f t="shared" si="135"/>
        <v>1</v>
      </c>
      <c r="D672" s="74">
        <f t="shared" si="136"/>
        <v>842</v>
      </c>
      <c r="E672" s="73">
        <f>VLOOKUP(B672,'114+320'!B673:AB1059,3,FALSE)</f>
        <v>2544</v>
      </c>
      <c r="F672" s="69">
        <f t="shared" si="131"/>
        <v>3386</v>
      </c>
      <c r="G672" s="72">
        <f>VLOOKUP(B672,'114+320'!$B$15:$AB$785,20,FALSE)</f>
        <v>3173</v>
      </c>
      <c r="H672" s="72">
        <f>VLOOKUP(B672,'114+320'!$B$15:$AB$785,4,FALSE)</f>
        <v>1483</v>
      </c>
      <c r="I672" s="68">
        <f t="shared" si="132"/>
        <v>1903</v>
      </c>
      <c r="J672" s="71">
        <f>VLOOKUP(B672,'114+320'!$B$15:$AB$785,13,FALSE)</f>
        <v>-1097</v>
      </c>
      <c r="K672" s="66">
        <f>'114+320'!Q673</f>
        <v>3</v>
      </c>
      <c r="L672" s="65">
        <f t="shared" si="137"/>
        <v>917</v>
      </c>
      <c r="M672" s="70">
        <f>VLOOKUP(B672,'114+320'!$B$14:$AB$785,21,FALSE)</f>
        <v>3071</v>
      </c>
      <c r="N672" s="69">
        <f>VLOOKUP(B672,'114+320'!$B$15:$AB$785,5,FALSE)</f>
        <v>1585</v>
      </c>
      <c r="O672" s="68">
        <f t="shared" si="133"/>
        <v>1801</v>
      </c>
      <c r="P672" s="71">
        <f>VLOOKUP(B672,'114+320'!$B$15:$AB$785,14,FALSE)</f>
        <v>-1199</v>
      </c>
      <c r="Q672" s="66">
        <f>'114+320'!R673</f>
        <v>1</v>
      </c>
      <c r="R672" s="65">
        <f t="shared" si="138"/>
        <v>1019</v>
      </c>
      <c r="S672" s="70">
        <f>VLOOKUP(B672,'114+320'!$B$14:$AB$785,22,FALSE)</f>
        <v>3190</v>
      </c>
      <c r="T672" s="69">
        <f>VLOOKUP(B672,'114+320'!$B$15:$AB$785,6,FALSE)</f>
        <v>1406</v>
      </c>
      <c r="U672" s="68">
        <f t="shared" si="134"/>
        <v>1980</v>
      </c>
      <c r="V672" s="67">
        <f>VLOOKUP(B672,'114+320'!$B$15:$AB$785,15,FALSE)</f>
        <v>-1020</v>
      </c>
      <c r="W672" s="66">
        <f>'114+320'!S673</f>
        <v>3</v>
      </c>
      <c r="X672" s="65">
        <f t="shared" si="139"/>
        <v>900</v>
      </c>
      <c r="Y672" s="64">
        <f t="shared" si="140"/>
        <v>-3</v>
      </c>
      <c r="Z672" s="63">
        <f t="shared" si="141"/>
        <v>0</v>
      </c>
      <c r="AA672" s="62">
        <f t="shared" si="142"/>
        <v>4.0990000000000002</v>
      </c>
      <c r="AB672" s="62">
        <f t="shared" si="143"/>
        <v>2.2320000000000002</v>
      </c>
    </row>
    <row r="673" spans="2:28">
      <c r="B673" s="106">
        <f>'114+320'!B674</f>
        <v>45703</v>
      </c>
      <c r="C673" s="75">
        <f t="shared" si="135"/>
        <v>1</v>
      </c>
      <c r="D673" s="74">
        <f t="shared" si="136"/>
        <v>842</v>
      </c>
      <c r="E673" s="73">
        <f>VLOOKUP(B673,'114+320'!B674:AB1060,3,FALSE)</f>
        <v>2546</v>
      </c>
      <c r="F673" s="69">
        <f t="shared" si="131"/>
        <v>3388</v>
      </c>
      <c r="G673" s="72">
        <f>VLOOKUP(B673,'114+320'!$B$15:$AB$785,20,FALSE)</f>
        <v>3170</v>
      </c>
      <c r="H673" s="72">
        <f>VLOOKUP(B673,'114+320'!$B$15:$AB$785,4,FALSE)</f>
        <v>1488</v>
      </c>
      <c r="I673" s="68">
        <f t="shared" si="132"/>
        <v>1900</v>
      </c>
      <c r="J673" s="71">
        <f>VLOOKUP(B673,'114+320'!$B$15:$AB$785,13,FALSE)</f>
        <v>-1100</v>
      </c>
      <c r="K673" s="66">
        <f>'114+320'!Q674</f>
        <v>3</v>
      </c>
      <c r="L673" s="65">
        <f t="shared" si="137"/>
        <v>920</v>
      </c>
      <c r="M673" s="70">
        <f>VLOOKUP(B673,'114+320'!$B$14:$AB$785,21,FALSE)</f>
        <v>3068</v>
      </c>
      <c r="N673" s="69">
        <f>VLOOKUP(B673,'114+320'!$B$15:$AB$785,5,FALSE)</f>
        <v>1590</v>
      </c>
      <c r="O673" s="68">
        <f t="shared" si="133"/>
        <v>1798</v>
      </c>
      <c r="P673" s="71">
        <f>VLOOKUP(B673,'114+320'!$B$15:$AB$785,14,FALSE)</f>
        <v>-1202</v>
      </c>
      <c r="Q673" s="66">
        <f>'114+320'!R674</f>
        <v>3</v>
      </c>
      <c r="R673" s="65">
        <f t="shared" si="138"/>
        <v>1022</v>
      </c>
      <c r="S673" s="70">
        <f>VLOOKUP(B673,'114+320'!$B$14:$AB$785,22,FALSE)</f>
        <v>3188</v>
      </c>
      <c r="T673" s="69">
        <f>VLOOKUP(B673,'114+320'!$B$15:$AB$785,6,FALSE)</f>
        <v>1410</v>
      </c>
      <c r="U673" s="68">
        <f t="shared" si="134"/>
        <v>1978</v>
      </c>
      <c r="V673" s="67">
        <f>VLOOKUP(B673,'114+320'!$B$15:$AB$785,15,FALSE)</f>
        <v>-1022</v>
      </c>
      <c r="W673" s="66">
        <f>'114+320'!S674</f>
        <v>2</v>
      </c>
      <c r="X673" s="65">
        <f t="shared" si="139"/>
        <v>902</v>
      </c>
      <c r="Y673" s="64">
        <f t="shared" si="140"/>
        <v>-2</v>
      </c>
      <c r="Z673" s="63">
        <f t="shared" si="141"/>
        <v>0</v>
      </c>
      <c r="AA673" s="62">
        <f t="shared" si="142"/>
        <v>4.0990000000000002</v>
      </c>
      <c r="AB673" s="62">
        <f t="shared" si="143"/>
        <v>2.226</v>
      </c>
    </row>
    <row r="674" spans="2:28">
      <c r="B674" s="106">
        <f>'114+320'!B675</f>
        <v>45704</v>
      </c>
      <c r="C674" s="75">
        <f t="shared" si="135"/>
        <v>1</v>
      </c>
      <c r="D674" s="74">
        <f t="shared" si="136"/>
        <v>842</v>
      </c>
      <c r="E674" s="73">
        <f>VLOOKUP(B674,'114+320'!B675:AB1061,3,FALSE)</f>
        <v>2548</v>
      </c>
      <c r="F674" s="69">
        <f t="shared" si="131"/>
        <v>3390</v>
      </c>
      <c r="G674" s="72">
        <f>VLOOKUP(B674,'114+320'!$B$15:$AB$785,20,FALSE)</f>
        <v>3168</v>
      </c>
      <c r="H674" s="72">
        <f>VLOOKUP(B674,'114+320'!$B$15:$AB$785,4,FALSE)</f>
        <v>1492</v>
      </c>
      <c r="I674" s="68">
        <f t="shared" si="132"/>
        <v>1898</v>
      </c>
      <c r="J674" s="71">
        <f>VLOOKUP(B674,'114+320'!$B$15:$AB$785,13,FALSE)</f>
        <v>-1102</v>
      </c>
      <c r="K674" s="66">
        <f>'114+320'!Q675</f>
        <v>2</v>
      </c>
      <c r="L674" s="65">
        <f t="shared" si="137"/>
        <v>922</v>
      </c>
      <c r="M674" s="70">
        <f>VLOOKUP(B674,'114+320'!$B$14:$AB$785,21,FALSE)</f>
        <v>3066</v>
      </c>
      <c r="N674" s="69">
        <f>VLOOKUP(B674,'114+320'!$B$15:$AB$785,5,FALSE)</f>
        <v>1594</v>
      </c>
      <c r="O674" s="68">
        <f t="shared" si="133"/>
        <v>1796</v>
      </c>
      <c r="P674" s="71">
        <f>VLOOKUP(B674,'114+320'!$B$15:$AB$785,14,FALSE)</f>
        <v>-1204</v>
      </c>
      <c r="Q674" s="66">
        <f>'114+320'!R675</f>
        <v>2</v>
      </c>
      <c r="R674" s="65">
        <f t="shared" si="138"/>
        <v>1024</v>
      </c>
      <c r="S674" s="70">
        <f>VLOOKUP(B674,'114+320'!$B$14:$AB$785,22,FALSE)</f>
        <v>3186</v>
      </c>
      <c r="T674" s="69">
        <f>VLOOKUP(B674,'114+320'!$B$15:$AB$785,6,FALSE)</f>
        <v>1414</v>
      </c>
      <c r="U674" s="68">
        <f t="shared" si="134"/>
        <v>1976</v>
      </c>
      <c r="V674" s="67">
        <f>VLOOKUP(B674,'114+320'!$B$15:$AB$785,15,FALSE)</f>
        <v>-1024</v>
      </c>
      <c r="W674" s="66">
        <f>'114+320'!S675</f>
        <v>2</v>
      </c>
      <c r="X674" s="65">
        <f t="shared" si="139"/>
        <v>904</v>
      </c>
      <c r="Y674" s="64">
        <f t="shared" si="140"/>
        <v>-2</v>
      </c>
      <c r="Z674" s="63">
        <f t="shared" si="141"/>
        <v>0</v>
      </c>
      <c r="AA674" s="62">
        <f t="shared" si="142"/>
        <v>4.0990000000000002</v>
      </c>
      <c r="AB674" s="62">
        <f t="shared" si="143"/>
        <v>2.222</v>
      </c>
    </row>
    <row r="675" spans="2:28">
      <c r="B675" s="106">
        <f>'114+320'!B676</f>
        <v>45705</v>
      </c>
      <c r="C675" s="75">
        <f t="shared" si="135"/>
        <v>1</v>
      </c>
      <c r="D675" s="74">
        <f t="shared" si="136"/>
        <v>842</v>
      </c>
      <c r="E675" s="73">
        <f>VLOOKUP(B675,'114+320'!B676:AB1062,3,FALSE)</f>
        <v>2550</v>
      </c>
      <c r="F675" s="69">
        <f t="shared" si="131"/>
        <v>3392</v>
      </c>
      <c r="G675" s="72">
        <f>VLOOKUP(B675,'114+320'!$B$15:$AB$785,20,FALSE)</f>
        <v>3166</v>
      </c>
      <c r="H675" s="72">
        <f>VLOOKUP(B675,'114+320'!$B$15:$AB$785,4,FALSE)</f>
        <v>1496</v>
      </c>
      <c r="I675" s="68">
        <f t="shared" si="132"/>
        <v>1896</v>
      </c>
      <c r="J675" s="71">
        <f>VLOOKUP(B675,'114+320'!$B$15:$AB$785,13,FALSE)</f>
        <v>-1104</v>
      </c>
      <c r="K675" s="66">
        <f>'114+320'!Q676</f>
        <v>2</v>
      </c>
      <c r="L675" s="65">
        <f t="shared" si="137"/>
        <v>924</v>
      </c>
      <c r="M675" s="70">
        <f>VLOOKUP(B675,'114+320'!$B$14:$AB$785,21,FALSE)</f>
        <v>3064</v>
      </c>
      <c r="N675" s="69">
        <f>VLOOKUP(B675,'114+320'!$B$15:$AB$785,5,FALSE)</f>
        <v>1598</v>
      </c>
      <c r="O675" s="68">
        <f t="shared" si="133"/>
        <v>1794</v>
      </c>
      <c r="P675" s="71">
        <f>VLOOKUP(B675,'114+320'!$B$15:$AB$785,14,FALSE)</f>
        <v>-1206</v>
      </c>
      <c r="Q675" s="66">
        <f>'114+320'!R676</f>
        <v>2</v>
      </c>
      <c r="R675" s="65">
        <f t="shared" si="138"/>
        <v>1026</v>
      </c>
      <c r="S675" s="70">
        <f>VLOOKUP(B675,'114+320'!$B$14:$AB$785,22,FALSE)</f>
        <v>3184</v>
      </c>
      <c r="T675" s="69">
        <f>VLOOKUP(B675,'114+320'!$B$15:$AB$785,6,FALSE)</f>
        <v>1418</v>
      </c>
      <c r="U675" s="68">
        <f t="shared" si="134"/>
        <v>1974</v>
      </c>
      <c r="V675" s="67">
        <f>VLOOKUP(B675,'114+320'!$B$15:$AB$785,15,FALSE)</f>
        <v>-1026</v>
      </c>
      <c r="W675" s="66">
        <f>'114+320'!S676</f>
        <v>2</v>
      </c>
      <c r="X675" s="65">
        <f t="shared" si="139"/>
        <v>906</v>
      </c>
      <c r="Y675" s="64">
        <f t="shared" si="140"/>
        <v>-2</v>
      </c>
      <c r="Z675" s="63">
        <f t="shared" si="141"/>
        <v>0</v>
      </c>
      <c r="AA675" s="62">
        <f t="shared" si="142"/>
        <v>4.0990000000000002</v>
      </c>
      <c r="AB675" s="62">
        <f t="shared" si="143"/>
        <v>2.218</v>
      </c>
    </row>
    <row r="676" spans="2:28">
      <c r="B676" s="106">
        <f>'114+320'!B677</f>
        <v>45706</v>
      </c>
      <c r="C676" s="75">
        <f t="shared" si="135"/>
        <v>1</v>
      </c>
      <c r="D676" s="74">
        <f t="shared" si="136"/>
        <v>842</v>
      </c>
      <c r="E676" s="73">
        <f>VLOOKUP(B676,'114+320'!B677:AB1063,3,FALSE)</f>
        <v>2552</v>
      </c>
      <c r="F676" s="69">
        <f t="shared" si="131"/>
        <v>3394</v>
      </c>
      <c r="G676" s="72">
        <f>VLOOKUP(B676,'114+320'!$B$15:$AB$785,20,FALSE)</f>
        <v>3164</v>
      </c>
      <c r="H676" s="72">
        <f>VLOOKUP(B676,'114+320'!$B$15:$AB$785,4,FALSE)</f>
        <v>1500</v>
      </c>
      <c r="I676" s="68">
        <f t="shared" si="132"/>
        <v>1894</v>
      </c>
      <c r="J676" s="71">
        <f>VLOOKUP(B676,'114+320'!$B$15:$AB$785,13,FALSE)</f>
        <v>-1106</v>
      </c>
      <c r="K676" s="66">
        <f>'114+320'!Q677</f>
        <v>2</v>
      </c>
      <c r="L676" s="65">
        <f t="shared" si="137"/>
        <v>926</v>
      </c>
      <c r="M676" s="70">
        <f>VLOOKUP(B676,'114+320'!$B$14:$AB$785,21,FALSE)</f>
        <v>3063</v>
      </c>
      <c r="N676" s="69">
        <f>VLOOKUP(B676,'114+320'!$B$15:$AB$785,5,FALSE)</f>
        <v>1601</v>
      </c>
      <c r="O676" s="68">
        <f t="shared" si="133"/>
        <v>1793</v>
      </c>
      <c r="P676" s="71">
        <f>VLOOKUP(B676,'114+320'!$B$15:$AB$785,14,FALSE)</f>
        <v>-1207</v>
      </c>
      <c r="Q676" s="66">
        <f>'114+320'!R677</f>
        <v>1</v>
      </c>
      <c r="R676" s="65">
        <f t="shared" si="138"/>
        <v>1027</v>
      </c>
      <c r="S676" s="70">
        <f>VLOOKUP(B676,'114+320'!$B$14:$AB$785,22,FALSE)</f>
        <v>3183</v>
      </c>
      <c r="T676" s="69">
        <f>VLOOKUP(B676,'114+320'!$B$15:$AB$785,6,FALSE)</f>
        <v>1421</v>
      </c>
      <c r="U676" s="68">
        <f t="shared" si="134"/>
        <v>1973</v>
      </c>
      <c r="V676" s="67">
        <f>VLOOKUP(B676,'114+320'!$B$15:$AB$785,15,FALSE)</f>
        <v>-1027</v>
      </c>
      <c r="W676" s="66">
        <f>'114+320'!S677</f>
        <v>1</v>
      </c>
      <c r="X676" s="65">
        <f t="shared" si="139"/>
        <v>907</v>
      </c>
      <c r="Y676" s="64">
        <f t="shared" si="140"/>
        <v>-1</v>
      </c>
      <c r="Z676" s="63">
        <f t="shared" si="141"/>
        <v>0</v>
      </c>
      <c r="AA676" s="62">
        <f t="shared" si="142"/>
        <v>4.0990000000000002</v>
      </c>
      <c r="AB676" s="62">
        <f t="shared" si="143"/>
        <v>2.2160000000000002</v>
      </c>
    </row>
    <row r="677" spans="2:28">
      <c r="B677" s="106">
        <f>'114+320'!B678</f>
        <v>45707</v>
      </c>
      <c r="C677" s="75">
        <f t="shared" si="135"/>
        <v>1</v>
      </c>
      <c r="D677" s="74">
        <f t="shared" si="136"/>
        <v>842</v>
      </c>
      <c r="E677" s="73">
        <f>VLOOKUP(B677,'114+320'!B678:AB1064,3,FALSE)</f>
        <v>2554</v>
      </c>
      <c r="F677" s="69">
        <f t="shared" si="131"/>
        <v>3396</v>
      </c>
      <c r="G677" s="72">
        <f>VLOOKUP(B677,'114+320'!$B$15:$AB$785,20,FALSE)</f>
        <v>3163</v>
      </c>
      <c r="H677" s="72">
        <f>VLOOKUP(B677,'114+320'!$B$15:$AB$785,4,FALSE)</f>
        <v>1503</v>
      </c>
      <c r="I677" s="68">
        <f t="shared" si="132"/>
        <v>1893</v>
      </c>
      <c r="J677" s="71">
        <f>VLOOKUP(B677,'114+320'!$B$15:$AB$785,13,FALSE)</f>
        <v>-1107</v>
      </c>
      <c r="K677" s="66">
        <f>'114+320'!Q678</f>
        <v>1</v>
      </c>
      <c r="L677" s="65">
        <f t="shared" si="137"/>
        <v>927</v>
      </c>
      <c r="M677" s="70">
        <f>VLOOKUP(B677,'114+320'!$B$14:$AB$785,21,FALSE)</f>
        <v>3060</v>
      </c>
      <c r="N677" s="69">
        <f>VLOOKUP(B677,'114+320'!$B$15:$AB$785,5,FALSE)</f>
        <v>1606</v>
      </c>
      <c r="O677" s="68">
        <f t="shared" si="133"/>
        <v>1790</v>
      </c>
      <c r="P677" s="71">
        <f>VLOOKUP(B677,'114+320'!$B$15:$AB$785,14,FALSE)</f>
        <v>-1210</v>
      </c>
      <c r="Q677" s="66">
        <f>'114+320'!R678</f>
        <v>3</v>
      </c>
      <c r="R677" s="65">
        <f t="shared" si="138"/>
        <v>1030</v>
      </c>
      <c r="S677" s="70">
        <f>VLOOKUP(B677,'114+320'!$B$14:$AB$785,22,FALSE)</f>
        <v>3180</v>
      </c>
      <c r="T677" s="69">
        <f>VLOOKUP(B677,'114+320'!$B$15:$AB$785,6,FALSE)</f>
        <v>1426</v>
      </c>
      <c r="U677" s="68">
        <f t="shared" si="134"/>
        <v>1970</v>
      </c>
      <c r="V677" s="67">
        <f>VLOOKUP(B677,'114+320'!$B$15:$AB$785,15,FALSE)</f>
        <v>-1030</v>
      </c>
      <c r="W677" s="66">
        <f>'114+320'!S678</f>
        <v>3</v>
      </c>
      <c r="X677" s="65">
        <f t="shared" si="139"/>
        <v>910</v>
      </c>
      <c r="Y677" s="64">
        <f t="shared" si="140"/>
        <v>-3</v>
      </c>
      <c r="Z677" s="63">
        <f t="shared" si="141"/>
        <v>0</v>
      </c>
      <c r="AA677" s="62">
        <f t="shared" si="142"/>
        <v>4.0990000000000002</v>
      </c>
      <c r="AB677" s="62">
        <f t="shared" si="143"/>
        <v>2.21</v>
      </c>
    </row>
    <row r="678" spans="2:28">
      <c r="B678" s="106">
        <f>'114+320'!B679</f>
        <v>45708</v>
      </c>
      <c r="C678" s="75">
        <f t="shared" si="135"/>
        <v>1</v>
      </c>
      <c r="D678" s="74">
        <f t="shared" si="136"/>
        <v>842</v>
      </c>
      <c r="E678" s="73">
        <f>VLOOKUP(B678,'114+320'!B679:AB1065,3,FALSE)</f>
        <v>2556</v>
      </c>
      <c r="F678" s="69">
        <f t="shared" si="131"/>
        <v>3398</v>
      </c>
      <c r="G678" s="72">
        <f>VLOOKUP(B678,'114+320'!$B$15:$AB$785,20,FALSE)</f>
        <v>3160</v>
      </c>
      <c r="H678" s="72">
        <f>VLOOKUP(B678,'114+320'!$B$15:$AB$785,4,FALSE)</f>
        <v>1508</v>
      </c>
      <c r="I678" s="68">
        <f t="shared" si="132"/>
        <v>1890</v>
      </c>
      <c r="J678" s="71">
        <f>VLOOKUP(B678,'114+320'!$B$15:$AB$785,13,FALSE)</f>
        <v>-1110</v>
      </c>
      <c r="K678" s="66">
        <f>'114+320'!Q679</f>
        <v>3</v>
      </c>
      <c r="L678" s="65">
        <f t="shared" si="137"/>
        <v>930</v>
      </c>
      <c r="M678" s="70">
        <f>VLOOKUP(B678,'114+320'!$B$14:$AB$785,21,FALSE)</f>
        <v>3057</v>
      </c>
      <c r="N678" s="69">
        <f>VLOOKUP(B678,'114+320'!$B$15:$AB$785,5,FALSE)</f>
        <v>1611</v>
      </c>
      <c r="O678" s="68">
        <f t="shared" si="133"/>
        <v>1787</v>
      </c>
      <c r="P678" s="71">
        <f>VLOOKUP(B678,'114+320'!$B$15:$AB$785,14,FALSE)</f>
        <v>-1213</v>
      </c>
      <c r="Q678" s="66">
        <f>'114+320'!R679</f>
        <v>3</v>
      </c>
      <c r="R678" s="65">
        <f t="shared" si="138"/>
        <v>1033</v>
      </c>
      <c r="S678" s="70">
        <f>VLOOKUP(B678,'114+320'!$B$14:$AB$785,22,FALSE)</f>
        <v>3178</v>
      </c>
      <c r="T678" s="69">
        <f>VLOOKUP(B678,'114+320'!$B$15:$AB$785,6,FALSE)</f>
        <v>1430</v>
      </c>
      <c r="U678" s="68">
        <f t="shared" si="134"/>
        <v>1968</v>
      </c>
      <c r="V678" s="67">
        <f>VLOOKUP(B678,'114+320'!$B$15:$AB$785,15,FALSE)</f>
        <v>-1032</v>
      </c>
      <c r="W678" s="66">
        <f>'114+320'!S679</f>
        <v>2</v>
      </c>
      <c r="X678" s="65">
        <f t="shared" si="139"/>
        <v>912</v>
      </c>
      <c r="Y678" s="64">
        <f t="shared" si="140"/>
        <v>-2</v>
      </c>
      <c r="Z678" s="63">
        <f t="shared" si="141"/>
        <v>0</v>
      </c>
      <c r="AA678" s="62">
        <f t="shared" si="142"/>
        <v>4.0990000000000002</v>
      </c>
      <c r="AB678" s="62">
        <f t="shared" si="143"/>
        <v>2.2040000000000002</v>
      </c>
    </row>
    <row r="679" spans="2:28">
      <c r="B679" s="106">
        <f>'114+320'!B680</f>
        <v>45709</v>
      </c>
      <c r="C679" s="75">
        <f t="shared" si="135"/>
        <v>1</v>
      </c>
      <c r="D679" s="74">
        <f t="shared" si="136"/>
        <v>842</v>
      </c>
      <c r="E679" s="73">
        <f>VLOOKUP(B679,'114+320'!B680:AB1066,3,FALSE)</f>
        <v>2558</v>
      </c>
      <c r="F679" s="69">
        <f t="shared" si="131"/>
        <v>3400</v>
      </c>
      <c r="G679" s="72">
        <f>VLOOKUP(B679,'114+320'!$B$15:$AB$785,20,FALSE)</f>
        <v>3158</v>
      </c>
      <c r="H679" s="72">
        <f>VLOOKUP(B679,'114+320'!$B$15:$AB$785,4,FALSE)</f>
        <v>1512</v>
      </c>
      <c r="I679" s="68">
        <f t="shared" si="132"/>
        <v>1888</v>
      </c>
      <c r="J679" s="71">
        <f>VLOOKUP(B679,'114+320'!$B$15:$AB$785,13,FALSE)</f>
        <v>-1112</v>
      </c>
      <c r="K679" s="66">
        <f>'114+320'!Q680</f>
        <v>2</v>
      </c>
      <c r="L679" s="65">
        <f t="shared" si="137"/>
        <v>932</v>
      </c>
      <c r="M679" s="70">
        <f>VLOOKUP(B679,'114+320'!$B$14:$AB$785,21,FALSE)</f>
        <v>3055</v>
      </c>
      <c r="N679" s="69">
        <f>VLOOKUP(B679,'114+320'!$B$15:$AB$785,5,FALSE)</f>
        <v>1615</v>
      </c>
      <c r="O679" s="68">
        <f t="shared" si="133"/>
        <v>1785</v>
      </c>
      <c r="P679" s="71">
        <f>VLOOKUP(B679,'114+320'!$B$15:$AB$785,14,FALSE)</f>
        <v>-1215</v>
      </c>
      <c r="Q679" s="66">
        <f>'114+320'!R680</f>
        <v>2</v>
      </c>
      <c r="R679" s="65">
        <f t="shared" si="138"/>
        <v>1035</v>
      </c>
      <c r="S679" s="70">
        <f>VLOOKUP(B679,'114+320'!$B$14:$AB$785,22,FALSE)</f>
        <v>3176</v>
      </c>
      <c r="T679" s="69">
        <f>VLOOKUP(B679,'114+320'!$B$15:$AB$785,6,FALSE)</f>
        <v>1434</v>
      </c>
      <c r="U679" s="68">
        <f t="shared" si="134"/>
        <v>1966</v>
      </c>
      <c r="V679" s="67">
        <f>VLOOKUP(B679,'114+320'!$B$15:$AB$785,15,FALSE)</f>
        <v>-1034</v>
      </c>
      <c r="W679" s="66">
        <f>'114+320'!S680</f>
        <v>2</v>
      </c>
      <c r="X679" s="65">
        <f t="shared" si="139"/>
        <v>914</v>
      </c>
      <c r="Y679" s="64">
        <f t="shared" si="140"/>
        <v>-2</v>
      </c>
      <c r="Z679" s="63">
        <f t="shared" si="141"/>
        <v>0</v>
      </c>
      <c r="AA679" s="62">
        <f t="shared" si="142"/>
        <v>4.0990000000000002</v>
      </c>
      <c r="AB679" s="62">
        <f t="shared" si="143"/>
        <v>2.2000000000000002</v>
      </c>
    </row>
    <row r="680" spans="2:28">
      <c r="B680" s="106">
        <f>'114+320'!B681</f>
        <v>45710</v>
      </c>
      <c r="C680" s="75">
        <f t="shared" si="135"/>
        <v>1</v>
      </c>
      <c r="D680" s="74">
        <f t="shared" si="136"/>
        <v>842</v>
      </c>
      <c r="E680" s="73">
        <f>VLOOKUP(B680,'114+320'!B681:AB1067,3,FALSE)</f>
        <v>2560</v>
      </c>
      <c r="F680" s="69">
        <f t="shared" si="131"/>
        <v>3402</v>
      </c>
      <c r="G680" s="72">
        <f>VLOOKUP(B680,'114+320'!$B$15:$AB$785,20,FALSE)</f>
        <v>3156</v>
      </c>
      <c r="H680" s="72">
        <f>VLOOKUP(B680,'114+320'!$B$15:$AB$785,4,FALSE)</f>
        <v>1516</v>
      </c>
      <c r="I680" s="68">
        <f t="shared" si="132"/>
        <v>1886</v>
      </c>
      <c r="J680" s="71">
        <f>VLOOKUP(B680,'114+320'!$B$15:$AB$785,13,FALSE)</f>
        <v>-1114</v>
      </c>
      <c r="K680" s="66">
        <f>'114+320'!Q681</f>
        <v>2</v>
      </c>
      <c r="L680" s="65">
        <f t="shared" si="137"/>
        <v>934</v>
      </c>
      <c r="M680" s="70">
        <f>VLOOKUP(B680,'114+320'!$B$14:$AB$785,21,FALSE)</f>
        <v>3053</v>
      </c>
      <c r="N680" s="69">
        <f>VLOOKUP(B680,'114+320'!$B$15:$AB$785,5,FALSE)</f>
        <v>1619</v>
      </c>
      <c r="O680" s="68">
        <f t="shared" si="133"/>
        <v>1783</v>
      </c>
      <c r="P680" s="71">
        <f>VLOOKUP(B680,'114+320'!$B$15:$AB$785,14,FALSE)</f>
        <v>-1217</v>
      </c>
      <c r="Q680" s="66">
        <f>'114+320'!R681</f>
        <v>2</v>
      </c>
      <c r="R680" s="65">
        <f t="shared" si="138"/>
        <v>1037</v>
      </c>
      <c r="S680" s="70">
        <f>VLOOKUP(B680,'114+320'!$B$14:$AB$785,22,FALSE)</f>
        <v>3175</v>
      </c>
      <c r="T680" s="69">
        <f>VLOOKUP(B680,'114+320'!$B$15:$AB$785,6,FALSE)</f>
        <v>1437</v>
      </c>
      <c r="U680" s="68">
        <f t="shared" si="134"/>
        <v>1965</v>
      </c>
      <c r="V680" s="67">
        <f>VLOOKUP(B680,'114+320'!$B$15:$AB$785,15,FALSE)</f>
        <v>-1035</v>
      </c>
      <c r="W680" s="66">
        <f>'114+320'!S681</f>
        <v>1</v>
      </c>
      <c r="X680" s="65">
        <f t="shared" si="139"/>
        <v>915</v>
      </c>
      <c r="Y680" s="64">
        <f t="shared" si="140"/>
        <v>-1</v>
      </c>
      <c r="Z680" s="63">
        <f t="shared" si="141"/>
        <v>0</v>
      </c>
      <c r="AA680" s="62">
        <f t="shared" si="142"/>
        <v>4.0990000000000002</v>
      </c>
      <c r="AB680" s="62">
        <f t="shared" si="143"/>
        <v>2.1960000000000002</v>
      </c>
    </row>
    <row r="681" spans="2:28">
      <c r="B681" s="106">
        <f>'114+320'!B682</f>
        <v>45711</v>
      </c>
      <c r="C681" s="75">
        <f t="shared" si="135"/>
        <v>1</v>
      </c>
      <c r="D681" s="74">
        <f t="shared" si="136"/>
        <v>842</v>
      </c>
      <c r="E681" s="73">
        <f>VLOOKUP(B681,'114+320'!B682:AB1068,3,FALSE)</f>
        <v>2562</v>
      </c>
      <c r="F681" s="69">
        <f t="shared" si="131"/>
        <v>3404</v>
      </c>
      <c r="G681" s="72">
        <f>VLOOKUP(B681,'114+320'!$B$15:$AB$785,20,FALSE)</f>
        <v>3155</v>
      </c>
      <c r="H681" s="72">
        <f>VLOOKUP(B681,'114+320'!$B$15:$AB$785,4,FALSE)</f>
        <v>1519</v>
      </c>
      <c r="I681" s="68">
        <f t="shared" si="132"/>
        <v>1885</v>
      </c>
      <c r="J681" s="71">
        <f>VLOOKUP(B681,'114+320'!$B$15:$AB$785,13,FALSE)</f>
        <v>-1115</v>
      </c>
      <c r="K681" s="66">
        <f>'114+320'!Q682</f>
        <v>1</v>
      </c>
      <c r="L681" s="65">
        <f t="shared" si="137"/>
        <v>935</v>
      </c>
      <c r="M681" s="70">
        <f>VLOOKUP(B681,'114+320'!$B$14:$AB$785,21,FALSE)</f>
        <v>3050</v>
      </c>
      <c r="N681" s="69">
        <f>VLOOKUP(B681,'114+320'!$B$15:$AB$785,5,FALSE)</f>
        <v>1624</v>
      </c>
      <c r="O681" s="68">
        <f t="shared" si="133"/>
        <v>1780</v>
      </c>
      <c r="P681" s="71">
        <f>VLOOKUP(B681,'114+320'!$B$15:$AB$785,14,FALSE)</f>
        <v>-1220</v>
      </c>
      <c r="Q681" s="66">
        <f>'114+320'!R682</f>
        <v>3</v>
      </c>
      <c r="R681" s="65">
        <f t="shared" si="138"/>
        <v>1040</v>
      </c>
      <c r="S681" s="70">
        <f>VLOOKUP(B681,'114+320'!$B$14:$AB$785,22,FALSE)</f>
        <v>3172</v>
      </c>
      <c r="T681" s="69">
        <f>VLOOKUP(B681,'114+320'!$B$15:$AB$785,6,FALSE)</f>
        <v>1442</v>
      </c>
      <c r="U681" s="68">
        <f t="shared" si="134"/>
        <v>1962</v>
      </c>
      <c r="V681" s="67">
        <f>VLOOKUP(B681,'114+320'!$B$15:$AB$785,15,FALSE)</f>
        <v>-1038</v>
      </c>
      <c r="W681" s="66">
        <f>'114+320'!S682</f>
        <v>3</v>
      </c>
      <c r="X681" s="65">
        <f t="shared" si="139"/>
        <v>918</v>
      </c>
      <c r="Y681" s="64">
        <f t="shared" si="140"/>
        <v>-3</v>
      </c>
      <c r="Z681" s="63">
        <f t="shared" si="141"/>
        <v>0</v>
      </c>
      <c r="AA681" s="62">
        <f t="shared" si="142"/>
        <v>4.0990000000000002</v>
      </c>
      <c r="AB681" s="62">
        <f t="shared" si="143"/>
        <v>2.19</v>
      </c>
    </row>
    <row r="682" spans="2:28">
      <c r="B682" s="106">
        <f>'114+320'!B683</f>
        <v>45712</v>
      </c>
      <c r="C682" s="75">
        <f t="shared" si="135"/>
        <v>1</v>
      </c>
      <c r="D682" s="74">
        <f t="shared" si="136"/>
        <v>842</v>
      </c>
      <c r="E682" s="73">
        <f>VLOOKUP(B682,'114+320'!B683:AB1069,3,FALSE)</f>
        <v>2564</v>
      </c>
      <c r="F682" s="69">
        <f t="shared" si="131"/>
        <v>3406</v>
      </c>
      <c r="G682" s="72">
        <f>VLOOKUP(B682,'114+320'!$B$15:$AB$785,20,FALSE)</f>
        <v>3152</v>
      </c>
      <c r="H682" s="72">
        <f>VLOOKUP(B682,'114+320'!$B$15:$AB$785,4,FALSE)</f>
        <v>1524</v>
      </c>
      <c r="I682" s="68">
        <f t="shared" si="132"/>
        <v>1882</v>
      </c>
      <c r="J682" s="71">
        <f>VLOOKUP(B682,'114+320'!$B$15:$AB$785,13,FALSE)</f>
        <v>-1118</v>
      </c>
      <c r="K682" s="66">
        <f>'114+320'!Q683</f>
        <v>3</v>
      </c>
      <c r="L682" s="65">
        <f t="shared" si="137"/>
        <v>938</v>
      </c>
      <c r="M682" s="70">
        <f>VLOOKUP(B682,'114+320'!$B$14:$AB$785,21,FALSE)</f>
        <v>3047</v>
      </c>
      <c r="N682" s="69">
        <f>VLOOKUP(B682,'114+320'!$B$15:$AB$785,5,FALSE)</f>
        <v>1629</v>
      </c>
      <c r="O682" s="68">
        <f t="shared" si="133"/>
        <v>1777</v>
      </c>
      <c r="P682" s="71">
        <f>VLOOKUP(B682,'114+320'!$B$15:$AB$785,14,FALSE)</f>
        <v>-1223</v>
      </c>
      <c r="Q682" s="66">
        <f>'114+320'!R683</f>
        <v>3</v>
      </c>
      <c r="R682" s="65">
        <f t="shared" si="138"/>
        <v>1043</v>
      </c>
      <c r="S682" s="70">
        <f>VLOOKUP(B682,'114+320'!$B$14:$AB$785,22,FALSE)</f>
        <v>3169</v>
      </c>
      <c r="T682" s="69">
        <f>VLOOKUP(B682,'114+320'!$B$15:$AB$785,6,FALSE)</f>
        <v>1447</v>
      </c>
      <c r="U682" s="68">
        <f t="shared" si="134"/>
        <v>1959</v>
      </c>
      <c r="V682" s="67">
        <f>VLOOKUP(B682,'114+320'!$B$15:$AB$785,15,FALSE)</f>
        <v>-1041</v>
      </c>
      <c r="W682" s="66">
        <f>'114+320'!S683</f>
        <v>3</v>
      </c>
      <c r="X682" s="65">
        <f t="shared" si="139"/>
        <v>921</v>
      </c>
      <c r="Y682" s="64">
        <f t="shared" si="140"/>
        <v>-3</v>
      </c>
      <c r="Z682" s="63">
        <f t="shared" si="141"/>
        <v>0</v>
      </c>
      <c r="AA682" s="62">
        <f t="shared" si="142"/>
        <v>4.0990000000000002</v>
      </c>
      <c r="AB682" s="62">
        <f t="shared" si="143"/>
        <v>2.1840000000000002</v>
      </c>
    </row>
    <row r="683" spans="2:28">
      <c r="B683" s="106">
        <f>'114+320'!B684</f>
        <v>45713</v>
      </c>
      <c r="C683" s="75">
        <f t="shared" si="135"/>
        <v>1</v>
      </c>
      <c r="D683" s="74">
        <f t="shared" si="136"/>
        <v>842</v>
      </c>
      <c r="E683" s="73">
        <f>VLOOKUP(B683,'114+320'!B684:AB1070,3,FALSE)</f>
        <v>2566</v>
      </c>
      <c r="F683" s="69">
        <f t="shared" si="131"/>
        <v>3408</v>
      </c>
      <c r="G683" s="72">
        <f>VLOOKUP(B683,'114+320'!$B$15:$AB$785,20,FALSE)</f>
        <v>3149</v>
      </c>
      <c r="H683" s="72">
        <f>VLOOKUP(B683,'114+320'!$B$15:$AB$785,4,FALSE)</f>
        <v>1529</v>
      </c>
      <c r="I683" s="68">
        <f t="shared" si="132"/>
        <v>1879</v>
      </c>
      <c r="J683" s="71">
        <f>VLOOKUP(B683,'114+320'!$B$15:$AB$785,13,FALSE)</f>
        <v>-1121</v>
      </c>
      <c r="K683" s="66">
        <f>'114+320'!Q684</f>
        <v>3</v>
      </c>
      <c r="L683" s="65">
        <f t="shared" si="137"/>
        <v>941</v>
      </c>
      <c r="M683" s="70">
        <f>VLOOKUP(B683,'114+320'!$B$14:$AB$785,21,FALSE)</f>
        <v>3045</v>
      </c>
      <c r="N683" s="69">
        <f>VLOOKUP(B683,'114+320'!$B$15:$AB$785,5,FALSE)</f>
        <v>1633</v>
      </c>
      <c r="O683" s="68">
        <f t="shared" si="133"/>
        <v>1775</v>
      </c>
      <c r="P683" s="71">
        <f>VLOOKUP(B683,'114+320'!$B$15:$AB$785,14,FALSE)</f>
        <v>-1225</v>
      </c>
      <c r="Q683" s="66">
        <f>'114+320'!R684</f>
        <v>2</v>
      </c>
      <c r="R683" s="65">
        <f t="shared" si="138"/>
        <v>1045</v>
      </c>
      <c r="S683" s="70">
        <f>VLOOKUP(B683,'114+320'!$B$14:$AB$785,22,FALSE)</f>
        <v>3167</v>
      </c>
      <c r="T683" s="69">
        <f>VLOOKUP(B683,'114+320'!$B$15:$AB$785,6,FALSE)</f>
        <v>1451</v>
      </c>
      <c r="U683" s="68">
        <f t="shared" si="134"/>
        <v>1957</v>
      </c>
      <c r="V683" s="67">
        <f>VLOOKUP(B683,'114+320'!$B$15:$AB$785,15,FALSE)</f>
        <v>-1043</v>
      </c>
      <c r="W683" s="66">
        <f>'114+320'!S684</f>
        <v>2</v>
      </c>
      <c r="X683" s="65">
        <f t="shared" si="139"/>
        <v>923</v>
      </c>
      <c r="Y683" s="64">
        <f t="shared" si="140"/>
        <v>-2</v>
      </c>
      <c r="Z683" s="63">
        <f t="shared" si="141"/>
        <v>0</v>
      </c>
      <c r="AA683" s="62">
        <f t="shared" si="142"/>
        <v>4.0990000000000002</v>
      </c>
      <c r="AB683" s="62">
        <f t="shared" si="143"/>
        <v>2.1800000000000002</v>
      </c>
    </row>
    <row r="684" spans="2:28">
      <c r="B684" s="106">
        <f>'114+320'!B685</f>
        <v>45714</v>
      </c>
      <c r="C684" s="75">
        <f t="shared" si="135"/>
        <v>1</v>
      </c>
      <c r="D684" s="74">
        <f t="shared" si="136"/>
        <v>842</v>
      </c>
      <c r="E684" s="73">
        <f>VLOOKUP(B684,'114+320'!B685:AB1071,3,FALSE)</f>
        <v>2568</v>
      </c>
      <c r="F684" s="69">
        <f t="shared" si="131"/>
        <v>3410</v>
      </c>
      <c r="G684" s="72">
        <f>VLOOKUP(B684,'114+320'!$B$15:$AB$785,20,FALSE)</f>
        <v>3147</v>
      </c>
      <c r="H684" s="72">
        <f>VLOOKUP(B684,'114+320'!$B$15:$AB$785,4,FALSE)</f>
        <v>1533</v>
      </c>
      <c r="I684" s="68">
        <f t="shared" si="132"/>
        <v>1877</v>
      </c>
      <c r="J684" s="71">
        <f>VLOOKUP(B684,'114+320'!$B$15:$AB$785,13,FALSE)</f>
        <v>-1123</v>
      </c>
      <c r="K684" s="66">
        <f>'114+320'!Q685</f>
        <v>2</v>
      </c>
      <c r="L684" s="65">
        <f t="shared" si="137"/>
        <v>943</v>
      </c>
      <c r="M684" s="70">
        <f>VLOOKUP(B684,'114+320'!$B$14:$AB$785,21,FALSE)</f>
        <v>3043</v>
      </c>
      <c r="N684" s="69">
        <f>VLOOKUP(B684,'114+320'!$B$15:$AB$785,5,FALSE)</f>
        <v>1637</v>
      </c>
      <c r="O684" s="68">
        <f t="shared" si="133"/>
        <v>1773</v>
      </c>
      <c r="P684" s="71">
        <f>VLOOKUP(B684,'114+320'!$B$15:$AB$785,14,FALSE)</f>
        <v>-1227</v>
      </c>
      <c r="Q684" s="66">
        <f>'114+320'!R685</f>
        <v>2</v>
      </c>
      <c r="R684" s="65">
        <f t="shared" si="138"/>
        <v>1047</v>
      </c>
      <c r="S684" s="70">
        <f>VLOOKUP(B684,'114+320'!$B$14:$AB$785,22,FALSE)</f>
        <v>3165</v>
      </c>
      <c r="T684" s="69">
        <f>VLOOKUP(B684,'114+320'!$B$15:$AB$785,6,FALSE)</f>
        <v>1455</v>
      </c>
      <c r="U684" s="68">
        <f t="shared" si="134"/>
        <v>1955</v>
      </c>
      <c r="V684" s="67">
        <f>VLOOKUP(B684,'114+320'!$B$15:$AB$785,15,FALSE)</f>
        <v>-1045</v>
      </c>
      <c r="W684" s="66">
        <f>'114+320'!S685</f>
        <v>2</v>
      </c>
      <c r="X684" s="65">
        <f t="shared" si="139"/>
        <v>925</v>
      </c>
      <c r="Y684" s="64">
        <f t="shared" si="140"/>
        <v>-2</v>
      </c>
      <c r="Z684" s="63">
        <f t="shared" si="141"/>
        <v>0</v>
      </c>
      <c r="AA684" s="62">
        <f t="shared" si="142"/>
        <v>4.0990000000000002</v>
      </c>
      <c r="AB684" s="62">
        <f t="shared" si="143"/>
        <v>2.1760000000000002</v>
      </c>
    </row>
    <row r="685" spans="2:28">
      <c r="B685" s="106">
        <f>'114+320'!B686</f>
        <v>45715</v>
      </c>
      <c r="C685" s="75">
        <f t="shared" si="135"/>
        <v>1</v>
      </c>
      <c r="D685" s="74">
        <f t="shared" si="136"/>
        <v>842</v>
      </c>
      <c r="E685" s="73">
        <f>VLOOKUP(B685,'114+320'!B686:AB1072,3,FALSE)</f>
        <v>2570</v>
      </c>
      <c r="F685" s="69">
        <f t="shared" si="131"/>
        <v>3412</v>
      </c>
      <c r="G685" s="72">
        <f>VLOOKUP(B685,'114+320'!$B$15:$AB$785,20,FALSE)</f>
        <v>3145</v>
      </c>
      <c r="H685" s="72">
        <f>VLOOKUP(B685,'114+320'!$B$15:$AB$785,4,FALSE)</f>
        <v>1537</v>
      </c>
      <c r="I685" s="68">
        <f t="shared" si="132"/>
        <v>1875</v>
      </c>
      <c r="J685" s="71">
        <f>VLOOKUP(B685,'114+320'!$B$15:$AB$785,13,FALSE)</f>
        <v>-1125</v>
      </c>
      <c r="K685" s="66">
        <f>'114+320'!Q686</f>
        <v>2</v>
      </c>
      <c r="L685" s="65">
        <f t="shared" si="137"/>
        <v>945</v>
      </c>
      <c r="M685" s="70">
        <f>VLOOKUP(B685,'114+320'!$B$14:$AB$785,21,FALSE)</f>
        <v>3042</v>
      </c>
      <c r="N685" s="69">
        <f>VLOOKUP(B685,'114+320'!$B$15:$AB$785,5,FALSE)</f>
        <v>1640</v>
      </c>
      <c r="O685" s="68">
        <f t="shared" si="133"/>
        <v>1772</v>
      </c>
      <c r="P685" s="71">
        <f>VLOOKUP(B685,'114+320'!$B$15:$AB$785,14,FALSE)</f>
        <v>-1228</v>
      </c>
      <c r="Q685" s="66">
        <f>'114+320'!R686</f>
        <v>1</v>
      </c>
      <c r="R685" s="65">
        <f t="shared" si="138"/>
        <v>1048</v>
      </c>
      <c r="S685" s="70">
        <f>VLOOKUP(B685,'114+320'!$B$14:$AB$785,22,FALSE)</f>
        <v>3162</v>
      </c>
      <c r="T685" s="69">
        <f>VLOOKUP(B685,'114+320'!$B$15:$AB$785,6,FALSE)</f>
        <v>1460</v>
      </c>
      <c r="U685" s="68">
        <f t="shared" si="134"/>
        <v>1952</v>
      </c>
      <c r="V685" s="67">
        <f>VLOOKUP(B685,'114+320'!$B$15:$AB$785,15,FALSE)</f>
        <v>-1048</v>
      </c>
      <c r="W685" s="66">
        <f>'114+320'!S686</f>
        <v>3</v>
      </c>
      <c r="X685" s="65">
        <f t="shared" si="139"/>
        <v>928</v>
      </c>
      <c r="Y685" s="64">
        <f t="shared" si="140"/>
        <v>-3</v>
      </c>
      <c r="Z685" s="63">
        <f t="shared" si="141"/>
        <v>0</v>
      </c>
      <c r="AA685" s="62">
        <f t="shared" si="142"/>
        <v>4.0990000000000002</v>
      </c>
      <c r="AB685" s="62">
        <f t="shared" si="143"/>
        <v>2.1739999999999999</v>
      </c>
    </row>
    <row r="686" spans="2:28">
      <c r="B686" s="106">
        <f>'114+320'!B687</f>
        <v>45716</v>
      </c>
      <c r="C686" s="75">
        <f t="shared" si="135"/>
        <v>1</v>
      </c>
      <c r="D686" s="74">
        <f t="shared" si="136"/>
        <v>842</v>
      </c>
      <c r="E686" s="73">
        <f>VLOOKUP(B686,'114+320'!B687:AB1073,3,FALSE)</f>
        <v>2572</v>
      </c>
      <c r="F686" s="69">
        <f t="shared" si="131"/>
        <v>3414</v>
      </c>
      <c r="G686" s="72">
        <f>VLOOKUP(B686,'114+320'!$B$15:$AB$785,20,FALSE)</f>
        <v>3142</v>
      </c>
      <c r="H686" s="72">
        <f>VLOOKUP(B686,'114+320'!$B$15:$AB$785,4,FALSE)</f>
        <v>1542</v>
      </c>
      <c r="I686" s="68">
        <f t="shared" si="132"/>
        <v>1872</v>
      </c>
      <c r="J686" s="71">
        <f>VLOOKUP(B686,'114+320'!$B$15:$AB$785,13,FALSE)</f>
        <v>-1128</v>
      </c>
      <c r="K686" s="66">
        <f>'114+320'!Q687</f>
        <v>3</v>
      </c>
      <c r="L686" s="65">
        <f t="shared" si="137"/>
        <v>948</v>
      </c>
      <c r="M686" s="70">
        <f>VLOOKUP(B686,'114+320'!$B$14:$AB$785,21,FALSE)</f>
        <v>3040</v>
      </c>
      <c r="N686" s="69">
        <f>VLOOKUP(B686,'114+320'!$B$15:$AB$785,5,FALSE)</f>
        <v>1644</v>
      </c>
      <c r="O686" s="68">
        <f t="shared" si="133"/>
        <v>1770</v>
      </c>
      <c r="P686" s="71">
        <f>VLOOKUP(B686,'114+320'!$B$15:$AB$785,14,FALSE)</f>
        <v>-1230</v>
      </c>
      <c r="Q686" s="66">
        <f>'114+320'!R687</f>
        <v>2</v>
      </c>
      <c r="R686" s="65">
        <f t="shared" si="138"/>
        <v>1050</v>
      </c>
      <c r="S686" s="70">
        <f>VLOOKUP(B686,'114+320'!$B$14:$AB$785,22,FALSE)</f>
        <v>3161</v>
      </c>
      <c r="T686" s="69">
        <f>VLOOKUP(B686,'114+320'!$B$15:$AB$785,6,FALSE)</f>
        <v>1463</v>
      </c>
      <c r="U686" s="68">
        <f t="shared" si="134"/>
        <v>1951</v>
      </c>
      <c r="V686" s="67">
        <f>VLOOKUP(B686,'114+320'!$B$15:$AB$785,15,FALSE)</f>
        <v>-1049</v>
      </c>
      <c r="W686" s="66">
        <f>'114+320'!S687</f>
        <v>1</v>
      </c>
      <c r="X686" s="65">
        <f t="shared" si="139"/>
        <v>929</v>
      </c>
      <c r="Y686" s="64">
        <f t="shared" si="140"/>
        <v>-1</v>
      </c>
      <c r="Z686" s="63">
        <f t="shared" si="141"/>
        <v>0</v>
      </c>
      <c r="AA686" s="62">
        <f t="shared" si="142"/>
        <v>4.0990000000000002</v>
      </c>
      <c r="AB686" s="62">
        <f t="shared" si="143"/>
        <v>2.17</v>
      </c>
    </row>
    <row r="687" spans="2:28">
      <c r="B687" s="106">
        <f>'114+320'!B688</f>
        <v>45717</v>
      </c>
      <c r="C687" s="75">
        <f t="shared" si="135"/>
        <v>1</v>
      </c>
      <c r="D687" s="74">
        <f t="shared" si="136"/>
        <v>842</v>
      </c>
      <c r="E687" s="73">
        <f>VLOOKUP(B687,'114+320'!B688:AB1074,3,FALSE)</f>
        <v>2574</v>
      </c>
      <c r="F687" s="69">
        <f t="shared" si="131"/>
        <v>3416</v>
      </c>
      <c r="G687" s="72">
        <f>VLOOKUP(B687,'114+320'!$B$15:$AB$785,20,FALSE)</f>
        <v>3138</v>
      </c>
      <c r="H687" s="72">
        <f>VLOOKUP(B687,'114+320'!$B$15:$AB$785,4,FALSE)</f>
        <v>1548</v>
      </c>
      <c r="I687" s="68">
        <f t="shared" si="132"/>
        <v>1868</v>
      </c>
      <c r="J687" s="71">
        <f>VLOOKUP(B687,'114+320'!$B$15:$AB$785,13,FALSE)</f>
        <v>-1132</v>
      </c>
      <c r="K687" s="66">
        <f>'114+320'!Q688</f>
        <v>4</v>
      </c>
      <c r="L687" s="65">
        <f t="shared" si="137"/>
        <v>952</v>
      </c>
      <c r="M687" s="70">
        <f>VLOOKUP(B687,'114+320'!$B$14:$AB$785,21,FALSE)</f>
        <v>3039</v>
      </c>
      <c r="N687" s="69">
        <f>VLOOKUP(B687,'114+320'!$B$15:$AB$785,5,FALSE)</f>
        <v>1647</v>
      </c>
      <c r="O687" s="68">
        <f t="shared" si="133"/>
        <v>1769</v>
      </c>
      <c r="P687" s="71">
        <f>VLOOKUP(B687,'114+320'!$B$15:$AB$785,14,FALSE)</f>
        <v>-1231</v>
      </c>
      <c r="Q687" s="66">
        <f>'114+320'!R688</f>
        <v>1</v>
      </c>
      <c r="R687" s="65">
        <f t="shared" si="138"/>
        <v>1051</v>
      </c>
      <c r="S687" s="70">
        <f>VLOOKUP(B687,'114+320'!$B$14:$AB$785,22,FALSE)</f>
        <v>3159</v>
      </c>
      <c r="T687" s="69">
        <f>VLOOKUP(B687,'114+320'!$B$15:$AB$785,6,FALSE)</f>
        <v>1467</v>
      </c>
      <c r="U687" s="68">
        <f t="shared" si="134"/>
        <v>1949</v>
      </c>
      <c r="V687" s="67">
        <f>VLOOKUP(B687,'114+320'!$B$15:$AB$785,15,FALSE)</f>
        <v>-1051</v>
      </c>
      <c r="W687" s="66">
        <f>'114+320'!S688</f>
        <v>2</v>
      </c>
      <c r="X687" s="65">
        <f t="shared" si="139"/>
        <v>931</v>
      </c>
      <c r="Y687" s="64">
        <f t="shared" si="140"/>
        <v>-2</v>
      </c>
      <c r="Z687" s="63">
        <f t="shared" si="141"/>
        <v>0</v>
      </c>
      <c r="AA687" s="62">
        <f t="shared" si="142"/>
        <v>4.0990000000000002</v>
      </c>
      <c r="AB687" s="62">
        <f t="shared" si="143"/>
        <v>2.1680000000000001</v>
      </c>
    </row>
    <row r="688" spans="2:28">
      <c r="B688" s="106">
        <f>'114+320'!B689</f>
        <v>45718</v>
      </c>
      <c r="C688" s="75">
        <f t="shared" si="135"/>
        <v>1</v>
      </c>
      <c r="D688" s="74">
        <f t="shared" si="136"/>
        <v>842</v>
      </c>
      <c r="E688" s="73">
        <f>VLOOKUP(B688,'114+320'!B689:AB1075,3,FALSE)</f>
        <v>2576</v>
      </c>
      <c r="F688" s="69">
        <f t="shared" si="131"/>
        <v>3418</v>
      </c>
      <c r="G688" s="72">
        <f>VLOOKUP(B688,'114+320'!$B$15:$AB$785,20,FALSE)</f>
        <v>3136</v>
      </c>
      <c r="H688" s="72">
        <f>VLOOKUP(B688,'114+320'!$B$15:$AB$785,4,FALSE)</f>
        <v>1552</v>
      </c>
      <c r="I688" s="68">
        <f t="shared" si="132"/>
        <v>1866</v>
      </c>
      <c r="J688" s="71">
        <f>VLOOKUP(B688,'114+320'!$B$15:$AB$785,13,FALSE)</f>
        <v>-1134</v>
      </c>
      <c r="K688" s="66">
        <f>'114+320'!Q689</f>
        <v>2</v>
      </c>
      <c r="L688" s="65">
        <f t="shared" si="137"/>
        <v>954</v>
      </c>
      <c r="M688" s="70">
        <f>VLOOKUP(B688,'114+320'!$B$14:$AB$785,21,FALSE)</f>
        <v>3038</v>
      </c>
      <c r="N688" s="69">
        <f>VLOOKUP(B688,'114+320'!$B$15:$AB$785,5,FALSE)</f>
        <v>1650</v>
      </c>
      <c r="O688" s="68">
        <f t="shared" si="133"/>
        <v>1768</v>
      </c>
      <c r="P688" s="71">
        <f>VLOOKUP(B688,'114+320'!$B$15:$AB$785,14,FALSE)</f>
        <v>-1232</v>
      </c>
      <c r="Q688" s="66">
        <f>'114+320'!R689</f>
        <v>1</v>
      </c>
      <c r="R688" s="65">
        <f t="shared" si="138"/>
        <v>1052</v>
      </c>
      <c r="S688" s="70">
        <f>VLOOKUP(B688,'114+320'!$B$14:$AB$785,22,FALSE)</f>
        <v>3157</v>
      </c>
      <c r="T688" s="69">
        <f>VLOOKUP(B688,'114+320'!$B$15:$AB$785,6,FALSE)</f>
        <v>1471</v>
      </c>
      <c r="U688" s="68">
        <f t="shared" si="134"/>
        <v>1947</v>
      </c>
      <c r="V688" s="67">
        <f>VLOOKUP(B688,'114+320'!$B$15:$AB$785,15,FALSE)</f>
        <v>-1053</v>
      </c>
      <c r="W688" s="66">
        <f>'114+320'!S689</f>
        <v>2</v>
      </c>
      <c r="X688" s="65">
        <f t="shared" si="139"/>
        <v>933</v>
      </c>
      <c r="Y688" s="64">
        <f t="shared" si="140"/>
        <v>-2</v>
      </c>
      <c r="Z688" s="63">
        <f t="shared" si="141"/>
        <v>0</v>
      </c>
      <c r="AA688" s="62">
        <f t="shared" si="142"/>
        <v>4.0990000000000002</v>
      </c>
      <c r="AB688" s="62">
        <f t="shared" si="143"/>
        <v>2.1659999999999999</v>
      </c>
    </row>
    <row r="689" spans="2:28">
      <c r="B689" s="106">
        <f>'114+320'!B690</f>
        <v>45719</v>
      </c>
      <c r="C689" s="75">
        <f t="shared" si="135"/>
        <v>1</v>
      </c>
      <c r="D689" s="74">
        <f t="shared" si="136"/>
        <v>842</v>
      </c>
      <c r="E689" s="73">
        <f>VLOOKUP(B689,'114+320'!B690:AB1076,3,FALSE)</f>
        <v>2578</v>
      </c>
      <c r="F689" s="69">
        <f t="shared" si="131"/>
        <v>3420</v>
      </c>
      <c r="G689" s="72">
        <f>VLOOKUP(B689,'114+320'!$B$15:$AB$785,20,FALSE)</f>
        <v>3134</v>
      </c>
      <c r="H689" s="72">
        <f>VLOOKUP(B689,'114+320'!$B$15:$AB$785,4,FALSE)</f>
        <v>1556</v>
      </c>
      <c r="I689" s="68">
        <f t="shared" si="132"/>
        <v>1864</v>
      </c>
      <c r="J689" s="71">
        <f>VLOOKUP(B689,'114+320'!$B$15:$AB$785,13,FALSE)</f>
        <v>-1136</v>
      </c>
      <c r="K689" s="66">
        <f>'114+320'!Q690</f>
        <v>2</v>
      </c>
      <c r="L689" s="65">
        <f t="shared" si="137"/>
        <v>956</v>
      </c>
      <c r="M689" s="70">
        <f>VLOOKUP(B689,'114+320'!$B$14:$AB$785,21,FALSE)</f>
        <v>3036</v>
      </c>
      <c r="N689" s="69">
        <f>VLOOKUP(B689,'114+320'!$B$15:$AB$785,5,FALSE)</f>
        <v>1654</v>
      </c>
      <c r="O689" s="68">
        <f t="shared" si="133"/>
        <v>1766</v>
      </c>
      <c r="P689" s="71">
        <f>VLOOKUP(B689,'114+320'!$B$15:$AB$785,14,FALSE)</f>
        <v>-1234</v>
      </c>
      <c r="Q689" s="66">
        <f>'114+320'!R690</f>
        <v>2</v>
      </c>
      <c r="R689" s="65">
        <f t="shared" si="138"/>
        <v>1054</v>
      </c>
      <c r="S689" s="70">
        <f>VLOOKUP(B689,'114+320'!$B$14:$AB$785,22,FALSE)</f>
        <v>3156</v>
      </c>
      <c r="T689" s="69">
        <f>VLOOKUP(B689,'114+320'!$B$15:$AB$785,6,FALSE)</f>
        <v>1474</v>
      </c>
      <c r="U689" s="68">
        <f t="shared" si="134"/>
        <v>1946</v>
      </c>
      <c r="V689" s="67">
        <f>VLOOKUP(B689,'114+320'!$B$15:$AB$785,15,FALSE)</f>
        <v>-1054</v>
      </c>
      <c r="W689" s="66">
        <f>'114+320'!S690</f>
        <v>1</v>
      </c>
      <c r="X689" s="65">
        <f t="shared" si="139"/>
        <v>934</v>
      </c>
      <c r="Y689" s="64">
        <f t="shared" si="140"/>
        <v>-1</v>
      </c>
      <c r="Z689" s="63">
        <f t="shared" si="141"/>
        <v>0</v>
      </c>
      <c r="AA689" s="62">
        <f t="shared" si="142"/>
        <v>4.0990000000000002</v>
      </c>
      <c r="AB689" s="62">
        <f t="shared" si="143"/>
        <v>2.1619999999999999</v>
      </c>
    </row>
    <row r="690" spans="2:28">
      <c r="B690" s="106">
        <f>'114+320'!B691</f>
        <v>45720</v>
      </c>
      <c r="C690" s="75">
        <f t="shared" si="135"/>
        <v>1</v>
      </c>
      <c r="D690" s="74">
        <f t="shared" si="136"/>
        <v>842</v>
      </c>
      <c r="E690" s="73">
        <f>VLOOKUP(B690,'114+320'!B691:AB1077,3,FALSE)</f>
        <v>2580</v>
      </c>
      <c r="F690" s="69">
        <f t="shared" si="131"/>
        <v>3422</v>
      </c>
      <c r="G690" s="72">
        <f>VLOOKUP(B690,'114+320'!$B$15:$AB$785,20,FALSE)</f>
        <v>3133</v>
      </c>
      <c r="H690" s="72">
        <f>VLOOKUP(B690,'114+320'!$B$15:$AB$785,4,FALSE)</f>
        <v>1559</v>
      </c>
      <c r="I690" s="68">
        <f t="shared" si="132"/>
        <v>1863</v>
      </c>
      <c r="J690" s="71">
        <f>VLOOKUP(B690,'114+320'!$B$15:$AB$785,13,FALSE)</f>
        <v>-1137</v>
      </c>
      <c r="K690" s="66">
        <f>'114+320'!Q691</f>
        <v>1</v>
      </c>
      <c r="L690" s="65">
        <f t="shared" si="137"/>
        <v>957</v>
      </c>
      <c r="M690" s="70">
        <f>VLOOKUP(B690,'114+320'!$B$14:$AB$785,21,FALSE)</f>
        <v>3035</v>
      </c>
      <c r="N690" s="69">
        <f>VLOOKUP(B690,'114+320'!$B$15:$AB$785,5,FALSE)</f>
        <v>1657</v>
      </c>
      <c r="O690" s="68">
        <f t="shared" si="133"/>
        <v>1765</v>
      </c>
      <c r="P690" s="71">
        <f>VLOOKUP(B690,'114+320'!$B$15:$AB$785,14,FALSE)</f>
        <v>-1235</v>
      </c>
      <c r="Q690" s="66">
        <f>'114+320'!R691</f>
        <v>1</v>
      </c>
      <c r="R690" s="65">
        <f t="shared" si="138"/>
        <v>1055</v>
      </c>
      <c r="S690" s="70">
        <f>VLOOKUP(B690,'114+320'!$B$14:$AB$785,22,FALSE)</f>
        <v>3154</v>
      </c>
      <c r="T690" s="69">
        <f>VLOOKUP(B690,'114+320'!$B$15:$AB$785,6,FALSE)</f>
        <v>1478</v>
      </c>
      <c r="U690" s="68">
        <f t="shared" si="134"/>
        <v>1944</v>
      </c>
      <c r="V690" s="67">
        <f>VLOOKUP(B690,'114+320'!$B$15:$AB$785,15,FALSE)</f>
        <v>-1056</v>
      </c>
      <c r="W690" s="66">
        <f>'114+320'!S691</f>
        <v>2</v>
      </c>
      <c r="X690" s="65">
        <f t="shared" si="139"/>
        <v>936</v>
      </c>
      <c r="Y690" s="64">
        <f t="shared" si="140"/>
        <v>-2</v>
      </c>
      <c r="Z690" s="63">
        <f t="shared" si="141"/>
        <v>0</v>
      </c>
      <c r="AA690" s="62">
        <f t="shared" si="142"/>
        <v>4.0990000000000002</v>
      </c>
      <c r="AB690" s="62">
        <f t="shared" si="143"/>
        <v>2.16</v>
      </c>
    </row>
    <row r="691" spans="2:28">
      <c r="B691" s="106">
        <f>'114+320'!B692</f>
        <v>45721</v>
      </c>
      <c r="C691" s="75">
        <f t="shared" si="135"/>
        <v>1</v>
      </c>
      <c r="D691" s="74">
        <f t="shared" si="136"/>
        <v>842</v>
      </c>
      <c r="E691" s="73">
        <f>VLOOKUP(B691,'114+320'!B692:AB1078,3,FALSE)</f>
        <v>2582</v>
      </c>
      <c r="F691" s="69">
        <f t="shared" si="131"/>
        <v>3424</v>
      </c>
      <c r="G691" s="72">
        <f>VLOOKUP(B691,'114+320'!$B$15:$AB$785,20,FALSE)</f>
        <v>3131</v>
      </c>
      <c r="H691" s="72">
        <f>VLOOKUP(B691,'114+320'!$B$15:$AB$785,4,FALSE)</f>
        <v>1563</v>
      </c>
      <c r="I691" s="68">
        <f t="shared" si="132"/>
        <v>1861</v>
      </c>
      <c r="J691" s="71">
        <f>VLOOKUP(B691,'114+320'!$B$15:$AB$785,13,FALSE)</f>
        <v>-1139</v>
      </c>
      <c r="K691" s="66">
        <f>'114+320'!Q692</f>
        <v>2</v>
      </c>
      <c r="L691" s="65">
        <f t="shared" si="137"/>
        <v>959</v>
      </c>
      <c r="M691" s="70">
        <f>VLOOKUP(B691,'114+320'!$B$14:$AB$785,21,FALSE)</f>
        <v>3034</v>
      </c>
      <c r="N691" s="69">
        <f>VLOOKUP(B691,'114+320'!$B$15:$AB$785,5,FALSE)</f>
        <v>1660</v>
      </c>
      <c r="O691" s="68">
        <f t="shared" si="133"/>
        <v>1764</v>
      </c>
      <c r="P691" s="71">
        <f>VLOOKUP(B691,'114+320'!$B$15:$AB$785,14,FALSE)</f>
        <v>-1236</v>
      </c>
      <c r="Q691" s="66">
        <f>'114+320'!R692</f>
        <v>1</v>
      </c>
      <c r="R691" s="65">
        <f t="shared" si="138"/>
        <v>1056</v>
      </c>
      <c r="S691" s="70">
        <f>VLOOKUP(B691,'114+320'!$B$14:$AB$785,22,FALSE)</f>
        <v>3153</v>
      </c>
      <c r="T691" s="69">
        <f>VLOOKUP(B691,'114+320'!$B$15:$AB$785,6,FALSE)</f>
        <v>1481</v>
      </c>
      <c r="U691" s="68">
        <f t="shared" si="134"/>
        <v>1943</v>
      </c>
      <c r="V691" s="67">
        <f>VLOOKUP(B691,'114+320'!$B$15:$AB$785,15,FALSE)</f>
        <v>-1057</v>
      </c>
      <c r="W691" s="66">
        <f>'114+320'!S692</f>
        <v>1</v>
      </c>
      <c r="X691" s="65">
        <f t="shared" si="139"/>
        <v>937</v>
      </c>
      <c r="Y691" s="64">
        <f t="shared" si="140"/>
        <v>-1</v>
      </c>
      <c r="Z691" s="63">
        <f t="shared" si="141"/>
        <v>0</v>
      </c>
      <c r="AA691" s="62">
        <f t="shared" si="142"/>
        <v>4.0990000000000002</v>
      </c>
      <c r="AB691" s="62">
        <f t="shared" si="143"/>
        <v>2.1579999999999999</v>
      </c>
    </row>
    <row r="692" spans="2:28">
      <c r="B692" s="106">
        <f>'114+320'!B693</f>
        <v>45722</v>
      </c>
      <c r="C692" s="75">
        <f t="shared" si="135"/>
        <v>1</v>
      </c>
      <c r="D692" s="74">
        <f t="shared" si="136"/>
        <v>842</v>
      </c>
      <c r="E692" s="73">
        <f>VLOOKUP(B692,'114+320'!B693:AB1079,3,FALSE)</f>
        <v>2584</v>
      </c>
      <c r="F692" s="69">
        <f t="shared" si="131"/>
        <v>3426</v>
      </c>
      <c r="G692" s="72">
        <f>VLOOKUP(B692,'114+320'!$B$15:$AB$785,20,FALSE)</f>
        <v>3130</v>
      </c>
      <c r="H692" s="72">
        <f>VLOOKUP(B692,'114+320'!$B$15:$AB$785,4,FALSE)</f>
        <v>1566</v>
      </c>
      <c r="I692" s="68">
        <f t="shared" si="132"/>
        <v>1860</v>
      </c>
      <c r="J692" s="71">
        <f>VLOOKUP(B692,'114+320'!$B$15:$AB$785,13,FALSE)</f>
        <v>-1140</v>
      </c>
      <c r="K692" s="66">
        <f>'114+320'!Q693</f>
        <v>1</v>
      </c>
      <c r="L692" s="65">
        <f t="shared" si="137"/>
        <v>960</v>
      </c>
      <c r="M692" s="70">
        <f>VLOOKUP(B692,'114+320'!$B$14:$AB$785,21,FALSE)</f>
        <v>3031</v>
      </c>
      <c r="N692" s="69">
        <f>VLOOKUP(B692,'114+320'!$B$15:$AB$785,5,FALSE)</f>
        <v>1665</v>
      </c>
      <c r="O692" s="68">
        <f t="shared" si="133"/>
        <v>1761</v>
      </c>
      <c r="P692" s="71">
        <f>VLOOKUP(B692,'114+320'!$B$15:$AB$785,14,FALSE)</f>
        <v>-1239</v>
      </c>
      <c r="Q692" s="66">
        <f>'114+320'!R693</f>
        <v>3</v>
      </c>
      <c r="R692" s="65">
        <f t="shared" si="138"/>
        <v>1059</v>
      </c>
      <c r="S692" s="70">
        <f>VLOOKUP(B692,'114+320'!$B$14:$AB$785,22,FALSE)</f>
        <v>3152</v>
      </c>
      <c r="T692" s="69">
        <f>VLOOKUP(B692,'114+320'!$B$15:$AB$785,6,FALSE)</f>
        <v>1484</v>
      </c>
      <c r="U692" s="68">
        <f t="shared" si="134"/>
        <v>1942</v>
      </c>
      <c r="V692" s="67">
        <f>VLOOKUP(B692,'114+320'!$B$15:$AB$785,15,FALSE)</f>
        <v>-1058</v>
      </c>
      <c r="W692" s="66">
        <f>'114+320'!S693</f>
        <v>1</v>
      </c>
      <c r="X692" s="65">
        <f t="shared" si="139"/>
        <v>938</v>
      </c>
      <c r="Y692" s="64">
        <f t="shared" si="140"/>
        <v>-1</v>
      </c>
      <c r="Z692" s="63">
        <f t="shared" si="141"/>
        <v>0</v>
      </c>
      <c r="AA692" s="62">
        <f t="shared" si="142"/>
        <v>4.0990000000000002</v>
      </c>
      <c r="AB692" s="62">
        <f t="shared" si="143"/>
        <v>2.1520000000000001</v>
      </c>
    </row>
    <row r="693" spans="2:28">
      <c r="B693" s="106">
        <f>'114+320'!B694</f>
        <v>45723</v>
      </c>
      <c r="C693" s="75">
        <f t="shared" si="135"/>
        <v>1</v>
      </c>
      <c r="D693" s="74">
        <f t="shared" si="136"/>
        <v>842</v>
      </c>
      <c r="E693" s="73">
        <f>VLOOKUP(B693,'114+320'!B694:AB1080,3,FALSE)</f>
        <v>2586</v>
      </c>
      <c r="F693" s="69">
        <f t="shared" si="131"/>
        <v>3428</v>
      </c>
      <c r="G693" s="72">
        <f>VLOOKUP(B693,'114+320'!$B$15:$AB$785,20,FALSE)</f>
        <v>3129</v>
      </c>
      <c r="H693" s="72">
        <f>VLOOKUP(B693,'114+320'!$B$15:$AB$785,4,FALSE)</f>
        <v>1569</v>
      </c>
      <c r="I693" s="68">
        <f t="shared" si="132"/>
        <v>1859</v>
      </c>
      <c r="J693" s="71">
        <f>VLOOKUP(B693,'114+320'!$B$15:$AB$785,13,FALSE)</f>
        <v>-1141</v>
      </c>
      <c r="K693" s="66">
        <f>'114+320'!Q694</f>
        <v>1</v>
      </c>
      <c r="L693" s="65">
        <f t="shared" si="137"/>
        <v>961</v>
      </c>
      <c r="M693" s="70">
        <f>VLOOKUP(B693,'114+320'!$B$14:$AB$785,21,FALSE)</f>
        <v>3030</v>
      </c>
      <c r="N693" s="69">
        <f>VLOOKUP(B693,'114+320'!$B$15:$AB$785,5,FALSE)</f>
        <v>1668</v>
      </c>
      <c r="O693" s="68">
        <f t="shared" si="133"/>
        <v>1760</v>
      </c>
      <c r="P693" s="71">
        <f>VLOOKUP(B693,'114+320'!$B$15:$AB$785,14,FALSE)</f>
        <v>-1240</v>
      </c>
      <c r="Q693" s="66">
        <f>'114+320'!R694</f>
        <v>1</v>
      </c>
      <c r="R693" s="65">
        <f t="shared" si="138"/>
        <v>1060</v>
      </c>
      <c r="S693" s="70">
        <f>VLOOKUP(B693,'114+320'!$B$14:$AB$785,22,FALSE)</f>
        <v>3150</v>
      </c>
      <c r="T693" s="69">
        <f>VLOOKUP(B693,'114+320'!$B$15:$AB$785,6,FALSE)</f>
        <v>1488</v>
      </c>
      <c r="U693" s="68">
        <f t="shared" si="134"/>
        <v>1940</v>
      </c>
      <c r="V693" s="67">
        <f>VLOOKUP(B693,'114+320'!$B$15:$AB$785,15,FALSE)</f>
        <v>-1060</v>
      </c>
      <c r="W693" s="66">
        <f>'114+320'!S694</f>
        <v>2</v>
      </c>
      <c r="X693" s="65">
        <f t="shared" si="139"/>
        <v>940</v>
      </c>
      <c r="Y693" s="64">
        <f t="shared" si="140"/>
        <v>-2</v>
      </c>
      <c r="Z693" s="63">
        <f t="shared" si="141"/>
        <v>0</v>
      </c>
      <c r="AA693" s="62">
        <f t="shared" si="142"/>
        <v>4.0990000000000002</v>
      </c>
      <c r="AB693" s="62">
        <f t="shared" si="143"/>
        <v>2.15</v>
      </c>
    </row>
    <row r="694" spans="2:28">
      <c r="B694" s="106">
        <f>'114+320'!B695</f>
        <v>45724</v>
      </c>
      <c r="C694" s="75">
        <f t="shared" si="135"/>
        <v>1</v>
      </c>
      <c r="D694" s="74">
        <f t="shared" si="136"/>
        <v>842</v>
      </c>
      <c r="E694" s="73">
        <f>VLOOKUP(B694,'114+320'!B695:AB1081,3,FALSE)</f>
        <v>2588</v>
      </c>
      <c r="F694" s="69">
        <f t="shared" si="131"/>
        <v>3430</v>
      </c>
      <c r="G694" s="72">
        <f>VLOOKUP(B694,'114+320'!$B$15:$AB$785,20,FALSE)</f>
        <v>3127</v>
      </c>
      <c r="H694" s="72">
        <f>VLOOKUP(B694,'114+320'!$B$15:$AB$785,4,FALSE)</f>
        <v>1573</v>
      </c>
      <c r="I694" s="68">
        <f t="shared" si="132"/>
        <v>1857</v>
      </c>
      <c r="J694" s="71">
        <f>VLOOKUP(B694,'114+320'!$B$15:$AB$785,13,FALSE)</f>
        <v>-1143</v>
      </c>
      <c r="K694" s="66">
        <f>'114+320'!Q695</f>
        <v>2</v>
      </c>
      <c r="L694" s="65">
        <f t="shared" si="137"/>
        <v>963</v>
      </c>
      <c r="M694" s="70">
        <f>VLOOKUP(B694,'114+320'!$B$14:$AB$785,21,FALSE)</f>
        <v>3029</v>
      </c>
      <c r="N694" s="69">
        <f>VLOOKUP(B694,'114+320'!$B$15:$AB$785,5,FALSE)</f>
        <v>1671</v>
      </c>
      <c r="O694" s="68">
        <f t="shared" si="133"/>
        <v>1759</v>
      </c>
      <c r="P694" s="71">
        <f>VLOOKUP(B694,'114+320'!$B$15:$AB$785,14,FALSE)</f>
        <v>-1241</v>
      </c>
      <c r="Q694" s="66">
        <f>'114+320'!R695</f>
        <v>1</v>
      </c>
      <c r="R694" s="65">
        <f t="shared" si="138"/>
        <v>1061</v>
      </c>
      <c r="S694" s="70">
        <f>VLOOKUP(B694,'114+320'!$B$14:$AB$785,22,FALSE)</f>
        <v>3149</v>
      </c>
      <c r="T694" s="69">
        <f>VLOOKUP(B694,'114+320'!$B$15:$AB$785,6,FALSE)</f>
        <v>1491</v>
      </c>
      <c r="U694" s="68">
        <f t="shared" si="134"/>
        <v>1939</v>
      </c>
      <c r="V694" s="67">
        <f>VLOOKUP(B694,'114+320'!$B$15:$AB$785,15,FALSE)</f>
        <v>-1061</v>
      </c>
      <c r="W694" s="66">
        <f>'114+320'!S695</f>
        <v>1</v>
      </c>
      <c r="X694" s="65">
        <f t="shared" si="139"/>
        <v>941</v>
      </c>
      <c r="Y694" s="64">
        <f t="shared" si="140"/>
        <v>-1</v>
      </c>
      <c r="Z694" s="63">
        <f t="shared" si="141"/>
        <v>0</v>
      </c>
      <c r="AA694" s="62">
        <f t="shared" si="142"/>
        <v>4.0990000000000002</v>
      </c>
      <c r="AB694" s="62">
        <f t="shared" si="143"/>
        <v>2.1480000000000001</v>
      </c>
    </row>
    <row r="695" spans="2:28">
      <c r="B695" s="106">
        <f>'114+320'!B696</f>
        <v>45725</v>
      </c>
      <c r="C695" s="75">
        <f t="shared" si="135"/>
        <v>1</v>
      </c>
      <c r="D695" s="74">
        <f t="shared" si="136"/>
        <v>842</v>
      </c>
      <c r="E695" s="73">
        <f>VLOOKUP(B695,'114+320'!B696:AB1082,3,FALSE)</f>
        <v>2590</v>
      </c>
      <c r="F695" s="69">
        <f t="shared" si="131"/>
        <v>3432</v>
      </c>
      <c r="G695" s="72">
        <f>VLOOKUP(B695,'114+320'!$B$15:$AB$785,20,FALSE)</f>
        <v>3126</v>
      </c>
      <c r="H695" s="72">
        <f>VLOOKUP(B695,'114+320'!$B$15:$AB$785,4,FALSE)</f>
        <v>1576</v>
      </c>
      <c r="I695" s="68">
        <f t="shared" si="132"/>
        <v>1856</v>
      </c>
      <c r="J695" s="71">
        <f>VLOOKUP(B695,'114+320'!$B$15:$AB$785,13,FALSE)</f>
        <v>-1144</v>
      </c>
      <c r="K695" s="66">
        <f>'114+320'!Q696</f>
        <v>1</v>
      </c>
      <c r="L695" s="65">
        <f t="shared" si="137"/>
        <v>964</v>
      </c>
      <c r="M695" s="70">
        <f>VLOOKUP(B695,'114+320'!$B$14:$AB$785,21,FALSE)</f>
        <v>3027</v>
      </c>
      <c r="N695" s="69">
        <f>VLOOKUP(B695,'114+320'!$B$15:$AB$785,5,FALSE)</f>
        <v>1675</v>
      </c>
      <c r="O695" s="68">
        <f t="shared" si="133"/>
        <v>1757</v>
      </c>
      <c r="P695" s="71">
        <f>VLOOKUP(B695,'114+320'!$B$15:$AB$785,14,FALSE)</f>
        <v>-1243</v>
      </c>
      <c r="Q695" s="66">
        <f>'114+320'!R696</f>
        <v>2</v>
      </c>
      <c r="R695" s="65">
        <f t="shared" si="138"/>
        <v>1063</v>
      </c>
      <c r="S695" s="70">
        <f>VLOOKUP(B695,'114+320'!$B$14:$AB$785,22,FALSE)</f>
        <v>3148</v>
      </c>
      <c r="T695" s="69">
        <f>VLOOKUP(B695,'114+320'!$B$15:$AB$785,6,FALSE)</f>
        <v>1494</v>
      </c>
      <c r="U695" s="68">
        <f t="shared" si="134"/>
        <v>1938</v>
      </c>
      <c r="V695" s="67">
        <f>VLOOKUP(B695,'114+320'!$B$15:$AB$785,15,FALSE)</f>
        <v>-1062</v>
      </c>
      <c r="W695" s="66">
        <f>'114+320'!S696</f>
        <v>1</v>
      </c>
      <c r="X695" s="65">
        <f t="shared" si="139"/>
        <v>942</v>
      </c>
      <c r="Y695" s="64">
        <f t="shared" si="140"/>
        <v>-1</v>
      </c>
      <c r="Z695" s="63">
        <f t="shared" si="141"/>
        <v>0</v>
      </c>
      <c r="AA695" s="62">
        <f t="shared" si="142"/>
        <v>4.0990000000000002</v>
      </c>
      <c r="AB695" s="62">
        <f t="shared" si="143"/>
        <v>2.1440000000000001</v>
      </c>
    </row>
    <row r="696" spans="2:28">
      <c r="B696" s="106">
        <f>'114+320'!B697</f>
        <v>45726</v>
      </c>
      <c r="C696" s="75">
        <f t="shared" si="135"/>
        <v>1</v>
      </c>
      <c r="D696" s="74">
        <f t="shared" si="136"/>
        <v>842</v>
      </c>
      <c r="E696" s="73">
        <f>VLOOKUP(B696,'114+320'!B697:AB1083,3,FALSE)</f>
        <v>2592</v>
      </c>
      <c r="F696" s="69">
        <f t="shared" si="131"/>
        <v>3434</v>
      </c>
      <c r="G696" s="72">
        <f>VLOOKUP(B696,'114+320'!$B$15:$AB$785,20,FALSE)</f>
        <v>3125</v>
      </c>
      <c r="H696" s="72">
        <f>VLOOKUP(B696,'114+320'!$B$15:$AB$785,4,FALSE)</f>
        <v>1579</v>
      </c>
      <c r="I696" s="68">
        <f t="shared" si="132"/>
        <v>1855</v>
      </c>
      <c r="J696" s="71">
        <f>VLOOKUP(B696,'114+320'!$B$15:$AB$785,13,FALSE)</f>
        <v>-1145</v>
      </c>
      <c r="K696" s="66">
        <f>'114+320'!Q697</f>
        <v>1</v>
      </c>
      <c r="L696" s="65">
        <f t="shared" si="137"/>
        <v>965</v>
      </c>
      <c r="M696" s="70">
        <f>VLOOKUP(B696,'114+320'!$B$14:$AB$785,21,FALSE)</f>
        <v>3026</v>
      </c>
      <c r="N696" s="69">
        <f>VLOOKUP(B696,'114+320'!$B$15:$AB$785,5,FALSE)</f>
        <v>1678</v>
      </c>
      <c r="O696" s="68">
        <f t="shared" si="133"/>
        <v>1756</v>
      </c>
      <c r="P696" s="71">
        <f>VLOOKUP(B696,'114+320'!$B$15:$AB$785,14,FALSE)</f>
        <v>-1244</v>
      </c>
      <c r="Q696" s="66">
        <f>'114+320'!R697</f>
        <v>1</v>
      </c>
      <c r="R696" s="65">
        <f t="shared" si="138"/>
        <v>1064</v>
      </c>
      <c r="S696" s="70">
        <f>VLOOKUP(B696,'114+320'!$B$14:$AB$785,22,FALSE)</f>
        <v>3147</v>
      </c>
      <c r="T696" s="69">
        <f>VLOOKUP(B696,'114+320'!$B$15:$AB$785,6,FALSE)</f>
        <v>1497</v>
      </c>
      <c r="U696" s="68">
        <f t="shared" si="134"/>
        <v>1937</v>
      </c>
      <c r="V696" s="67">
        <f>VLOOKUP(B696,'114+320'!$B$15:$AB$785,15,FALSE)</f>
        <v>-1063</v>
      </c>
      <c r="W696" s="66">
        <f>'114+320'!S697</f>
        <v>1</v>
      </c>
      <c r="X696" s="65">
        <f t="shared" si="139"/>
        <v>943</v>
      </c>
      <c r="Y696" s="64">
        <f t="shared" si="140"/>
        <v>-1</v>
      </c>
      <c r="Z696" s="63">
        <f t="shared" si="141"/>
        <v>0</v>
      </c>
      <c r="AA696" s="62">
        <f t="shared" si="142"/>
        <v>4.0990000000000002</v>
      </c>
      <c r="AB696" s="62">
        <f t="shared" si="143"/>
        <v>2.1419999999999999</v>
      </c>
    </row>
    <row r="697" spans="2:28">
      <c r="B697" s="106">
        <f>'114+320'!B698</f>
        <v>45727</v>
      </c>
      <c r="C697" s="75">
        <f t="shared" si="135"/>
        <v>1</v>
      </c>
      <c r="D697" s="74">
        <f t="shared" si="136"/>
        <v>842</v>
      </c>
      <c r="E697" s="73">
        <f>VLOOKUP(B697,'114+320'!B698:AB1084,3,FALSE)</f>
        <v>2594</v>
      </c>
      <c r="F697" s="69">
        <f t="shared" si="131"/>
        <v>3436</v>
      </c>
      <c r="G697" s="72">
        <f>VLOOKUP(B697,'114+320'!$B$15:$AB$785,20,FALSE)</f>
        <v>3124</v>
      </c>
      <c r="H697" s="72">
        <f>VLOOKUP(B697,'114+320'!$B$15:$AB$785,4,FALSE)</f>
        <v>1582</v>
      </c>
      <c r="I697" s="68">
        <f t="shared" si="132"/>
        <v>1854</v>
      </c>
      <c r="J697" s="71">
        <f>VLOOKUP(B697,'114+320'!$B$15:$AB$785,13,FALSE)</f>
        <v>-1146</v>
      </c>
      <c r="K697" s="66">
        <f>'114+320'!Q698</f>
        <v>1</v>
      </c>
      <c r="L697" s="65">
        <f t="shared" si="137"/>
        <v>966</v>
      </c>
      <c r="M697" s="70">
        <f>VLOOKUP(B697,'114+320'!$B$14:$AB$785,21,FALSE)</f>
        <v>3024</v>
      </c>
      <c r="N697" s="69">
        <f>VLOOKUP(B697,'114+320'!$B$15:$AB$785,5,FALSE)</f>
        <v>1682</v>
      </c>
      <c r="O697" s="68">
        <f t="shared" si="133"/>
        <v>1754</v>
      </c>
      <c r="P697" s="71">
        <f>VLOOKUP(B697,'114+320'!$B$15:$AB$785,14,FALSE)</f>
        <v>-1246</v>
      </c>
      <c r="Q697" s="66">
        <f>'114+320'!R698</f>
        <v>2</v>
      </c>
      <c r="R697" s="65">
        <f t="shared" si="138"/>
        <v>1066</v>
      </c>
      <c r="S697" s="70">
        <f>VLOOKUP(B697,'114+320'!$B$14:$AB$785,22,FALSE)</f>
        <v>3146</v>
      </c>
      <c r="T697" s="69">
        <f>VLOOKUP(B697,'114+320'!$B$15:$AB$785,6,FALSE)</f>
        <v>1500</v>
      </c>
      <c r="U697" s="68">
        <f t="shared" si="134"/>
        <v>1936</v>
      </c>
      <c r="V697" s="67">
        <f>VLOOKUP(B697,'114+320'!$B$15:$AB$785,15,FALSE)</f>
        <v>-1064</v>
      </c>
      <c r="W697" s="66">
        <f>'114+320'!S698</f>
        <v>1</v>
      </c>
      <c r="X697" s="65">
        <f t="shared" si="139"/>
        <v>944</v>
      </c>
      <c r="Y697" s="64">
        <f t="shared" si="140"/>
        <v>-1</v>
      </c>
      <c r="Z697" s="63">
        <f t="shared" si="141"/>
        <v>0</v>
      </c>
      <c r="AA697" s="62">
        <f t="shared" si="142"/>
        <v>4.0990000000000002</v>
      </c>
      <c r="AB697" s="62">
        <f t="shared" si="143"/>
        <v>2.1379999999999999</v>
      </c>
    </row>
    <row r="698" spans="2:28">
      <c r="B698" s="106">
        <f>'114+320'!B699</f>
        <v>45728</v>
      </c>
      <c r="C698" s="75">
        <f t="shared" si="135"/>
        <v>1</v>
      </c>
      <c r="D698" s="74">
        <f t="shared" si="136"/>
        <v>842</v>
      </c>
      <c r="E698" s="73">
        <f>VLOOKUP(B698,'114+320'!B699:AB1085,3,FALSE)</f>
        <v>2596</v>
      </c>
      <c r="F698" s="69">
        <f t="shared" si="131"/>
        <v>3438</v>
      </c>
      <c r="G698" s="72">
        <f>VLOOKUP(B698,'114+320'!$B$15:$AB$785,20,FALSE)</f>
        <v>3122</v>
      </c>
      <c r="H698" s="72">
        <f>VLOOKUP(B698,'114+320'!$B$15:$AB$785,4,FALSE)</f>
        <v>1586</v>
      </c>
      <c r="I698" s="68">
        <f t="shared" si="132"/>
        <v>1852</v>
      </c>
      <c r="J698" s="71">
        <f>VLOOKUP(B698,'114+320'!$B$15:$AB$785,13,FALSE)</f>
        <v>-1148</v>
      </c>
      <c r="K698" s="66">
        <f>'114+320'!Q699</f>
        <v>2</v>
      </c>
      <c r="L698" s="65">
        <f t="shared" si="137"/>
        <v>968</v>
      </c>
      <c r="M698" s="70">
        <f>VLOOKUP(B698,'114+320'!$B$14:$AB$785,21,FALSE)</f>
        <v>3023</v>
      </c>
      <c r="N698" s="69">
        <f>VLOOKUP(B698,'114+320'!$B$15:$AB$785,5,FALSE)</f>
        <v>1685</v>
      </c>
      <c r="O698" s="68">
        <f t="shared" si="133"/>
        <v>1753</v>
      </c>
      <c r="P698" s="71">
        <f>VLOOKUP(B698,'114+320'!$B$15:$AB$785,14,FALSE)</f>
        <v>-1247</v>
      </c>
      <c r="Q698" s="66">
        <f>'114+320'!R699</f>
        <v>1</v>
      </c>
      <c r="R698" s="65">
        <f t="shared" si="138"/>
        <v>1067</v>
      </c>
      <c r="S698" s="70">
        <f>VLOOKUP(B698,'114+320'!$B$14:$AB$785,22,FALSE)</f>
        <v>3145</v>
      </c>
      <c r="T698" s="69">
        <f>VLOOKUP(B698,'114+320'!$B$15:$AB$785,6,FALSE)</f>
        <v>1503</v>
      </c>
      <c r="U698" s="68">
        <f t="shared" si="134"/>
        <v>1935</v>
      </c>
      <c r="V698" s="67">
        <f>VLOOKUP(B698,'114+320'!$B$15:$AB$785,15,FALSE)</f>
        <v>-1065</v>
      </c>
      <c r="W698" s="66">
        <f>'114+320'!S699</f>
        <v>1</v>
      </c>
      <c r="X698" s="65">
        <f t="shared" si="139"/>
        <v>945</v>
      </c>
      <c r="Y698" s="64">
        <f t="shared" si="140"/>
        <v>-1</v>
      </c>
      <c r="Z698" s="63">
        <f t="shared" si="141"/>
        <v>0</v>
      </c>
      <c r="AA698" s="62">
        <f t="shared" si="142"/>
        <v>4.0990000000000002</v>
      </c>
      <c r="AB698" s="62">
        <f t="shared" si="143"/>
        <v>2.1360000000000001</v>
      </c>
    </row>
    <row r="699" spans="2:28">
      <c r="B699" s="106">
        <f>'114+320'!B700</f>
        <v>45729</v>
      </c>
      <c r="C699" s="75">
        <f t="shared" si="135"/>
        <v>1</v>
      </c>
      <c r="D699" s="74">
        <f t="shared" si="136"/>
        <v>842</v>
      </c>
      <c r="E699" s="73">
        <f>VLOOKUP(B699,'114+320'!B700:AB1086,3,FALSE)</f>
        <v>2598</v>
      </c>
      <c r="F699" s="69">
        <f t="shared" si="131"/>
        <v>3440</v>
      </c>
      <c r="G699" s="72">
        <f>VLOOKUP(B699,'114+320'!$B$15:$AB$785,20,FALSE)</f>
        <v>3121</v>
      </c>
      <c r="H699" s="72">
        <f>VLOOKUP(B699,'114+320'!$B$15:$AB$785,4,FALSE)</f>
        <v>1589</v>
      </c>
      <c r="I699" s="68">
        <f t="shared" si="132"/>
        <v>1851</v>
      </c>
      <c r="J699" s="71">
        <f>VLOOKUP(B699,'114+320'!$B$15:$AB$785,13,FALSE)</f>
        <v>-1149</v>
      </c>
      <c r="K699" s="66">
        <f>'114+320'!Q700</f>
        <v>1</v>
      </c>
      <c r="L699" s="65">
        <f t="shared" si="137"/>
        <v>969</v>
      </c>
      <c r="M699" s="70">
        <f>VLOOKUP(B699,'114+320'!$B$14:$AB$785,21,FALSE)</f>
        <v>3021</v>
      </c>
      <c r="N699" s="69">
        <f>VLOOKUP(B699,'114+320'!$B$15:$AB$785,5,FALSE)</f>
        <v>1689</v>
      </c>
      <c r="O699" s="68">
        <f t="shared" si="133"/>
        <v>1751</v>
      </c>
      <c r="P699" s="71">
        <f>VLOOKUP(B699,'114+320'!$B$15:$AB$785,14,FALSE)</f>
        <v>-1249</v>
      </c>
      <c r="Q699" s="66">
        <f>'114+320'!R700</f>
        <v>2</v>
      </c>
      <c r="R699" s="65">
        <f t="shared" si="138"/>
        <v>1069</v>
      </c>
      <c r="S699" s="70">
        <f>VLOOKUP(B699,'114+320'!$B$14:$AB$785,22,FALSE)</f>
        <v>3143</v>
      </c>
      <c r="T699" s="69">
        <f>VLOOKUP(B699,'114+320'!$B$15:$AB$785,6,FALSE)</f>
        <v>1507</v>
      </c>
      <c r="U699" s="68">
        <f t="shared" si="134"/>
        <v>1933</v>
      </c>
      <c r="V699" s="67">
        <f>VLOOKUP(B699,'114+320'!$B$15:$AB$785,15,FALSE)</f>
        <v>-1067</v>
      </c>
      <c r="W699" s="66">
        <f>'114+320'!S700</f>
        <v>2</v>
      </c>
      <c r="X699" s="65">
        <f t="shared" si="139"/>
        <v>947</v>
      </c>
      <c r="Y699" s="64">
        <f t="shared" si="140"/>
        <v>-2</v>
      </c>
      <c r="Z699" s="63">
        <f t="shared" si="141"/>
        <v>0</v>
      </c>
      <c r="AA699" s="62">
        <f t="shared" si="142"/>
        <v>4.0990000000000002</v>
      </c>
      <c r="AB699" s="62">
        <f t="shared" si="143"/>
        <v>2.1320000000000001</v>
      </c>
    </row>
    <row r="700" spans="2:28">
      <c r="B700" s="106">
        <f>'114+320'!B701</f>
        <v>45730</v>
      </c>
      <c r="C700" s="75">
        <f t="shared" si="135"/>
        <v>1</v>
      </c>
      <c r="D700" s="74">
        <f t="shared" si="136"/>
        <v>842</v>
      </c>
      <c r="E700" s="73">
        <f>VLOOKUP(B700,'114+320'!B701:AB1087,3,FALSE)</f>
        <v>2600</v>
      </c>
      <c r="F700" s="69">
        <f t="shared" si="131"/>
        <v>3442</v>
      </c>
      <c r="G700" s="72">
        <f>VLOOKUP(B700,'114+320'!$B$15:$AB$785,20,FALSE)</f>
        <v>3119</v>
      </c>
      <c r="H700" s="72">
        <f>VLOOKUP(B700,'114+320'!$B$15:$AB$785,4,FALSE)</f>
        <v>1593</v>
      </c>
      <c r="I700" s="68">
        <f t="shared" si="132"/>
        <v>1849</v>
      </c>
      <c r="J700" s="71">
        <f>VLOOKUP(B700,'114+320'!$B$15:$AB$785,13,FALSE)</f>
        <v>-1151</v>
      </c>
      <c r="K700" s="66">
        <f>'114+320'!Q701</f>
        <v>2</v>
      </c>
      <c r="L700" s="65">
        <f t="shared" si="137"/>
        <v>971</v>
      </c>
      <c r="M700" s="70">
        <f>VLOOKUP(B700,'114+320'!$B$14:$AB$785,21,FALSE)</f>
        <v>3019</v>
      </c>
      <c r="N700" s="69">
        <f>VLOOKUP(B700,'114+320'!$B$15:$AB$785,5,FALSE)</f>
        <v>1693</v>
      </c>
      <c r="O700" s="68">
        <f t="shared" si="133"/>
        <v>1749</v>
      </c>
      <c r="P700" s="71">
        <f>VLOOKUP(B700,'114+320'!$B$15:$AB$785,14,FALSE)</f>
        <v>-1251</v>
      </c>
      <c r="Q700" s="66">
        <f>'114+320'!R701</f>
        <v>2</v>
      </c>
      <c r="R700" s="65">
        <f t="shared" si="138"/>
        <v>1071</v>
      </c>
      <c r="S700" s="70">
        <f>VLOOKUP(B700,'114+320'!$B$14:$AB$785,22,FALSE)</f>
        <v>3142</v>
      </c>
      <c r="T700" s="69">
        <f>VLOOKUP(B700,'114+320'!$B$15:$AB$785,6,FALSE)</f>
        <v>1510</v>
      </c>
      <c r="U700" s="68">
        <f t="shared" si="134"/>
        <v>1932</v>
      </c>
      <c r="V700" s="67">
        <f>VLOOKUP(B700,'114+320'!$B$15:$AB$785,15,FALSE)</f>
        <v>-1068</v>
      </c>
      <c r="W700" s="66">
        <f>'114+320'!S701</f>
        <v>1</v>
      </c>
      <c r="X700" s="65">
        <f t="shared" si="139"/>
        <v>948</v>
      </c>
      <c r="Y700" s="64">
        <f t="shared" si="140"/>
        <v>-1</v>
      </c>
      <c r="Z700" s="63">
        <f t="shared" si="141"/>
        <v>0</v>
      </c>
      <c r="AA700" s="62">
        <f t="shared" si="142"/>
        <v>4.0990000000000002</v>
      </c>
      <c r="AB700" s="62">
        <f t="shared" si="143"/>
        <v>2.1280000000000001</v>
      </c>
    </row>
    <row r="701" spans="2:28">
      <c r="B701" s="106">
        <f>'114+320'!B702</f>
        <v>45731</v>
      </c>
      <c r="C701" s="75">
        <f t="shared" si="135"/>
        <v>1</v>
      </c>
      <c r="D701" s="74">
        <f t="shared" si="136"/>
        <v>842</v>
      </c>
      <c r="E701" s="73">
        <f>VLOOKUP(B701,'114+320'!B702:AB1088,3,FALSE)</f>
        <v>2602</v>
      </c>
      <c r="F701" s="69">
        <f t="shared" si="131"/>
        <v>3444</v>
      </c>
      <c r="G701" s="72">
        <f>VLOOKUP(B701,'114+320'!$B$15:$AB$785,20,FALSE)</f>
        <v>3118</v>
      </c>
      <c r="H701" s="72">
        <f>VLOOKUP(B701,'114+320'!$B$15:$AB$785,4,FALSE)</f>
        <v>1596</v>
      </c>
      <c r="I701" s="68">
        <f t="shared" si="132"/>
        <v>1848</v>
      </c>
      <c r="J701" s="71">
        <f>VLOOKUP(B701,'114+320'!$B$15:$AB$785,13,FALSE)</f>
        <v>-1152</v>
      </c>
      <c r="K701" s="66">
        <f>'114+320'!Q702</f>
        <v>1</v>
      </c>
      <c r="L701" s="65">
        <f t="shared" si="137"/>
        <v>972</v>
      </c>
      <c r="M701" s="70">
        <f>VLOOKUP(B701,'114+320'!$B$14:$AB$785,21,FALSE)</f>
        <v>3017</v>
      </c>
      <c r="N701" s="69">
        <f>VLOOKUP(B701,'114+320'!$B$15:$AB$785,5,FALSE)</f>
        <v>1697</v>
      </c>
      <c r="O701" s="68">
        <f t="shared" si="133"/>
        <v>1747</v>
      </c>
      <c r="P701" s="71">
        <f>VLOOKUP(B701,'114+320'!$B$15:$AB$785,14,FALSE)</f>
        <v>-1253</v>
      </c>
      <c r="Q701" s="66">
        <f>'114+320'!R702</f>
        <v>2</v>
      </c>
      <c r="R701" s="65">
        <f t="shared" si="138"/>
        <v>1073</v>
      </c>
      <c r="S701" s="70">
        <f>VLOOKUP(B701,'114+320'!$B$14:$AB$785,22,FALSE)</f>
        <v>3140</v>
      </c>
      <c r="T701" s="69">
        <f>VLOOKUP(B701,'114+320'!$B$15:$AB$785,6,FALSE)</f>
        <v>1514</v>
      </c>
      <c r="U701" s="68">
        <f t="shared" si="134"/>
        <v>1930</v>
      </c>
      <c r="V701" s="67">
        <f>VLOOKUP(B701,'114+320'!$B$15:$AB$785,15,FALSE)</f>
        <v>-1070</v>
      </c>
      <c r="W701" s="66">
        <f>'114+320'!S702</f>
        <v>2</v>
      </c>
      <c r="X701" s="65">
        <f t="shared" si="139"/>
        <v>950</v>
      </c>
      <c r="Y701" s="64">
        <f t="shared" si="140"/>
        <v>-2</v>
      </c>
      <c r="Z701" s="63">
        <f t="shared" si="141"/>
        <v>0</v>
      </c>
      <c r="AA701" s="62">
        <f t="shared" si="142"/>
        <v>4.0990000000000002</v>
      </c>
      <c r="AB701" s="62">
        <f t="shared" si="143"/>
        <v>2.1240000000000001</v>
      </c>
    </row>
    <row r="702" spans="2:28">
      <c r="B702" s="106">
        <f>'114+320'!B703</f>
        <v>45732</v>
      </c>
      <c r="C702" s="75">
        <f t="shared" si="135"/>
        <v>1</v>
      </c>
      <c r="D702" s="74">
        <f t="shared" si="136"/>
        <v>842</v>
      </c>
      <c r="E702" s="73">
        <f>VLOOKUP(B702,'114+320'!B703:AB1089,3,FALSE)</f>
        <v>2604</v>
      </c>
      <c r="F702" s="69">
        <f t="shared" si="131"/>
        <v>3446</v>
      </c>
      <c r="G702" s="72">
        <f>VLOOKUP(B702,'114+320'!$B$15:$AB$785,20,FALSE)</f>
        <v>3116</v>
      </c>
      <c r="H702" s="72">
        <f>VLOOKUP(B702,'114+320'!$B$15:$AB$785,4,FALSE)</f>
        <v>1600</v>
      </c>
      <c r="I702" s="68">
        <f t="shared" si="132"/>
        <v>1846</v>
      </c>
      <c r="J702" s="71">
        <f>VLOOKUP(B702,'114+320'!$B$15:$AB$785,13,FALSE)</f>
        <v>-1154</v>
      </c>
      <c r="K702" s="66">
        <f>'114+320'!Q703</f>
        <v>2</v>
      </c>
      <c r="L702" s="65">
        <f t="shared" si="137"/>
        <v>974</v>
      </c>
      <c r="M702" s="70">
        <f>VLOOKUP(B702,'114+320'!$B$14:$AB$785,21,FALSE)</f>
        <v>3015</v>
      </c>
      <c r="N702" s="69">
        <f>VLOOKUP(B702,'114+320'!$B$15:$AB$785,5,FALSE)</f>
        <v>1701</v>
      </c>
      <c r="O702" s="68">
        <f t="shared" si="133"/>
        <v>1745</v>
      </c>
      <c r="P702" s="71">
        <f>VLOOKUP(B702,'114+320'!$B$15:$AB$785,14,FALSE)</f>
        <v>-1255</v>
      </c>
      <c r="Q702" s="66">
        <f>'114+320'!R703</f>
        <v>2</v>
      </c>
      <c r="R702" s="65">
        <f t="shared" si="138"/>
        <v>1075</v>
      </c>
      <c r="S702" s="70">
        <f>VLOOKUP(B702,'114+320'!$B$14:$AB$785,22,FALSE)</f>
        <v>3139</v>
      </c>
      <c r="T702" s="69">
        <f>VLOOKUP(B702,'114+320'!$B$15:$AB$785,6,FALSE)</f>
        <v>1517</v>
      </c>
      <c r="U702" s="68">
        <f t="shared" si="134"/>
        <v>1929</v>
      </c>
      <c r="V702" s="67">
        <f>VLOOKUP(B702,'114+320'!$B$15:$AB$785,15,FALSE)</f>
        <v>-1071</v>
      </c>
      <c r="W702" s="66">
        <f>'114+320'!S703</f>
        <v>1</v>
      </c>
      <c r="X702" s="65">
        <f t="shared" si="139"/>
        <v>951</v>
      </c>
      <c r="Y702" s="64">
        <f t="shared" si="140"/>
        <v>-1</v>
      </c>
      <c r="Z702" s="63">
        <f t="shared" si="141"/>
        <v>0</v>
      </c>
      <c r="AA702" s="62">
        <f t="shared" si="142"/>
        <v>4.0990000000000002</v>
      </c>
      <c r="AB702" s="62">
        <f t="shared" si="143"/>
        <v>2.12</v>
      </c>
    </row>
    <row r="703" spans="2:28">
      <c r="B703" s="106">
        <f>'114+320'!B704</f>
        <v>45733</v>
      </c>
      <c r="C703" s="75">
        <f t="shared" si="135"/>
        <v>1</v>
      </c>
      <c r="D703" s="74">
        <f t="shared" si="136"/>
        <v>842</v>
      </c>
      <c r="E703" s="73">
        <f>VLOOKUP(B703,'114+320'!B704:AB1090,3,FALSE)</f>
        <v>2606</v>
      </c>
      <c r="F703" s="69">
        <f t="shared" si="131"/>
        <v>3448</v>
      </c>
      <c r="G703" s="72">
        <f>VLOOKUP(B703,'114+320'!$B$15:$AB$785,20,FALSE)</f>
        <v>3115</v>
      </c>
      <c r="H703" s="72">
        <f>VLOOKUP(B703,'114+320'!$B$15:$AB$785,4,FALSE)</f>
        <v>1603</v>
      </c>
      <c r="I703" s="68">
        <f t="shared" si="132"/>
        <v>1845</v>
      </c>
      <c r="J703" s="71">
        <f>VLOOKUP(B703,'114+320'!$B$15:$AB$785,13,FALSE)</f>
        <v>-1155</v>
      </c>
      <c r="K703" s="66">
        <f>'114+320'!Q704</f>
        <v>1</v>
      </c>
      <c r="L703" s="65">
        <f t="shared" si="137"/>
        <v>975</v>
      </c>
      <c r="M703" s="70">
        <f>VLOOKUP(B703,'114+320'!$B$14:$AB$785,21,FALSE)</f>
        <v>3013</v>
      </c>
      <c r="N703" s="69">
        <f>VLOOKUP(B703,'114+320'!$B$15:$AB$785,5,FALSE)</f>
        <v>1705</v>
      </c>
      <c r="O703" s="68">
        <f t="shared" si="133"/>
        <v>1743</v>
      </c>
      <c r="P703" s="71">
        <f>VLOOKUP(B703,'114+320'!$B$15:$AB$785,14,FALSE)</f>
        <v>-1257</v>
      </c>
      <c r="Q703" s="66">
        <f>'114+320'!R704</f>
        <v>2</v>
      </c>
      <c r="R703" s="65">
        <f t="shared" si="138"/>
        <v>1077</v>
      </c>
      <c r="S703" s="70">
        <f>VLOOKUP(B703,'114+320'!$B$14:$AB$785,22,FALSE)</f>
        <v>3137</v>
      </c>
      <c r="T703" s="69">
        <f>VLOOKUP(B703,'114+320'!$B$15:$AB$785,6,FALSE)</f>
        <v>1521</v>
      </c>
      <c r="U703" s="68">
        <f t="shared" si="134"/>
        <v>1927</v>
      </c>
      <c r="V703" s="67">
        <f>VLOOKUP(B703,'114+320'!$B$15:$AB$785,15,FALSE)</f>
        <v>-1073</v>
      </c>
      <c r="W703" s="66">
        <f>'114+320'!S704</f>
        <v>2</v>
      </c>
      <c r="X703" s="65">
        <f t="shared" si="139"/>
        <v>953</v>
      </c>
      <c r="Y703" s="64">
        <f t="shared" si="140"/>
        <v>-2</v>
      </c>
      <c r="Z703" s="63">
        <f t="shared" si="141"/>
        <v>0</v>
      </c>
      <c r="AA703" s="62">
        <f t="shared" si="142"/>
        <v>4.0990000000000002</v>
      </c>
      <c r="AB703" s="62">
        <f t="shared" si="143"/>
        <v>2.1160000000000001</v>
      </c>
    </row>
    <row r="704" spans="2:28">
      <c r="B704" s="106">
        <f>'114+320'!B705</f>
        <v>45734</v>
      </c>
      <c r="C704" s="75">
        <f t="shared" si="135"/>
        <v>1</v>
      </c>
      <c r="D704" s="74">
        <f t="shared" si="136"/>
        <v>842</v>
      </c>
      <c r="E704" s="73">
        <f>VLOOKUP(B704,'114+320'!B705:AB1091,3,FALSE)</f>
        <v>2608</v>
      </c>
      <c r="F704" s="69">
        <f t="shared" si="131"/>
        <v>3450</v>
      </c>
      <c r="G704" s="72">
        <f>VLOOKUP(B704,'114+320'!$B$15:$AB$785,20,FALSE)</f>
        <v>3113</v>
      </c>
      <c r="H704" s="72">
        <f>VLOOKUP(B704,'114+320'!$B$15:$AB$785,4,FALSE)</f>
        <v>1607</v>
      </c>
      <c r="I704" s="68">
        <f t="shared" si="132"/>
        <v>1843</v>
      </c>
      <c r="J704" s="71">
        <f>VLOOKUP(B704,'114+320'!$B$15:$AB$785,13,FALSE)</f>
        <v>-1157</v>
      </c>
      <c r="K704" s="66">
        <f>'114+320'!Q705</f>
        <v>2</v>
      </c>
      <c r="L704" s="65">
        <f t="shared" si="137"/>
        <v>977</v>
      </c>
      <c r="M704" s="70">
        <f>VLOOKUP(B704,'114+320'!$B$14:$AB$785,21,FALSE)</f>
        <v>3011</v>
      </c>
      <c r="N704" s="69">
        <f>VLOOKUP(B704,'114+320'!$B$15:$AB$785,5,FALSE)</f>
        <v>1709</v>
      </c>
      <c r="O704" s="68">
        <f t="shared" si="133"/>
        <v>1741</v>
      </c>
      <c r="P704" s="71">
        <f>VLOOKUP(B704,'114+320'!$B$15:$AB$785,14,FALSE)</f>
        <v>-1259</v>
      </c>
      <c r="Q704" s="66">
        <f>'114+320'!R705</f>
        <v>2</v>
      </c>
      <c r="R704" s="65">
        <f t="shared" si="138"/>
        <v>1079</v>
      </c>
      <c r="S704" s="70">
        <f>VLOOKUP(B704,'114+320'!$B$14:$AB$785,22,FALSE)</f>
        <v>3136</v>
      </c>
      <c r="T704" s="69">
        <f>VLOOKUP(B704,'114+320'!$B$15:$AB$785,6,FALSE)</f>
        <v>1524</v>
      </c>
      <c r="U704" s="68">
        <f t="shared" si="134"/>
        <v>1926</v>
      </c>
      <c r="V704" s="67">
        <f>VLOOKUP(B704,'114+320'!$B$15:$AB$785,15,FALSE)</f>
        <v>-1074</v>
      </c>
      <c r="W704" s="66">
        <f>'114+320'!S705</f>
        <v>1</v>
      </c>
      <c r="X704" s="65">
        <f t="shared" si="139"/>
        <v>954</v>
      </c>
      <c r="Y704" s="64">
        <f t="shared" si="140"/>
        <v>-1</v>
      </c>
      <c r="Z704" s="63">
        <f t="shared" si="141"/>
        <v>0</v>
      </c>
      <c r="AA704" s="62">
        <f t="shared" si="142"/>
        <v>4.0990000000000002</v>
      </c>
      <c r="AB704" s="62">
        <f t="shared" si="143"/>
        <v>2.1120000000000001</v>
      </c>
    </row>
    <row r="705" spans="2:28">
      <c r="B705" s="106">
        <f>'114+320'!B706</f>
        <v>45735</v>
      </c>
      <c r="C705" s="75">
        <f t="shared" si="135"/>
        <v>1</v>
      </c>
      <c r="D705" s="74">
        <f t="shared" si="136"/>
        <v>842</v>
      </c>
      <c r="E705" s="73">
        <f>VLOOKUP(B705,'114+320'!B706:AB1092,3,FALSE)</f>
        <v>2610</v>
      </c>
      <c r="F705" s="69">
        <f t="shared" si="131"/>
        <v>3452</v>
      </c>
      <c r="G705" s="72">
        <f>VLOOKUP(B705,'114+320'!$B$15:$AB$785,20,FALSE)</f>
        <v>3111</v>
      </c>
      <c r="H705" s="72">
        <f>VLOOKUP(B705,'114+320'!$B$15:$AB$785,4,FALSE)</f>
        <v>1611</v>
      </c>
      <c r="I705" s="68">
        <f t="shared" si="132"/>
        <v>1841</v>
      </c>
      <c r="J705" s="71">
        <f>VLOOKUP(B705,'114+320'!$B$15:$AB$785,13,FALSE)</f>
        <v>-1159</v>
      </c>
      <c r="K705" s="66">
        <f>'114+320'!Q706</f>
        <v>2</v>
      </c>
      <c r="L705" s="65">
        <f t="shared" si="137"/>
        <v>979</v>
      </c>
      <c r="M705" s="70">
        <f>VLOOKUP(B705,'114+320'!$B$14:$AB$785,21,FALSE)</f>
        <v>3008</v>
      </c>
      <c r="N705" s="69">
        <f>VLOOKUP(B705,'114+320'!$B$15:$AB$785,5,FALSE)</f>
        <v>1714</v>
      </c>
      <c r="O705" s="68">
        <f t="shared" si="133"/>
        <v>1738</v>
      </c>
      <c r="P705" s="71">
        <f>VLOOKUP(B705,'114+320'!$B$15:$AB$785,14,FALSE)</f>
        <v>-1262</v>
      </c>
      <c r="Q705" s="66">
        <f>'114+320'!R706</f>
        <v>3</v>
      </c>
      <c r="R705" s="65">
        <f t="shared" si="138"/>
        <v>1082</v>
      </c>
      <c r="S705" s="70">
        <f>VLOOKUP(B705,'114+320'!$B$14:$AB$785,22,FALSE)</f>
        <v>3134</v>
      </c>
      <c r="T705" s="69">
        <f>VLOOKUP(B705,'114+320'!$B$15:$AB$785,6,FALSE)</f>
        <v>1528</v>
      </c>
      <c r="U705" s="68">
        <f t="shared" si="134"/>
        <v>1924</v>
      </c>
      <c r="V705" s="67">
        <f>VLOOKUP(B705,'114+320'!$B$15:$AB$785,15,FALSE)</f>
        <v>-1076</v>
      </c>
      <c r="W705" s="66">
        <f>'114+320'!S706</f>
        <v>2</v>
      </c>
      <c r="X705" s="65">
        <f t="shared" si="139"/>
        <v>956</v>
      </c>
      <c r="Y705" s="64">
        <f t="shared" si="140"/>
        <v>-2</v>
      </c>
      <c r="Z705" s="63">
        <f t="shared" si="141"/>
        <v>0</v>
      </c>
      <c r="AA705" s="62">
        <f t="shared" si="142"/>
        <v>4.0990000000000002</v>
      </c>
      <c r="AB705" s="62">
        <f t="shared" si="143"/>
        <v>2.1059999999999999</v>
      </c>
    </row>
    <row r="706" spans="2:28">
      <c r="B706" s="106">
        <f>'114+320'!B707</f>
        <v>45736</v>
      </c>
      <c r="C706" s="75">
        <f t="shared" si="135"/>
        <v>1</v>
      </c>
      <c r="D706" s="74">
        <f t="shared" si="136"/>
        <v>842</v>
      </c>
      <c r="E706" s="73">
        <f>VLOOKUP(B706,'114+320'!B707:AB1093,3,FALSE)</f>
        <v>2612</v>
      </c>
      <c r="F706" s="69">
        <f t="shared" si="131"/>
        <v>3454</v>
      </c>
      <c r="G706" s="72">
        <f>VLOOKUP(B706,'114+320'!$B$15:$AB$785,20,FALSE)</f>
        <v>3109</v>
      </c>
      <c r="H706" s="72">
        <f>VLOOKUP(B706,'114+320'!$B$15:$AB$785,4,FALSE)</f>
        <v>1615</v>
      </c>
      <c r="I706" s="68">
        <f t="shared" si="132"/>
        <v>1839</v>
      </c>
      <c r="J706" s="71">
        <f>VLOOKUP(B706,'114+320'!$B$15:$AB$785,13,FALSE)</f>
        <v>-1161</v>
      </c>
      <c r="K706" s="66">
        <f>'114+320'!Q707</f>
        <v>2</v>
      </c>
      <c r="L706" s="65">
        <f t="shared" si="137"/>
        <v>981</v>
      </c>
      <c r="M706" s="70">
        <f>VLOOKUP(B706,'114+320'!$B$14:$AB$785,21,FALSE)</f>
        <v>3007</v>
      </c>
      <c r="N706" s="69">
        <f>VLOOKUP(B706,'114+320'!$B$15:$AB$785,5,FALSE)</f>
        <v>1717</v>
      </c>
      <c r="O706" s="68">
        <f t="shared" si="133"/>
        <v>1737</v>
      </c>
      <c r="P706" s="71">
        <f>VLOOKUP(B706,'114+320'!$B$15:$AB$785,14,FALSE)</f>
        <v>-1263</v>
      </c>
      <c r="Q706" s="66">
        <f>'114+320'!R707</f>
        <v>1</v>
      </c>
      <c r="R706" s="65">
        <f t="shared" si="138"/>
        <v>1083</v>
      </c>
      <c r="S706" s="70">
        <f>VLOOKUP(B706,'114+320'!$B$14:$AB$785,22,FALSE)</f>
        <v>3134</v>
      </c>
      <c r="T706" s="69">
        <f>VLOOKUP(B706,'114+320'!$B$15:$AB$785,6,FALSE)</f>
        <v>1530</v>
      </c>
      <c r="U706" s="68">
        <f t="shared" si="134"/>
        <v>1924</v>
      </c>
      <c r="V706" s="67">
        <f>VLOOKUP(B706,'114+320'!$B$15:$AB$785,15,FALSE)</f>
        <v>-1076</v>
      </c>
      <c r="W706" s="66">
        <f>'114+320'!S707</f>
        <v>0</v>
      </c>
      <c r="X706" s="65">
        <f t="shared" si="139"/>
        <v>956</v>
      </c>
      <c r="Y706" s="64">
        <f t="shared" si="140"/>
        <v>0</v>
      </c>
      <c r="Z706" s="63">
        <f t="shared" si="141"/>
        <v>0</v>
      </c>
      <c r="AA706" s="62">
        <f t="shared" si="142"/>
        <v>4.0990000000000002</v>
      </c>
      <c r="AB706" s="62">
        <f t="shared" si="143"/>
        <v>2.1040000000000001</v>
      </c>
    </row>
    <row r="707" spans="2:28">
      <c r="B707" s="106">
        <f>'114+320'!B708</f>
        <v>45737</v>
      </c>
      <c r="C707" s="75">
        <f t="shared" si="135"/>
        <v>1</v>
      </c>
      <c r="D707" s="74">
        <f t="shared" si="136"/>
        <v>842</v>
      </c>
      <c r="E707" s="73">
        <f>VLOOKUP(B707,'114+320'!B708:AB1094,3,FALSE)</f>
        <v>2614</v>
      </c>
      <c r="F707" s="69">
        <f t="shared" si="131"/>
        <v>3456</v>
      </c>
      <c r="G707" s="72">
        <f>VLOOKUP(B707,'114+320'!$B$15:$AB$785,20,FALSE)</f>
        <v>3108</v>
      </c>
      <c r="H707" s="72">
        <f>VLOOKUP(B707,'114+320'!$B$15:$AB$785,4,FALSE)</f>
        <v>1618</v>
      </c>
      <c r="I707" s="68">
        <f t="shared" si="132"/>
        <v>1838</v>
      </c>
      <c r="J707" s="71">
        <f>VLOOKUP(B707,'114+320'!$B$15:$AB$785,13,FALSE)</f>
        <v>-1162</v>
      </c>
      <c r="K707" s="66">
        <f>'114+320'!Q708</f>
        <v>1</v>
      </c>
      <c r="L707" s="65">
        <f t="shared" si="137"/>
        <v>982</v>
      </c>
      <c r="M707" s="70">
        <f>VLOOKUP(B707,'114+320'!$B$14:$AB$785,21,FALSE)</f>
        <v>3003</v>
      </c>
      <c r="N707" s="69">
        <f>VLOOKUP(B707,'114+320'!$B$15:$AB$785,5,FALSE)</f>
        <v>1723</v>
      </c>
      <c r="O707" s="68">
        <f t="shared" si="133"/>
        <v>1733</v>
      </c>
      <c r="P707" s="71">
        <f>VLOOKUP(B707,'114+320'!$B$15:$AB$785,14,FALSE)</f>
        <v>-1267</v>
      </c>
      <c r="Q707" s="66">
        <f>'114+320'!R708</f>
        <v>4</v>
      </c>
      <c r="R707" s="65">
        <f t="shared" si="138"/>
        <v>1087</v>
      </c>
      <c r="S707" s="70">
        <f>VLOOKUP(B707,'114+320'!$B$14:$AB$785,22,FALSE)</f>
        <v>3132</v>
      </c>
      <c r="T707" s="69">
        <f>VLOOKUP(B707,'114+320'!$B$15:$AB$785,6,FALSE)</f>
        <v>1534</v>
      </c>
      <c r="U707" s="68">
        <f t="shared" si="134"/>
        <v>1922</v>
      </c>
      <c r="V707" s="67">
        <f>VLOOKUP(B707,'114+320'!$B$15:$AB$785,15,FALSE)</f>
        <v>-1078</v>
      </c>
      <c r="W707" s="66">
        <f>'114+320'!S708</f>
        <v>2</v>
      </c>
      <c r="X707" s="65">
        <f t="shared" si="139"/>
        <v>958</v>
      </c>
      <c r="Y707" s="64">
        <f t="shared" si="140"/>
        <v>-2</v>
      </c>
      <c r="Z707" s="63">
        <f t="shared" si="141"/>
        <v>0</v>
      </c>
      <c r="AA707" s="62">
        <f t="shared" si="142"/>
        <v>4.0990000000000002</v>
      </c>
      <c r="AB707" s="62">
        <f t="shared" si="143"/>
        <v>2.0960000000000001</v>
      </c>
    </row>
    <row r="708" spans="2:28">
      <c r="B708" s="106">
        <f>'114+320'!B709</f>
        <v>45738</v>
      </c>
      <c r="C708" s="75">
        <f t="shared" si="135"/>
        <v>1</v>
      </c>
      <c r="D708" s="74">
        <f t="shared" si="136"/>
        <v>842</v>
      </c>
      <c r="E708" s="73">
        <f>VLOOKUP(B708,'114+320'!B709:AB1095,3,FALSE)</f>
        <v>2616</v>
      </c>
      <c r="F708" s="69">
        <f t="shared" si="131"/>
        <v>3458</v>
      </c>
      <c r="G708" s="72">
        <f>VLOOKUP(B708,'114+320'!$B$15:$AB$785,20,FALSE)</f>
        <v>3106</v>
      </c>
      <c r="H708" s="72">
        <f>VLOOKUP(B708,'114+320'!$B$15:$AB$785,4,FALSE)</f>
        <v>1622</v>
      </c>
      <c r="I708" s="68">
        <f t="shared" si="132"/>
        <v>1836</v>
      </c>
      <c r="J708" s="71">
        <f>VLOOKUP(B708,'114+320'!$B$15:$AB$785,13,FALSE)</f>
        <v>-1164</v>
      </c>
      <c r="K708" s="66">
        <f>'114+320'!Q709</f>
        <v>2</v>
      </c>
      <c r="L708" s="65">
        <f t="shared" si="137"/>
        <v>984</v>
      </c>
      <c r="M708" s="70">
        <f>VLOOKUP(B708,'114+320'!$B$14:$AB$785,21,FALSE)</f>
        <v>2999</v>
      </c>
      <c r="N708" s="69">
        <f>VLOOKUP(B708,'114+320'!$B$15:$AB$785,5,FALSE)</f>
        <v>1729</v>
      </c>
      <c r="O708" s="68">
        <f t="shared" si="133"/>
        <v>1729</v>
      </c>
      <c r="P708" s="71">
        <f>VLOOKUP(B708,'114+320'!$B$15:$AB$785,14,FALSE)</f>
        <v>-1271</v>
      </c>
      <c r="Q708" s="66">
        <f>'114+320'!R709</f>
        <v>4</v>
      </c>
      <c r="R708" s="65">
        <f t="shared" si="138"/>
        <v>1091</v>
      </c>
      <c r="S708" s="70">
        <f>VLOOKUP(B708,'114+320'!$B$14:$AB$785,22,FALSE)</f>
        <v>3130</v>
      </c>
      <c r="T708" s="69">
        <f>VLOOKUP(B708,'114+320'!$B$15:$AB$785,6,FALSE)</f>
        <v>1538</v>
      </c>
      <c r="U708" s="68">
        <f t="shared" si="134"/>
        <v>1920</v>
      </c>
      <c r="V708" s="67">
        <f>VLOOKUP(B708,'114+320'!$B$15:$AB$785,15,FALSE)</f>
        <v>-1080</v>
      </c>
      <c r="W708" s="66">
        <f>'114+320'!S709</f>
        <v>2</v>
      </c>
      <c r="X708" s="65">
        <f t="shared" si="139"/>
        <v>960</v>
      </c>
      <c r="Y708" s="64">
        <f t="shared" si="140"/>
        <v>-2</v>
      </c>
      <c r="Z708" s="63">
        <f t="shared" si="141"/>
        <v>0</v>
      </c>
      <c r="AA708" s="62">
        <f t="shared" si="142"/>
        <v>4.0990000000000002</v>
      </c>
      <c r="AB708" s="62">
        <f t="shared" si="143"/>
        <v>2.0880000000000001</v>
      </c>
    </row>
    <row r="709" spans="2:28">
      <c r="B709" s="106">
        <f>'114+320'!B710</f>
        <v>45739</v>
      </c>
      <c r="C709" s="75">
        <f t="shared" si="135"/>
        <v>1</v>
      </c>
      <c r="D709" s="74">
        <f t="shared" si="136"/>
        <v>842</v>
      </c>
      <c r="E709" s="73">
        <f>VLOOKUP(B709,'114+320'!B710:AB1096,3,FALSE)</f>
        <v>2618</v>
      </c>
      <c r="F709" s="69">
        <f t="shared" si="131"/>
        <v>3460</v>
      </c>
      <c r="G709" s="72">
        <f>VLOOKUP(B709,'114+320'!$B$15:$AB$785,20,FALSE)</f>
        <v>3105</v>
      </c>
      <c r="H709" s="72">
        <f>VLOOKUP(B709,'114+320'!$B$15:$AB$785,4,FALSE)</f>
        <v>1625</v>
      </c>
      <c r="I709" s="68">
        <f t="shared" si="132"/>
        <v>1835</v>
      </c>
      <c r="J709" s="71">
        <f>VLOOKUP(B709,'114+320'!$B$15:$AB$785,13,FALSE)</f>
        <v>-1165</v>
      </c>
      <c r="K709" s="66">
        <f>'114+320'!Q710</f>
        <v>1</v>
      </c>
      <c r="L709" s="65">
        <f t="shared" si="137"/>
        <v>985</v>
      </c>
      <c r="M709" s="70">
        <f>VLOOKUP(B709,'114+320'!$B$14:$AB$785,21,FALSE)</f>
        <v>2997</v>
      </c>
      <c r="N709" s="69">
        <f>VLOOKUP(B709,'114+320'!$B$15:$AB$785,5,FALSE)</f>
        <v>1733</v>
      </c>
      <c r="O709" s="68">
        <f t="shared" si="133"/>
        <v>1727</v>
      </c>
      <c r="P709" s="71">
        <f>VLOOKUP(B709,'114+320'!$B$15:$AB$785,14,FALSE)</f>
        <v>-1273</v>
      </c>
      <c r="Q709" s="66">
        <f>'114+320'!R710</f>
        <v>2</v>
      </c>
      <c r="R709" s="65">
        <f t="shared" si="138"/>
        <v>1093</v>
      </c>
      <c r="S709" s="70">
        <f>VLOOKUP(B709,'114+320'!$B$14:$AB$785,22,FALSE)</f>
        <v>3128</v>
      </c>
      <c r="T709" s="69">
        <f>VLOOKUP(B709,'114+320'!$B$15:$AB$785,6,FALSE)</f>
        <v>1542</v>
      </c>
      <c r="U709" s="68">
        <f t="shared" si="134"/>
        <v>1918</v>
      </c>
      <c r="V709" s="67">
        <f>VLOOKUP(B709,'114+320'!$B$15:$AB$785,15,FALSE)</f>
        <v>-1082</v>
      </c>
      <c r="W709" s="66">
        <f>'114+320'!S710</f>
        <v>2</v>
      </c>
      <c r="X709" s="65">
        <f t="shared" si="139"/>
        <v>962</v>
      </c>
      <c r="Y709" s="64">
        <f t="shared" si="140"/>
        <v>-2</v>
      </c>
      <c r="Z709" s="63">
        <f t="shared" si="141"/>
        <v>0</v>
      </c>
      <c r="AA709" s="62">
        <f t="shared" si="142"/>
        <v>4.0990000000000002</v>
      </c>
      <c r="AB709" s="62">
        <f t="shared" si="143"/>
        <v>2.0840000000000001</v>
      </c>
    </row>
    <row r="710" spans="2:28">
      <c r="B710" s="106">
        <f>'114+320'!B711</f>
        <v>45740</v>
      </c>
      <c r="C710" s="75">
        <f t="shared" si="135"/>
        <v>1</v>
      </c>
      <c r="D710" s="74">
        <f t="shared" si="136"/>
        <v>842</v>
      </c>
      <c r="E710" s="73">
        <f>VLOOKUP(B710,'114+320'!B711:AB1097,3,FALSE)</f>
        <v>2620</v>
      </c>
      <c r="F710" s="69">
        <f t="shared" si="131"/>
        <v>3462</v>
      </c>
      <c r="G710" s="72">
        <f>VLOOKUP(B710,'114+320'!$B$15:$AB$785,20,FALSE)</f>
        <v>3103</v>
      </c>
      <c r="H710" s="72">
        <f>VLOOKUP(B710,'114+320'!$B$15:$AB$785,4,FALSE)</f>
        <v>1629</v>
      </c>
      <c r="I710" s="68">
        <f t="shared" si="132"/>
        <v>1833</v>
      </c>
      <c r="J710" s="71">
        <f>VLOOKUP(B710,'114+320'!$B$15:$AB$785,13,FALSE)</f>
        <v>-1167</v>
      </c>
      <c r="K710" s="66">
        <f>'114+320'!Q711</f>
        <v>2</v>
      </c>
      <c r="L710" s="65">
        <f t="shared" si="137"/>
        <v>987</v>
      </c>
      <c r="M710" s="70">
        <f>VLOOKUP(B710,'114+320'!$B$14:$AB$785,21,FALSE)</f>
        <v>2994</v>
      </c>
      <c r="N710" s="69">
        <f>VLOOKUP(B710,'114+320'!$B$15:$AB$785,5,FALSE)</f>
        <v>1738</v>
      </c>
      <c r="O710" s="68">
        <f t="shared" si="133"/>
        <v>1724</v>
      </c>
      <c r="P710" s="71">
        <f>VLOOKUP(B710,'114+320'!$B$15:$AB$785,14,FALSE)</f>
        <v>-1276</v>
      </c>
      <c r="Q710" s="66">
        <f>'114+320'!R711</f>
        <v>3</v>
      </c>
      <c r="R710" s="65">
        <f t="shared" si="138"/>
        <v>1096</v>
      </c>
      <c r="S710" s="70">
        <f>VLOOKUP(B710,'114+320'!$B$14:$AB$785,22,FALSE)</f>
        <v>3126</v>
      </c>
      <c r="T710" s="69">
        <f>VLOOKUP(B710,'114+320'!$B$15:$AB$785,6,FALSE)</f>
        <v>1546</v>
      </c>
      <c r="U710" s="68">
        <f t="shared" si="134"/>
        <v>1916</v>
      </c>
      <c r="V710" s="67">
        <f>VLOOKUP(B710,'114+320'!$B$15:$AB$785,15,FALSE)</f>
        <v>-1084</v>
      </c>
      <c r="W710" s="66">
        <f>'114+320'!S711</f>
        <v>2</v>
      </c>
      <c r="X710" s="65">
        <f t="shared" si="139"/>
        <v>964</v>
      </c>
      <c r="Y710" s="64">
        <f t="shared" si="140"/>
        <v>-2</v>
      </c>
      <c r="Z710" s="63">
        <f t="shared" si="141"/>
        <v>0</v>
      </c>
      <c r="AA710" s="62">
        <f t="shared" si="142"/>
        <v>4.0990000000000002</v>
      </c>
      <c r="AB710" s="62">
        <f t="shared" si="143"/>
        <v>2.0779999999999998</v>
      </c>
    </row>
    <row r="711" spans="2:28">
      <c r="B711" s="106">
        <f>'114+320'!B712</f>
        <v>45741</v>
      </c>
      <c r="C711" s="75">
        <f t="shared" si="135"/>
        <v>1</v>
      </c>
      <c r="D711" s="74">
        <f t="shared" si="136"/>
        <v>842</v>
      </c>
      <c r="E711" s="73">
        <f>VLOOKUP(B711,'114+320'!B712:AB1098,3,FALSE)</f>
        <v>2622</v>
      </c>
      <c r="F711" s="69">
        <f t="shared" si="131"/>
        <v>3464</v>
      </c>
      <c r="G711" s="72">
        <f>VLOOKUP(B711,'114+320'!$B$15:$AB$785,20,FALSE)</f>
        <v>3101</v>
      </c>
      <c r="H711" s="72">
        <f>VLOOKUP(B711,'114+320'!$B$15:$AB$785,4,FALSE)</f>
        <v>1633</v>
      </c>
      <c r="I711" s="68">
        <f t="shared" si="132"/>
        <v>1831</v>
      </c>
      <c r="J711" s="71">
        <f>VLOOKUP(B711,'114+320'!$B$15:$AB$785,13,FALSE)</f>
        <v>-1169</v>
      </c>
      <c r="K711" s="66">
        <f>'114+320'!Q712</f>
        <v>2</v>
      </c>
      <c r="L711" s="65">
        <f t="shared" si="137"/>
        <v>989</v>
      </c>
      <c r="M711" s="70">
        <f>VLOOKUP(B711,'114+320'!$B$14:$AB$785,21,FALSE)</f>
        <v>2993</v>
      </c>
      <c r="N711" s="69">
        <f>VLOOKUP(B711,'114+320'!$B$15:$AB$785,5,FALSE)</f>
        <v>1741</v>
      </c>
      <c r="O711" s="68">
        <f t="shared" si="133"/>
        <v>1723</v>
      </c>
      <c r="P711" s="71">
        <f>VLOOKUP(B711,'114+320'!$B$15:$AB$785,14,FALSE)</f>
        <v>-1277</v>
      </c>
      <c r="Q711" s="66">
        <f>'114+320'!R712</f>
        <v>1</v>
      </c>
      <c r="R711" s="65">
        <f t="shared" si="138"/>
        <v>1097</v>
      </c>
      <c r="S711" s="70">
        <f>VLOOKUP(B711,'114+320'!$B$14:$AB$785,22,FALSE)</f>
        <v>3125</v>
      </c>
      <c r="T711" s="69">
        <f>VLOOKUP(B711,'114+320'!$B$15:$AB$785,6,FALSE)</f>
        <v>1549</v>
      </c>
      <c r="U711" s="68">
        <f t="shared" si="134"/>
        <v>1915</v>
      </c>
      <c r="V711" s="67">
        <f>VLOOKUP(B711,'114+320'!$B$15:$AB$785,15,FALSE)</f>
        <v>-1085</v>
      </c>
      <c r="W711" s="66">
        <f>'114+320'!S712</f>
        <v>1</v>
      </c>
      <c r="X711" s="65">
        <f t="shared" si="139"/>
        <v>965</v>
      </c>
      <c r="Y711" s="64">
        <f t="shared" si="140"/>
        <v>-1</v>
      </c>
      <c r="Z711" s="63">
        <f t="shared" si="141"/>
        <v>0</v>
      </c>
      <c r="AA711" s="62">
        <f t="shared" si="142"/>
        <v>4.0990000000000002</v>
      </c>
      <c r="AB711" s="62">
        <f t="shared" si="143"/>
        <v>2.0760000000000001</v>
      </c>
    </row>
    <row r="712" spans="2:28">
      <c r="B712" s="106">
        <f>'114+320'!B713</f>
        <v>45742</v>
      </c>
      <c r="C712" s="75">
        <f t="shared" si="135"/>
        <v>1</v>
      </c>
      <c r="D712" s="74">
        <f t="shared" si="136"/>
        <v>842</v>
      </c>
      <c r="E712" s="73">
        <f>VLOOKUP(B712,'114+320'!B713:AB1099,3,FALSE)</f>
        <v>2624</v>
      </c>
      <c r="F712" s="69">
        <f t="shared" si="131"/>
        <v>3466</v>
      </c>
      <c r="G712" s="72">
        <f>VLOOKUP(B712,'114+320'!$B$15:$AB$785,20,FALSE)</f>
        <v>3099</v>
      </c>
      <c r="H712" s="72">
        <f>VLOOKUP(B712,'114+320'!$B$15:$AB$785,4,FALSE)</f>
        <v>1637</v>
      </c>
      <c r="I712" s="68">
        <f t="shared" si="132"/>
        <v>1829</v>
      </c>
      <c r="J712" s="71">
        <f>VLOOKUP(B712,'114+320'!$B$15:$AB$785,13,FALSE)</f>
        <v>-1171</v>
      </c>
      <c r="K712" s="66">
        <f>'114+320'!Q713</f>
        <v>2</v>
      </c>
      <c r="L712" s="65">
        <f t="shared" si="137"/>
        <v>991</v>
      </c>
      <c r="M712" s="70">
        <f>VLOOKUP(B712,'114+320'!$B$14:$AB$785,21,FALSE)</f>
        <v>2991</v>
      </c>
      <c r="N712" s="69">
        <f>VLOOKUP(B712,'114+320'!$B$15:$AB$785,5,FALSE)</f>
        <v>1745</v>
      </c>
      <c r="O712" s="68">
        <f t="shared" si="133"/>
        <v>1721</v>
      </c>
      <c r="P712" s="71">
        <f>VLOOKUP(B712,'114+320'!$B$15:$AB$785,14,FALSE)</f>
        <v>-1279</v>
      </c>
      <c r="Q712" s="66">
        <f>'114+320'!R713</f>
        <v>2</v>
      </c>
      <c r="R712" s="65">
        <f t="shared" si="138"/>
        <v>1099</v>
      </c>
      <c r="S712" s="70">
        <f>VLOOKUP(B712,'114+320'!$B$14:$AB$785,22,FALSE)</f>
        <v>3123</v>
      </c>
      <c r="T712" s="69">
        <f>VLOOKUP(B712,'114+320'!$B$15:$AB$785,6,FALSE)</f>
        <v>1553</v>
      </c>
      <c r="U712" s="68">
        <f t="shared" si="134"/>
        <v>1913</v>
      </c>
      <c r="V712" s="67">
        <f>VLOOKUP(B712,'114+320'!$B$15:$AB$785,15,FALSE)</f>
        <v>-1087</v>
      </c>
      <c r="W712" s="66">
        <f>'114+320'!S713</f>
        <v>2</v>
      </c>
      <c r="X712" s="65">
        <f t="shared" si="139"/>
        <v>967</v>
      </c>
      <c r="Y712" s="64">
        <f t="shared" si="140"/>
        <v>-2</v>
      </c>
      <c r="Z712" s="63">
        <f t="shared" si="141"/>
        <v>0</v>
      </c>
      <c r="AA712" s="62">
        <f t="shared" si="142"/>
        <v>4.0990000000000002</v>
      </c>
      <c r="AB712" s="62">
        <f t="shared" si="143"/>
        <v>2.0720000000000001</v>
      </c>
    </row>
    <row r="713" spans="2:28">
      <c r="B713" s="106">
        <f>'114+320'!B714</f>
        <v>45743</v>
      </c>
      <c r="C713" s="75">
        <f t="shared" si="135"/>
        <v>1</v>
      </c>
      <c r="D713" s="74">
        <f t="shared" si="136"/>
        <v>842</v>
      </c>
      <c r="E713" s="73">
        <f>VLOOKUP(B713,'114+320'!B714:AB1100,3,FALSE)</f>
        <v>2626</v>
      </c>
      <c r="F713" s="69">
        <f t="shared" si="131"/>
        <v>3468</v>
      </c>
      <c r="G713" s="72">
        <f>VLOOKUP(B713,'114+320'!$B$15:$AB$785,20,FALSE)</f>
        <v>3097</v>
      </c>
      <c r="H713" s="72">
        <f>VLOOKUP(B713,'114+320'!$B$15:$AB$785,4,FALSE)</f>
        <v>1641</v>
      </c>
      <c r="I713" s="68">
        <f t="shared" si="132"/>
        <v>1827</v>
      </c>
      <c r="J713" s="71">
        <f>VLOOKUP(B713,'114+320'!$B$15:$AB$785,13,FALSE)</f>
        <v>-1173</v>
      </c>
      <c r="K713" s="66">
        <f>'114+320'!Q714</f>
        <v>2</v>
      </c>
      <c r="L713" s="65">
        <f t="shared" si="137"/>
        <v>993</v>
      </c>
      <c r="M713" s="70">
        <f>VLOOKUP(B713,'114+320'!$B$14:$AB$785,21,FALSE)</f>
        <v>2989</v>
      </c>
      <c r="N713" s="69">
        <f>VLOOKUP(B713,'114+320'!$B$15:$AB$785,5,FALSE)</f>
        <v>1749</v>
      </c>
      <c r="O713" s="68">
        <f t="shared" si="133"/>
        <v>1719</v>
      </c>
      <c r="P713" s="71">
        <f>VLOOKUP(B713,'114+320'!$B$15:$AB$785,14,FALSE)</f>
        <v>-1281</v>
      </c>
      <c r="Q713" s="66">
        <f>'114+320'!R714</f>
        <v>2</v>
      </c>
      <c r="R713" s="65">
        <f t="shared" si="138"/>
        <v>1101</v>
      </c>
      <c r="S713" s="70">
        <f>VLOOKUP(B713,'114+320'!$B$14:$AB$785,22,FALSE)</f>
        <v>3122</v>
      </c>
      <c r="T713" s="69">
        <f>VLOOKUP(B713,'114+320'!$B$15:$AB$785,6,FALSE)</f>
        <v>1556</v>
      </c>
      <c r="U713" s="68">
        <f t="shared" si="134"/>
        <v>1912</v>
      </c>
      <c r="V713" s="67">
        <f>VLOOKUP(B713,'114+320'!$B$15:$AB$785,15,FALSE)</f>
        <v>-1088</v>
      </c>
      <c r="W713" s="66">
        <f>'114+320'!S714</f>
        <v>1</v>
      </c>
      <c r="X713" s="65">
        <f t="shared" si="139"/>
        <v>968</v>
      </c>
      <c r="Y713" s="64">
        <f t="shared" si="140"/>
        <v>-1</v>
      </c>
      <c r="Z713" s="63">
        <f t="shared" si="141"/>
        <v>0</v>
      </c>
      <c r="AA713" s="62">
        <f t="shared" si="142"/>
        <v>4.0990000000000002</v>
      </c>
      <c r="AB713" s="62">
        <f t="shared" si="143"/>
        <v>2.0680000000000001</v>
      </c>
    </row>
    <row r="714" spans="2:28">
      <c r="B714" s="106">
        <f>'114+320'!B715</f>
        <v>45744</v>
      </c>
      <c r="C714" s="75">
        <f t="shared" si="135"/>
        <v>1</v>
      </c>
      <c r="D714" s="74">
        <f t="shared" si="136"/>
        <v>842</v>
      </c>
      <c r="E714" s="73">
        <f>VLOOKUP(B714,'114+320'!B715:AB1101,3,FALSE)</f>
        <v>2628</v>
      </c>
      <c r="F714" s="69">
        <f t="shared" si="131"/>
        <v>3470</v>
      </c>
      <c r="G714" s="72">
        <f>VLOOKUP(B714,'114+320'!$B$15:$AB$785,20,FALSE)</f>
        <v>3095</v>
      </c>
      <c r="H714" s="72">
        <f>VLOOKUP(B714,'114+320'!$B$15:$AB$785,4,FALSE)</f>
        <v>1645</v>
      </c>
      <c r="I714" s="68">
        <f t="shared" si="132"/>
        <v>1825</v>
      </c>
      <c r="J714" s="71">
        <f>VLOOKUP(B714,'114+320'!$B$15:$AB$785,13,FALSE)</f>
        <v>-1175</v>
      </c>
      <c r="K714" s="66">
        <f>'114+320'!Q715</f>
        <v>2</v>
      </c>
      <c r="L714" s="65">
        <f t="shared" si="137"/>
        <v>995</v>
      </c>
      <c r="M714" s="70">
        <f>VLOOKUP(B714,'114+320'!$B$14:$AB$785,21,FALSE)</f>
        <v>2988</v>
      </c>
      <c r="N714" s="69">
        <f>VLOOKUP(B714,'114+320'!$B$15:$AB$785,5,FALSE)</f>
        <v>1752</v>
      </c>
      <c r="O714" s="68">
        <f t="shared" si="133"/>
        <v>1718</v>
      </c>
      <c r="P714" s="71">
        <f>VLOOKUP(B714,'114+320'!$B$15:$AB$785,14,FALSE)</f>
        <v>-1282</v>
      </c>
      <c r="Q714" s="66">
        <f>'114+320'!R715</f>
        <v>1</v>
      </c>
      <c r="R714" s="65">
        <f t="shared" si="138"/>
        <v>1102</v>
      </c>
      <c r="S714" s="70">
        <f>VLOOKUP(B714,'114+320'!$B$14:$AB$785,22,FALSE)</f>
        <v>3120</v>
      </c>
      <c r="T714" s="69">
        <f>VLOOKUP(B714,'114+320'!$B$15:$AB$785,6,FALSE)</f>
        <v>1560</v>
      </c>
      <c r="U714" s="68">
        <f t="shared" si="134"/>
        <v>1910</v>
      </c>
      <c r="V714" s="67">
        <f>VLOOKUP(B714,'114+320'!$B$15:$AB$785,15,FALSE)</f>
        <v>-1090</v>
      </c>
      <c r="W714" s="66">
        <f>'114+320'!S715</f>
        <v>2</v>
      </c>
      <c r="X714" s="65">
        <f t="shared" si="139"/>
        <v>970</v>
      </c>
      <c r="Y714" s="64">
        <f t="shared" si="140"/>
        <v>-2</v>
      </c>
      <c r="Z714" s="63">
        <f t="shared" si="141"/>
        <v>0</v>
      </c>
      <c r="AA714" s="62">
        <f t="shared" si="142"/>
        <v>4.0990000000000002</v>
      </c>
      <c r="AB714" s="62">
        <f t="shared" si="143"/>
        <v>2.0659999999999998</v>
      </c>
    </row>
    <row r="715" spans="2:28">
      <c r="B715" s="106">
        <f>'114+320'!B716</f>
        <v>45745</v>
      </c>
      <c r="C715" s="75">
        <f t="shared" si="135"/>
        <v>1</v>
      </c>
      <c r="D715" s="74">
        <f t="shared" si="136"/>
        <v>842</v>
      </c>
      <c r="E715" s="73">
        <f>VLOOKUP(B715,'114+320'!B716:AB1102,3,FALSE)</f>
        <v>2630</v>
      </c>
      <c r="F715" s="69">
        <f t="shared" si="131"/>
        <v>3472</v>
      </c>
      <c r="G715" s="72">
        <f>VLOOKUP(B715,'114+320'!$B$15:$AB$785,20,FALSE)</f>
        <v>3093</v>
      </c>
      <c r="H715" s="72">
        <f>VLOOKUP(B715,'114+320'!$B$15:$AB$785,4,FALSE)</f>
        <v>1649</v>
      </c>
      <c r="I715" s="68">
        <f t="shared" si="132"/>
        <v>1823</v>
      </c>
      <c r="J715" s="71">
        <f>VLOOKUP(B715,'114+320'!$B$15:$AB$785,13,FALSE)</f>
        <v>-1177</v>
      </c>
      <c r="K715" s="66">
        <f>'114+320'!Q716</f>
        <v>2</v>
      </c>
      <c r="L715" s="65">
        <f t="shared" si="137"/>
        <v>997</v>
      </c>
      <c r="M715" s="70">
        <f>VLOOKUP(B715,'114+320'!$B$14:$AB$785,21,FALSE)</f>
        <v>2986</v>
      </c>
      <c r="N715" s="69">
        <f>VLOOKUP(B715,'114+320'!$B$15:$AB$785,5,FALSE)</f>
        <v>1756</v>
      </c>
      <c r="O715" s="68">
        <f t="shared" si="133"/>
        <v>1716</v>
      </c>
      <c r="P715" s="71">
        <f>VLOOKUP(B715,'114+320'!$B$15:$AB$785,14,FALSE)</f>
        <v>-1284</v>
      </c>
      <c r="Q715" s="66">
        <f>'114+320'!R716</f>
        <v>2</v>
      </c>
      <c r="R715" s="65">
        <f t="shared" si="138"/>
        <v>1104</v>
      </c>
      <c r="S715" s="70">
        <f>VLOOKUP(B715,'114+320'!$B$14:$AB$785,22,FALSE)</f>
        <v>3118</v>
      </c>
      <c r="T715" s="69">
        <f>VLOOKUP(B715,'114+320'!$B$15:$AB$785,6,FALSE)</f>
        <v>1564</v>
      </c>
      <c r="U715" s="68">
        <f t="shared" si="134"/>
        <v>1908</v>
      </c>
      <c r="V715" s="67">
        <f>VLOOKUP(B715,'114+320'!$B$15:$AB$785,15,FALSE)</f>
        <v>-1092</v>
      </c>
      <c r="W715" s="66">
        <f>'114+320'!S716</f>
        <v>2</v>
      </c>
      <c r="X715" s="65">
        <f t="shared" si="139"/>
        <v>972</v>
      </c>
      <c r="Y715" s="64">
        <f t="shared" si="140"/>
        <v>-2</v>
      </c>
      <c r="Z715" s="63">
        <f t="shared" si="141"/>
        <v>0</v>
      </c>
      <c r="AA715" s="62">
        <f t="shared" si="142"/>
        <v>4.0990000000000002</v>
      </c>
      <c r="AB715" s="62">
        <f t="shared" si="143"/>
        <v>2.0619999999999998</v>
      </c>
    </row>
    <row r="716" spans="2:28">
      <c r="B716" s="106">
        <f>'114+320'!B717</f>
        <v>45746</v>
      </c>
      <c r="C716" s="75">
        <f t="shared" si="135"/>
        <v>1</v>
      </c>
      <c r="D716" s="74">
        <f t="shared" si="136"/>
        <v>842</v>
      </c>
      <c r="E716" s="73">
        <f>VLOOKUP(B716,'114+320'!B717:AB1103,3,FALSE)</f>
        <v>2632</v>
      </c>
      <c r="F716" s="69">
        <f t="shared" si="131"/>
        <v>3474</v>
      </c>
      <c r="G716" s="72">
        <f>VLOOKUP(B716,'114+320'!$B$15:$AB$785,20,FALSE)</f>
        <v>3090</v>
      </c>
      <c r="H716" s="72">
        <f>VLOOKUP(B716,'114+320'!$B$15:$AB$785,4,FALSE)</f>
        <v>1654</v>
      </c>
      <c r="I716" s="68">
        <f t="shared" si="132"/>
        <v>1820</v>
      </c>
      <c r="J716" s="71">
        <f>VLOOKUP(B716,'114+320'!$B$15:$AB$785,13,FALSE)</f>
        <v>-1180</v>
      </c>
      <c r="K716" s="66">
        <f>'114+320'!Q717</f>
        <v>3</v>
      </c>
      <c r="L716" s="65">
        <f t="shared" si="137"/>
        <v>1000</v>
      </c>
      <c r="M716" s="70">
        <f>VLOOKUP(B716,'114+320'!$B$14:$AB$785,21,FALSE)</f>
        <v>2985</v>
      </c>
      <c r="N716" s="69">
        <f>VLOOKUP(B716,'114+320'!$B$15:$AB$785,5,FALSE)</f>
        <v>1759</v>
      </c>
      <c r="O716" s="68">
        <f t="shared" si="133"/>
        <v>1715</v>
      </c>
      <c r="P716" s="71">
        <f>VLOOKUP(B716,'114+320'!$B$15:$AB$785,14,FALSE)</f>
        <v>-1285</v>
      </c>
      <c r="Q716" s="66">
        <f>'114+320'!R717</f>
        <v>1</v>
      </c>
      <c r="R716" s="65">
        <f t="shared" si="138"/>
        <v>1105</v>
      </c>
      <c r="S716" s="70">
        <f>VLOOKUP(B716,'114+320'!$B$14:$AB$785,22,FALSE)</f>
        <v>3117</v>
      </c>
      <c r="T716" s="69">
        <f>VLOOKUP(B716,'114+320'!$B$15:$AB$785,6,FALSE)</f>
        <v>1567</v>
      </c>
      <c r="U716" s="68">
        <f t="shared" si="134"/>
        <v>1907</v>
      </c>
      <c r="V716" s="67">
        <f>VLOOKUP(B716,'114+320'!$B$15:$AB$785,15,FALSE)</f>
        <v>-1093</v>
      </c>
      <c r="W716" s="66">
        <f>'114+320'!S717</f>
        <v>1</v>
      </c>
      <c r="X716" s="65">
        <f t="shared" si="139"/>
        <v>973</v>
      </c>
      <c r="Y716" s="64">
        <f t="shared" si="140"/>
        <v>-1</v>
      </c>
      <c r="Z716" s="63">
        <f t="shared" si="141"/>
        <v>0</v>
      </c>
      <c r="AA716" s="62">
        <f t="shared" si="142"/>
        <v>4.0990000000000002</v>
      </c>
      <c r="AB716" s="62">
        <f t="shared" si="143"/>
        <v>2.06</v>
      </c>
    </row>
    <row r="717" spans="2:28">
      <c r="B717" s="106">
        <f>'114+320'!B718</f>
        <v>45747</v>
      </c>
      <c r="C717" s="75">
        <f t="shared" si="135"/>
        <v>1</v>
      </c>
      <c r="D717" s="74">
        <f t="shared" si="136"/>
        <v>842</v>
      </c>
      <c r="E717" s="73">
        <f>VLOOKUP(B717,'114+320'!B718:AB1104,3,FALSE)</f>
        <v>2634</v>
      </c>
      <c r="F717" s="69">
        <f t="shared" ref="F717" si="144">D717+E717</f>
        <v>3476</v>
      </c>
      <c r="G717" s="72">
        <f>VLOOKUP(B717,'114+320'!$B$15:$AB$785,20,FALSE)</f>
        <v>3089</v>
      </c>
      <c r="H717" s="72">
        <f>VLOOKUP(B717,'114+320'!$B$15:$AB$785,4,FALSE)</f>
        <v>1657</v>
      </c>
      <c r="I717" s="68">
        <f t="shared" ref="I717" si="145">F717-H717</f>
        <v>1819</v>
      </c>
      <c r="J717" s="71">
        <f>VLOOKUP(B717,'114+320'!$B$15:$AB$785,13,FALSE)</f>
        <v>-1181</v>
      </c>
      <c r="K717" s="66">
        <f>'114+320'!Q718</f>
        <v>1</v>
      </c>
      <c r="L717" s="65">
        <f t="shared" si="137"/>
        <v>1001</v>
      </c>
      <c r="M717" s="70">
        <f>VLOOKUP(B717,'114+320'!$B$14:$AB$785,21,FALSE)</f>
        <v>2984</v>
      </c>
      <c r="N717" s="69">
        <f>VLOOKUP(B717,'114+320'!$B$15:$AB$785,5,FALSE)</f>
        <v>1762</v>
      </c>
      <c r="O717" s="68">
        <f t="shared" ref="O717" si="146">F717-N717</f>
        <v>1714</v>
      </c>
      <c r="P717" s="71">
        <f>VLOOKUP(B717,'114+320'!$B$15:$AB$785,14,FALSE)</f>
        <v>-1286</v>
      </c>
      <c r="Q717" s="66">
        <f>'114+320'!R718</f>
        <v>1</v>
      </c>
      <c r="R717" s="65">
        <f t="shared" si="138"/>
        <v>1106</v>
      </c>
      <c r="S717" s="70">
        <f>VLOOKUP(B717,'114+320'!$B$14:$AB$785,22,FALSE)</f>
        <v>3115</v>
      </c>
      <c r="T717" s="69">
        <f>VLOOKUP(B717,'114+320'!$B$15:$AB$785,6,FALSE)</f>
        <v>1571</v>
      </c>
      <c r="U717" s="68">
        <f t="shared" ref="U717" si="147">F717-T717</f>
        <v>1905</v>
      </c>
      <c r="V717" s="67">
        <f>VLOOKUP(B717,'114+320'!$B$15:$AB$785,15,FALSE)</f>
        <v>-1095</v>
      </c>
      <c r="W717" s="66">
        <f>'114+320'!S718</f>
        <v>2</v>
      </c>
      <c r="X717" s="65">
        <f t="shared" si="139"/>
        <v>975</v>
      </c>
      <c r="Y717" s="64">
        <f t="shared" si="140"/>
        <v>-2</v>
      </c>
      <c r="Z717" s="63">
        <f t="shared" si="141"/>
        <v>0</v>
      </c>
      <c r="AA717" s="62">
        <f t="shared" si="142"/>
        <v>4.0990000000000002</v>
      </c>
      <c r="AB717" s="62">
        <f t="shared" si="143"/>
        <v>2.0579999999999998</v>
      </c>
    </row>
    <row r="718" spans="2:28">
      <c r="B718" s="106">
        <f>'114+320'!B719</f>
        <v>45748</v>
      </c>
      <c r="C718" s="75">
        <f t="shared" si="135"/>
        <v>1</v>
      </c>
      <c r="D718" s="74">
        <f t="shared" ref="D718:D736" si="148">D717</f>
        <v>842</v>
      </c>
      <c r="E718" s="73">
        <f>VLOOKUP(B718,'114+320'!B719:AB1105,3,FALSE)</f>
        <v>2636</v>
      </c>
      <c r="F718" s="69">
        <f t="shared" ref="F718:F736" si="149">D718+E718</f>
        <v>3478</v>
      </c>
      <c r="G718" s="72">
        <f>VLOOKUP(B718,'114+320'!$B$15:$AB$785,20,FALSE)</f>
        <v>3089</v>
      </c>
      <c r="H718" s="72">
        <f>VLOOKUP(B718,'114+320'!$B$15:$AB$785,4,FALSE)</f>
        <v>1659</v>
      </c>
      <c r="I718" s="68">
        <f t="shared" ref="I718:I736" si="150">F718-H718</f>
        <v>1819</v>
      </c>
      <c r="J718" s="71">
        <f>VLOOKUP(B718,'114+320'!$B$15:$AB$785,13,FALSE)</f>
        <v>-1181</v>
      </c>
      <c r="K718" s="66">
        <f>'114+320'!Q719</f>
        <v>0</v>
      </c>
      <c r="L718" s="65">
        <f t="shared" ref="L718:L736" si="151">+K718+L717</f>
        <v>1001</v>
      </c>
      <c r="M718" s="70">
        <f>VLOOKUP(B718,'114+320'!$B$14:$AB$785,21,FALSE)</f>
        <v>2978</v>
      </c>
      <c r="N718" s="69">
        <f>VLOOKUP(B718,'114+320'!$B$15:$AB$785,5,FALSE)</f>
        <v>1770</v>
      </c>
      <c r="O718" s="68">
        <f t="shared" ref="O718:O736" si="152">F718-N718</f>
        <v>1708</v>
      </c>
      <c r="P718" s="71">
        <f>VLOOKUP(B718,'114+320'!$B$15:$AB$785,14,FALSE)</f>
        <v>-1292</v>
      </c>
      <c r="Q718" s="66">
        <f>'114+320'!R719</f>
        <v>6</v>
      </c>
      <c r="R718" s="65">
        <f t="shared" ref="R718:R736" si="153">+Q718+R717</f>
        <v>1112</v>
      </c>
      <c r="S718" s="70">
        <f>VLOOKUP(B718,'114+320'!$B$14:$AB$785,22,FALSE)</f>
        <v>3115</v>
      </c>
      <c r="T718" s="69">
        <f>VLOOKUP(B718,'114+320'!$B$15:$AB$785,6,FALSE)</f>
        <v>1573</v>
      </c>
      <c r="U718" s="68">
        <f t="shared" ref="U718:U736" si="154">F718-T718</f>
        <v>1905</v>
      </c>
      <c r="V718" s="67">
        <f>VLOOKUP(B718,'114+320'!$B$15:$AB$785,15,FALSE)</f>
        <v>-1095</v>
      </c>
      <c r="W718" s="66">
        <f>'114+320'!S719</f>
        <v>0</v>
      </c>
      <c r="X718" s="65">
        <f t="shared" ref="X718:X736" si="155">+W718+X717</f>
        <v>975</v>
      </c>
      <c r="Y718" s="64">
        <f t="shared" ref="Y718:Y736" si="156">S718-S717</f>
        <v>0</v>
      </c>
      <c r="Z718" s="63">
        <f t="shared" si="141"/>
        <v>0</v>
      </c>
      <c r="AA718" s="62">
        <f t="shared" ref="AA718:AA736" si="157">AA717+Z718</f>
        <v>4.0990000000000002</v>
      </c>
      <c r="AB718" s="62">
        <f t="shared" ref="AB718:AB736" si="158">(M718-$M$13-R718)/1000</f>
        <v>2.0459999999999998</v>
      </c>
    </row>
    <row r="719" spans="2:28">
      <c r="B719" s="106">
        <f>'114+320'!B720</f>
        <v>45749</v>
      </c>
      <c r="C719" s="75">
        <f t="shared" ref="C719:C781" si="159">B719-B718</f>
        <v>1</v>
      </c>
      <c r="D719" s="74">
        <f t="shared" si="148"/>
        <v>842</v>
      </c>
      <c r="E719" s="73">
        <f>VLOOKUP(B719,'114+320'!B720:AB1106,3,FALSE)</f>
        <v>2638</v>
      </c>
      <c r="F719" s="69">
        <f t="shared" si="149"/>
        <v>3480</v>
      </c>
      <c r="G719" s="72">
        <f>VLOOKUP(B719,'114+320'!$B$15:$AB$785,20,FALSE)</f>
        <v>3089</v>
      </c>
      <c r="H719" s="72">
        <f>VLOOKUP(B719,'114+320'!$B$15:$AB$785,4,FALSE)</f>
        <v>1661</v>
      </c>
      <c r="I719" s="68">
        <f t="shared" si="150"/>
        <v>1819</v>
      </c>
      <c r="J719" s="71">
        <f>VLOOKUP(B719,'114+320'!$B$15:$AB$785,13,FALSE)</f>
        <v>-1181</v>
      </c>
      <c r="K719" s="66">
        <f>'114+320'!Q720</f>
        <v>0</v>
      </c>
      <c r="L719" s="65">
        <f t="shared" si="151"/>
        <v>1001</v>
      </c>
      <c r="M719" s="70">
        <f>VLOOKUP(B719,'114+320'!$B$14:$AB$785,21,FALSE)</f>
        <v>2975</v>
      </c>
      <c r="N719" s="69">
        <f>VLOOKUP(B719,'114+320'!$B$15:$AB$785,5,FALSE)</f>
        <v>1775</v>
      </c>
      <c r="O719" s="68">
        <f t="shared" si="152"/>
        <v>1705</v>
      </c>
      <c r="P719" s="71">
        <f>VLOOKUP(B719,'114+320'!$B$15:$AB$785,14,FALSE)</f>
        <v>-1295</v>
      </c>
      <c r="Q719" s="66">
        <f>'114+320'!R720</f>
        <v>3</v>
      </c>
      <c r="R719" s="65">
        <f t="shared" si="153"/>
        <v>1115</v>
      </c>
      <c r="S719" s="70">
        <f>VLOOKUP(B719,'114+320'!$B$14:$AB$785,22,FALSE)</f>
        <v>3115</v>
      </c>
      <c r="T719" s="69">
        <f>VLOOKUP(B719,'114+320'!$B$15:$AB$785,6,FALSE)</f>
        <v>1575</v>
      </c>
      <c r="U719" s="68">
        <f t="shared" si="154"/>
        <v>1905</v>
      </c>
      <c r="V719" s="67">
        <f>VLOOKUP(B719,'114+320'!$B$15:$AB$785,15,FALSE)</f>
        <v>-1095</v>
      </c>
      <c r="W719" s="66">
        <f>'114+320'!S720</f>
        <v>0</v>
      </c>
      <c r="X719" s="65">
        <f t="shared" si="155"/>
        <v>975</v>
      </c>
      <c r="Y719" s="64">
        <f t="shared" si="156"/>
        <v>0</v>
      </c>
      <c r="Z719" s="63">
        <f t="shared" ref="Z719:Z781" si="160">IF(Y719&gt;0,Y719,0)/1000</f>
        <v>0</v>
      </c>
      <c r="AA719" s="62">
        <f t="shared" si="157"/>
        <v>4.0990000000000002</v>
      </c>
      <c r="AB719" s="62">
        <f t="shared" si="158"/>
        <v>2.04</v>
      </c>
    </row>
    <row r="720" spans="2:28">
      <c r="B720" s="106">
        <f>'114+320'!B721</f>
        <v>45750</v>
      </c>
      <c r="C720" s="75">
        <f t="shared" si="159"/>
        <v>1</v>
      </c>
      <c r="D720" s="74">
        <f t="shared" si="148"/>
        <v>842</v>
      </c>
      <c r="E720" s="73">
        <f>VLOOKUP(B720,'114+320'!B721:AB1107,3,FALSE)</f>
        <v>2640</v>
      </c>
      <c r="F720" s="69">
        <f t="shared" si="149"/>
        <v>3482</v>
      </c>
      <c r="G720" s="72">
        <f>VLOOKUP(B720,'114+320'!$B$15:$AB$785,20,FALSE)</f>
        <v>3089</v>
      </c>
      <c r="H720" s="72">
        <f>VLOOKUP(B720,'114+320'!$B$15:$AB$785,4,FALSE)</f>
        <v>1663</v>
      </c>
      <c r="I720" s="68">
        <f t="shared" si="150"/>
        <v>1819</v>
      </c>
      <c r="J720" s="71">
        <f>VLOOKUP(B720,'114+320'!$B$15:$AB$785,13,FALSE)</f>
        <v>-1181</v>
      </c>
      <c r="K720" s="66">
        <f>'114+320'!Q721</f>
        <v>0</v>
      </c>
      <c r="L720" s="65">
        <f t="shared" si="151"/>
        <v>1001</v>
      </c>
      <c r="M720" s="70">
        <f>VLOOKUP(B720,'114+320'!$B$14:$AB$785,21,FALSE)</f>
        <v>2970</v>
      </c>
      <c r="N720" s="69">
        <f>VLOOKUP(B720,'114+320'!$B$15:$AB$785,5,FALSE)</f>
        <v>1782</v>
      </c>
      <c r="O720" s="68">
        <f t="shared" si="152"/>
        <v>1700</v>
      </c>
      <c r="P720" s="71">
        <f>VLOOKUP(B720,'114+320'!$B$15:$AB$785,14,FALSE)</f>
        <v>-1300</v>
      </c>
      <c r="Q720" s="66">
        <f>'114+320'!R721</f>
        <v>5</v>
      </c>
      <c r="R720" s="65">
        <f t="shared" si="153"/>
        <v>1120</v>
      </c>
      <c r="S720" s="70">
        <f>VLOOKUP(B720,'114+320'!$B$14:$AB$785,22,FALSE)</f>
        <v>3115</v>
      </c>
      <c r="T720" s="69">
        <f>VLOOKUP(B720,'114+320'!$B$15:$AB$785,6,FALSE)</f>
        <v>1577</v>
      </c>
      <c r="U720" s="68">
        <f t="shared" si="154"/>
        <v>1905</v>
      </c>
      <c r="V720" s="67">
        <f>VLOOKUP(B720,'114+320'!$B$15:$AB$785,15,FALSE)</f>
        <v>-1095</v>
      </c>
      <c r="W720" s="66">
        <f>'114+320'!S721</f>
        <v>0</v>
      </c>
      <c r="X720" s="65">
        <f t="shared" si="155"/>
        <v>975</v>
      </c>
      <c r="Y720" s="64">
        <f t="shared" si="156"/>
        <v>0</v>
      </c>
      <c r="Z720" s="63">
        <f t="shared" si="160"/>
        <v>0</v>
      </c>
      <c r="AA720" s="62">
        <f t="shared" si="157"/>
        <v>4.0990000000000002</v>
      </c>
      <c r="AB720" s="62">
        <f t="shared" si="158"/>
        <v>2.0299999999999998</v>
      </c>
    </row>
    <row r="721" spans="2:28">
      <c r="B721" s="106">
        <f>'114+320'!B722</f>
        <v>45751</v>
      </c>
      <c r="C721" s="75">
        <f t="shared" si="159"/>
        <v>1</v>
      </c>
      <c r="D721" s="74">
        <f t="shared" si="148"/>
        <v>842</v>
      </c>
      <c r="E721" s="73">
        <f>VLOOKUP(B721,'114+320'!B722:AB1108,3,FALSE)</f>
        <v>2642</v>
      </c>
      <c r="F721" s="69">
        <f t="shared" si="149"/>
        <v>3484</v>
      </c>
      <c r="G721" s="72">
        <f>VLOOKUP(B721,'114+320'!$B$15:$AB$785,20,FALSE)</f>
        <v>3089</v>
      </c>
      <c r="H721" s="72">
        <f>VLOOKUP(B721,'114+320'!$B$15:$AB$785,4,FALSE)</f>
        <v>1665</v>
      </c>
      <c r="I721" s="68">
        <f t="shared" si="150"/>
        <v>1819</v>
      </c>
      <c r="J721" s="71">
        <f>VLOOKUP(B721,'114+320'!$B$15:$AB$785,13,FALSE)</f>
        <v>-1181</v>
      </c>
      <c r="K721" s="66">
        <f>'114+320'!Q722</f>
        <v>0</v>
      </c>
      <c r="L721" s="65">
        <f t="shared" si="151"/>
        <v>1001</v>
      </c>
      <c r="M721" s="70">
        <f>VLOOKUP(B721,'114+320'!$B$14:$AB$785,21,FALSE)</f>
        <v>2968</v>
      </c>
      <c r="N721" s="69">
        <f>VLOOKUP(B721,'114+320'!$B$15:$AB$785,5,FALSE)</f>
        <v>1786</v>
      </c>
      <c r="O721" s="68">
        <f t="shared" si="152"/>
        <v>1698</v>
      </c>
      <c r="P721" s="71">
        <f>VLOOKUP(B721,'114+320'!$B$15:$AB$785,14,FALSE)</f>
        <v>-1302</v>
      </c>
      <c r="Q721" s="66">
        <f>'114+320'!R722</f>
        <v>2</v>
      </c>
      <c r="R721" s="65">
        <f t="shared" si="153"/>
        <v>1122</v>
      </c>
      <c r="S721" s="70">
        <f>VLOOKUP(B721,'114+320'!$B$14:$AB$785,22,FALSE)</f>
        <v>3115</v>
      </c>
      <c r="T721" s="69">
        <f>VLOOKUP(B721,'114+320'!$B$15:$AB$785,6,FALSE)</f>
        <v>1579</v>
      </c>
      <c r="U721" s="68">
        <f t="shared" si="154"/>
        <v>1905</v>
      </c>
      <c r="V721" s="67">
        <f>VLOOKUP(B721,'114+320'!$B$15:$AB$785,15,FALSE)</f>
        <v>-1095</v>
      </c>
      <c r="W721" s="66">
        <f>'114+320'!S722</f>
        <v>0</v>
      </c>
      <c r="X721" s="65">
        <f t="shared" si="155"/>
        <v>975</v>
      </c>
      <c r="Y721" s="64">
        <f t="shared" si="156"/>
        <v>0</v>
      </c>
      <c r="Z721" s="63">
        <f t="shared" si="160"/>
        <v>0</v>
      </c>
      <c r="AA721" s="62">
        <f t="shared" si="157"/>
        <v>4.0990000000000002</v>
      </c>
      <c r="AB721" s="62">
        <f t="shared" si="158"/>
        <v>2.0259999999999998</v>
      </c>
    </row>
    <row r="722" spans="2:28">
      <c r="B722" s="106">
        <f>'114+320'!B723</f>
        <v>45752</v>
      </c>
      <c r="C722" s="75">
        <f t="shared" si="159"/>
        <v>1</v>
      </c>
      <c r="D722" s="74">
        <f t="shared" si="148"/>
        <v>842</v>
      </c>
      <c r="E722" s="73">
        <f>VLOOKUP(B722,'114+320'!B723:AB1109,3,FALSE)</f>
        <v>2644</v>
      </c>
      <c r="F722" s="69">
        <f t="shared" si="149"/>
        <v>3486</v>
      </c>
      <c r="G722" s="72">
        <f>VLOOKUP(B722,'114+320'!$B$15:$AB$785,20,FALSE)</f>
        <v>3089</v>
      </c>
      <c r="H722" s="72">
        <f>VLOOKUP(B722,'114+320'!$B$15:$AB$785,4,FALSE)</f>
        <v>1667</v>
      </c>
      <c r="I722" s="68">
        <f t="shared" si="150"/>
        <v>1819</v>
      </c>
      <c r="J722" s="71">
        <f>VLOOKUP(B722,'114+320'!$B$15:$AB$785,13,FALSE)</f>
        <v>-1181</v>
      </c>
      <c r="K722" s="66">
        <f>'114+320'!Q723</f>
        <v>0</v>
      </c>
      <c r="L722" s="65">
        <f t="shared" si="151"/>
        <v>1001</v>
      </c>
      <c r="M722" s="70">
        <f>VLOOKUP(B722,'114+320'!$B$14:$AB$785,21,FALSE)</f>
        <v>2964</v>
      </c>
      <c r="N722" s="69">
        <f>VLOOKUP(B722,'114+320'!$B$15:$AB$785,5,FALSE)</f>
        <v>1792</v>
      </c>
      <c r="O722" s="68">
        <f t="shared" si="152"/>
        <v>1694</v>
      </c>
      <c r="P722" s="71">
        <f>VLOOKUP(B722,'114+320'!$B$15:$AB$785,14,FALSE)</f>
        <v>-1306</v>
      </c>
      <c r="Q722" s="66">
        <f>'114+320'!R723</f>
        <v>4</v>
      </c>
      <c r="R722" s="65">
        <f t="shared" si="153"/>
        <v>1126</v>
      </c>
      <c r="S722" s="70">
        <f>VLOOKUP(B722,'114+320'!$B$14:$AB$785,22,FALSE)</f>
        <v>3115</v>
      </c>
      <c r="T722" s="69">
        <f>VLOOKUP(B722,'114+320'!$B$15:$AB$785,6,FALSE)</f>
        <v>1581</v>
      </c>
      <c r="U722" s="68">
        <f t="shared" si="154"/>
        <v>1905</v>
      </c>
      <c r="V722" s="67">
        <f>VLOOKUP(B722,'114+320'!$B$15:$AB$785,15,FALSE)</f>
        <v>-1095</v>
      </c>
      <c r="W722" s="66">
        <f>'114+320'!S723</f>
        <v>0</v>
      </c>
      <c r="X722" s="65">
        <f t="shared" si="155"/>
        <v>975</v>
      </c>
      <c r="Y722" s="64">
        <f t="shared" si="156"/>
        <v>0</v>
      </c>
      <c r="Z722" s="63">
        <f t="shared" si="160"/>
        <v>0</v>
      </c>
      <c r="AA722" s="62">
        <f t="shared" si="157"/>
        <v>4.0990000000000002</v>
      </c>
      <c r="AB722" s="62">
        <f t="shared" si="158"/>
        <v>2.0179999999999998</v>
      </c>
    </row>
    <row r="723" spans="2:28">
      <c r="B723" s="106">
        <f>'114+320'!B724</f>
        <v>45753</v>
      </c>
      <c r="C723" s="75">
        <f t="shared" si="159"/>
        <v>1</v>
      </c>
      <c r="D723" s="74">
        <f t="shared" si="148"/>
        <v>842</v>
      </c>
      <c r="E723" s="73">
        <f>VLOOKUP(B723,'114+320'!B724:AB1110,3,FALSE)</f>
        <v>2646</v>
      </c>
      <c r="F723" s="69">
        <f t="shared" si="149"/>
        <v>3488</v>
      </c>
      <c r="G723" s="72">
        <f>VLOOKUP(B723,'114+320'!$B$15:$AB$785,20,FALSE)</f>
        <v>3089</v>
      </c>
      <c r="H723" s="72">
        <f>VLOOKUP(B723,'114+320'!$B$15:$AB$785,4,FALSE)</f>
        <v>1669</v>
      </c>
      <c r="I723" s="68">
        <f t="shared" si="150"/>
        <v>1819</v>
      </c>
      <c r="J723" s="71">
        <f>VLOOKUP(B723,'114+320'!$B$15:$AB$785,13,FALSE)</f>
        <v>-1181</v>
      </c>
      <c r="K723" s="66">
        <f>'114+320'!Q724</f>
        <v>0</v>
      </c>
      <c r="L723" s="65">
        <f t="shared" si="151"/>
        <v>1001</v>
      </c>
      <c r="M723" s="70">
        <f>VLOOKUP(B723,'114+320'!$B$14:$AB$785,21,FALSE)</f>
        <v>2960</v>
      </c>
      <c r="N723" s="69">
        <f>VLOOKUP(B723,'114+320'!$B$15:$AB$785,5,FALSE)</f>
        <v>1798</v>
      </c>
      <c r="O723" s="68">
        <f t="shared" si="152"/>
        <v>1690</v>
      </c>
      <c r="P723" s="71">
        <f>VLOOKUP(B723,'114+320'!$B$15:$AB$785,14,FALSE)</f>
        <v>-1310</v>
      </c>
      <c r="Q723" s="66">
        <f>'114+320'!R724</f>
        <v>4</v>
      </c>
      <c r="R723" s="65">
        <f t="shared" si="153"/>
        <v>1130</v>
      </c>
      <c r="S723" s="70">
        <f>VLOOKUP(B723,'114+320'!$B$14:$AB$785,22,FALSE)</f>
        <v>3115</v>
      </c>
      <c r="T723" s="69">
        <f>VLOOKUP(B723,'114+320'!$B$15:$AB$785,6,FALSE)</f>
        <v>1583</v>
      </c>
      <c r="U723" s="68">
        <f t="shared" si="154"/>
        <v>1905</v>
      </c>
      <c r="V723" s="67">
        <f>VLOOKUP(B723,'114+320'!$B$15:$AB$785,15,FALSE)</f>
        <v>-1095</v>
      </c>
      <c r="W723" s="66">
        <f>'114+320'!S724</f>
        <v>0</v>
      </c>
      <c r="X723" s="65">
        <f t="shared" si="155"/>
        <v>975</v>
      </c>
      <c r="Y723" s="64">
        <f t="shared" si="156"/>
        <v>0</v>
      </c>
      <c r="Z723" s="63">
        <f t="shared" si="160"/>
        <v>0</v>
      </c>
      <c r="AA723" s="62">
        <f t="shared" si="157"/>
        <v>4.0990000000000002</v>
      </c>
      <c r="AB723" s="62">
        <f t="shared" si="158"/>
        <v>2.0099999999999998</v>
      </c>
    </row>
    <row r="724" spans="2:28">
      <c r="B724" s="106">
        <f>'114+320'!B725</f>
        <v>45754</v>
      </c>
      <c r="C724" s="75">
        <f t="shared" si="159"/>
        <v>1</v>
      </c>
      <c r="D724" s="74">
        <f t="shared" si="148"/>
        <v>842</v>
      </c>
      <c r="E724" s="73">
        <f>VLOOKUP(B724,'114+320'!B725:AB1111,3,FALSE)</f>
        <v>2648</v>
      </c>
      <c r="F724" s="69">
        <f t="shared" si="149"/>
        <v>3490</v>
      </c>
      <c r="G724" s="72">
        <f>VLOOKUP(B724,'114+320'!$B$15:$AB$785,20,FALSE)</f>
        <v>3089</v>
      </c>
      <c r="H724" s="72">
        <f>VLOOKUP(B724,'114+320'!$B$15:$AB$785,4,FALSE)</f>
        <v>1671</v>
      </c>
      <c r="I724" s="68">
        <f t="shared" si="150"/>
        <v>1819</v>
      </c>
      <c r="J724" s="71">
        <f>VLOOKUP(B724,'114+320'!$B$15:$AB$785,13,FALSE)</f>
        <v>-1181</v>
      </c>
      <c r="K724" s="66">
        <f>'114+320'!Q725</f>
        <v>0</v>
      </c>
      <c r="L724" s="65">
        <f t="shared" si="151"/>
        <v>1001</v>
      </c>
      <c r="M724" s="70">
        <f>VLOOKUP(B724,'114+320'!$B$14:$AB$785,21,FALSE)</f>
        <v>2954</v>
      </c>
      <c r="N724" s="69">
        <f>VLOOKUP(B724,'114+320'!$B$15:$AB$785,5,FALSE)</f>
        <v>1806</v>
      </c>
      <c r="O724" s="68">
        <f t="shared" si="152"/>
        <v>1684</v>
      </c>
      <c r="P724" s="71">
        <f>VLOOKUP(B724,'114+320'!$B$15:$AB$785,14,FALSE)</f>
        <v>-1316</v>
      </c>
      <c r="Q724" s="66">
        <f>'114+320'!R725</f>
        <v>6</v>
      </c>
      <c r="R724" s="65">
        <f t="shared" si="153"/>
        <v>1136</v>
      </c>
      <c r="S724" s="70">
        <f>VLOOKUP(B724,'114+320'!$B$14:$AB$785,22,FALSE)</f>
        <v>3115</v>
      </c>
      <c r="T724" s="69">
        <f>VLOOKUP(B724,'114+320'!$B$15:$AB$785,6,FALSE)</f>
        <v>1585</v>
      </c>
      <c r="U724" s="68">
        <f t="shared" si="154"/>
        <v>1905</v>
      </c>
      <c r="V724" s="67">
        <f>VLOOKUP(B724,'114+320'!$B$15:$AB$785,15,FALSE)</f>
        <v>-1095</v>
      </c>
      <c r="W724" s="66">
        <f>'114+320'!S725</f>
        <v>0</v>
      </c>
      <c r="X724" s="65">
        <f t="shared" si="155"/>
        <v>975</v>
      </c>
      <c r="Y724" s="64">
        <f t="shared" si="156"/>
        <v>0</v>
      </c>
      <c r="Z724" s="63">
        <f t="shared" si="160"/>
        <v>0</v>
      </c>
      <c r="AA724" s="62">
        <f t="shared" si="157"/>
        <v>4.0990000000000002</v>
      </c>
      <c r="AB724" s="62">
        <f t="shared" si="158"/>
        <v>1.998</v>
      </c>
    </row>
    <row r="725" spans="2:28">
      <c r="B725" s="106">
        <f>'114+320'!B726</f>
        <v>45755</v>
      </c>
      <c r="C725" s="75">
        <f t="shared" si="159"/>
        <v>1</v>
      </c>
      <c r="D725" s="74">
        <f t="shared" si="148"/>
        <v>842</v>
      </c>
      <c r="E725" s="73">
        <f>VLOOKUP(B725,'114+320'!B726:AB1112,3,FALSE)</f>
        <v>2650</v>
      </c>
      <c r="F725" s="69">
        <f t="shared" si="149"/>
        <v>3492</v>
      </c>
      <c r="G725" s="72">
        <f>VLOOKUP(B725,'114+320'!$B$15:$AB$785,20,FALSE)</f>
        <v>3089</v>
      </c>
      <c r="H725" s="72">
        <f>VLOOKUP(B725,'114+320'!$B$15:$AB$785,4,FALSE)</f>
        <v>1673</v>
      </c>
      <c r="I725" s="68">
        <f t="shared" si="150"/>
        <v>1819</v>
      </c>
      <c r="J725" s="71">
        <f>VLOOKUP(B725,'114+320'!$B$15:$AB$785,13,FALSE)</f>
        <v>-1181</v>
      </c>
      <c r="K725" s="66">
        <f>'114+320'!Q726</f>
        <v>0</v>
      </c>
      <c r="L725" s="65">
        <f t="shared" si="151"/>
        <v>1001</v>
      </c>
      <c r="M725" s="70">
        <f>VLOOKUP(B725,'114+320'!$B$14:$AB$785,21,FALSE)</f>
        <v>2950</v>
      </c>
      <c r="N725" s="69">
        <f>VLOOKUP(B725,'114+320'!$B$15:$AB$785,5,FALSE)</f>
        <v>1812</v>
      </c>
      <c r="O725" s="68">
        <f t="shared" si="152"/>
        <v>1680</v>
      </c>
      <c r="P725" s="71">
        <f>VLOOKUP(B725,'114+320'!$B$15:$AB$785,14,FALSE)</f>
        <v>-1320</v>
      </c>
      <c r="Q725" s="66">
        <f>'114+320'!R726</f>
        <v>4</v>
      </c>
      <c r="R725" s="65">
        <f t="shared" si="153"/>
        <v>1140</v>
      </c>
      <c r="S725" s="70">
        <f>VLOOKUP(B725,'114+320'!$B$14:$AB$785,22,FALSE)</f>
        <v>3115</v>
      </c>
      <c r="T725" s="69">
        <f>VLOOKUP(B725,'114+320'!$B$15:$AB$785,6,FALSE)</f>
        <v>1587</v>
      </c>
      <c r="U725" s="68">
        <f t="shared" si="154"/>
        <v>1905</v>
      </c>
      <c r="V725" s="67">
        <f>VLOOKUP(B725,'114+320'!$B$15:$AB$785,15,FALSE)</f>
        <v>-1095</v>
      </c>
      <c r="W725" s="66">
        <f>'114+320'!S726</f>
        <v>0</v>
      </c>
      <c r="X725" s="65">
        <f t="shared" si="155"/>
        <v>975</v>
      </c>
      <c r="Y725" s="64">
        <f t="shared" si="156"/>
        <v>0</v>
      </c>
      <c r="Z725" s="63">
        <f t="shared" si="160"/>
        <v>0</v>
      </c>
      <c r="AA725" s="62">
        <f t="shared" si="157"/>
        <v>4.0990000000000002</v>
      </c>
      <c r="AB725" s="62">
        <f t="shared" si="158"/>
        <v>1.99</v>
      </c>
    </row>
    <row r="726" spans="2:28">
      <c r="B726" s="106">
        <f>'114+320'!B727</f>
        <v>45756</v>
      </c>
      <c r="C726" s="75">
        <f t="shared" si="159"/>
        <v>1</v>
      </c>
      <c r="D726" s="74">
        <f t="shared" si="148"/>
        <v>842</v>
      </c>
      <c r="E726" s="73">
        <f>VLOOKUP(B726,'114+320'!B727:AB1113,3,FALSE)</f>
        <v>2652</v>
      </c>
      <c r="F726" s="69">
        <f t="shared" si="149"/>
        <v>3494</v>
      </c>
      <c r="G726" s="72">
        <f>VLOOKUP(B726,'114+320'!$B$15:$AB$785,20,FALSE)</f>
        <v>3089</v>
      </c>
      <c r="H726" s="72">
        <f>VLOOKUP(B726,'114+320'!$B$15:$AB$785,4,FALSE)</f>
        <v>1675</v>
      </c>
      <c r="I726" s="68">
        <f t="shared" si="150"/>
        <v>1819</v>
      </c>
      <c r="J726" s="71">
        <f>VLOOKUP(B726,'114+320'!$B$15:$AB$785,13,FALSE)</f>
        <v>-1181</v>
      </c>
      <c r="K726" s="66">
        <f>'114+320'!Q727</f>
        <v>0</v>
      </c>
      <c r="L726" s="65">
        <f t="shared" si="151"/>
        <v>1001</v>
      </c>
      <c r="M726" s="70">
        <f>VLOOKUP(B726,'114+320'!$B$14:$AB$785,21,FALSE)</f>
        <v>2947</v>
      </c>
      <c r="N726" s="69">
        <f>VLOOKUP(B726,'114+320'!$B$15:$AB$785,5,FALSE)</f>
        <v>1817</v>
      </c>
      <c r="O726" s="68">
        <f t="shared" si="152"/>
        <v>1677</v>
      </c>
      <c r="P726" s="71">
        <f>VLOOKUP(B726,'114+320'!$B$15:$AB$785,14,FALSE)</f>
        <v>-1323</v>
      </c>
      <c r="Q726" s="66">
        <f>'114+320'!R727</f>
        <v>3</v>
      </c>
      <c r="R726" s="65">
        <f t="shared" si="153"/>
        <v>1143</v>
      </c>
      <c r="S726" s="70">
        <f>VLOOKUP(B726,'114+320'!$B$14:$AB$785,22,FALSE)</f>
        <v>3115</v>
      </c>
      <c r="T726" s="69">
        <f>VLOOKUP(B726,'114+320'!$B$15:$AB$785,6,FALSE)</f>
        <v>1589</v>
      </c>
      <c r="U726" s="68">
        <f t="shared" si="154"/>
        <v>1905</v>
      </c>
      <c r="V726" s="67">
        <f>VLOOKUP(B726,'114+320'!$B$15:$AB$785,15,FALSE)</f>
        <v>-1095</v>
      </c>
      <c r="W726" s="66">
        <f>'114+320'!S727</f>
        <v>0</v>
      </c>
      <c r="X726" s="65">
        <f t="shared" si="155"/>
        <v>975</v>
      </c>
      <c r="Y726" s="64">
        <f t="shared" si="156"/>
        <v>0</v>
      </c>
      <c r="Z726" s="63">
        <f t="shared" si="160"/>
        <v>0</v>
      </c>
      <c r="AA726" s="62">
        <f t="shared" si="157"/>
        <v>4.0990000000000002</v>
      </c>
      <c r="AB726" s="62">
        <f t="shared" si="158"/>
        <v>1.984</v>
      </c>
    </row>
    <row r="727" spans="2:28">
      <c r="B727" s="106">
        <f>'114+320'!B728</f>
        <v>45757</v>
      </c>
      <c r="C727" s="75">
        <f t="shared" si="159"/>
        <v>1</v>
      </c>
      <c r="D727" s="74">
        <f t="shared" si="148"/>
        <v>842</v>
      </c>
      <c r="E727" s="73">
        <f>VLOOKUP(B727,'114+320'!B728:AB1114,3,FALSE)</f>
        <v>2654</v>
      </c>
      <c r="F727" s="69">
        <f t="shared" si="149"/>
        <v>3496</v>
      </c>
      <c r="G727" s="72">
        <f>VLOOKUP(B727,'114+320'!$B$15:$AB$785,20,FALSE)</f>
        <v>3089</v>
      </c>
      <c r="H727" s="72">
        <f>VLOOKUP(B727,'114+320'!$B$15:$AB$785,4,FALSE)</f>
        <v>1677</v>
      </c>
      <c r="I727" s="68">
        <f t="shared" si="150"/>
        <v>1819</v>
      </c>
      <c r="J727" s="71">
        <f>VLOOKUP(B727,'114+320'!$B$15:$AB$785,13,FALSE)</f>
        <v>-1181</v>
      </c>
      <c r="K727" s="66">
        <f>'114+320'!Q728</f>
        <v>0</v>
      </c>
      <c r="L727" s="65">
        <f t="shared" si="151"/>
        <v>1001</v>
      </c>
      <c r="M727" s="70">
        <f>VLOOKUP(B727,'114+320'!$B$14:$AB$785,21,FALSE)</f>
        <v>2945</v>
      </c>
      <c r="N727" s="69">
        <f>VLOOKUP(B727,'114+320'!$B$15:$AB$785,5,FALSE)</f>
        <v>1821</v>
      </c>
      <c r="O727" s="68">
        <f t="shared" si="152"/>
        <v>1675</v>
      </c>
      <c r="P727" s="71">
        <f>VLOOKUP(B727,'114+320'!$B$15:$AB$785,14,FALSE)</f>
        <v>-1325</v>
      </c>
      <c r="Q727" s="66">
        <f>'114+320'!R728</f>
        <v>2</v>
      </c>
      <c r="R727" s="65">
        <f t="shared" si="153"/>
        <v>1145</v>
      </c>
      <c r="S727" s="70">
        <f>VLOOKUP(B727,'114+320'!$B$14:$AB$785,22,FALSE)</f>
        <v>3115</v>
      </c>
      <c r="T727" s="69">
        <f>VLOOKUP(B727,'114+320'!$B$15:$AB$785,6,FALSE)</f>
        <v>1591</v>
      </c>
      <c r="U727" s="68">
        <f t="shared" si="154"/>
        <v>1905</v>
      </c>
      <c r="V727" s="67">
        <f>VLOOKUP(B727,'114+320'!$B$15:$AB$785,15,FALSE)</f>
        <v>-1095</v>
      </c>
      <c r="W727" s="66">
        <f>'114+320'!S728</f>
        <v>0</v>
      </c>
      <c r="X727" s="65">
        <f t="shared" si="155"/>
        <v>975</v>
      </c>
      <c r="Y727" s="64">
        <f t="shared" si="156"/>
        <v>0</v>
      </c>
      <c r="Z727" s="63">
        <f t="shared" si="160"/>
        <v>0</v>
      </c>
      <c r="AA727" s="62">
        <f t="shared" si="157"/>
        <v>4.0990000000000002</v>
      </c>
      <c r="AB727" s="62">
        <f t="shared" si="158"/>
        <v>1.98</v>
      </c>
    </row>
    <row r="728" spans="2:28">
      <c r="B728" s="106">
        <f>'114+320'!B729</f>
        <v>45758</v>
      </c>
      <c r="C728" s="75">
        <f t="shared" si="159"/>
        <v>1</v>
      </c>
      <c r="D728" s="74">
        <f t="shared" si="148"/>
        <v>842</v>
      </c>
      <c r="E728" s="73">
        <f>VLOOKUP(B728,'114+320'!B729:AB1115,3,FALSE)</f>
        <v>2656</v>
      </c>
      <c r="F728" s="69">
        <f t="shared" si="149"/>
        <v>3498</v>
      </c>
      <c r="G728" s="72">
        <f>VLOOKUP(B728,'114+320'!$B$15:$AB$785,20,FALSE)</f>
        <v>3089</v>
      </c>
      <c r="H728" s="72">
        <f>VLOOKUP(B728,'114+320'!$B$15:$AB$785,4,FALSE)</f>
        <v>1679</v>
      </c>
      <c r="I728" s="68">
        <f t="shared" si="150"/>
        <v>1819</v>
      </c>
      <c r="J728" s="71">
        <f>VLOOKUP(B728,'114+320'!$B$15:$AB$785,13,FALSE)</f>
        <v>-1181</v>
      </c>
      <c r="K728" s="66">
        <f>'114+320'!Q729</f>
        <v>0</v>
      </c>
      <c r="L728" s="65">
        <f t="shared" si="151"/>
        <v>1001</v>
      </c>
      <c r="M728" s="70">
        <f>VLOOKUP(B728,'114+320'!$B$14:$AB$785,21,FALSE)</f>
        <v>2940</v>
      </c>
      <c r="N728" s="69">
        <f>VLOOKUP(B728,'114+320'!$B$15:$AB$785,5,FALSE)</f>
        <v>1828</v>
      </c>
      <c r="O728" s="68">
        <f t="shared" si="152"/>
        <v>1670</v>
      </c>
      <c r="P728" s="71">
        <f>VLOOKUP(B728,'114+320'!$B$15:$AB$785,14,FALSE)</f>
        <v>-1330</v>
      </c>
      <c r="Q728" s="66">
        <f>'114+320'!R729</f>
        <v>5</v>
      </c>
      <c r="R728" s="65">
        <f t="shared" si="153"/>
        <v>1150</v>
      </c>
      <c r="S728" s="70">
        <f>VLOOKUP(B728,'114+320'!$B$14:$AB$785,22,FALSE)</f>
        <v>3115</v>
      </c>
      <c r="T728" s="69">
        <f>VLOOKUP(B728,'114+320'!$B$15:$AB$785,6,FALSE)</f>
        <v>1593</v>
      </c>
      <c r="U728" s="68">
        <f t="shared" si="154"/>
        <v>1905</v>
      </c>
      <c r="V728" s="67">
        <f>VLOOKUP(B728,'114+320'!$B$15:$AB$785,15,FALSE)</f>
        <v>-1095</v>
      </c>
      <c r="W728" s="66">
        <f>'114+320'!S729</f>
        <v>0</v>
      </c>
      <c r="X728" s="65">
        <f t="shared" si="155"/>
        <v>975</v>
      </c>
      <c r="Y728" s="64">
        <f t="shared" si="156"/>
        <v>0</v>
      </c>
      <c r="Z728" s="63">
        <f t="shared" si="160"/>
        <v>0</v>
      </c>
      <c r="AA728" s="62">
        <f t="shared" si="157"/>
        <v>4.0990000000000002</v>
      </c>
      <c r="AB728" s="62">
        <f t="shared" si="158"/>
        <v>1.97</v>
      </c>
    </row>
    <row r="729" spans="2:28">
      <c r="B729" s="106">
        <f>'114+320'!B730</f>
        <v>45759</v>
      </c>
      <c r="C729" s="75">
        <f t="shared" si="159"/>
        <v>1</v>
      </c>
      <c r="D729" s="74">
        <f t="shared" si="148"/>
        <v>842</v>
      </c>
      <c r="E729" s="73">
        <f>VLOOKUP(B729,'114+320'!B730:AB1116,3,FALSE)</f>
        <v>2658</v>
      </c>
      <c r="F729" s="69">
        <f t="shared" si="149"/>
        <v>3500</v>
      </c>
      <c r="G729" s="72">
        <f>VLOOKUP(B729,'114+320'!$B$15:$AB$785,20,FALSE)</f>
        <v>3289</v>
      </c>
      <c r="H729" s="72">
        <f>VLOOKUP(B729,'114+320'!$B$15:$AB$785,4,FALSE)</f>
        <v>1681</v>
      </c>
      <c r="I729" s="68">
        <f t="shared" si="150"/>
        <v>1819</v>
      </c>
      <c r="J729" s="71">
        <f>VLOOKUP(B729,'114+320'!$B$15:$AB$785,13,FALSE)</f>
        <v>-1181</v>
      </c>
      <c r="K729" s="66">
        <f>'114+320'!Q730</f>
        <v>0</v>
      </c>
      <c r="L729" s="65">
        <f t="shared" si="151"/>
        <v>1001</v>
      </c>
      <c r="M729" s="70">
        <f>VLOOKUP(B729,'114+320'!$B$14:$AB$785,21,FALSE)</f>
        <v>3134</v>
      </c>
      <c r="N729" s="69">
        <f>VLOOKUP(B729,'114+320'!$B$15:$AB$785,5,FALSE)</f>
        <v>1836</v>
      </c>
      <c r="O729" s="68">
        <f t="shared" si="152"/>
        <v>1664</v>
      </c>
      <c r="P729" s="71">
        <f>VLOOKUP(B729,'114+320'!$B$15:$AB$785,14,FALSE)</f>
        <v>-1336</v>
      </c>
      <c r="Q729" s="66">
        <f>'114+320'!R730</f>
        <v>6</v>
      </c>
      <c r="R729" s="65">
        <f t="shared" si="153"/>
        <v>1156</v>
      </c>
      <c r="S729" s="70">
        <f>VLOOKUP(B729,'114+320'!$B$14:$AB$785,22,FALSE)</f>
        <v>3315</v>
      </c>
      <c r="T729" s="69">
        <f>VLOOKUP(B729,'114+320'!$B$15:$AB$785,6,FALSE)</f>
        <v>1595</v>
      </c>
      <c r="U729" s="68">
        <f t="shared" si="154"/>
        <v>1905</v>
      </c>
      <c r="V729" s="67">
        <f>VLOOKUP(B729,'114+320'!$B$15:$AB$785,15,FALSE)</f>
        <v>-1095</v>
      </c>
      <c r="W729" s="66">
        <f>'114+320'!S730</f>
        <v>0</v>
      </c>
      <c r="X729" s="65">
        <f t="shared" si="155"/>
        <v>975</v>
      </c>
      <c r="Y729" s="64">
        <f t="shared" si="156"/>
        <v>200</v>
      </c>
      <c r="Z729" s="63">
        <f t="shared" si="160"/>
        <v>0.2</v>
      </c>
      <c r="AA729" s="62">
        <f t="shared" si="157"/>
        <v>4.2990000000000004</v>
      </c>
      <c r="AB729" s="62">
        <f t="shared" si="158"/>
        <v>2.1579999999999999</v>
      </c>
    </row>
    <row r="730" spans="2:28">
      <c r="B730" s="106">
        <f>'114+320'!B731</f>
        <v>45760</v>
      </c>
      <c r="C730" s="75">
        <f t="shared" si="159"/>
        <v>1</v>
      </c>
      <c r="D730" s="74">
        <f t="shared" si="148"/>
        <v>842</v>
      </c>
      <c r="E730" s="73">
        <f>VLOOKUP(B730,'114+320'!B731:AB1117,3,FALSE)</f>
        <v>2660</v>
      </c>
      <c r="F730" s="69">
        <f t="shared" si="149"/>
        <v>3502</v>
      </c>
      <c r="G730" s="72">
        <f>VLOOKUP(B730,'114+320'!$B$15:$AB$785,20,FALSE)</f>
        <v>3289</v>
      </c>
      <c r="H730" s="72">
        <f>VLOOKUP(B730,'114+320'!$B$15:$AB$785,4,FALSE)</f>
        <v>1683</v>
      </c>
      <c r="I730" s="68">
        <f t="shared" si="150"/>
        <v>1819</v>
      </c>
      <c r="J730" s="71">
        <f>VLOOKUP(B730,'114+320'!$B$15:$AB$785,13,FALSE)</f>
        <v>-1181</v>
      </c>
      <c r="K730" s="66">
        <f>'114+320'!Q731</f>
        <v>0</v>
      </c>
      <c r="L730" s="65">
        <f t="shared" si="151"/>
        <v>1001</v>
      </c>
      <c r="M730" s="70">
        <f>VLOOKUP(B730,'114+320'!$B$14:$AB$785,21,FALSE)</f>
        <v>3131</v>
      </c>
      <c r="N730" s="69">
        <f>VLOOKUP(B730,'114+320'!$B$15:$AB$785,5,FALSE)</f>
        <v>1841</v>
      </c>
      <c r="O730" s="68">
        <f t="shared" si="152"/>
        <v>1661</v>
      </c>
      <c r="P730" s="71">
        <f>VLOOKUP(B730,'114+320'!$B$15:$AB$785,14,FALSE)</f>
        <v>-1339</v>
      </c>
      <c r="Q730" s="66">
        <f>'114+320'!R731</f>
        <v>3</v>
      </c>
      <c r="R730" s="65">
        <f t="shared" si="153"/>
        <v>1159</v>
      </c>
      <c r="S730" s="70">
        <f>VLOOKUP(B730,'114+320'!$B$14:$AB$785,22,FALSE)</f>
        <v>3315</v>
      </c>
      <c r="T730" s="69">
        <f>VLOOKUP(B730,'114+320'!$B$15:$AB$785,6,FALSE)</f>
        <v>1597</v>
      </c>
      <c r="U730" s="68">
        <f t="shared" si="154"/>
        <v>1905</v>
      </c>
      <c r="V730" s="67">
        <f>VLOOKUP(B730,'114+320'!$B$15:$AB$785,15,FALSE)</f>
        <v>-1095</v>
      </c>
      <c r="W730" s="66">
        <f>'114+320'!S731</f>
        <v>0</v>
      </c>
      <c r="X730" s="65">
        <f t="shared" si="155"/>
        <v>975</v>
      </c>
      <c r="Y730" s="64">
        <f t="shared" si="156"/>
        <v>0</v>
      </c>
      <c r="Z730" s="63">
        <f t="shared" si="160"/>
        <v>0</v>
      </c>
      <c r="AA730" s="62">
        <f t="shared" si="157"/>
        <v>4.2990000000000004</v>
      </c>
      <c r="AB730" s="62">
        <f t="shared" si="158"/>
        <v>2.1520000000000001</v>
      </c>
    </row>
    <row r="731" spans="2:28">
      <c r="B731" s="106">
        <f>'114+320'!B732</f>
        <v>45761</v>
      </c>
      <c r="C731" s="75">
        <f t="shared" si="159"/>
        <v>1</v>
      </c>
      <c r="D731" s="74">
        <f t="shared" si="148"/>
        <v>842</v>
      </c>
      <c r="E731" s="73">
        <f>VLOOKUP(B731,'114+320'!B732:AB1118,3,FALSE)</f>
        <v>2662</v>
      </c>
      <c r="F731" s="69">
        <f t="shared" si="149"/>
        <v>3504</v>
      </c>
      <c r="G731" s="72">
        <f>VLOOKUP(B731,'114+320'!$B$15:$AB$785,20,FALSE)</f>
        <v>3289</v>
      </c>
      <c r="H731" s="72">
        <f>VLOOKUP(B731,'114+320'!$B$15:$AB$785,4,FALSE)</f>
        <v>1685</v>
      </c>
      <c r="I731" s="68">
        <f t="shared" si="150"/>
        <v>1819</v>
      </c>
      <c r="J731" s="71">
        <f>VLOOKUP(B731,'114+320'!$B$15:$AB$785,13,FALSE)</f>
        <v>-1181</v>
      </c>
      <c r="K731" s="66">
        <f>'114+320'!Q732</f>
        <v>0</v>
      </c>
      <c r="L731" s="65">
        <f t="shared" si="151"/>
        <v>1001</v>
      </c>
      <c r="M731" s="70">
        <f>VLOOKUP(B731,'114+320'!$B$14:$AB$785,21,FALSE)</f>
        <v>3125</v>
      </c>
      <c r="N731" s="69">
        <f>VLOOKUP(B731,'114+320'!$B$15:$AB$785,5,FALSE)</f>
        <v>1849</v>
      </c>
      <c r="O731" s="68">
        <f t="shared" si="152"/>
        <v>1655</v>
      </c>
      <c r="P731" s="71">
        <f>VLOOKUP(B731,'114+320'!$B$15:$AB$785,14,FALSE)</f>
        <v>-1345</v>
      </c>
      <c r="Q731" s="66">
        <f>'114+320'!R732</f>
        <v>6</v>
      </c>
      <c r="R731" s="65">
        <f t="shared" si="153"/>
        <v>1165</v>
      </c>
      <c r="S731" s="70">
        <f>VLOOKUP(B731,'114+320'!$B$14:$AB$785,22,FALSE)</f>
        <v>3315</v>
      </c>
      <c r="T731" s="69">
        <f>VLOOKUP(B731,'114+320'!$B$15:$AB$785,6,FALSE)</f>
        <v>1599</v>
      </c>
      <c r="U731" s="68">
        <f t="shared" si="154"/>
        <v>1905</v>
      </c>
      <c r="V731" s="67">
        <f>VLOOKUP(B731,'114+320'!$B$15:$AB$785,15,FALSE)</f>
        <v>-1095</v>
      </c>
      <c r="W731" s="66">
        <f>'114+320'!S732</f>
        <v>0</v>
      </c>
      <c r="X731" s="65">
        <f t="shared" si="155"/>
        <v>975</v>
      </c>
      <c r="Y731" s="64">
        <f t="shared" si="156"/>
        <v>0</v>
      </c>
      <c r="Z731" s="63">
        <f t="shared" si="160"/>
        <v>0</v>
      </c>
      <c r="AA731" s="62">
        <f t="shared" si="157"/>
        <v>4.2990000000000004</v>
      </c>
      <c r="AB731" s="62">
        <f t="shared" si="158"/>
        <v>2.14</v>
      </c>
    </row>
    <row r="732" spans="2:28">
      <c r="B732" s="106">
        <f>'114+320'!B733</f>
        <v>45762</v>
      </c>
      <c r="C732" s="75">
        <f t="shared" si="159"/>
        <v>1</v>
      </c>
      <c r="D732" s="74">
        <f t="shared" si="148"/>
        <v>842</v>
      </c>
      <c r="E732" s="73">
        <f>VLOOKUP(B732,'114+320'!B733:AB1119,3,FALSE)</f>
        <v>2664</v>
      </c>
      <c r="F732" s="69">
        <f t="shared" si="149"/>
        <v>3506</v>
      </c>
      <c r="G732" s="72">
        <f>VLOOKUP(B732,'114+320'!$B$15:$AB$785,20,FALSE)</f>
        <v>3289</v>
      </c>
      <c r="H732" s="72">
        <f>VLOOKUP(B732,'114+320'!$B$15:$AB$785,4,FALSE)</f>
        <v>1687</v>
      </c>
      <c r="I732" s="68">
        <f t="shared" si="150"/>
        <v>1819</v>
      </c>
      <c r="J732" s="71">
        <f>VLOOKUP(B732,'114+320'!$B$15:$AB$785,13,FALSE)</f>
        <v>-1181</v>
      </c>
      <c r="K732" s="66">
        <f>'114+320'!Q733</f>
        <v>0</v>
      </c>
      <c r="L732" s="65">
        <f t="shared" si="151"/>
        <v>1001</v>
      </c>
      <c r="M732" s="70">
        <f>VLOOKUP(B732,'114+320'!$B$14:$AB$785,21,FALSE)</f>
        <v>3122</v>
      </c>
      <c r="N732" s="69">
        <f>VLOOKUP(B732,'114+320'!$B$15:$AB$785,5,FALSE)</f>
        <v>1854</v>
      </c>
      <c r="O732" s="68">
        <f t="shared" si="152"/>
        <v>1652</v>
      </c>
      <c r="P732" s="71">
        <f>VLOOKUP(B732,'114+320'!$B$15:$AB$785,14,FALSE)</f>
        <v>-1348</v>
      </c>
      <c r="Q732" s="66">
        <f>'114+320'!R733</f>
        <v>3</v>
      </c>
      <c r="R732" s="65">
        <f t="shared" si="153"/>
        <v>1168</v>
      </c>
      <c r="S732" s="70">
        <f>VLOOKUP(B732,'114+320'!$B$14:$AB$785,22,FALSE)</f>
        <v>3315</v>
      </c>
      <c r="T732" s="69">
        <f>VLOOKUP(B732,'114+320'!$B$15:$AB$785,6,FALSE)</f>
        <v>1601</v>
      </c>
      <c r="U732" s="68">
        <f t="shared" si="154"/>
        <v>1905</v>
      </c>
      <c r="V732" s="67">
        <f>VLOOKUP(B732,'114+320'!$B$15:$AB$785,15,FALSE)</f>
        <v>-1095</v>
      </c>
      <c r="W732" s="66">
        <f>'114+320'!S733</f>
        <v>0</v>
      </c>
      <c r="X732" s="65">
        <f t="shared" si="155"/>
        <v>975</v>
      </c>
      <c r="Y732" s="64">
        <f t="shared" si="156"/>
        <v>0</v>
      </c>
      <c r="Z732" s="63">
        <f t="shared" si="160"/>
        <v>0</v>
      </c>
      <c r="AA732" s="62">
        <f t="shared" si="157"/>
        <v>4.2990000000000004</v>
      </c>
      <c r="AB732" s="62">
        <f t="shared" si="158"/>
        <v>2.1339999999999999</v>
      </c>
    </row>
    <row r="733" spans="2:28">
      <c r="B733" s="106">
        <f>'114+320'!B734</f>
        <v>45763</v>
      </c>
      <c r="C733" s="75">
        <f t="shared" si="159"/>
        <v>1</v>
      </c>
      <c r="D733" s="74">
        <f t="shared" si="148"/>
        <v>842</v>
      </c>
      <c r="E733" s="73">
        <f>VLOOKUP(B733,'114+320'!B734:AB1120,3,FALSE)</f>
        <v>2666</v>
      </c>
      <c r="F733" s="69">
        <f t="shared" si="149"/>
        <v>3508</v>
      </c>
      <c r="G733" s="72">
        <f>VLOOKUP(B733,'114+320'!$B$15:$AB$785,20,FALSE)</f>
        <v>3289</v>
      </c>
      <c r="H733" s="72">
        <f>VLOOKUP(B733,'114+320'!$B$15:$AB$785,4,FALSE)</f>
        <v>1689</v>
      </c>
      <c r="I733" s="68">
        <f t="shared" si="150"/>
        <v>1819</v>
      </c>
      <c r="J733" s="71">
        <f>VLOOKUP(B733,'114+320'!$B$15:$AB$785,13,FALSE)</f>
        <v>-1181</v>
      </c>
      <c r="K733" s="66">
        <f>'114+320'!Q734</f>
        <v>0</v>
      </c>
      <c r="L733" s="65">
        <f t="shared" si="151"/>
        <v>1001</v>
      </c>
      <c r="M733" s="70">
        <f>VLOOKUP(B733,'114+320'!$B$14:$AB$785,21,FALSE)</f>
        <v>3117</v>
      </c>
      <c r="N733" s="69">
        <f>VLOOKUP(B733,'114+320'!$B$15:$AB$785,5,FALSE)</f>
        <v>1861</v>
      </c>
      <c r="O733" s="68">
        <f t="shared" si="152"/>
        <v>1647</v>
      </c>
      <c r="P733" s="71">
        <f>VLOOKUP(B733,'114+320'!$B$15:$AB$785,14,FALSE)</f>
        <v>-1353</v>
      </c>
      <c r="Q733" s="66">
        <f>'114+320'!R734</f>
        <v>5</v>
      </c>
      <c r="R733" s="65">
        <f t="shared" si="153"/>
        <v>1173</v>
      </c>
      <c r="S733" s="70">
        <f>VLOOKUP(B733,'114+320'!$B$14:$AB$785,22,FALSE)</f>
        <v>3315</v>
      </c>
      <c r="T733" s="69">
        <f>VLOOKUP(B733,'114+320'!$B$15:$AB$785,6,FALSE)</f>
        <v>1603</v>
      </c>
      <c r="U733" s="68">
        <f t="shared" si="154"/>
        <v>1905</v>
      </c>
      <c r="V733" s="67">
        <f>VLOOKUP(B733,'114+320'!$B$15:$AB$785,15,FALSE)</f>
        <v>-1095</v>
      </c>
      <c r="W733" s="66">
        <f>'114+320'!S734</f>
        <v>0</v>
      </c>
      <c r="X733" s="65">
        <f t="shared" si="155"/>
        <v>975</v>
      </c>
      <c r="Y733" s="64">
        <f t="shared" si="156"/>
        <v>0</v>
      </c>
      <c r="Z733" s="63">
        <f t="shared" si="160"/>
        <v>0</v>
      </c>
      <c r="AA733" s="62">
        <f t="shared" si="157"/>
        <v>4.2990000000000004</v>
      </c>
      <c r="AB733" s="62">
        <f t="shared" si="158"/>
        <v>2.1240000000000001</v>
      </c>
    </row>
    <row r="734" spans="2:28">
      <c r="B734" s="106">
        <f>'114+320'!B735</f>
        <v>45764</v>
      </c>
      <c r="C734" s="75">
        <f t="shared" si="159"/>
        <v>1</v>
      </c>
      <c r="D734" s="74">
        <f t="shared" si="148"/>
        <v>842</v>
      </c>
      <c r="E734" s="73">
        <f>VLOOKUP(B734,'114+320'!B735:AB1121,3,FALSE)</f>
        <v>2668</v>
      </c>
      <c r="F734" s="69">
        <f t="shared" si="149"/>
        <v>3510</v>
      </c>
      <c r="G734" s="72">
        <f>VLOOKUP(B734,'114+320'!$B$15:$AB$785,20,FALSE)</f>
        <v>3559</v>
      </c>
      <c r="H734" s="72">
        <f>VLOOKUP(B734,'114+320'!$B$15:$AB$785,4,FALSE)</f>
        <v>1691</v>
      </c>
      <c r="I734" s="68">
        <f t="shared" si="150"/>
        <v>1819</v>
      </c>
      <c r="J734" s="71">
        <f>VLOOKUP(B734,'114+320'!$B$15:$AB$785,13,FALSE)</f>
        <v>-1181</v>
      </c>
      <c r="K734" s="66">
        <f>'114+320'!Q735</f>
        <v>0</v>
      </c>
      <c r="L734" s="65">
        <f t="shared" si="151"/>
        <v>1001</v>
      </c>
      <c r="M734" s="70">
        <f>VLOOKUP(B734,'114+320'!$B$14:$AB$785,21,FALSE)</f>
        <v>3385</v>
      </c>
      <c r="N734" s="69">
        <f>VLOOKUP(B734,'114+320'!$B$15:$AB$785,5,FALSE)</f>
        <v>1865</v>
      </c>
      <c r="O734" s="68">
        <f t="shared" si="152"/>
        <v>1645</v>
      </c>
      <c r="P734" s="71">
        <f>VLOOKUP(B734,'114+320'!$B$15:$AB$785,14,FALSE)</f>
        <v>-1355</v>
      </c>
      <c r="Q734" s="66">
        <f>'114+320'!R735</f>
        <v>2</v>
      </c>
      <c r="R734" s="65">
        <f t="shared" si="153"/>
        <v>1175</v>
      </c>
      <c r="S734" s="70">
        <f>VLOOKUP(B734,'114+320'!$B$14:$AB$785,22,FALSE)</f>
        <v>3585</v>
      </c>
      <c r="T734" s="69">
        <f>VLOOKUP(B734,'114+320'!$B$15:$AB$785,6,FALSE)</f>
        <v>1605</v>
      </c>
      <c r="U734" s="68">
        <f t="shared" si="154"/>
        <v>1905</v>
      </c>
      <c r="V734" s="67">
        <f>VLOOKUP(B734,'114+320'!$B$15:$AB$785,15,FALSE)</f>
        <v>-1095</v>
      </c>
      <c r="W734" s="66">
        <f>'114+320'!S735</f>
        <v>0</v>
      </c>
      <c r="X734" s="65">
        <f t="shared" si="155"/>
        <v>975</v>
      </c>
      <c r="Y734" s="64">
        <f t="shared" si="156"/>
        <v>270</v>
      </c>
      <c r="Z734" s="63">
        <f t="shared" si="160"/>
        <v>0.27</v>
      </c>
      <c r="AA734" s="62">
        <f t="shared" si="157"/>
        <v>4.5690000000000008</v>
      </c>
      <c r="AB734" s="62">
        <f t="shared" si="158"/>
        <v>2.39</v>
      </c>
    </row>
    <row r="735" spans="2:28">
      <c r="B735" s="106">
        <f>'114+320'!B736</f>
        <v>45765</v>
      </c>
      <c r="C735" s="75">
        <f t="shared" si="159"/>
        <v>1</v>
      </c>
      <c r="D735" s="74">
        <f t="shared" si="148"/>
        <v>842</v>
      </c>
      <c r="E735" s="73">
        <f>VLOOKUP(B735,'114+320'!B736:AB1122,3,FALSE)</f>
        <v>2670</v>
      </c>
      <c r="F735" s="69">
        <f t="shared" si="149"/>
        <v>3512</v>
      </c>
      <c r="G735" s="72">
        <f>VLOOKUP(B735,'114+320'!$B$15:$AB$785,20,FALSE)</f>
        <v>3559</v>
      </c>
      <c r="H735" s="72">
        <f>VLOOKUP(B735,'114+320'!$B$15:$AB$785,4,FALSE)</f>
        <v>1693</v>
      </c>
      <c r="I735" s="68">
        <f t="shared" si="150"/>
        <v>1819</v>
      </c>
      <c r="J735" s="71">
        <f>VLOOKUP(B735,'114+320'!$B$15:$AB$785,13,FALSE)</f>
        <v>-1181</v>
      </c>
      <c r="K735" s="66">
        <f>'114+320'!Q736</f>
        <v>0</v>
      </c>
      <c r="L735" s="65">
        <f t="shared" si="151"/>
        <v>1001</v>
      </c>
      <c r="M735" s="70">
        <f>VLOOKUP(B735,'114+320'!$B$14:$AB$785,21,FALSE)</f>
        <v>3381</v>
      </c>
      <c r="N735" s="69">
        <f>VLOOKUP(B735,'114+320'!$B$15:$AB$785,5,FALSE)</f>
        <v>1871</v>
      </c>
      <c r="O735" s="68">
        <f t="shared" si="152"/>
        <v>1641</v>
      </c>
      <c r="P735" s="71">
        <f>VLOOKUP(B735,'114+320'!$B$15:$AB$785,14,FALSE)</f>
        <v>-1359</v>
      </c>
      <c r="Q735" s="66">
        <f>'114+320'!R736</f>
        <v>4</v>
      </c>
      <c r="R735" s="65">
        <f t="shared" si="153"/>
        <v>1179</v>
      </c>
      <c r="S735" s="70">
        <f>VLOOKUP(B735,'114+320'!$B$14:$AB$785,22,FALSE)</f>
        <v>3585</v>
      </c>
      <c r="T735" s="69">
        <f>VLOOKUP(B735,'114+320'!$B$15:$AB$785,6,FALSE)</f>
        <v>1607</v>
      </c>
      <c r="U735" s="68">
        <f t="shared" si="154"/>
        <v>1905</v>
      </c>
      <c r="V735" s="67">
        <f>VLOOKUP(B735,'114+320'!$B$15:$AB$785,15,FALSE)</f>
        <v>-1095</v>
      </c>
      <c r="W735" s="66">
        <f>'114+320'!S736</f>
        <v>0</v>
      </c>
      <c r="X735" s="65">
        <f t="shared" si="155"/>
        <v>975</v>
      </c>
      <c r="Y735" s="64">
        <f t="shared" si="156"/>
        <v>0</v>
      </c>
      <c r="Z735" s="63">
        <f t="shared" si="160"/>
        <v>0</v>
      </c>
      <c r="AA735" s="62">
        <f t="shared" si="157"/>
        <v>4.5690000000000008</v>
      </c>
      <c r="AB735" s="62">
        <f t="shared" si="158"/>
        <v>2.3820000000000001</v>
      </c>
    </row>
    <row r="736" spans="2:28">
      <c r="B736" s="106">
        <f>'114+320'!B737</f>
        <v>45766</v>
      </c>
      <c r="C736" s="75">
        <f t="shared" si="159"/>
        <v>1</v>
      </c>
      <c r="D736" s="74">
        <f t="shared" si="148"/>
        <v>842</v>
      </c>
      <c r="E736" s="73">
        <f>VLOOKUP(B736,'114+320'!B737:AB1123,3,FALSE)</f>
        <v>2672</v>
      </c>
      <c r="F736" s="69">
        <f t="shared" si="149"/>
        <v>3514</v>
      </c>
      <c r="G736" s="72">
        <f>VLOOKUP(B736,'114+320'!$B$15:$AB$785,20,FALSE)</f>
        <v>3559</v>
      </c>
      <c r="H736" s="72">
        <f>VLOOKUP(B736,'114+320'!$B$15:$AB$785,4,FALSE)</f>
        <v>1695</v>
      </c>
      <c r="I736" s="68">
        <f t="shared" si="150"/>
        <v>1819</v>
      </c>
      <c r="J736" s="71">
        <f>VLOOKUP(B736,'114+320'!$B$15:$AB$785,13,FALSE)</f>
        <v>-1181</v>
      </c>
      <c r="K736" s="66">
        <f>'114+320'!Q737</f>
        <v>0</v>
      </c>
      <c r="L736" s="65">
        <f t="shared" si="151"/>
        <v>1001</v>
      </c>
      <c r="M736" s="70">
        <f>VLOOKUP(B736,'114+320'!$B$14:$AB$785,21,FALSE)</f>
        <v>3377</v>
      </c>
      <c r="N736" s="69">
        <f>VLOOKUP(B736,'114+320'!$B$15:$AB$785,5,FALSE)</f>
        <v>1877</v>
      </c>
      <c r="O736" s="68">
        <f t="shared" si="152"/>
        <v>1637</v>
      </c>
      <c r="P736" s="71">
        <f>VLOOKUP(B736,'114+320'!$B$15:$AB$785,14,FALSE)</f>
        <v>-1363</v>
      </c>
      <c r="Q736" s="66">
        <f>'114+320'!R737</f>
        <v>4</v>
      </c>
      <c r="R736" s="65">
        <f t="shared" si="153"/>
        <v>1183</v>
      </c>
      <c r="S736" s="70">
        <f>VLOOKUP(B736,'114+320'!$B$14:$AB$785,22,FALSE)</f>
        <v>3585</v>
      </c>
      <c r="T736" s="69">
        <f>VLOOKUP(B736,'114+320'!$B$15:$AB$785,6,FALSE)</f>
        <v>1609</v>
      </c>
      <c r="U736" s="68">
        <f t="shared" si="154"/>
        <v>1905</v>
      </c>
      <c r="V736" s="67">
        <f>VLOOKUP(B736,'114+320'!$B$15:$AB$785,15,FALSE)</f>
        <v>-1095</v>
      </c>
      <c r="W736" s="66">
        <f>'114+320'!S737</f>
        <v>0</v>
      </c>
      <c r="X736" s="65">
        <f t="shared" si="155"/>
        <v>975</v>
      </c>
      <c r="Y736" s="64">
        <f t="shared" si="156"/>
        <v>0</v>
      </c>
      <c r="Z736" s="63">
        <f t="shared" si="160"/>
        <v>0</v>
      </c>
      <c r="AA736" s="62">
        <f t="shared" si="157"/>
        <v>4.5690000000000008</v>
      </c>
      <c r="AB736" s="62">
        <f t="shared" si="158"/>
        <v>2.3740000000000001</v>
      </c>
    </row>
    <row r="737" spans="2:28">
      <c r="B737" s="106">
        <f>'114+320'!B738</f>
        <v>45767</v>
      </c>
      <c r="C737" s="75">
        <f t="shared" si="159"/>
        <v>1</v>
      </c>
      <c r="D737" s="74">
        <f t="shared" ref="D737:D767" si="161">D736</f>
        <v>842</v>
      </c>
      <c r="E737" s="73">
        <f>VLOOKUP(B737,'114+320'!B738:AB1124,3,FALSE)</f>
        <v>2674</v>
      </c>
      <c r="F737" s="69">
        <f t="shared" ref="F737:F767" si="162">D737+E737</f>
        <v>3516</v>
      </c>
      <c r="G737" s="72">
        <f>VLOOKUP(B737,'114+320'!$B$15:$AB$785,20,FALSE)</f>
        <v>3559</v>
      </c>
      <c r="H737" s="72">
        <f>VLOOKUP(B737,'114+320'!$B$15:$AB$785,4,FALSE)</f>
        <v>1697</v>
      </c>
      <c r="I737" s="68">
        <f t="shared" ref="I737:I767" si="163">F737-H737</f>
        <v>1819</v>
      </c>
      <c r="J737" s="71">
        <f>VLOOKUP(B737,'114+320'!$B$15:$AB$785,13,FALSE)</f>
        <v>-1181</v>
      </c>
      <c r="K737" s="66">
        <f>'114+320'!Q738</f>
        <v>0</v>
      </c>
      <c r="L737" s="65">
        <f t="shared" ref="L737:L767" si="164">+K737+L736</f>
        <v>1001</v>
      </c>
      <c r="M737" s="70">
        <f>VLOOKUP(B737,'114+320'!$B$14:$AB$785,21,FALSE)</f>
        <v>3371</v>
      </c>
      <c r="N737" s="69">
        <f>VLOOKUP(B737,'114+320'!$B$15:$AB$785,5,FALSE)</f>
        <v>1885</v>
      </c>
      <c r="O737" s="68">
        <f t="shared" ref="O737:O767" si="165">F737-N737</f>
        <v>1631</v>
      </c>
      <c r="P737" s="71">
        <f>VLOOKUP(B737,'114+320'!$B$15:$AB$785,14,FALSE)</f>
        <v>-1369</v>
      </c>
      <c r="Q737" s="66">
        <f>'114+320'!R738</f>
        <v>6</v>
      </c>
      <c r="R737" s="65">
        <f t="shared" ref="R737:R767" si="166">+Q737+R736</f>
        <v>1189</v>
      </c>
      <c r="S737" s="70">
        <f>VLOOKUP(B737,'114+320'!$B$14:$AB$785,22,FALSE)</f>
        <v>3585</v>
      </c>
      <c r="T737" s="69">
        <f>VLOOKUP(B737,'114+320'!$B$15:$AB$785,6,FALSE)</f>
        <v>1611</v>
      </c>
      <c r="U737" s="68">
        <f t="shared" ref="U737:U767" si="167">F737-T737</f>
        <v>1905</v>
      </c>
      <c r="V737" s="67">
        <f>VLOOKUP(B737,'114+320'!$B$15:$AB$785,15,FALSE)</f>
        <v>-1095</v>
      </c>
      <c r="W737" s="66">
        <f>'114+320'!S738</f>
        <v>0</v>
      </c>
      <c r="X737" s="65">
        <f t="shared" ref="X737:X767" si="168">+W737+X736</f>
        <v>975</v>
      </c>
      <c r="Y737" s="64">
        <f t="shared" ref="Y737:Y767" si="169">S737-S736</f>
        <v>0</v>
      </c>
      <c r="Z737" s="63">
        <f t="shared" si="160"/>
        <v>0</v>
      </c>
      <c r="AA737" s="62">
        <f t="shared" ref="AA737:AA767" si="170">AA736+Z737</f>
        <v>4.5690000000000008</v>
      </c>
      <c r="AB737" s="62">
        <f t="shared" ref="AB737:AB767" si="171">(M737-$M$13-R737)/1000</f>
        <v>2.3620000000000001</v>
      </c>
    </row>
    <row r="738" spans="2:28">
      <c r="B738" s="106">
        <f>'114+320'!B739</f>
        <v>45768</v>
      </c>
      <c r="C738" s="75">
        <f t="shared" si="159"/>
        <v>1</v>
      </c>
      <c r="D738" s="74">
        <f t="shared" si="161"/>
        <v>842</v>
      </c>
      <c r="E738" s="73">
        <f>VLOOKUP(B738,'114+320'!B739:AB1125,3,FALSE)</f>
        <v>2676</v>
      </c>
      <c r="F738" s="69">
        <f t="shared" si="162"/>
        <v>3518</v>
      </c>
      <c r="G738" s="72">
        <f>VLOOKUP(B738,'114+320'!$B$15:$AB$785,20,FALSE)</f>
        <v>3559</v>
      </c>
      <c r="H738" s="72">
        <f>VLOOKUP(B738,'114+320'!$B$15:$AB$785,4,FALSE)</f>
        <v>1699</v>
      </c>
      <c r="I738" s="68">
        <f t="shared" si="163"/>
        <v>1819</v>
      </c>
      <c r="J738" s="71">
        <f>VLOOKUP(B738,'114+320'!$B$15:$AB$785,13,FALSE)</f>
        <v>-1181</v>
      </c>
      <c r="K738" s="66">
        <f>'114+320'!Q739</f>
        <v>0</v>
      </c>
      <c r="L738" s="65">
        <f t="shared" si="164"/>
        <v>1001</v>
      </c>
      <c r="M738" s="70">
        <f>VLOOKUP(B738,'114+320'!$B$14:$AB$785,21,FALSE)</f>
        <v>3367</v>
      </c>
      <c r="N738" s="69">
        <f>VLOOKUP(B738,'114+320'!$B$15:$AB$785,5,FALSE)</f>
        <v>1891</v>
      </c>
      <c r="O738" s="68">
        <f t="shared" si="165"/>
        <v>1627</v>
      </c>
      <c r="P738" s="71">
        <f>VLOOKUP(B738,'114+320'!$B$15:$AB$785,14,FALSE)</f>
        <v>-1373</v>
      </c>
      <c r="Q738" s="66">
        <f>'114+320'!R739</f>
        <v>4</v>
      </c>
      <c r="R738" s="65">
        <f t="shared" si="166"/>
        <v>1193</v>
      </c>
      <c r="S738" s="70">
        <f>VLOOKUP(B738,'114+320'!$B$14:$AB$785,22,FALSE)</f>
        <v>3585</v>
      </c>
      <c r="T738" s="69">
        <f>VLOOKUP(B738,'114+320'!$B$15:$AB$785,6,FALSE)</f>
        <v>1613</v>
      </c>
      <c r="U738" s="68">
        <f t="shared" si="167"/>
        <v>1905</v>
      </c>
      <c r="V738" s="67">
        <f>VLOOKUP(B738,'114+320'!$B$15:$AB$785,15,FALSE)</f>
        <v>-1095</v>
      </c>
      <c r="W738" s="66">
        <f>'114+320'!S739</f>
        <v>0</v>
      </c>
      <c r="X738" s="65">
        <f t="shared" si="168"/>
        <v>975</v>
      </c>
      <c r="Y738" s="64">
        <f t="shared" si="169"/>
        <v>0</v>
      </c>
      <c r="Z738" s="63">
        <f t="shared" si="160"/>
        <v>0</v>
      </c>
      <c r="AA738" s="62">
        <f t="shared" si="170"/>
        <v>4.5690000000000008</v>
      </c>
      <c r="AB738" s="62">
        <f t="shared" si="171"/>
        <v>2.3540000000000001</v>
      </c>
    </row>
    <row r="739" spans="2:28">
      <c r="B739" s="106">
        <f>'114+320'!B740</f>
        <v>45769</v>
      </c>
      <c r="C739" s="75">
        <f t="shared" si="159"/>
        <v>1</v>
      </c>
      <c r="D739" s="74">
        <f t="shared" si="161"/>
        <v>842</v>
      </c>
      <c r="E739" s="73">
        <f>VLOOKUP(B739,'114+320'!B740:AB1126,3,FALSE)</f>
        <v>2678</v>
      </c>
      <c r="F739" s="69">
        <f t="shared" si="162"/>
        <v>3520</v>
      </c>
      <c r="G739" s="72">
        <f>VLOOKUP(B739,'114+320'!$B$15:$AB$785,20,FALSE)</f>
        <v>3859</v>
      </c>
      <c r="H739" s="72">
        <f>VLOOKUP(B739,'114+320'!$B$15:$AB$785,4,FALSE)</f>
        <v>1701</v>
      </c>
      <c r="I739" s="68">
        <f t="shared" si="163"/>
        <v>1819</v>
      </c>
      <c r="J739" s="71">
        <f>VLOOKUP(B739,'114+320'!$B$15:$AB$785,13,FALSE)</f>
        <v>-1181</v>
      </c>
      <c r="K739" s="66">
        <f>'114+320'!Q740</f>
        <v>0</v>
      </c>
      <c r="L739" s="65">
        <f t="shared" si="164"/>
        <v>1001</v>
      </c>
      <c r="M739" s="70">
        <f>VLOOKUP(B739,'114+320'!$B$14:$AB$785,21,FALSE)</f>
        <v>3664</v>
      </c>
      <c r="N739" s="69">
        <f>VLOOKUP(B739,'114+320'!$B$15:$AB$785,5,FALSE)</f>
        <v>1896</v>
      </c>
      <c r="O739" s="68">
        <f t="shared" si="165"/>
        <v>1624</v>
      </c>
      <c r="P739" s="71">
        <f>VLOOKUP(B739,'114+320'!$B$15:$AB$785,14,FALSE)</f>
        <v>-1376</v>
      </c>
      <c r="Q739" s="66">
        <f>'114+320'!R740</f>
        <v>3</v>
      </c>
      <c r="R739" s="65">
        <f t="shared" si="166"/>
        <v>1196</v>
      </c>
      <c r="S739" s="70">
        <f>VLOOKUP(B739,'114+320'!$B$14:$AB$785,22,FALSE)</f>
        <v>3885</v>
      </c>
      <c r="T739" s="69">
        <f>VLOOKUP(B739,'114+320'!$B$15:$AB$785,6,FALSE)</f>
        <v>1615</v>
      </c>
      <c r="U739" s="68">
        <f t="shared" si="167"/>
        <v>1905</v>
      </c>
      <c r="V739" s="67">
        <f>VLOOKUP(B739,'114+320'!$B$15:$AB$785,15,FALSE)</f>
        <v>-1095</v>
      </c>
      <c r="W739" s="66">
        <f>'114+320'!S740</f>
        <v>0</v>
      </c>
      <c r="X739" s="65">
        <f t="shared" si="168"/>
        <v>975</v>
      </c>
      <c r="Y739" s="64">
        <f t="shared" si="169"/>
        <v>300</v>
      </c>
      <c r="Z739" s="63">
        <f t="shared" si="160"/>
        <v>0.3</v>
      </c>
      <c r="AA739" s="62">
        <f t="shared" si="170"/>
        <v>4.8690000000000007</v>
      </c>
      <c r="AB739" s="62">
        <f t="shared" si="171"/>
        <v>2.6480000000000001</v>
      </c>
    </row>
    <row r="740" spans="2:28">
      <c r="B740" s="106">
        <f>'114+320'!B741</f>
        <v>45770</v>
      </c>
      <c r="C740" s="75">
        <f t="shared" si="159"/>
        <v>1</v>
      </c>
      <c r="D740" s="74">
        <f t="shared" si="161"/>
        <v>842</v>
      </c>
      <c r="E740" s="73">
        <f>VLOOKUP(B740,'114+320'!B741:AB1127,3,FALSE)</f>
        <v>2680</v>
      </c>
      <c r="F740" s="69">
        <f t="shared" si="162"/>
        <v>3522</v>
      </c>
      <c r="G740" s="72">
        <f>VLOOKUP(B740,'114+320'!$B$15:$AB$785,20,FALSE)</f>
        <v>3859</v>
      </c>
      <c r="H740" s="72">
        <f>VLOOKUP(B740,'114+320'!$B$15:$AB$785,4,FALSE)</f>
        <v>1703</v>
      </c>
      <c r="I740" s="68">
        <f t="shared" si="163"/>
        <v>1819</v>
      </c>
      <c r="J740" s="71">
        <f>VLOOKUP(B740,'114+320'!$B$15:$AB$785,13,FALSE)</f>
        <v>-1181</v>
      </c>
      <c r="K740" s="66">
        <f>'114+320'!Q741</f>
        <v>0</v>
      </c>
      <c r="L740" s="65">
        <f t="shared" si="164"/>
        <v>1001</v>
      </c>
      <c r="M740" s="70">
        <f>VLOOKUP(B740,'114+320'!$B$14:$AB$785,21,FALSE)</f>
        <v>3662</v>
      </c>
      <c r="N740" s="69">
        <f>VLOOKUP(B740,'114+320'!$B$15:$AB$785,5,FALSE)</f>
        <v>1900</v>
      </c>
      <c r="O740" s="68">
        <f t="shared" si="165"/>
        <v>1622</v>
      </c>
      <c r="P740" s="71">
        <f>VLOOKUP(B740,'114+320'!$B$15:$AB$785,14,FALSE)</f>
        <v>-1378</v>
      </c>
      <c r="Q740" s="66">
        <f>'114+320'!R741</f>
        <v>2</v>
      </c>
      <c r="R740" s="65">
        <f t="shared" si="166"/>
        <v>1198</v>
      </c>
      <c r="S740" s="70">
        <f>VLOOKUP(B740,'114+320'!$B$14:$AB$785,22,FALSE)</f>
        <v>3885</v>
      </c>
      <c r="T740" s="69">
        <f>VLOOKUP(B740,'114+320'!$B$15:$AB$785,6,FALSE)</f>
        <v>1617</v>
      </c>
      <c r="U740" s="68">
        <f t="shared" si="167"/>
        <v>1905</v>
      </c>
      <c r="V740" s="67">
        <f>VLOOKUP(B740,'114+320'!$B$15:$AB$785,15,FALSE)</f>
        <v>-1095</v>
      </c>
      <c r="W740" s="66">
        <f>'114+320'!S741</f>
        <v>0</v>
      </c>
      <c r="X740" s="65">
        <f t="shared" si="168"/>
        <v>975</v>
      </c>
      <c r="Y740" s="64">
        <f t="shared" si="169"/>
        <v>0</v>
      </c>
      <c r="Z740" s="63">
        <f t="shared" si="160"/>
        <v>0</v>
      </c>
      <c r="AA740" s="62">
        <f t="shared" si="170"/>
        <v>4.8690000000000007</v>
      </c>
      <c r="AB740" s="62">
        <f t="shared" si="171"/>
        <v>2.6440000000000001</v>
      </c>
    </row>
    <row r="741" spans="2:28">
      <c r="B741" s="106">
        <f>'114+320'!B742</f>
        <v>45771</v>
      </c>
      <c r="C741" s="75">
        <f t="shared" si="159"/>
        <v>1</v>
      </c>
      <c r="D741" s="74">
        <f t="shared" si="161"/>
        <v>842</v>
      </c>
      <c r="E741" s="73">
        <f>VLOOKUP(B741,'114+320'!B742:AB1128,3,FALSE)</f>
        <v>2682</v>
      </c>
      <c r="F741" s="69">
        <f t="shared" si="162"/>
        <v>3524</v>
      </c>
      <c r="G741" s="72">
        <f>VLOOKUP(B741,'114+320'!$B$15:$AB$785,20,FALSE)</f>
        <v>3859</v>
      </c>
      <c r="H741" s="72">
        <f>VLOOKUP(B741,'114+320'!$B$15:$AB$785,4,FALSE)</f>
        <v>1705</v>
      </c>
      <c r="I741" s="68">
        <f t="shared" si="163"/>
        <v>1819</v>
      </c>
      <c r="J741" s="71">
        <f>VLOOKUP(B741,'114+320'!$B$15:$AB$785,13,FALSE)</f>
        <v>-1181</v>
      </c>
      <c r="K741" s="66">
        <f>'114+320'!Q742</f>
        <v>0</v>
      </c>
      <c r="L741" s="65">
        <f t="shared" si="164"/>
        <v>1001</v>
      </c>
      <c r="M741" s="70">
        <f>VLOOKUP(B741,'114+320'!$B$14:$AB$785,21,FALSE)</f>
        <v>3657</v>
      </c>
      <c r="N741" s="69">
        <f>VLOOKUP(B741,'114+320'!$B$15:$AB$785,5,FALSE)</f>
        <v>1907</v>
      </c>
      <c r="O741" s="68">
        <f t="shared" si="165"/>
        <v>1617</v>
      </c>
      <c r="P741" s="71">
        <f>VLOOKUP(B741,'114+320'!$B$15:$AB$785,14,FALSE)</f>
        <v>-1383</v>
      </c>
      <c r="Q741" s="66">
        <f>'114+320'!R742</f>
        <v>5</v>
      </c>
      <c r="R741" s="65">
        <f t="shared" si="166"/>
        <v>1203</v>
      </c>
      <c r="S741" s="70">
        <f>VLOOKUP(B741,'114+320'!$B$14:$AB$785,22,FALSE)</f>
        <v>3885</v>
      </c>
      <c r="T741" s="69">
        <f>VLOOKUP(B741,'114+320'!$B$15:$AB$785,6,FALSE)</f>
        <v>1619</v>
      </c>
      <c r="U741" s="68">
        <f t="shared" si="167"/>
        <v>1905</v>
      </c>
      <c r="V741" s="67">
        <f>VLOOKUP(B741,'114+320'!$B$15:$AB$785,15,FALSE)</f>
        <v>-1095</v>
      </c>
      <c r="W741" s="66">
        <f>'114+320'!S742</f>
        <v>0</v>
      </c>
      <c r="X741" s="65">
        <f t="shared" si="168"/>
        <v>975</v>
      </c>
      <c r="Y741" s="64">
        <f t="shared" si="169"/>
        <v>0</v>
      </c>
      <c r="Z741" s="63">
        <f t="shared" si="160"/>
        <v>0</v>
      </c>
      <c r="AA741" s="62">
        <f t="shared" si="170"/>
        <v>4.8690000000000007</v>
      </c>
      <c r="AB741" s="62">
        <f t="shared" si="171"/>
        <v>2.6339999999999999</v>
      </c>
    </row>
    <row r="742" spans="2:28">
      <c r="B742" s="106">
        <f>'114+320'!B743</f>
        <v>45772</v>
      </c>
      <c r="C742" s="75">
        <f t="shared" si="159"/>
        <v>1</v>
      </c>
      <c r="D742" s="74">
        <f t="shared" si="161"/>
        <v>842</v>
      </c>
      <c r="E742" s="73">
        <f>VLOOKUP(B742,'114+320'!B743:AB1129,3,FALSE)</f>
        <v>2684</v>
      </c>
      <c r="F742" s="69">
        <f t="shared" si="162"/>
        <v>3526</v>
      </c>
      <c r="G742" s="72">
        <f>VLOOKUP(B742,'114+320'!$B$15:$AB$785,20,FALSE)</f>
        <v>3859</v>
      </c>
      <c r="H742" s="72">
        <f>VLOOKUP(B742,'114+320'!$B$15:$AB$785,4,FALSE)</f>
        <v>1707</v>
      </c>
      <c r="I742" s="68">
        <f t="shared" si="163"/>
        <v>1819</v>
      </c>
      <c r="J742" s="71">
        <f>VLOOKUP(B742,'114+320'!$B$15:$AB$785,13,FALSE)</f>
        <v>-1181</v>
      </c>
      <c r="K742" s="66">
        <f>'114+320'!Q743</f>
        <v>0</v>
      </c>
      <c r="L742" s="65">
        <f t="shared" si="164"/>
        <v>1001</v>
      </c>
      <c r="M742" s="70">
        <f>VLOOKUP(B742,'114+320'!$B$14:$AB$785,21,FALSE)</f>
        <v>3655</v>
      </c>
      <c r="N742" s="69">
        <f>VLOOKUP(B742,'114+320'!$B$15:$AB$785,5,FALSE)</f>
        <v>1911</v>
      </c>
      <c r="O742" s="68">
        <f t="shared" si="165"/>
        <v>1615</v>
      </c>
      <c r="P742" s="71">
        <f>VLOOKUP(B742,'114+320'!$B$15:$AB$785,14,FALSE)</f>
        <v>-1385</v>
      </c>
      <c r="Q742" s="66">
        <f>'114+320'!R743</f>
        <v>2</v>
      </c>
      <c r="R742" s="65">
        <f t="shared" si="166"/>
        <v>1205</v>
      </c>
      <c r="S742" s="70">
        <f>VLOOKUP(B742,'114+320'!$B$14:$AB$785,22,FALSE)</f>
        <v>3885</v>
      </c>
      <c r="T742" s="69">
        <f>VLOOKUP(B742,'114+320'!$B$15:$AB$785,6,FALSE)</f>
        <v>1621</v>
      </c>
      <c r="U742" s="68">
        <f t="shared" si="167"/>
        <v>1905</v>
      </c>
      <c r="V742" s="67">
        <f>VLOOKUP(B742,'114+320'!$B$15:$AB$785,15,FALSE)</f>
        <v>-1095</v>
      </c>
      <c r="W742" s="66">
        <f>'114+320'!S743</f>
        <v>0</v>
      </c>
      <c r="X742" s="65">
        <f t="shared" si="168"/>
        <v>975</v>
      </c>
      <c r="Y742" s="64">
        <f t="shared" si="169"/>
        <v>0</v>
      </c>
      <c r="Z742" s="63">
        <f t="shared" si="160"/>
        <v>0</v>
      </c>
      <c r="AA742" s="62">
        <f t="shared" si="170"/>
        <v>4.8690000000000007</v>
      </c>
      <c r="AB742" s="62">
        <f t="shared" si="171"/>
        <v>2.63</v>
      </c>
    </row>
    <row r="743" spans="2:28">
      <c r="B743" s="106">
        <f>'114+320'!B744</f>
        <v>45773</v>
      </c>
      <c r="C743" s="75">
        <f t="shared" si="159"/>
        <v>1</v>
      </c>
      <c r="D743" s="74">
        <f t="shared" si="161"/>
        <v>842</v>
      </c>
      <c r="E743" s="73">
        <f>VLOOKUP(B743,'114+320'!B744:AB1130,3,FALSE)</f>
        <v>2686</v>
      </c>
      <c r="F743" s="69">
        <f t="shared" si="162"/>
        <v>3528</v>
      </c>
      <c r="G743" s="72">
        <f>VLOOKUP(B743,'114+320'!$B$15:$AB$785,20,FALSE)</f>
        <v>3859</v>
      </c>
      <c r="H743" s="72">
        <f>VLOOKUP(B743,'114+320'!$B$15:$AB$785,4,FALSE)</f>
        <v>1709</v>
      </c>
      <c r="I743" s="68">
        <f t="shared" si="163"/>
        <v>1819</v>
      </c>
      <c r="J743" s="71">
        <f>VLOOKUP(B743,'114+320'!$B$15:$AB$785,13,FALSE)</f>
        <v>-1181</v>
      </c>
      <c r="K743" s="66">
        <f>'114+320'!Q744</f>
        <v>0</v>
      </c>
      <c r="L743" s="65">
        <f t="shared" si="164"/>
        <v>1001</v>
      </c>
      <c r="M743" s="70">
        <f>VLOOKUP(B743,'114+320'!$B$14:$AB$785,21,FALSE)</f>
        <v>3652</v>
      </c>
      <c r="N743" s="69">
        <f>VLOOKUP(B743,'114+320'!$B$15:$AB$785,5,FALSE)</f>
        <v>1916</v>
      </c>
      <c r="O743" s="68">
        <f t="shared" si="165"/>
        <v>1612</v>
      </c>
      <c r="P743" s="71">
        <f>VLOOKUP(B743,'114+320'!$B$15:$AB$785,14,FALSE)</f>
        <v>-1388</v>
      </c>
      <c r="Q743" s="66">
        <f>'114+320'!R744</f>
        <v>3</v>
      </c>
      <c r="R743" s="65">
        <f t="shared" si="166"/>
        <v>1208</v>
      </c>
      <c r="S743" s="70">
        <f>VLOOKUP(B743,'114+320'!$B$14:$AB$785,22,FALSE)</f>
        <v>3885</v>
      </c>
      <c r="T743" s="69">
        <f>VLOOKUP(B743,'114+320'!$B$15:$AB$785,6,FALSE)</f>
        <v>1623</v>
      </c>
      <c r="U743" s="68">
        <f t="shared" si="167"/>
        <v>1905</v>
      </c>
      <c r="V743" s="67">
        <f>VLOOKUP(B743,'114+320'!$B$15:$AB$785,15,FALSE)</f>
        <v>-1095</v>
      </c>
      <c r="W743" s="66">
        <f>'114+320'!S744</f>
        <v>0</v>
      </c>
      <c r="X743" s="65">
        <f t="shared" si="168"/>
        <v>975</v>
      </c>
      <c r="Y743" s="64">
        <f t="shared" si="169"/>
        <v>0</v>
      </c>
      <c r="Z743" s="63">
        <f t="shared" si="160"/>
        <v>0</v>
      </c>
      <c r="AA743" s="62">
        <f t="shared" si="170"/>
        <v>4.8690000000000007</v>
      </c>
      <c r="AB743" s="62">
        <f t="shared" si="171"/>
        <v>2.6240000000000001</v>
      </c>
    </row>
    <row r="744" spans="2:28">
      <c r="B744" s="106">
        <f>'114+320'!B745</f>
        <v>45774</v>
      </c>
      <c r="C744" s="75">
        <f t="shared" si="159"/>
        <v>1</v>
      </c>
      <c r="D744" s="74">
        <f t="shared" si="161"/>
        <v>842</v>
      </c>
      <c r="E744" s="73">
        <f>VLOOKUP(B744,'114+320'!B745:AB1131,3,FALSE)</f>
        <v>2688</v>
      </c>
      <c r="F744" s="69">
        <f t="shared" si="162"/>
        <v>3530</v>
      </c>
      <c r="G744" s="72">
        <f>VLOOKUP(B744,'114+320'!$B$15:$AB$785,20,FALSE)</f>
        <v>4159</v>
      </c>
      <c r="H744" s="72">
        <f>VLOOKUP(B744,'114+320'!$B$15:$AB$785,4,FALSE)</f>
        <v>1711</v>
      </c>
      <c r="I744" s="68">
        <f t="shared" si="163"/>
        <v>1819</v>
      </c>
      <c r="J744" s="71">
        <f>VLOOKUP(B744,'114+320'!$B$15:$AB$785,13,FALSE)</f>
        <v>-1181</v>
      </c>
      <c r="K744" s="66">
        <f>'114+320'!Q745</f>
        <v>0</v>
      </c>
      <c r="L744" s="65">
        <f t="shared" si="164"/>
        <v>1001</v>
      </c>
      <c r="M744" s="70">
        <f>VLOOKUP(B744,'114+320'!$B$14:$AB$785,21,FALSE)</f>
        <v>3952</v>
      </c>
      <c r="N744" s="69">
        <f>VLOOKUP(B744,'114+320'!$B$15:$AB$785,5,FALSE)</f>
        <v>1918</v>
      </c>
      <c r="O744" s="68">
        <f t="shared" si="165"/>
        <v>1612</v>
      </c>
      <c r="P744" s="71">
        <f>VLOOKUP(B744,'114+320'!$B$15:$AB$785,14,FALSE)</f>
        <v>-1388</v>
      </c>
      <c r="Q744" s="66">
        <f>'114+320'!R745</f>
        <v>0</v>
      </c>
      <c r="R744" s="65">
        <f t="shared" si="166"/>
        <v>1208</v>
      </c>
      <c r="S744" s="70">
        <f>VLOOKUP(B744,'114+320'!$B$14:$AB$785,22,FALSE)</f>
        <v>4185</v>
      </c>
      <c r="T744" s="69">
        <f>VLOOKUP(B744,'114+320'!$B$15:$AB$785,6,FALSE)</f>
        <v>1625</v>
      </c>
      <c r="U744" s="68">
        <f t="shared" si="167"/>
        <v>1905</v>
      </c>
      <c r="V744" s="67">
        <f>VLOOKUP(B744,'114+320'!$B$15:$AB$785,15,FALSE)</f>
        <v>-1095</v>
      </c>
      <c r="W744" s="66">
        <f>'114+320'!S745</f>
        <v>0</v>
      </c>
      <c r="X744" s="65">
        <f t="shared" si="168"/>
        <v>975</v>
      </c>
      <c r="Y744" s="64">
        <f t="shared" si="169"/>
        <v>300</v>
      </c>
      <c r="Z744" s="63">
        <f t="shared" si="160"/>
        <v>0.3</v>
      </c>
      <c r="AA744" s="62">
        <f t="shared" si="170"/>
        <v>5.1690000000000005</v>
      </c>
      <c r="AB744" s="62">
        <f t="shared" si="171"/>
        <v>2.9239999999999999</v>
      </c>
    </row>
    <row r="745" spans="2:28">
      <c r="B745" s="106">
        <f>'114+320'!B746</f>
        <v>45775</v>
      </c>
      <c r="C745" s="75">
        <f t="shared" si="159"/>
        <v>1</v>
      </c>
      <c r="D745" s="74">
        <f t="shared" si="161"/>
        <v>842</v>
      </c>
      <c r="E745" s="73">
        <f>VLOOKUP(B745,'114+320'!B746:AB1132,3,FALSE)</f>
        <v>2690</v>
      </c>
      <c r="F745" s="69">
        <f t="shared" si="162"/>
        <v>3532</v>
      </c>
      <c r="G745" s="72">
        <f>VLOOKUP(B745,'114+320'!$B$15:$AB$785,20,FALSE)</f>
        <v>4159</v>
      </c>
      <c r="H745" s="72">
        <f>VLOOKUP(B745,'114+320'!$B$15:$AB$785,4,FALSE)</f>
        <v>1713</v>
      </c>
      <c r="I745" s="68">
        <f t="shared" si="163"/>
        <v>1819</v>
      </c>
      <c r="J745" s="71">
        <f>VLOOKUP(B745,'114+320'!$B$15:$AB$785,13,FALSE)</f>
        <v>-1181</v>
      </c>
      <c r="K745" s="66">
        <f>'114+320'!Q746</f>
        <v>0</v>
      </c>
      <c r="L745" s="65">
        <f t="shared" si="164"/>
        <v>1001</v>
      </c>
      <c r="M745" s="70">
        <f>VLOOKUP(B745,'114+320'!$B$14:$AB$785,21,FALSE)</f>
        <v>3950</v>
      </c>
      <c r="N745" s="69">
        <f>VLOOKUP(B745,'114+320'!$B$15:$AB$785,5,FALSE)</f>
        <v>1922</v>
      </c>
      <c r="O745" s="68">
        <f t="shared" si="165"/>
        <v>1610</v>
      </c>
      <c r="P745" s="71">
        <f>VLOOKUP(B745,'114+320'!$B$15:$AB$785,14,FALSE)</f>
        <v>-1390</v>
      </c>
      <c r="Q745" s="66">
        <f>'114+320'!R746</f>
        <v>2</v>
      </c>
      <c r="R745" s="65">
        <f t="shared" si="166"/>
        <v>1210</v>
      </c>
      <c r="S745" s="70">
        <f>VLOOKUP(B745,'114+320'!$B$14:$AB$785,22,FALSE)</f>
        <v>4185</v>
      </c>
      <c r="T745" s="69">
        <f>VLOOKUP(B745,'114+320'!$B$15:$AB$785,6,FALSE)</f>
        <v>1627</v>
      </c>
      <c r="U745" s="68">
        <f t="shared" si="167"/>
        <v>1905</v>
      </c>
      <c r="V745" s="67">
        <f>VLOOKUP(B745,'114+320'!$B$15:$AB$785,15,FALSE)</f>
        <v>-1095</v>
      </c>
      <c r="W745" s="66">
        <f>'114+320'!S746</f>
        <v>0</v>
      </c>
      <c r="X745" s="65">
        <f t="shared" si="168"/>
        <v>975</v>
      </c>
      <c r="Y745" s="64">
        <f t="shared" si="169"/>
        <v>0</v>
      </c>
      <c r="Z745" s="63">
        <f t="shared" si="160"/>
        <v>0</v>
      </c>
      <c r="AA745" s="62">
        <f t="shared" si="170"/>
        <v>5.1690000000000005</v>
      </c>
      <c r="AB745" s="62">
        <f t="shared" si="171"/>
        <v>2.92</v>
      </c>
    </row>
    <row r="746" spans="2:28">
      <c r="B746" s="106">
        <f>'114+320'!B747</f>
        <v>45776</v>
      </c>
      <c r="C746" s="75">
        <f t="shared" si="159"/>
        <v>1</v>
      </c>
      <c r="D746" s="74">
        <f t="shared" si="161"/>
        <v>842</v>
      </c>
      <c r="E746" s="73">
        <f>VLOOKUP(B746,'114+320'!B747:AB1133,3,FALSE)</f>
        <v>2692</v>
      </c>
      <c r="F746" s="69">
        <f t="shared" si="162"/>
        <v>3534</v>
      </c>
      <c r="G746" s="72">
        <f>VLOOKUP(B746,'114+320'!$B$15:$AB$785,20,FALSE)</f>
        <v>4159</v>
      </c>
      <c r="H746" s="72">
        <f>VLOOKUP(B746,'114+320'!$B$15:$AB$785,4,FALSE)</f>
        <v>1715</v>
      </c>
      <c r="I746" s="68">
        <f t="shared" si="163"/>
        <v>1819</v>
      </c>
      <c r="J746" s="71">
        <f>VLOOKUP(B746,'114+320'!$B$15:$AB$785,13,FALSE)</f>
        <v>-1181</v>
      </c>
      <c r="K746" s="66">
        <f>'114+320'!Q747</f>
        <v>0</v>
      </c>
      <c r="L746" s="65">
        <f t="shared" si="164"/>
        <v>1001</v>
      </c>
      <c r="M746" s="70">
        <f>VLOOKUP(B746,'114+320'!$B$14:$AB$785,21,FALSE)</f>
        <v>3950</v>
      </c>
      <c r="N746" s="69">
        <f>VLOOKUP(B746,'114+320'!$B$15:$AB$785,5,FALSE)</f>
        <v>1924</v>
      </c>
      <c r="O746" s="68">
        <f t="shared" si="165"/>
        <v>1610</v>
      </c>
      <c r="P746" s="71">
        <f>VLOOKUP(B746,'114+320'!$B$15:$AB$785,14,FALSE)</f>
        <v>-1390</v>
      </c>
      <c r="Q746" s="66">
        <f>'114+320'!R747</f>
        <v>0</v>
      </c>
      <c r="R746" s="65">
        <f t="shared" si="166"/>
        <v>1210</v>
      </c>
      <c r="S746" s="70">
        <f>VLOOKUP(B746,'114+320'!$B$14:$AB$785,22,FALSE)</f>
        <v>4185</v>
      </c>
      <c r="T746" s="69">
        <f>VLOOKUP(B746,'114+320'!$B$15:$AB$785,6,FALSE)</f>
        <v>1629</v>
      </c>
      <c r="U746" s="68">
        <f t="shared" si="167"/>
        <v>1905</v>
      </c>
      <c r="V746" s="67">
        <f>VLOOKUP(B746,'114+320'!$B$15:$AB$785,15,FALSE)</f>
        <v>-1095</v>
      </c>
      <c r="W746" s="66">
        <f>'114+320'!S747</f>
        <v>0</v>
      </c>
      <c r="X746" s="65">
        <f t="shared" si="168"/>
        <v>975</v>
      </c>
      <c r="Y746" s="64">
        <f t="shared" si="169"/>
        <v>0</v>
      </c>
      <c r="Z746" s="63">
        <f t="shared" si="160"/>
        <v>0</v>
      </c>
      <c r="AA746" s="62">
        <f t="shared" si="170"/>
        <v>5.1690000000000005</v>
      </c>
      <c r="AB746" s="62">
        <f t="shared" si="171"/>
        <v>2.92</v>
      </c>
    </row>
    <row r="747" spans="2:28">
      <c r="B747" s="106">
        <f>'114+320'!B748</f>
        <v>45777</v>
      </c>
      <c r="C747" s="75">
        <f t="shared" si="159"/>
        <v>1</v>
      </c>
      <c r="D747" s="74">
        <f t="shared" si="161"/>
        <v>842</v>
      </c>
      <c r="E747" s="73">
        <f>VLOOKUP(B747,'114+320'!B748:AB1134,3,FALSE)</f>
        <v>2694</v>
      </c>
      <c r="F747" s="69">
        <f t="shared" si="162"/>
        <v>3536</v>
      </c>
      <c r="G747" s="72">
        <f>VLOOKUP(B747,'114+320'!$B$15:$AB$785,20,FALSE)</f>
        <v>4159</v>
      </c>
      <c r="H747" s="72">
        <f>VLOOKUP(B747,'114+320'!$B$15:$AB$785,4,FALSE)</f>
        <v>1717</v>
      </c>
      <c r="I747" s="68">
        <f t="shared" si="163"/>
        <v>1819</v>
      </c>
      <c r="J747" s="71">
        <f>VLOOKUP(B747,'114+320'!$B$15:$AB$785,13,FALSE)</f>
        <v>-1181</v>
      </c>
      <c r="K747" s="66">
        <f>'114+320'!Q748</f>
        <v>0</v>
      </c>
      <c r="L747" s="65">
        <f t="shared" si="164"/>
        <v>1001</v>
      </c>
      <c r="M747" s="70">
        <f>VLOOKUP(B747,'114+320'!$B$14:$AB$785,21,FALSE)</f>
        <v>3949</v>
      </c>
      <c r="N747" s="69">
        <f>VLOOKUP(B747,'114+320'!$B$15:$AB$785,5,FALSE)</f>
        <v>1927</v>
      </c>
      <c r="O747" s="68">
        <f t="shared" si="165"/>
        <v>1609</v>
      </c>
      <c r="P747" s="71">
        <f>VLOOKUP(B747,'114+320'!$B$15:$AB$785,14,FALSE)</f>
        <v>-1391</v>
      </c>
      <c r="Q747" s="66">
        <f>'114+320'!R748</f>
        <v>1</v>
      </c>
      <c r="R747" s="65">
        <f t="shared" si="166"/>
        <v>1211</v>
      </c>
      <c r="S747" s="70">
        <f>VLOOKUP(B747,'114+320'!$B$14:$AB$785,22,FALSE)</f>
        <v>4185</v>
      </c>
      <c r="T747" s="69">
        <f>VLOOKUP(B747,'114+320'!$B$15:$AB$785,6,FALSE)</f>
        <v>1631</v>
      </c>
      <c r="U747" s="68">
        <f t="shared" si="167"/>
        <v>1905</v>
      </c>
      <c r="V747" s="67">
        <f>VLOOKUP(B747,'114+320'!$B$15:$AB$785,15,FALSE)</f>
        <v>-1095</v>
      </c>
      <c r="W747" s="66">
        <f>'114+320'!S748</f>
        <v>0</v>
      </c>
      <c r="X747" s="65">
        <f t="shared" si="168"/>
        <v>975</v>
      </c>
      <c r="Y747" s="64">
        <f t="shared" si="169"/>
        <v>0</v>
      </c>
      <c r="Z747" s="63">
        <f t="shared" si="160"/>
        <v>0</v>
      </c>
      <c r="AA747" s="62">
        <f t="shared" si="170"/>
        <v>5.1690000000000005</v>
      </c>
      <c r="AB747" s="62">
        <f t="shared" si="171"/>
        <v>2.9180000000000001</v>
      </c>
    </row>
    <row r="748" spans="2:28">
      <c r="B748" s="106">
        <f>'114+320'!B749</f>
        <v>45778</v>
      </c>
      <c r="C748" s="75">
        <f t="shared" si="159"/>
        <v>1</v>
      </c>
      <c r="D748" s="74">
        <f t="shared" si="161"/>
        <v>842</v>
      </c>
      <c r="E748" s="73">
        <f>VLOOKUP(B748,'114+320'!B749:AB1135,3,FALSE)</f>
        <v>2696</v>
      </c>
      <c r="F748" s="69">
        <f t="shared" si="162"/>
        <v>3538</v>
      </c>
      <c r="G748" s="72">
        <f>VLOOKUP(B748,'114+320'!$B$15:$AB$785,20,FALSE)</f>
        <v>4159</v>
      </c>
      <c r="H748" s="72">
        <f>VLOOKUP(B748,'114+320'!$B$15:$AB$785,4,FALSE)</f>
        <v>1719</v>
      </c>
      <c r="I748" s="68">
        <f t="shared" si="163"/>
        <v>1819</v>
      </c>
      <c r="J748" s="71">
        <f>VLOOKUP(B748,'114+320'!$B$15:$AB$785,13,FALSE)</f>
        <v>-1181</v>
      </c>
      <c r="K748" s="66">
        <f>'114+320'!Q749</f>
        <v>0</v>
      </c>
      <c r="L748" s="65">
        <f t="shared" si="164"/>
        <v>1001</v>
      </c>
      <c r="M748" s="70">
        <f>VLOOKUP(B748,'114+320'!$B$14:$AB$785,21,FALSE)</f>
        <v>3947</v>
      </c>
      <c r="N748" s="69">
        <f>VLOOKUP(B748,'114+320'!$B$15:$AB$785,5,FALSE)</f>
        <v>1931</v>
      </c>
      <c r="O748" s="68">
        <f t="shared" si="165"/>
        <v>1607</v>
      </c>
      <c r="P748" s="71">
        <f>VLOOKUP(B748,'114+320'!$B$15:$AB$785,14,FALSE)</f>
        <v>-1393</v>
      </c>
      <c r="Q748" s="66">
        <f>'114+320'!R749</f>
        <v>2</v>
      </c>
      <c r="R748" s="65">
        <f t="shared" si="166"/>
        <v>1213</v>
      </c>
      <c r="S748" s="70">
        <f>VLOOKUP(B748,'114+320'!$B$14:$AB$785,22,FALSE)</f>
        <v>4185</v>
      </c>
      <c r="T748" s="69">
        <f>VLOOKUP(B748,'114+320'!$B$15:$AB$785,6,FALSE)</f>
        <v>1633</v>
      </c>
      <c r="U748" s="68">
        <f t="shared" si="167"/>
        <v>1905</v>
      </c>
      <c r="V748" s="67">
        <f>VLOOKUP(B748,'114+320'!$B$15:$AB$785,15,FALSE)</f>
        <v>-1095</v>
      </c>
      <c r="W748" s="66">
        <f>'114+320'!S749</f>
        <v>0</v>
      </c>
      <c r="X748" s="65">
        <f t="shared" si="168"/>
        <v>975</v>
      </c>
      <c r="Y748" s="64">
        <f t="shared" si="169"/>
        <v>0</v>
      </c>
      <c r="Z748" s="63">
        <f t="shared" si="160"/>
        <v>0</v>
      </c>
      <c r="AA748" s="62">
        <f t="shared" si="170"/>
        <v>5.1690000000000005</v>
      </c>
      <c r="AB748" s="62">
        <f t="shared" si="171"/>
        <v>2.9140000000000001</v>
      </c>
    </row>
    <row r="749" spans="2:28">
      <c r="B749" s="106">
        <f>'114+320'!B750</f>
        <v>45779</v>
      </c>
      <c r="C749" s="75">
        <f t="shared" si="159"/>
        <v>1</v>
      </c>
      <c r="D749" s="74">
        <f t="shared" si="161"/>
        <v>842</v>
      </c>
      <c r="E749" s="73">
        <f>VLOOKUP(B749,'114+320'!B750:AB1136,3,FALSE)</f>
        <v>2698</v>
      </c>
      <c r="F749" s="69">
        <f t="shared" si="162"/>
        <v>3540</v>
      </c>
      <c r="G749" s="72">
        <f>VLOOKUP(B749,'114+320'!$B$15:$AB$785,20,FALSE)</f>
        <v>4459</v>
      </c>
      <c r="H749" s="72">
        <f>VLOOKUP(B749,'114+320'!$B$15:$AB$785,4,FALSE)</f>
        <v>1721</v>
      </c>
      <c r="I749" s="68">
        <f t="shared" si="163"/>
        <v>1819</v>
      </c>
      <c r="J749" s="71">
        <f>VLOOKUP(B749,'114+320'!$B$15:$AB$785,13,FALSE)</f>
        <v>-1181</v>
      </c>
      <c r="K749" s="66">
        <f>'114+320'!Q750</f>
        <v>0</v>
      </c>
      <c r="L749" s="65">
        <f t="shared" si="164"/>
        <v>1001</v>
      </c>
      <c r="M749" s="70">
        <f>VLOOKUP(B749,'114+320'!$B$14:$AB$785,21,FALSE)</f>
        <v>4239</v>
      </c>
      <c r="N749" s="69">
        <f>VLOOKUP(B749,'114+320'!$B$15:$AB$785,5,FALSE)</f>
        <v>1941</v>
      </c>
      <c r="O749" s="68">
        <f t="shared" si="165"/>
        <v>1599</v>
      </c>
      <c r="P749" s="71">
        <f>VLOOKUP(B749,'114+320'!$B$15:$AB$785,14,FALSE)</f>
        <v>-1401</v>
      </c>
      <c r="Q749" s="66">
        <f>'114+320'!R750</f>
        <v>8</v>
      </c>
      <c r="R749" s="65">
        <f t="shared" si="166"/>
        <v>1221</v>
      </c>
      <c r="S749" s="70">
        <f>VLOOKUP(B749,'114+320'!$B$14:$AB$785,22,FALSE)</f>
        <v>4485</v>
      </c>
      <c r="T749" s="69">
        <f>VLOOKUP(B749,'114+320'!$B$15:$AB$785,6,FALSE)</f>
        <v>1635</v>
      </c>
      <c r="U749" s="68">
        <f t="shared" si="167"/>
        <v>1905</v>
      </c>
      <c r="V749" s="67">
        <f>VLOOKUP(B749,'114+320'!$B$15:$AB$785,15,FALSE)</f>
        <v>-1095</v>
      </c>
      <c r="W749" s="66">
        <f>'114+320'!S750</f>
        <v>0</v>
      </c>
      <c r="X749" s="65">
        <f t="shared" si="168"/>
        <v>975</v>
      </c>
      <c r="Y749" s="64">
        <f t="shared" si="169"/>
        <v>300</v>
      </c>
      <c r="Z749" s="63">
        <f t="shared" si="160"/>
        <v>0.3</v>
      </c>
      <c r="AA749" s="62">
        <f t="shared" si="170"/>
        <v>5.4690000000000003</v>
      </c>
      <c r="AB749" s="62">
        <f t="shared" si="171"/>
        <v>3.198</v>
      </c>
    </row>
    <row r="750" spans="2:28">
      <c r="B750" s="106">
        <f>'114+320'!B751</f>
        <v>45780</v>
      </c>
      <c r="C750" s="75">
        <f t="shared" si="159"/>
        <v>1</v>
      </c>
      <c r="D750" s="74">
        <f t="shared" si="161"/>
        <v>842</v>
      </c>
      <c r="E750" s="73">
        <f>VLOOKUP(B750,'114+320'!B751:AB1137,3,FALSE)</f>
        <v>2700</v>
      </c>
      <c r="F750" s="69">
        <f t="shared" si="162"/>
        <v>3542</v>
      </c>
      <c r="G750" s="72">
        <f>VLOOKUP(B750,'114+320'!$B$15:$AB$785,20,FALSE)</f>
        <v>4459</v>
      </c>
      <c r="H750" s="72">
        <f>VLOOKUP(B750,'114+320'!$B$15:$AB$785,4,FALSE)</f>
        <v>1723</v>
      </c>
      <c r="I750" s="68">
        <f t="shared" si="163"/>
        <v>1819</v>
      </c>
      <c r="J750" s="71">
        <f>VLOOKUP(B750,'114+320'!$B$15:$AB$785,13,FALSE)</f>
        <v>-1181</v>
      </c>
      <c r="K750" s="66">
        <f>'114+320'!Q751</f>
        <v>0</v>
      </c>
      <c r="L750" s="65">
        <f t="shared" si="164"/>
        <v>1001</v>
      </c>
      <c r="M750" s="70">
        <f>VLOOKUP(B750,'114+320'!$B$14:$AB$785,21,FALSE)</f>
        <v>4233</v>
      </c>
      <c r="N750" s="69">
        <f>VLOOKUP(B750,'114+320'!$B$15:$AB$785,5,FALSE)</f>
        <v>1949</v>
      </c>
      <c r="O750" s="68">
        <f t="shared" si="165"/>
        <v>1593</v>
      </c>
      <c r="P750" s="71">
        <f>VLOOKUP(B750,'114+320'!$B$15:$AB$785,14,FALSE)</f>
        <v>-1407</v>
      </c>
      <c r="Q750" s="66">
        <f>'114+320'!R751</f>
        <v>6</v>
      </c>
      <c r="R750" s="65">
        <f t="shared" si="166"/>
        <v>1227</v>
      </c>
      <c r="S750" s="70">
        <f>VLOOKUP(B750,'114+320'!$B$14:$AB$785,22,FALSE)</f>
        <v>4485</v>
      </c>
      <c r="T750" s="69">
        <f>VLOOKUP(B750,'114+320'!$B$15:$AB$785,6,FALSE)</f>
        <v>1637</v>
      </c>
      <c r="U750" s="68">
        <f t="shared" si="167"/>
        <v>1905</v>
      </c>
      <c r="V750" s="67">
        <f>VLOOKUP(B750,'114+320'!$B$15:$AB$785,15,FALSE)</f>
        <v>-1095</v>
      </c>
      <c r="W750" s="66">
        <f>'114+320'!S751</f>
        <v>0</v>
      </c>
      <c r="X750" s="65">
        <f t="shared" si="168"/>
        <v>975</v>
      </c>
      <c r="Y750" s="64">
        <f t="shared" si="169"/>
        <v>0</v>
      </c>
      <c r="Z750" s="63">
        <f t="shared" si="160"/>
        <v>0</v>
      </c>
      <c r="AA750" s="62">
        <f t="shared" si="170"/>
        <v>5.4690000000000003</v>
      </c>
      <c r="AB750" s="62">
        <f t="shared" si="171"/>
        <v>3.1859999999999999</v>
      </c>
    </row>
    <row r="751" spans="2:28">
      <c r="B751" s="106">
        <f>'114+320'!B752</f>
        <v>45781</v>
      </c>
      <c r="C751" s="75">
        <f t="shared" si="159"/>
        <v>1</v>
      </c>
      <c r="D751" s="74">
        <f t="shared" si="161"/>
        <v>842</v>
      </c>
      <c r="E751" s="73">
        <f>VLOOKUP(B751,'114+320'!B752:AB1138,3,FALSE)</f>
        <v>2702</v>
      </c>
      <c r="F751" s="69">
        <f t="shared" si="162"/>
        <v>3544</v>
      </c>
      <c r="G751" s="72">
        <f>VLOOKUP(B751,'114+320'!$B$15:$AB$785,20,FALSE)</f>
        <v>4459</v>
      </c>
      <c r="H751" s="72">
        <f>VLOOKUP(B751,'114+320'!$B$15:$AB$785,4,FALSE)</f>
        <v>1725</v>
      </c>
      <c r="I751" s="68">
        <f t="shared" si="163"/>
        <v>1819</v>
      </c>
      <c r="J751" s="71">
        <f>VLOOKUP(B751,'114+320'!$B$15:$AB$785,13,FALSE)</f>
        <v>-1181</v>
      </c>
      <c r="K751" s="66">
        <f>'114+320'!Q752</f>
        <v>0</v>
      </c>
      <c r="L751" s="65">
        <f t="shared" si="164"/>
        <v>1001</v>
      </c>
      <c r="M751" s="70">
        <f>VLOOKUP(B751,'114+320'!$B$14:$AB$785,21,FALSE)</f>
        <v>4228</v>
      </c>
      <c r="N751" s="69">
        <f>VLOOKUP(B751,'114+320'!$B$15:$AB$785,5,FALSE)</f>
        <v>1956</v>
      </c>
      <c r="O751" s="68">
        <f t="shared" si="165"/>
        <v>1588</v>
      </c>
      <c r="P751" s="71">
        <f>VLOOKUP(B751,'114+320'!$B$15:$AB$785,14,FALSE)</f>
        <v>-1412</v>
      </c>
      <c r="Q751" s="66">
        <f>'114+320'!R752</f>
        <v>5</v>
      </c>
      <c r="R751" s="65">
        <f t="shared" si="166"/>
        <v>1232</v>
      </c>
      <c r="S751" s="70">
        <f>VLOOKUP(B751,'114+320'!$B$14:$AB$785,22,FALSE)</f>
        <v>4485</v>
      </c>
      <c r="T751" s="69">
        <f>VLOOKUP(B751,'114+320'!$B$15:$AB$785,6,FALSE)</f>
        <v>1639</v>
      </c>
      <c r="U751" s="68">
        <f t="shared" si="167"/>
        <v>1905</v>
      </c>
      <c r="V751" s="67">
        <f>VLOOKUP(B751,'114+320'!$B$15:$AB$785,15,FALSE)</f>
        <v>-1095</v>
      </c>
      <c r="W751" s="66">
        <f>'114+320'!S752</f>
        <v>0</v>
      </c>
      <c r="X751" s="65">
        <f t="shared" si="168"/>
        <v>975</v>
      </c>
      <c r="Y751" s="64">
        <f t="shared" si="169"/>
        <v>0</v>
      </c>
      <c r="Z751" s="63">
        <f t="shared" si="160"/>
        <v>0</v>
      </c>
      <c r="AA751" s="62">
        <f t="shared" si="170"/>
        <v>5.4690000000000003</v>
      </c>
      <c r="AB751" s="62">
        <f t="shared" si="171"/>
        <v>3.1760000000000002</v>
      </c>
    </row>
    <row r="752" spans="2:28">
      <c r="B752" s="106">
        <f>'114+320'!B753</f>
        <v>45782</v>
      </c>
      <c r="C752" s="75">
        <f t="shared" si="159"/>
        <v>1</v>
      </c>
      <c r="D752" s="74">
        <f t="shared" si="161"/>
        <v>842</v>
      </c>
      <c r="E752" s="73">
        <f>VLOOKUP(B752,'114+320'!B753:AB1139,3,FALSE)</f>
        <v>2704</v>
      </c>
      <c r="F752" s="69">
        <f t="shared" si="162"/>
        <v>3546</v>
      </c>
      <c r="G752" s="72">
        <f>VLOOKUP(B752,'114+320'!$B$15:$AB$785,20,FALSE)</f>
        <v>4459</v>
      </c>
      <c r="H752" s="72">
        <f>VLOOKUP(B752,'114+320'!$B$15:$AB$785,4,FALSE)</f>
        <v>1727</v>
      </c>
      <c r="I752" s="68">
        <f t="shared" si="163"/>
        <v>1819</v>
      </c>
      <c r="J752" s="71">
        <f>VLOOKUP(B752,'114+320'!$B$15:$AB$785,13,FALSE)</f>
        <v>-1181</v>
      </c>
      <c r="K752" s="66">
        <f>'114+320'!Q753</f>
        <v>0</v>
      </c>
      <c r="L752" s="65">
        <f t="shared" si="164"/>
        <v>1001</v>
      </c>
      <c r="M752" s="70">
        <f>VLOOKUP(B752,'114+320'!$B$14:$AB$785,21,FALSE)</f>
        <v>4221</v>
      </c>
      <c r="N752" s="69">
        <f>VLOOKUP(B752,'114+320'!$B$15:$AB$785,5,FALSE)</f>
        <v>1965</v>
      </c>
      <c r="O752" s="68">
        <f t="shared" si="165"/>
        <v>1581</v>
      </c>
      <c r="P752" s="71">
        <f>VLOOKUP(B752,'114+320'!$B$15:$AB$785,14,FALSE)</f>
        <v>-1419</v>
      </c>
      <c r="Q752" s="66">
        <f>'114+320'!R753</f>
        <v>7</v>
      </c>
      <c r="R752" s="65">
        <f t="shared" si="166"/>
        <v>1239</v>
      </c>
      <c r="S752" s="70">
        <f>VLOOKUP(B752,'114+320'!$B$14:$AB$785,22,FALSE)</f>
        <v>4485</v>
      </c>
      <c r="T752" s="69">
        <f>VLOOKUP(B752,'114+320'!$B$15:$AB$785,6,FALSE)</f>
        <v>1641</v>
      </c>
      <c r="U752" s="68">
        <f t="shared" si="167"/>
        <v>1905</v>
      </c>
      <c r="V752" s="67">
        <f>VLOOKUP(B752,'114+320'!$B$15:$AB$785,15,FALSE)</f>
        <v>-1095</v>
      </c>
      <c r="W752" s="66">
        <f>'114+320'!S753</f>
        <v>0</v>
      </c>
      <c r="X752" s="65">
        <f t="shared" si="168"/>
        <v>975</v>
      </c>
      <c r="Y752" s="64">
        <f t="shared" si="169"/>
        <v>0</v>
      </c>
      <c r="Z752" s="63">
        <f t="shared" si="160"/>
        <v>0</v>
      </c>
      <c r="AA752" s="62">
        <f t="shared" si="170"/>
        <v>5.4690000000000003</v>
      </c>
      <c r="AB752" s="62">
        <f t="shared" si="171"/>
        <v>3.1619999999999999</v>
      </c>
    </row>
    <row r="753" spans="2:28">
      <c r="B753" s="106">
        <f>'114+320'!B754</f>
        <v>45783</v>
      </c>
      <c r="C753" s="75">
        <f t="shared" si="159"/>
        <v>1</v>
      </c>
      <c r="D753" s="74">
        <f t="shared" si="161"/>
        <v>842</v>
      </c>
      <c r="E753" s="73">
        <f>VLOOKUP(B753,'114+320'!B754:AB1140,3,FALSE)</f>
        <v>2706</v>
      </c>
      <c r="F753" s="69">
        <f t="shared" si="162"/>
        <v>3548</v>
      </c>
      <c r="G753" s="72">
        <f>VLOOKUP(B753,'114+320'!$B$15:$AB$785,20,FALSE)</f>
        <v>4459</v>
      </c>
      <c r="H753" s="72">
        <f>VLOOKUP(B753,'114+320'!$B$15:$AB$785,4,FALSE)</f>
        <v>1729</v>
      </c>
      <c r="I753" s="68">
        <f t="shared" si="163"/>
        <v>1819</v>
      </c>
      <c r="J753" s="71">
        <f>VLOOKUP(B753,'114+320'!$B$15:$AB$785,13,FALSE)</f>
        <v>-1181</v>
      </c>
      <c r="K753" s="66">
        <f>'114+320'!Q754</f>
        <v>0</v>
      </c>
      <c r="L753" s="65">
        <f t="shared" si="164"/>
        <v>1001</v>
      </c>
      <c r="M753" s="70">
        <f>VLOOKUP(B753,'114+320'!$B$14:$AB$785,21,FALSE)</f>
        <v>4213</v>
      </c>
      <c r="N753" s="69">
        <f>VLOOKUP(B753,'114+320'!$B$15:$AB$785,5,FALSE)</f>
        <v>1975</v>
      </c>
      <c r="O753" s="68">
        <f t="shared" si="165"/>
        <v>1573</v>
      </c>
      <c r="P753" s="71">
        <f>VLOOKUP(B753,'114+320'!$B$15:$AB$785,14,FALSE)</f>
        <v>-1427</v>
      </c>
      <c r="Q753" s="66">
        <f>'114+320'!R754</f>
        <v>8</v>
      </c>
      <c r="R753" s="65">
        <f t="shared" si="166"/>
        <v>1247</v>
      </c>
      <c r="S753" s="70">
        <f>VLOOKUP(B753,'114+320'!$B$14:$AB$785,22,FALSE)</f>
        <v>4485</v>
      </c>
      <c r="T753" s="69">
        <f>VLOOKUP(B753,'114+320'!$B$15:$AB$785,6,FALSE)</f>
        <v>1643</v>
      </c>
      <c r="U753" s="68">
        <f t="shared" si="167"/>
        <v>1905</v>
      </c>
      <c r="V753" s="67">
        <f>VLOOKUP(B753,'114+320'!$B$15:$AB$785,15,FALSE)</f>
        <v>-1095</v>
      </c>
      <c r="W753" s="66">
        <f>'114+320'!S754</f>
        <v>0</v>
      </c>
      <c r="X753" s="65">
        <f t="shared" si="168"/>
        <v>975</v>
      </c>
      <c r="Y753" s="64">
        <f t="shared" si="169"/>
        <v>0</v>
      </c>
      <c r="Z753" s="63">
        <f t="shared" si="160"/>
        <v>0</v>
      </c>
      <c r="AA753" s="62">
        <f t="shared" si="170"/>
        <v>5.4690000000000003</v>
      </c>
      <c r="AB753" s="62">
        <f t="shared" si="171"/>
        <v>3.1459999999999999</v>
      </c>
    </row>
    <row r="754" spans="2:28">
      <c r="B754" s="106">
        <f>'114+320'!B755</f>
        <v>45784</v>
      </c>
      <c r="C754" s="75">
        <f t="shared" si="159"/>
        <v>1</v>
      </c>
      <c r="D754" s="74">
        <f t="shared" si="161"/>
        <v>842</v>
      </c>
      <c r="E754" s="73">
        <f>VLOOKUP(B754,'114+320'!B755:AB1141,3,FALSE)</f>
        <v>2708</v>
      </c>
      <c r="F754" s="69">
        <f t="shared" si="162"/>
        <v>3550</v>
      </c>
      <c r="G754" s="72">
        <f>VLOOKUP(B754,'114+320'!$B$15:$AB$785,20,FALSE)</f>
        <v>4759</v>
      </c>
      <c r="H754" s="72">
        <f>VLOOKUP(B754,'114+320'!$B$15:$AB$785,4,FALSE)</f>
        <v>1731</v>
      </c>
      <c r="I754" s="68">
        <f t="shared" si="163"/>
        <v>1819</v>
      </c>
      <c r="J754" s="71">
        <f>VLOOKUP(B754,'114+320'!$B$15:$AB$785,13,FALSE)</f>
        <v>-1181</v>
      </c>
      <c r="K754" s="66">
        <f>'114+320'!Q755</f>
        <v>0</v>
      </c>
      <c r="L754" s="65">
        <f t="shared" si="164"/>
        <v>1001</v>
      </c>
      <c r="M754" s="70">
        <f>VLOOKUP(B754,'114+320'!$B$14:$AB$785,21,FALSE)</f>
        <v>4503</v>
      </c>
      <c r="N754" s="69">
        <f>VLOOKUP(B754,'114+320'!$B$15:$AB$785,5,FALSE)</f>
        <v>1987</v>
      </c>
      <c r="O754" s="68">
        <f t="shared" si="165"/>
        <v>1563</v>
      </c>
      <c r="P754" s="71">
        <f>VLOOKUP(B754,'114+320'!$B$15:$AB$785,14,FALSE)</f>
        <v>-1437</v>
      </c>
      <c r="Q754" s="66">
        <f>'114+320'!R755</f>
        <v>10</v>
      </c>
      <c r="R754" s="65">
        <f t="shared" si="166"/>
        <v>1257</v>
      </c>
      <c r="S754" s="70">
        <f>VLOOKUP(B754,'114+320'!$B$14:$AB$785,22,FALSE)</f>
        <v>4785</v>
      </c>
      <c r="T754" s="69">
        <f>VLOOKUP(B754,'114+320'!$B$15:$AB$785,6,FALSE)</f>
        <v>1645</v>
      </c>
      <c r="U754" s="68">
        <f t="shared" si="167"/>
        <v>1905</v>
      </c>
      <c r="V754" s="67">
        <f>VLOOKUP(B754,'114+320'!$B$15:$AB$785,15,FALSE)</f>
        <v>-1095</v>
      </c>
      <c r="W754" s="66">
        <f>'114+320'!S755</f>
        <v>0</v>
      </c>
      <c r="X754" s="65">
        <f t="shared" si="168"/>
        <v>975</v>
      </c>
      <c r="Y754" s="64">
        <f t="shared" si="169"/>
        <v>300</v>
      </c>
      <c r="Z754" s="63">
        <f t="shared" si="160"/>
        <v>0.3</v>
      </c>
      <c r="AA754" s="62">
        <f t="shared" si="170"/>
        <v>5.7690000000000001</v>
      </c>
      <c r="AB754" s="62">
        <f t="shared" si="171"/>
        <v>3.4260000000000002</v>
      </c>
    </row>
    <row r="755" spans="2:28">
      <c r="B755" s="106">
        <f>'114+320'!B756</f>
        <v>45785</v>
      </c>
      <c r="C755" s="75">
        <f t="shared" si="159"/>
        <v>1</v>
      </c>
      <c r="D755" s="74">
        <f t="shared" si="161"/>
        <v>842</v>
      </c>
      <c r="E755" s="73">
        <f>VLOOKUP(B755,'114+320'!B756:AB1142,3,FALSE)</f>
        <v>2710</v>
      </c>
      <c r="F755" s="69">
        <f t="shared" si="162"/>
        <v>3552</v>
      </c>
      <c r="G755" s="72">
        <f>VLOOKUP(B755,'114+320'!$B$15:$AB$785,20,FALSE)</f>
        <v>4759</v>
      </c>
      <c r="H755" s="72">
        <f>VLOOKUP(B755,'114+320'!$B$15:$AB$785,4,FALSE)</f>
        <v>1733</v>
      </c>
      <c r="I755" s="68">
        <f t="shared" si="163"/>
        <v>1819</v>
      </c>
      <c r="J755" s="71">
        <f>VLOOKUP(B755,'114+320'!$B$15:$AB$785,13,FALSE)</f>
        <v>-1181</v>
      </c>
      <c r="K755" s="66">
        <f>'114+320'!Q756</f>
        <v>0</v>
      </c>
      <c r="L755" s="65">
        <f t="shared" si="164"/>
        <v>1001</v>
      </c>
      <c r="M755" s="70">
        <f>VLOOKUP(B755,'114+320'!$B$14:$AB$785,21,FALSE)</f>
        <v>4497</v>
      </c>
      <c r="N755" s="69">
        <f>VLOOKUP(B755,'114+320'!$B$15:$AB$785,5,FALSE)</f>
        <v>1995</v>
      </c>
      <c r="O755" s="68">
        <f t="shared" si="165"/>
        <v>1557</v>
      </c>
      <c r="P755" s="71">
        <f>VLOOKUP(B755,'114+320'!$B$15:$AB$785,14,FALSE)</f>
        <v>-1443</v>
      </c>
      <c r="Q755" s="66">
        <f>'114+320'!R756</f>
        <v>6</v>
      </c>
      <c r="R755" s="65">
        <f t="shared" si="166"/>
        <v>1263</v>
      </c>
      <c r="S755" s="70">
        <f>VLOOKUP(B755,'114+320'!$B$14:$AB$785,22,FALSE)</f>
        <v>4785</v>
      </c>
      <c r="T755" s="69">
        <f>VLOOKUP(B755,'114+320'!$B$15:$AB$785,6,FALSE)</f>
        <v>1647</v>
      </c>
      <c r="U755" s="68">
        <f t="shared" si="167"/>
        <v>1905</v>
      </c>
      <c r="V755" s="67">
        <f>VLOOKUP(B755,'114+320'!$B$15:$AB$785,15,FALSE)</f>
        <v>-1095</v>
      </c>
      <c r="W755" s="66">
        <f>'114+320'!S756</f>
        <v>0</v>
      </c>
      <c r="X755" s="65">
        <f t="shared" si="168"/>
        <v>975</v>
      </c>
      <c r="Y755" s="64">
        <f t="shared" si="169"/>
        <v>0</v>
      </c>
      <c r="Z755" s="63">
        <f t="shared" si="160"/>
        <v>0</v>
      </c>
      <c r="AA755" s="62">
        <f t="shared" si="170"/>
        <v>5.7690000000000001</v>
      </c>
      <c r="AB755" s="62">
        <f t="shared" si="171"/>
        <v>3.4140000000000001</v>
      </c>
    </row>
    <row r="756" spans="2:28">
      <c r="B756" s="106">
        <f>'114+320'!B757</f>
        <v>45786</v>
      </c>
      <c r="C756" s="75">
        <f t="shared" si="159"/>
        <v>1</v>
      </c>
      <c r="D756" s="74">
        <f t="shared" si="161"/>
        <v>842</v>
      </c>
      <c r="E756" s="73">
        <f>VLOOKUP(B756,'114+320'!B757:AB1143,3,FALSE)</f>
        <v>2712</v>
      </c>
      <c r="F756" s="69">
        <f t="shared" si="162"/>
        <v>3554</v>
      </c>
      <c r="G756" s="72">
        <f>VLOOKUP(B756,'114+320'!$B$15:$AB$785,20,FALSE)</f>
        <v>4696</v>
      </c>
      <c r="H756" s="72">
        <f>VLOOKUP(B756,'114+320'!$B$15:$AB$785,4,FALSE)</f>
        <v>1798</v>
      </c>
      <c r="I756" s="68">
        <f t="shared" si="163"/>
        <v>1756</v>
      </c>
      <c r="J756" s="71">
        <f>VLOOKUP(B756,'114+320'!$B$15:$AB$785,13,FALSE)</f>
        <v>-1244</v>
      </c>
      <c r="K756" s="66">
        <f>'114+320'!Q757</f>
        <v>63</v>
      </c>
      <c r="L756" s="65">
        <f t="shared" si="164"/>
        <v>1064</v>
      </c>
      <c r="M756" s="70">
        <f>VLOOKUP(B756,'114+320'!$B$14:$AB$785,21,FALSE)</f>
        <v>4488</v>
      </c>
      <c r="N756" s="69">
        <f>VLOOKUP(B756,'114+320'!$B$15:$AB$785,5,FALSE)</f>
        <v>2006</v>
      </c>
      <c r="O756" s="68">
        <f t="shared" si="165"/>
        <v>1548</v>
      </c>
      <c r="P756" s="71">
        <f>VLOOKUP(B756,'114+320'!$B$15:$AB$785,14,FALSE)</f>
        <v>-1452</v>
      </c>
      <c r="Q756" s="66">
        <f>'114+320'!R757</f>
        <v>9</v>
      </c>
      <c r="R756" s="65">
        <f t="shared" si="166"/>
        <v>1272</v>
      </c>
      <c r="S756" s="70">
        <f>VLOOKUP(B756,'114+320'!$B$14:$AB$785,22,FALSE)</f>
        <v>4785</v>
      </c>
      <c r="T756" s="69">
        <f>VLOOKUP(B756,'114+320'!$B$15:$AB$785,6,FALSE)</f>
        <v>1649</v>
      </c>
      <c r="U756" s="68">
        <f t="shared" si="167"/>
        <v>1905</v>
      </c>
      <c r="V756" s="67">
        <f>VLOOKUP(B756,'114+320'!$B$15:$AB$785,15,FALSE)</f>
        <v>-1095</v>
      </c>
      <c r="W756" s="66">
        <f>'114+320'!S757</f>
        <v>0</v>
      </c>
      <c r="X756" s="65">
        <f t="shared" si="168"/>
        <v>975</v>
      </c>
      <c r="Y756" s="64">
        <f t="shared" si="169"/>
        <v>0</v>
      </c>
      <c r="Z756" s="63">
        <f t="shared" si="160"/>
        <v>0</v>
      </c>
      <c r="AA756" s="62">
        <f t="shared" si="170"/>
        <v>5.7690000000000001</v>
      </c>
      <c r="AB756" s="62">
        <f t="shared" si="171"/>
        <v>3.3959999999999999</v>
      </c>
    </row>
    <row r="757" spans="2:28">
      <c r="B757" s="106">
        <f>'114+320'!B758</f>
        <v>45787</v>
      </c>
      <c r="C757" s="75">
        <f t="shared" si="159"/>
        <v>1</v>
      </c>
      <c r="D757" s="74">
        <f t="shared" si="161"/>
        <v>842</v>
      </c>
      <c r="E757" s="73">
        <f>VLOOKUP(B757,'114+320'!B758:AB1144,3,FALSE)</f>
        <v>2714</v>
      </c>
      <c r="F757" s="69">
        <f t="shared" si="162"/>
        <v>3556</v>
      </c>
      <c r="G757" s="72">
        <f>VLOOKUP(B757,'114+320'!$B$15:$AB$785,20,FALSE)</f>
        <v>4696</v>
      </c>
      <c r="H757" s="72">
        <f>VLOOKUP(B757,'114+320'!$B$15:$AB$785,4,FALSE)</f>
        <v>1800</v>
      </c>
      <c r="I757" s="68">
        <f t="shared" si="163"/>
        <v>1756</v>
      </c>
      <c r="J757" s="71">
        <f>VLOOKUP(B757,'114+320'!$B$15:$AB$785,13,FALSE)</f>
        <v>-1244</v>
      </c>
      <c r="K757" s="66">
        <f>'114+320'!Q758</f>
        <v>0</v>
      </c>
      <c r="L757" s="65">
        <f t="shared" si="164"/>
        <v>1064</v>
      </c>
      <c r="M757" s="70">
        <f>VLOOKUP(B757,'114+320'!$B$14:$AB$785,21,FALSE)</f>
        <v>4482</v>
      </c>
      <c r="N757" s="69">
        <f>VLOOKUP(B757,'114+320'!$B$15:$AB$785,5,FALSE)</f>
        <v>2014</v>
      </c>
      <c r="O757" s="68">
        <f t="shared" si="165"/>
        <v>1542</v>
      </c>
      <c r="P757" s="71">
        <f>VLOOKUP(B757,'114+320'!$B$15:$AB$785,14,FALSE)</f>
        <v>-1458</v>
      </c>
      <c r="Q757" s="66">
        <f>'114+320'!R758</f>
        <v>6</v>
      </c>
      <c r="R757" s="65">
        <f t="shared" si="166"/>
        <v>1278</v>
      </c>
      <c r="S757" s="70">
        <f>VLOOKUP(B757,'114+320'!$B$14:$AB$785,22,FALSE)</f>
        <v>4784</v>
      </c>
      <c r="T757" s="69">
        <f>VLOOKUP(B757,'114+320'!$B$15:$AB$785,6,FALSE)</f>
        <v>1652</v>
      </c>
      <c r="U757" s="68">
        <f t="shared" si="167"/>
        <v>1904</v>
      </c>
      <c r="V757" s="67">
        <f>VLOOKUP(B757,'114+320'!$B$15:$AB$785,15,FALSE)</f>
        <v>-1096</v>
      </c>
      <c r="W757" s="66">
        <f>'114+320'!S758</f>
        <v>1</v>
      </c>
      <c r="X757" s="65">
        <f t="shared" si="168"/>
        <v>976</v>
      </c>
      <c r="Y757" s="64">
        <f t="shared" si="169"/>
        <v>-1</v>
      </c>
      <c r="Z757" s="63">
        <f t="shared" si="160"/>
        <v>0</v>
      </c>
      <c r="AA757" s="62">
        <f t="shared" si="170"/>
        <v>5.7690000000000001</v>
      </c>
      <c r="AB757" s="62">
        <f t="shared" si="171"/>
        <v>3.3839999999999999</v>
      </c>
    </row>
    <row r="758" spans="2:28">
      <c r="B758" s="106">
        <f>'114+320'!B759</f>
        <v>45788</v>
      </c>
      <c r="C758" s="75">
        <f t="shared" si="159"/>
        <v>1</v>
      </c>
      <c r="D758" s="74">
        <f t="shared" si="161"/>
        <v>842</v>
      </c>
      <c r="E758" s="73">
        <f>VLOOKUP(B758,'114+320'!B759:AB1145,3,FALSE)</f>
        <v>2716</v>
      </c>
      <c r="F758" s="69">
        <f t="shared" si="162"/>
        <v>3558</v>
      </c>
      <c r="G758" s="72">
        <f>VLOOKUP(B758,'114+320'!$B$15:$AB$785,20,FALSE)</f>
        <v>4996</v>
      </c>
      <c r="H758" s="72">
        <f>VLOOKUP(B758,'114+320'!$B$15:$AB$785,4,FALSE)</f>
        <v>1802</v>
      </c>
      <c r="I758" s="68">
        <f t="shared" si="163"/>
        <v>1756</v>
      </c>
      <c r="J758" s="71">
        <f>VLOOKUP(B758,'114+320'!$B$15:$AB$785,13,FALSE)</f>
        <v>-1244</v>
      </c>
      <c r="K758" s="66">
        <f>'114+320'!Q759</f>
        <v>0</v>
      </c>
      <c r="L758" s="65">
        <f t="shared" si="164"/>
        <v>1064</v>
      </c>
      <c r="M758" s="70">
        <f>VLOOKUP(B758,'114+320'!$B$14:$AB$785,21,FALSE)</f>
        <v>4774</v>
      </c>
      <c r="N758" s="69">
        <f>VLOOKUP(B758,'114+320'!$B$15:$AB$785,5,FALSE)</f>
        <v>2024</v>
      </c>
      <c r="O758" s="68">
        <f t="shared" si="165"/>
        <v>1534</v>
      </c>
      <c r="P758" s="71">
        <f>VLOOKUP(B758,'114+320'!$B$15:$AB$785,14,FALSE)</f>
        <v>-1466</v>
      </c>
      <c r="Q758" s="66">
        <f>'114+320'!R759</f>
        <v>8</v>
      </c>
      <c r="R758" s="65">
        <f t="shared" si="166"/>
        <v>1286</v>
      </c>
      <c r="S758" s="70">
        <f>VLOOKUP(B758,'114+320'!$B$14:$AB$785,22,FALSE)</f>
        <v>5084</v>
      </c>
      <c r="T758" s="69">
        <f>VLOOKUP(B758,'114+320'!$B$15:$AB$785,6,FALSE)</f>
        <v>1654</v>
      </c>
      <c r="U758" s="68">
        <f t="shared" si="167"/>
        <v>1904</v>
      </c>
      <c r="V758" s="67">
        <f>VLOOKUP(B758,'114+320'!$B$15:$AB$785,15,FALSE)</f>
        <v>-1096</v>
      </c>
      <c r="W758" s="66">
        <f>'114+320'!S759</f>
        <v>0</v>
      </c>
      <c r="X758" s="65">
        <f t="shared" si="168"/>
        <v>976</v>
      </c>
      <c r="Y758" s="64">
        <f t="shared" si="169"/>
        <v>300</v>
      </c>
      <c r="Z758" s="63">
        <f t="shared" si="160"/>
        <v>0.3</v>
      </c>
      <c r="AA758" s="62">
        <f t="shared" si="170"/>
        <v>6.069</v>
      </c>
      <c r="AB758" s="62">
        <f t="shared" si="171"/>
        <v>3.6680000000000001</v>
      </c>
    </row>
    <row r="759" spans="2:28">
      <c r="B759" s="106">
        <f>'114+320'!B760</f>
        <v>45791</v>
      </c>
      <c r="C759" s="75">
        <f t="shared" si="159"/>
        <v>3</v>
      </c>
      <c r="D759" s="74">
        <f t="shared" si="161"/>
        <v>842</v>
      </c>
      <c r="E759" s="73">
        <f>VLOOKUP(B759,'114+320'!B760:AB1146,3,FALSE)</f>
        <v>2718</v>
      </c>
      <c r="F759" s="69">
        <f t="shared" si="162"/>
        <v>3560</v>
      </c>
      <c r="G759" s="72">
        <f>VLOOKUP(B759,'114+320'!$B$15:$AB$785,20,FALSE)</f>
        <v>4968</v>
      </c>
      <c r="H759" s="72">
        <f>VLOOKUP(B759,'114+320'!$B$15:$AB$785,4,FALSE)</f>
        <v>1832</v>
      </c>
      <c r="I759" s="68">
        <f t="shared" si="163"/>
        <v>1728</v>
      </c>
      <c r="J759" s="71">
        <f>VLOOKUP(B759,'114+320'!$B$15:$AB$785,13,FALSE)</f>
        <v>-1272</v>
      </c>
      <c r="K759" s="66">
        <f>'114+320'!Q760</f>
        <v>28</v>
      </c>
      <c r="L759" s="65">
        <f t="shared" si="164"/>
        <v>1092</v>
      </c>
      <c r="M759" s="70">
        <f>VLOOKUP(B759,'114+320'!$B$14:$AB$785,21,FALSE)</f>
        <v>4754</v>
      </c>
      <c r="N759" s="69">
        <f>VLOOKUP(B759,'114+320'!$B$15:$AB$785,5,FALSE)</f>
        <v>2046</v>
      </c>
      <c r="O759" s="68">
        <f t="shared" si="165"/>
        <v>1514</v>
      </c>
      <c r="P759" s="71">
        <f>VLOOKUP(B759,'114+320'!$B$15:$AB$785,14,FALSE)</f>
        <v>-1486</v>
      </c>
      <c r="Q759" s="66">
        <f>'114+320'!R760</f>
        <v>20</v>
      </c>
      <c r="R759" s="65">
        <f t="shared" si="166"/>
        <v>1306</v>
      </c>
      <c r="S759" s="70">
        <f>VLOOKUP(B759,'114+320'!$B$14:$AB$785,22,FALSE)</f>
        <v>5062</v>
      </c>
      <c r="T759" s="69">
        <f>VLOOKUP(B759,'114+320'!$B$15:$AB$785,6,FALSE)</f>
        <v>1678</v>
      </c>
      <c r="U759" s="68">
        <f t="shared" si="167"/>
        <v>1882</v>
      </c>
      <c r="V759" s="67">
        <f>VLOOKUP(B759,'114+320'!$B$15:$AB$785,15,FALSE)</f>
        <v>-1118</v>
      </c>
      <c r="W759" s="66">
        <f>'114+320'!S760</f>
        <v>22</v>
      </c>
      <c r="X759" s="65">
        <f t="shared" si="168"/>
        <v>998</v>
      </c>
      <c r="Y759" s="64">
        <f t="shared" si="169"/>
        <v>-22</v>
      </c>
      <c r="Z759" s="63">
        <f t="shared" si="160"/>
        <v>0</v>
      </c>
      <c r="AA759" s="62">
        <f t="shared" si="170"/>
        <v>6.069</v>
      </c>
      <c r="AB759" s="62">
        <f t="shared" si="171"/>
        <v>3.6280000000000001</v>
      </c>
    </row>
    <row r="760" spans="2:28">
      <c r="B760" s="106">
        <f>'114+320'!B761</f>
        <v>45795</v>
      </c>
      <c r="C760" s="75">
        <f t="shared" si="159"/>
        <v>4</v>
      </c>
      <c r="D760" s="74">
        <f t="shared" si="161"/>
        <v>842</v>
      </c>
      <c r="E760" s="73">
        <f>VLOOKUP(B760,'114+320'!B761:AB1147,3,FALSE)</f>
        <v>2720</v>
      </c>
      <c r="F760" s="69">
        <f t="shared" si="162"/>
        <v>3562</v>
      </c>
      <c r="G760" s="72">
        <f>VLOOKUP(B760,'114+320'!$B$15:$AB$785,20,FALSE)</f>
        <v>4935</v>
      </c>
      <c r="H760" s="72">
        <f>VLOOKUP(B760,'114+320'!$B$15:$AB$785,4,FALSE)</f>
        <v>1867</v>
      </c>
      <c r="I760" s="68">
        <f t="shared" si="163"/>
        <v>1695</v>
      </c>
      <c r="J760" s="71">
        <f>VLOOKUP(B760,'114+320'!$B$15:$AB$785,13,FALSE)</f>
        <v>-1305</v>
      </c>
      <c r="K760" s="66">
        <f>'114+320'!Q761</f>
        <v>33</v>
      </c>
      <c r="L760" s="65">
        <f t="shared" si="164"/>
        <v>1125</v>
      </c>
      <c r="M760" s="70">
        <f>VLOOKUP(B760,'114+320'!$B$14:$AB$785,21,FALSE)</f>
        <v>4729</v>
      </c>
      <c r="N760" s="69">
        <f>VLOOKUP(B760,'114+320'!$B$15:$AB$785,5,FALSE)</f>
        <v>2073</v>
      </c>
      <c r="O760" s="68">
        <f t="shared" si="165"/>
        <v>1489</v>
      </c>
      <c r="P760" s="71">
        <f>VLOOKUP(B760,'114+320'!$B$15:$AB$785,14,FALSE)</f>
        <v>-1511</v>
      </c>
      <c r="Q760" s="66">
        <f>'114+320'!R761</f>
        <v>25</v>
      </c>
      <c r="R760" s="65">
        <f t="shared" si="166"/>
        <v>1331</v>
      </c>
      <c r="S760" s="70">
        <f>VLOOKUP(B760,'114+320'!$B$14:$AB$785,22,FALSE)</f>
        <v>5038</v>
      </c>
      <c r="T760" s="69">
        <f>VLOOKUP(B760,'114+320'!$B$15:$AB$785,6,FALSE)</f>
        <v>1704</v>
      </c>
      <c r="U760" s="68">
        <f t="shared" si="167"/>
        <v>1858</v>
      </c>
      <c r="V760" s="67">
        <f>VLOOKUP(B760,'114+320'!$B$15:$AB$785,15,FALSE)</f>
        <v>-1142</v>
      </c>
      <c r="W760" s="66">
        <f>'114+320'!S761</f>
        <v>24</v>
      </c>
      <c r="X760" s="65">
        <f t="shared" si="168"/>
        <v>1022</v>
      </c>
      <c r="Y760" s="64">
        <f t="shared" si="169"/>
        <v>-24</v>
      </c>
      <c r="Z760" s="63">
        <f t="shared" si="160"/>
        <v>0</v>
      </c>
      <c r="AA760" s="62">
        <f t="shared" si="170"/>
        <v>6.069</v>
      </c>
      <c r="AB760" s="62">
        <f t="shared" si="171"/>
        <v>3.5779999999999998</v>
      </c>
    </row>
    <row r="761" spans="2:28">
      <c r="B761" s="106">
        <f>'114+320'!B762</f>
        <v>45798</v>
      </c>
      <c r="C761" s="75">
        <f t="shared" si="159"/>
        <v>3</v>
      </c>
      <c r="D761" s="74">
        <f t="shared" si="161"/>
        <v>842</v>
      </c>
      <c r="E761" s="73">
        <f>VLOOKUP(B761,'114+320'!B762:AB1148,3,FALSE)</f>
        <v>2722</v>
      </c>
      <c r="F761" s="69">
        <f t="shared" si="162"/>
        <v>3564</v>
      </c>
      <c r="G761" s="72">
        <f>VLOOKUP(B761,'114+320'!$B$15:$AB$785,20,FALSE)</f>
        <v>4915</v>
      </c>
      <c r="H761" s="72">
        <f>VLOOKUP(B761,'114+320'!$B$15:$AB$785,4,FALSE)</f>
        <v>1889</v>
      </c>
      <c r="I761" s="68">
        <f t="shared" si="163"/>
        <v>1675</v>
      </c>
      <c r="J761" s="71">
        <f>VLOOKUP(B761,'114+320'!$B$15:$AB$785,13,FALSE)</f>
        <v>-1325</v>
      </c>
      <c r="K761" s="66">
        <f>'114+320'!Q762</f>
        <v>20</v>
      </c>
      <c r="L761" s="65">
        <f t="shared" si="164"/>
        <v>1145</v>
      </c>
      <c r="M761" s="70">
        <f>VLOOKUP(B761,'114+320'!$B$14:$AB$785,21,FALSE)</f>
        <v>4710</v>
      </c>
      <c r="N761" s="69">
        <f>VLOOKUP(B761,'114+320'!$B$15:$AB$785,5,FALSE)</f>
        <v>2094</v>
      </c>
      <c r="O761" s="68">
        <f t="shared" si="165"/>
        <v>1470</v>
      </c>
      <c r="P761" s="71">
        <f>VLOOKUP(B761,'114+320'!$B$15:$AB$785,14,FALSE)</f>
        <v>-1530</v>
      </c>
      <c r="Q761" s="66">
        <f>'114+320'!R762</f>
        <v>19</v>
      </c>
      <c r="R761" s="65">
        <f t="shared" si="166"/>
        <v>1350</v>
      </c>
      <c r="S761" s="70">
        <f>VLOOKUP(B761,'114+320'!$B$14:$AB$785,22,FALSE)</f>
        <v>5018</v>
      </c>
      <c r="T761" s="69">
        <f>VLOOKUP(B761,'114+320'!$B$15:$AB$785,6,FALSE)</f>
        <v>1726</v>
      </c>
      <c r="U761" s="68">
        <f t="shared" si="167"/>
        <v>1838</v>
      </c>
      <c r="V761" s="67">
        <f>VLOOKUP(B761,'114+320'!$B$15:$AB$785,15,FALSE)</f>
        <v>-1162</v>
      </c>
      <c r="W761" s="66">
        <f>'114+320'!S762</f>
        <v>20</v>
      </c>
      <c r="X761" s="65">
        <f t="shared" si="168"/>
        <v>1042</v>
      </c>
      <c r="Y761" s="64">
        <f t="shared" si="169"/>
        <v>-20</v>
      </c>
      <c r="Z761" s="63">
        <f t="shared" si="160"/>
        <v>0</v>
      </c>
      <c r="AA761" s="62">
        <f t="shared" si="170"/>
        <v>6.069</v>
      </c>
      <c r="AB761" s="62">
        <f t="shared" si="171"/>
        <v>3.54</v>
      </c>
    </row>
    <row r="762" spans="2:28">
      <c r="B762" s="106">
        <f>'114+320'!B763</f>
        <v>45802</v>
      </c>
      <c r="C762" s="75">
        <f t="shared" si="159"/>
        <v>4</v>
      </c>
      <c r="D762" s="74">
        <f t="shared" si="161"/>
        <v>842</v>
      </c>
      <c r="E762" s="73">
        <f>VLOOKUP(B762,'114+320'!B763:AB1149,3,FALSE)</f>
        <v>2724</v>
      </c>
      <c r="F762" s="69">
        <f t="shared" si="162"/>
        <v>3566</v>
      </c>
      <c r="G762" s="72">
        <f>VLOOKUP(B762,'114+320'!$B$15:$AB$785,20,FALSE)</f>
        <v>4888</v>
      </c>
      <c r="H762" s="72">
        <f>VLOOKUP(B762,'114+320'!$B$15:$AB$785,4,FALSE)</f>
        <v>1918</v>
      </c>
      <c r="I762" s="68">
        <f t="shared" si="163"/>
        <v>1648</v>
      </c>
      <c r="J762" s="71">
        <f>VLOOKUP(B762,'114+320'!$B$15:$AB$785,13,FALSE)</f>
        <v>-1352</v>
      </c>
      <c r="K762" s="66">
        <f>'114+320'!Q763</f>
        <v>27</v>
      </c>
      <c r="L762" s="65">
        <f t="shared" si="164"/>
        <v>1172</v>
      </c>
      <c r="M762" s="70">
        <f>VLOOKUP(B762,'114+320'!$B$14:$AB$785,21,FALSE)</f>
        <v>4688</v>
      </c>
      <c r="N762" s="69">
        <f>VLOOKUP(B762,'114+320'!$B$15:$AB$785,5,FALSE)</f>
        <v>2118</v>
      </c>
      <c r="O762" s="68">
        <f t="shared" si="165"/>
        <v>1448</v>
      </c>
      <c r="P762" s="71">
        <f>VLOOKUP(B762,'114+320'!$B$15:$AB$785,14,FALSE)</f>
        <v>-1552</v>
      </c>
      <c r="Q762" s="66">
        <f>'114+320'!R763</f>
        <v>22</v>
      </c>
      <c r="R762" s="65">
        <f t="shared" si="166"/>
        <v>1372</v>
      </c>
      <c r="S762" s="70">
        <f>VLOOKUP(B762,'114+320'!$B$14:$AB$785,22,FALSE)</f>
        <v>4994</v>
      </c>
      <c r="T762" s="69">
        <f>VLOOKUP(B762,'114+320'!$B$15:$AB$785,6,FALSE)</f>
        <v>1752</v>
      </c>
      <c r="U762" s="68">
        <f t="shared" si="167"/>
        <v>1814</v>
      </c>
      <c r="V762" s="67">
        <f>VLOOKUP(B762,'114+320'!$B$15:$AB$785,15,FALSE)</f>
        <v>-1186</v>
      </c>
      <c r="W762" s="66">
        <f>'114+320'!S763</f>
        <v>24</v>
      </c>
      <c r="X762" s="65">
        <f t="shared" si="168"/>
        <v>1066</v>
      </c>
      <c r="Y762" s="64">
        <f t="shared" si="169"/>
        <v>-24</v>
      </c>
      <c r="Z762" s="63">
        <f t="shared" si="160"/>
        <v>0</v>
      </c>
      <c r="AA762" s="62">
        <f t="shared" si="170"/>
        <v>6.069</v>
      </c>
      <c r="AB762" s="62">
        <f t="shared" si="171"/>
        <v>3.496</v>
      </c>
    </row>
    <row r="763" spans="2:28">
      <c r="B763" s="106">
        <f>'114+320'!B764</f>
        <v>45805</v>
      </c>
      <c r="C763" s="75">
        <f t="shared" si="159"/>
        <v>3</v>
      </c>
      <c r="D763" s="74">
        <f t="shared" si="161"/>
        <v>842</v>
      </c>
      <c r="E763" s="73">
        <f>VLOOKUP(B763,'114+320'!B764:AB1150,3,FALSE)</f>
        <v>2726</v>
      </c>
      <c r="F763" s="69">
        <f t="shared" si="162"/>
        <v>3568</v>
      </c>
      <c r="G763" s="72">
        <f>VLOOKUP(B763,'114+320'!$B$15:$AB$785,20,FALSE)</f>
        <v>4870</v>
      </c>
      <c r="H763" s="72">
        <f>VLOOKUP(B763,'114+320'!$B$15:$AB$785,4,FALSE)</f>
        <v>1938</v>
      </c>
      <c r="I763" s="68">
        <f t="shared" si="163"/>
        <v>1630</v>
      </c>
      <c r="J763" s="71">
        <f>VLOOKUP(B763,'114+320'!$B$15:$AB$785,13,FALSE)</f>
        <v>-1370</v>
      </c>
      <c r="K763" s="66">
        <f>'114+320'!Q764</f>
        <v>18</v>
      </c>
      <c r="L763" s="65">
        <f t="shared" si="164"/>
        <v>1190</v>
      </c>
      <c r="M763" s="70">
        <f>VLOOKUP(B763,'114+320'!$B$14:$AB$785,21,FALSE)</f>
        <v>4672</v>
      </c>
      <c r="N763" s="69">
        <f>VLOOKUP(B763,'114+320'!$B$15:$AB$785,5,FALSE)</f>
        <v>2136</v>
      </c>
      <c r="O763" s="68">
        <f t="shared" si="165"/>
        <v>1432</v>
      </c>
      <c r="P763" s="71">
        <f>VLOOKUP(B763,'114+320'!$B$15:$AB$785,14,FALSE)</f>
        <v>-1568</v>
      </c>
      <c r="Q763" s="66">
        <f>'114+320'!R764</f>
        <v>16</v>
      </c>
      <c r="R763" s="65">
        <f t="shared" si="166"/>
        <v>1388</v>
      </c>
      <c r="S763" s="70">
        <f>VLOOKUP(B763,'114+320'!$B$14:$AB$785,22,FALSE)</f>
        <v>4978</v>
      </c>
      <c r="T763" s="69">
        <f>VLOOKUP(B763,'114+320'!$B$15:$AB$785,6,FALSE)</f>
        <v>1770</v>
      </c>
      <c r="U763" s="68">
        <f t="shared" si="167"/>
        <v>1798</v>
      </c>
      <c r="V763" s="67">
        <f>VLOOKUP(B763,'114+320'!$B$15:$AB$785,15,FALSE)</f>
        <v>-1202</v>
      </c>
      <c r="W763" s="66">
        <f>'114+320'!S764</f>
        <v>16</v>
      </c>
      <c r="X763" s="65">
        <f t="shared" si="168"/>
        <v>1082</v>
      </c>
      <c r="Y763" s="64">
        <f t="shared" si="169"/>
        <v>-16</v>
      </c>
      <c r="Z763" s="63">
        <f t="shared" si="160"/>
        <v>0</v>
      </c>
      <c r="AA763" s="62">
        <f t="shared" si="170"/>
        <v>6.069</v>
      </c>
      <c r="AB763" s="62">
        <f t="shared" si="171"/>
        <v>3.464</v>
      </c>
    </row>
    <row r="764" spans="2:28">
      <c r="B764" s="106">
        <f>'114+320'!B765</f>
        <v>45809</v>
      </c>
      <c r="C764" s="75">
        <f t="shared" si="159"/>
        <v>4</v>
      </c>
      <c r="D764" s="74">
        <f t="shared" si="161"/>
        <v>842</v>
      </c>
      <c r="E764" s="73">
        <f>VLOOKUP(B764,'114+320'!B765:AB1151,3,FALSE)</f>
        <v>2728</v>
      </c>
      <c r="F764" s="69">
        <f t="shared" si="162"/>
        <v>3570</v>
      </c>
      <c r="G764" s="72">
        <f>VLOOKUP(B764,'114+320'!$B$15:$AB$785,20,FALSE)</f>
        <v>4844</v>
      </c>
      <c r="H764" s="72">
        <f>VLOOKUP(B764,'114+320'!$B$15:$AB$785,4,FALSE)</f>
        <v>1966</v>
      </c>
      <c r="I764" s="68">
        <f t="shared" si="163"/>
        <v>1604</v>
      </c>
      <c r="J764" s="71">
        <f>VLOOKUP(B764,'114+320'!$B$15:$AB$785,13,FALSE)</f>
        <v>-1396</v>
      </c>
      <c r="K764" s="66">
        <f>'114+320'!Q765</f>
        <v>26</v>
      </c>
      <c r="L764" s="65">
        <f t="shared" si="164"/>
        <v>1216</v>
      </c>
      <c r="M764" s="70">
        <f>VLOOKUP(B764,'114+320'!$B$14:$AB$785,21,FALSE)</f>
        <v>4652</v>
      </c>
      <c r="N764" s="69">
        <f>VLOOKUP(B764,'114+320'!$B$15:$AB$785,5,FALSE)</f>
        <v>2158</v>
      </c>
      <c r="O764" s="68">
        <f t="shared" si="165"/>
        <v>1412</v>
      </c>
      <c r="P764" s="71">
        <f>VLOOKUP(B764,'114+320'!$B$15:$AB$785,14,FALSE)</f>
        <v>-1588</v>
      </c>
      <c r="Q764" s="66">
        <f>'114+320'!R765</f>
        <v>20</v>
      </c>
      <c r="R764" s="65">
        <f t="shared" si="166"/>
        <v>1408</v>
      </c>
      <c r="S764" s="70">
        <f>VLOOKUP(B764,'114+320'!$B$14:$AB$785,22,FALSE)</f>
        <v>4954</v>
      </c>
      <c r="T764" s="69">
        <f>VLOOKUP(B764,'114+320'!$B$15:$AB$785,6,FALSE)</f>
        <v>1796</v>
      </c>
      <c r="U764" s="68">
        <f t="shared" si="167"/>
        <v>1774</v>
      </c>
      <c r="V764" s="67">
        <f>VLOOKUP(B764,'114+320'!$B$15:$AB$785,15,FALSE)</f>
        <v>-1226</v>
      </c>
      <c r="W764" s="66">
        <f>'114+320'!S765</f>
        <v>24</v>
      </c>
      <c r="X764" s="65">
        <f t="shared" si="168"/>
        <v>1106</v>
      </c>
      <c r="Y764" s="64">
        <f t="shared" si="169"/>
        <v>-24</v>
      </c>
      <c r="Z764" s="63">
        <f t="shared" si="160"/>
        <v>0</v>
      </c>
      <c r="AA764" s="62">
        <f t="shared" si="170"/>
        <v>6.069</v>
      </c>
      <c r="AB764" s="62">
        <f t="shared" si="171"/>
        <v>3.4239999999999999</v>
      </c>
    </row>
    <row r="765" spans="2:28">
      <c r="B765" s="106">
        <f>'114+320'!B766</f>
        <v>45812</v>
      </c>
      <c r="C765" s="75">
        <f t="shared" si="159"/>
        <v>3</v>
      </c>
      <c r="D765" s="74">
        <f t="shared" si="161"/>
        <v>842</v>
      </c>
      <c r="E765" s="73">
        <f>VLOOKUP(B765,'114+320'!B766:AB1152,3,FALSE)</f>
        <v>2730</v>
      </c>
      <c r="F765" s="69">
        <f t="shared" si="162"/>
        <v>3572</v>
      </c>
      <c r="G765" s="72">
        <f>VLOOKUP(B765,'114+320'!$B$15:$AB$785,20,FALSE)</f>
        <v>4835</v>
      </c>
      <c r="H765" s="72">
        <f>VLOOKUP(B765,'114+320'!$B$15:$AB$785,4,FALSE)</f>
        <v>1977</v>
      </c>
      <c r="I765" s="68">
        <f t="shared" si="163"/>
        <v>1595</v>
      </c>
      <c r="J765" s="71">
        <f>VLOOKUP(B765,'114+320'!$B$15:$AB$785,13,FALSE)</f>
        <v>-1405</v>
      </c>
      <c r="K765" s="66">
        <f>'114+320'!Q766</f>
        <v>9</v>
      </c>
      <c r="L765" s="65">
        <f t="shared" si="164"/>
        <v>1225</v>
      </c>
      <c r="M765" s="70">
        <f>VLOOKUP(B765,'114+320'!$B$14:$AB$785,21,FALSE)</f>
        <v>4640</v>
      </c>
      <c r="N765" s="69">
        <f>VLOOKUP(B765,'114+320'!$B$15:$AB$785,5,FALSE)</f>
        <v>2172</v>
      </c>
      <c r="O765" s="68">
        <f t="shared" si="165"/>
        <v>1400</v>
      </c>
      <c r="P765" s="71">
        <f>VLOOKUP(B765,'114+320'!$B$15:$AB$785,14,FALSE)</f>
        <v>-1600</v>
      </c>
      <c r="Q765" s="66">
        <f>'114+320'!R766</f>
        <v>12</v>
      </c>
      <c r="R765" s="65">
        <f t="shared" si="166"/>
        <v>1420</v>
      </c>
      <c r="S765" s="70">
        <f>VLOOKUP(B765,'114+320'!$B$14:$AB$785,22,FALSE)</f>
        <v>4938</v>
      </c>
      <c r="T765" s="69">
        <f>VLOOKUP(B765,'114+320'!$B$15:$AB$785,6,FALSE)</f>
        <v>1814</v>
      </c>
      <c r="U765" s="68">
        <f t="shared" si="167"/>
        <v>1758</v>
      </c>
      <c r="V765" s="67">
        <f>VLOOKUP(B765,'114+320'!$B$15:$AB$785,15,FALSE)</f>
        <v>-1242</v>
      </c>
      <c r="W765" s="66">
        <f>'114+320'!S766</f>
        <v>16</v>
      </c>
      <c r="X765" s="65">
        <f t="shared" si="168"/>
        <v>1122</v>
      </c>
      <c r="Y765" s="64">
        <f t="shared" si="169"/>
        <v>-16</v>
      </c>
      <c r="Z765" s="63">
        <f t="shared" si="160"/>
        <v>0</v>
      </c>
      <c r="AA765" s="62">
        <f t="shared" si="170"/>
        <v>6.069</v>
      </c>
      <c r="AB765" s="62">
        <f t="shared" si="171"/>
        <v>3.4</v>
      </c>
    </row>
    <row r="766" spans="2:28">
      <c r="B766" s="106">
        <f>'114+320'!B767</f>
        <v>45816</v>
      </c>
      <c r="C766" s="75">
        <f t="shared" si="159"/>
        <v>4</v>
      </c>
      <c r="D766" s="74">
        <f t="shared" si="161"/>
        <v>842</v>
      </c>
      <c r="E766" s="73">
        <f>VLOOKUP(B766,'114+320'!B767:AB1153,3,FALSE)</f>
        <v>2732</v>
      </c>
      <c r="F766" s="69">
        <f t="shared" si="162"/>
        <v>3574</v>
      </c>
      <c r="G766" s="72">
        <f>VLOOKUP(B766,'114+320'!$B$15:$AB$785,20,FALSE)</f>
        <v>4819</v>
      </c>
      <c r="H766" s="72">
        <f>VLOOKUP(B766,'114+320'!$B$15:$AB$785,4,FALSE)</f>
        <v>1995</v>
      </c>
      <c r="I766" s="68">
        <f t="shared" si="163"/>
        <v>1579</v>
      </c>
      <c r="J766" s="71">
        <f>VLOOKUP(B766,'114+320'!$B$15:$AB$785,13,FALSE)</f>
        <v>-1421</v>
      </c>
      <c r="K766" s="66">
        <f>'114+320'!Q767</f>
        <v>16</v>
      </c>
      <c r="L766" s="65">
        <f t="shared" si="164"/>
        <v>1241</v>
      </c>
      <c r="M766" s="70">
        <f>VLOOKUP(B766,'114+320'!$B$14:$AB$785,21,FALSE)</f>
        <v>4621</v>
      </c>
      <c r="N766" s="69">
        <f>VLOOKUP(B766,'114+320'!$B$15:$AB$785,5,FALSE)</f>
        <v>2193</v>
      </c>
      <c r="O766" s="68">
        <f t="shared" si="165"/>
        <v>1381</v>
      </c>
      <c r="P766" s="71">
        <f>VLOOKUP(B766,'114+320'!$B$15:$AB$785,14,FALSE)</f>
        <v>-1619</v>
      </c>
      <c r="Q766" s="66">
        <f>'114+320'!R767</f>
        <v>19</v>
      </c>
      <c r="R766" s="65">
        <f t="shared" si="166"/>
        <v>1439</v>
      </c>
      <c r="S766" s="70">
        <f>VLOOKUP(B766,'114+320'!$B$14:$AB$785,22,FALSE)</f>
        <v>4916</v>
      </c>
      <c r="T766" s="69">
        <f>VLOOKUP(B766,'114+320'!$B$15:$AB$785,6,FALSE)</f>
        <v>1838</v>
      </c>
      <c r="U766" s="68">
        <f t="shared" si="167"/>
        <v>1736</v>
      </c>
      <c r="V766" s="67">
        <f>VLOOKUP(B766,'114+320'!$B$15:$AB$785,15,FALSE)</f>
        <v>-1264</v>
      </c>
      <c r="W766" s="66">
        <f>'114+320'!S767</f>
        <v>22</v>
      </c>
      <c r="X766" s="65">
        <f t="shared" si="168"/>
        <v>1144</v>
      </c>
      <c r="Y766" s="64">
        <f t="shared" si="169"/>
        <v>-22</v>
      </c>
      <c r="Z766" s="63">
        <f t="shared" si="160"/>
        <v>0</v>
      </c>
      <c r="AA766" s="62">
        <f t="shared" si="170"/>
        <v>6.069</v>
      </c>
      <c r="AB766" s="62">
        <f t="shared" si="171"/>
        <v>3.3620000000000001</v>
      </c>
    </row>
    <row r="767" spans="2:28">
      <c r="B767" s="106">
        <f>'114+320'!B768</f>
        <v>45823</v>
      </c>
      <c r="C767" s="75">
        <f t="shared" si="159"/>
        <v>7</v>
      </c>
      <c r="D767" s="74">
        <f t="shared" si="161"/>
        <v>842</v>
      </c>
      <c r="E767" s="73">
        <f>VLOOKUP(B767,'114+320'!B768:AB1154,3,FALSE)</f>
        <v>2734</v>
      </c>
      <c r="F767" s="69">
        <f t="shared" si="162"/>
        <v>3576</v>
      </c>
      <c r="G767" s="72">
        <f>VLOOKUP(B767,'114+320'!$B$15:$AB$785,20,FALSE)</f>
        <v>4789</v>
      </c>
      <c r="H767" s="72">
        <f>VLOOKUP(B767,'114+320'!$B$15:$AB$785,4,FALSE)</f>
        <v>2027</v>
      </c>
      <c r="I767" s="68">
        <f t="shared" si="163"/>
        <v>1549</v>
      </c>
      <c r="J767" s="71">
        <f>VLOOKUP(B767,'114+320'!$B$15:$AB$785,13,FALSE)</f>
        <v>-1451</v>
      </c>
      <c r="K767" s="66">
        <f>'114+320'!Q768</f>
        <v>30</v>
      </c>
      <c r="L767" s="65">
        <f t="shared" si="164"/>
        <v>1271</v>
      </c>
      <c r="M767" s="70">
        <f>VLOOKUP(B767,'114+320'!$B$14:$AB$785,21,FALSE)</f>
        <v>4598</v>
      </c>
      <c r="N767" s="69">
        <f>VLOOKUP(B767,'114+320'!$B$15:$AB$785,5,FALSE)</f>
        <v>2218</v>
      </c>
      <c r="O767" s="68">
        <f t="shared" si="165"/>
        <v>1358</v>
      </c>
      <c r="P767" s="71">
        <f>VLOOKUP(B767,'114+320'!$B$15:$AB$785,14,FALSE)</f>
        <v>-1642</v>
      </c>
      <c r="Q767" s="66">
        <f>'114+320'!R768</f>
        <v>23</v>
      </c>
      <c r="R767" s="65">
        <f t="shared" si="166"/>
        <v>1462</v>
      </c>
      <c r="S767" s="70">
        <f>VLOOKUP(B767,'114+320'!$B$14:$AB$785,22,FALSE)</f>
        <v>4890</v>
      </c>
      <c r="T767" s="69">
        <f>VLOOKUP(B767,'114+320'!$B$15:$AB$785,6,FALSE)</f>
        <v>1866</v>
      </c>
      <c r="U767" s="68">
        <f t="shared" si="167"/>
        <v>1710</v>
      </c>
      <c r="V767" s="67">
        <f>VLOOKUP(B767,'114+320'!$B$15:$AB$785,15,FALSE)</f>
        <v>-1290</v>
      </c>
      <c r="W767" s="66">
        <f>'114+320'!S768</f>
        <v>26</v>
      </c>
      <c r="X767" s="65">
        <f t="shared" si="168"/>
        <v>1170</v>
      </c>
      <c r="Y767" s="64">
        <f t="shared" si="169"/>
        <v>-26</v>
      </c>
      <c r="Z767" s="63">
        <f t="shared" si="160"/>
        <v>0</v>
      </c>
      <c r="AA767" s="62">
        <f t="shared" si="170"/>
        <v>6.069</v>
      </c>
      <c r="AB767" s="62">
        <f t="shared" si="171"/>
        <v>3.3159999999999998</v>
      </c>
    </row>
    <row r="768" spans="2:28">
      <c r="B768" s="106">
        <f>'114+320'!B769</f>
        <v>45830</v>
      </c>
      <c r="C768" s="75">
        <f t="shared" si="159"/>
        <v>7</v>
      </c>
      <c r="D768" s="74">
        <f t="shared" ref="D768:D781" si="172">D767</f>
        <v>842</v>
      </c>
      <c r="E768" s="73">
        <f>VLOOKUP(B768,'114+320'!B769:AB1155,3,FALSE)</f>
        <v>2736</v>
      </c>
      <c r="F768" s="69">
        <f t="shared" ref="F768:F781" si="173">D768+E768</f>
        <v>3578</v>
      </c>
      <c r="G768" s="72">
        <f>VLOOKUP(B768,'114+320'!$B$15:$AB$785,20,FALSE)</f>
        <v>4769</v>
      </c>
      <c r="H768" s="72">
        <f>VLOOKUP(B768,'114+320'!$B$15:$AB$785,4,FALSE)</f>
        <v>2049</v>
      </c>
      <c r="I768" s="68">
        <f t="shared" ref="I768:I781" si="174">F768-H768</f>
        <v>1529</v>
      </c>
      <c r="J768" s="71">
        <f>VLOOKUP(B768,'114+320'!$B$15:$AB$785,13,FALSE)</f>
        <v>-1471</v>
      </c>
      <c r="K768" s="66">
        <f>'114+320'!Q769</f>
        <v>20</v>
      </c>
      <c r="L768" s="65">
        <f t="shared" ref="L768:L781" si="175">+K768+L767</f>
        <v>1291</v>
      </c>
      <c r="M768" s="70">
        <f>VLOOKUP(B768,'114+320'!$B$14:$AB$785,21,FALSE)</f>
        <v>4578</v>
      </c>
      <c r="N768" s="69">
        <f>VLOOKUP(B768,'114+320'!$B$15:$AB$785,5,FALSE)</f>
        <v>2240</v>
      </c>
      <c r="O768" s="68">
        <f t="shared" ref="O768:O781" si="176">F768-N768</f>
        <v>1338</v>
      </c>
      <c r="P768" s="71">
        <f>VLOOKUP(B768,'114+320'!$B$15:$AB$785,14,FALSE)</f>
        <v>-1662</v>
      </c>
      <c r="Q768" s="66">
        <f>'114+320'!R769</f>
        <v>20</v>
      </c>
      <c r="R768" s="65">
        <f t="shared" ref="R768:R781" si="177">+Q768+R767</f>
        <v>1482</v>
      </c>
      <c r="S768" s="70">
        <f>VLOOKUP(B768,'114+320'!$B$14:$AB$785,22,FALSE)</f>
        <v>4868</v>
      </c>
      <c r="T768" s="69">
        <f>VLOOKUP(B768,'114+320'!$B$15:$AB$785,6,FALSE)</f>
        <v>1890</v>
      </c>
      <c r="U768" s="68">
        <f t="shared" ref="U768:U781" si="178">F768-T768</f>
        <v>1688</v>
      </c>
      <c r="V768" s="67">
        <f>VLOOKUP(B768,'114+320'!$B$15:$AB$785,15,FALSE)</f>
        <v>-1312</v>
      </c>
      <c r="W768" s="66">
        <f>'114+320'!S769</f>
        <v>22</v>
      </c>
      <c r="X768" s="65">
        <f t="shared" ref="X768:X781" si="179">+W768+X767</f>
        <v>1192</v>
      </c>
      <c r="Y768" s="64">
        <f t="shared" ref="Y768:Y781" si="180">S768-S767</f>
        <v>-22</v>
      </c>
      <c r="Z768" s="63">
        <f t="shared" si="160"/>
        <v>0</v>
      </c>
      <c r="AA768" s="62">
        <f t="shared" ref="AA768:AA781" si="181">AA767+Z768</f>
        <v>6.069</v>
      </c>
      <c r="AB768" s="62">
        <f t="shared" ref="AB768:AB781" si="182">(M768-$M$13-R768)/1000</f>
        <v>3.2759999999999998</v>
      </c>
    </row>
    <row r="769" spans="2:28">
      <c r="B769" s="106">
        <f>'114+320'!B770</f>
        <v>45837</v>
      </c>
      <c r="C769" s="75">
        <f t="shared" si="159"/>
        <v>7</v>
      </c>
      <c r="D769" s="74">
        <f t="shared" si="172"/>
        <v>842</v>
      </c>
      <c r="E769" s="73">
        <f>VLOOKUP(B769,'114+320'!B770:AB1156,3,FALSE)</f>
        <v>2738</v>
      </c>
      <c r="F769" s="69">
        <f t="shared" si="173"/>
        <v>3580</v>
      </c>
      <c r="G769" s="72">
        <f>VLOOKUP(B769,'114+320'!$B$15:$AB$785,20,FALSE)</f>
        <v>4753</v>
      </c>
      <c r="H769" s="72">
        <f>VLOOKUP(B769,'114+320'!$B$15:$AB$785,4,FALSE)</f>
        <v>2067</v>
      </c>
      <c r="I769" s="68">
        <f t="shared" si="174"/>
        <v>1513</v>
      </c>
      <c r="J769" s="71">
        <f>VLOOKUP(B769,'114+320'!$B$15:$AB$785,13,FALSE)</f>
        <v>-1487</v>
      </c>
      <c r="K769" s="66">
        <f>'114+320'!Q770</f>
        <v>16</v>
      </c>
      <c r="L769" s="65">
        <f t="shared" si="175"/>
        <v>1307</v>
      </c>
      <c r="M769" s="70">
        <f>VLOOKUP(B769,'114+320'!$B$14:$AB$785,21,FALSE)</f>
        <v>4559</v>
      </c>
      <c r="N769" s="69">
        <f>VLOOKUP(B769,'114+320'!$B$15:$AB$785,5,FALSE)</f>
        <v>2261</v>
      </c>
      <c r="O769" s="68">
        <f t="shared" si="176"/>
        <v>1319</v>
      </c>
      <c r="P769" s="71">
        <f>VLOOKUP(B769,'114+320'!$B$15:$AB$785,14,FALSE)</f>
        <v>-1681</v>
      </c>
      <c r="Q769" s="66">
        <f>'114+320'!R770</f>
        <v>19</v>
      </c>
      <c r="R769" s="65">
        <f t="shared" si="177"/>
        <v>1501</v>
      </c>
      <c r="S769" s="70">
        <f>VLOOKUP(B769,'114+320'!$B$14:$AB$785,22,FALSE)</f>
        <v>4848</v>
      </c>
      <c r="T769" s="69">
        <f>VLOOKUP(B769,'114+320'!$B$15:$AB$785,6,FALSE)</f>
        <v>1912</v>
      </c>
      <c r="U769" s="68">
        <f t="shared" si="178"/>
        <v>1668</v>
      </c>
      <c r="V769" s="67">
        <f>VLOOKUP(B769,'114+320'!$B$15:$AB$785,15,FALSE)</f>
        <v>-1332</v>
      </c>
      <c r="W769" s="66">
        <f>'114+320'!S770</f>
        <v>20</v>
      </c>
      <c r="X769" s="65">
        <f t="shared" si="179"/>
        <v>1212</v>
      </c>
      <c r="Y769" s="64">
        <f t="shared" si="180"/>
        <v>-20</v>
      </c>
      <c r="Z769" s="63">
        <f t="shared" si="160"/>
        <v>0</v>
      </c>
      <c r="AA769" s="62">
        <f t="shared" si="181"/>
        <v>6.069</v>
      </c>
      <c r="AB769" s="62">
        <f t="shared" si="182"/>
        <v>3.238</v>
      </c>
    </row>
    <row r="770" spans="2:28">
      <c r="B770" s="106">
        <f>'114+320'!B771</f>
        <v>45844</v>
      </c>
      <c r="C770" s="75">
        <f t="shared" si="159"/>
        <v>7</v>
      </c>
      <c r="D770" s="74">
        <f t="shared" si="172"/>
        <v>842</v>
      </c>
      <c r="E770" s="73">
        <f>VLOOKUP(B770,'114+320'!B771:AB1157,3,FALSE)</f>
        <v>2740</v>
      </c>
      <c r="F770" s="69">
        <f t="shared" si="173"/>
        <v>3582</v>
      </c>
      <c r="G770" s="72">
        <f>VLOOKUP(B770,'114+320'!$B$15:$AB$785,20,FALSE)</f>
        <v>4739</v>
      </c>
      <c r="H770" s="72">
        <f>VLOOKUP(B770,'114+320'!$B$15:$AB$785,4,FALSE)</f>
        <v>2083</v>
      </c>
      <c r="I770" s="68">
        <f t="shared" si="174"/>
        <v>1499</v>
      </c>
      <c r="J770" s="71">
        <f>VLOOKUP(B770,'114+320'!$B$15:$AB$785,13,FALSE)</f>
        <v>-1501</v>
      </c>
      <c r="K770" s="66">
        <f>'114+320'!Q771</f>
        <v>14</v>
      </c>
      <c r="L770" s="65">
        <f t="shared" si="175"/>
        <v>1321</v>
      </c>
      <c r="M770" s="70">
        <f>VLOOKUP(B770,'114+320'!$B$14:$AB$785,21,FALSE)</f>
        <v>4540</v>
      </c>
      <c r="N770" s="69">
        <f>VLOOKUP(B770,'114+320'!$B$15:$AB$785,5,FALSE)</f>
        <v>2282</v>
      </c>
      <c r="O770" s="68">
        <f t="shared" si="176"/>
        <v>1300</v>
      </c>
      <c r="P770" s="71">
        <f>VLOOKUP(B770,'114+320'!$B$15:$AB$785,14,FALSE)</f>
        <v>-1700</v>
      </c>
      <c r="Q770" s="66">
        <f>'114+320'!R771</f>
        <v>19</v>
      </c>
      <c r="R770" s="65">
        <f t="shared" si="177"/>
        <v>1520</v>
      </c>
      <c r="S770" s="70">
        <f>VLOOKUP(B770,'114+320'!$B$14:$AB$785,22,FALSE)</f>
        <v>4833</v>
      </c>
      <c r="T770" s="69">
        <f>VLOOKUP(B770,'114+320'!$B$15:$AB$785,6,FALSE)</f>
        <v>1929</v>
      </c>
      <c r="U770" s="68">
        <f t="shared" si="178"/>
        <v>1653</v>
      </c>
      <c r="V770" s="67">
        <f>VLOOKUP(B770,'114+320'!$B$15:$AB$785,15,FALSE)</f>
        <v>-1347</v>
      </c>
      <c r="W770" s="66">
        <f>'114+320'!S771</f>
        <v>15</v>
      </c>
      <c r="X770" s="65">
        <f t="shared" si="179"/>
        <v>1227</v>
      </c>
      <c r="Y770" s="64">
        <f t="shared" si="180"/>
        <v>-15</v>
      </c>
      <c r="Z770" s="63">
        <f t="shared" si="160"/>
        <v>0</v>
      </c>
      <c r="AA770" s="62">
        <f t="shared" si="181"/>
        <v>6.069</v>
      </c>
      <c r="AB770" s="62">
        <f t="shared" si="182"/>
        <v>3.2</v>
      </c>
    </row>
    <row r="771" spans="2:28">
      <c r="B771" s="106">
        <f>'114+320'!B772</f>
        <v>45851</v>
      </c>
      <c r="C771" s="75">
        <f t="shared" si="159"/>
        <v>7</v>
      </c>
      <c r="D771" s="74">
        <f t="shared" si="172"/>
        <v>842</v>
      </c>
      <c r="E771" s="73">
        <f>VLOOKUP(B771,'114+320'!B772:AB1158,3,FALSE)</f>
        <v>2742</v>
      </c>
      <c r="F771" s="69">
        <f t="shared" si="173"/>
        <v>3584</v>
      </c>
      <c r="G771" s="72">
        <f>VLOOKUP(B771,'114+320'!$B$15:$AB$785,20,FALSE)</f>
        <v>4725</v>
      </c>
      <c r="H771" s="72">
        <f>VLOOKUP(B771,'114+320'!$B$15:$AB$785,4,FALSE)</f>
        <v>2099</v>
      </c>
      <c r="I771" s="68">
        <f t="shared" si="174"/>
        <v>1485</v>
      </c>
      <c r="J771" s="71">
        <f>VLOOKUP(B771,'114+320'!$B$15:$AB$785,13,FALSE)</f>
        <v>-1515</v>
      </c>
      <c r="K771" s="66">
        <f>'114+320'!Q772</f>
        <v>14</v>
      </c>
      <c r="L771" s="65">
        <f t="shared" si="175"/>
        <v>1335</v>
      </c>
      <c r="M771" s="70">
        <f>VLOOKUP(B771,'114+320'!$B$14:$AB$785,21,FALSE)</f>
        <v>4523</v>
      </c>
      <c r="N771" s="69">
        <f>VLOOKUP(B771,'114+320'!$B$15:$AB$785,5,FALSE)</f>
        <v>2301</v>
      </c>
      <c r="O771" s="68">
        <f t="shared" si="176"/>
        <v>1283</v>
      </c>
      <c r="P771" s="71">
        <f>VLOOKUP(B771,'114+320'!$B$15:$AB$785,14,FALSE)</f>
        <v>-1717</v>
      </c>
      <c r="Q771" s="66">
        <f>'114+320'!R772</f>
        <v>17</v>
      </c>
      <c r="R771" s="65">
        <f t="shared" si="177"/>
        <v>1537</v>
      </c>
      <c r="S771" s="70">
        <f>VLOOKUP(B771,'114+320'!$B$14:$AB$785,22,FALSE)</f>
        <v>4820</v>
      </c>
      <c r="T771" s="69">
        <f>VLOOKUP(B771,'114+320'!$B$15:$AB$785,6,FALSE)</f>
        <v>1944</v>
      </c>
      <c r="U771" s="68">
        <f t="shared" si="178"/>
        <v>1640</v>
      </c>
      <c r="V771" s="67">
        <f>VLOOKUP(B771,'114+320'!$B$15:$AB$785,15,FALSE)</f>
        <v>-1360</v>
      </c>
      <c r="W771" s="66">
        <f>'114+320'!S772</f>
        <v>13</v>
      </c>
      <c r="X771" s="65">
        <f t="shared" si="179"/>
        <v>1240</v>
      </c>
      <c r="Y771" s="64">
        <f t="shared" si="180"/>
        <v>-13</v>
      </c>
      <c r="Z771" s="63">
        <f t="shared" si="160"/>
        <v>0</v>
      </c>
      <c r="AA771" s="62">
        <f t="shared" si="181"/>
        <v>6.069</v>
      </c>
      <c r="AB771" s="62">
        <f t="shared" si="182"/>
        <v>3.1659999999999999</v>
      </c>
    </row>
    <row r="772" spans="2:28">
      <c r="B772" s="106">
        <f>'114+320'!B773</f>
        <v>45858</v>
      </c>
      <c r="C772" s="75">
        <f t="shared" si="159"/>
        <v>7</v>
      </c>
      <c r="D772" s="74">
        <f t="shared" si="172"/>
        <v>842</v>
      </c>
      <c r="E772" s="73">
        <f>VLOOKUP(B772,'114+320'!B773:AB1159,3,FALSE)</f>
        <v>2744</v>
      </c>
      <c r="F772" s="69">
        <f t="shared" si="173"/>
        <v>3586</v>
      </c>
      <c r="G772" s="72">
        <f>VLOOKUP(B772,'114+320'!$B$15:$AB$785,20,FALSE)</f>
        <v>4711</v>
      </c>
      <c r="H772" s="72">
        <f>VLOOKUP(B772,'114+320'!$B$15:$AB$785,4,FALSE)</f>
        <v>2115</v>
      </c>
      <c r="I772" s="68">
        <f t="shared" si="174"/>
        <v>1471</v>
      </c>
      <c r="J772" s="71">
        <f>VLOOKUP(B772,'114+320'!$B$15:$AB$785,13,FALSE)</f>
        <v>-1529</v>
      </c>
      <c r="K772" s="66">
        <f>'114+320'!Q773</f>
        <v>14</v>
      </c>
      <c r="L772" s="65">
        <f t="shared" si="175"/>
        <v>1349</v>
      </c>
      <c r="M772" s="70">
        <f>VLOOKUP(B772,'114+320'!$B$14:$AB$785,21,FALSE)</f>
        <v>4509</v>
      </c>
      <c r="N772" s="69">
        <f>VLOOKUP(B772,'114+320'!$B$15:$AB$785,5,FALSE)</f>
        <v>2317</v>
      </c>
      <c r="O772" s="68">
        <f t="shared" si="176"/>
        <v>1269</v>
      </c>
      <c r="P772" s="71">
        <f>VLOOKUP(B772,'114+320'!$B$15:$AB$785,14,FALSE)</f>
        <v>-1731</v>
      </c>
      <c r="Q772" s="66">
        <f>'114+320'!R773</f>
        <v>14</v>
      </c>
      <c r="R772" s="65">
        <f t="shared" si="177"/>
        <v>1551</v>
      </c>
      <c r="S772" s="70">
        <f>VLOOKUP(B772,'114+320'!$B$14:$AB$785,22,FALSE)</f>
        <v>4808</v>
      </c>
      <c r="T772" s="69">
        <f>VLOOKUP(B772,'114+320'!$B$15:$AB$785,6,FALSE)</f>
        <v>1958</v>
      </c>
      <c r="U772" s="68">
        <f t="shared" si="178"/>
        <v>1628</v>
      </c>
      <c r="V772" s="67">
        <f>VLOOKUP(B772,'114+320'!$B$15:$AB$785,15,FALSE)</f>
        <v>-1372</v>
      </c>
      <c r="W772" s="66">
        <f>'114+320'!S773</f>
        <v>12</v>
      </c>
      <c r="X772" s="65">
        <f t="shared" si="179"/>
        <v>1252</v>
      </c>
      <c r="Y772" s="64">
        <f t="shared" si="180"/>
        <v>-12</v>
      </c>
      <c r="Z772" s="63">
        <f t="shared" si="160"/>
        <v>0</v>
      </c>
      <c r="AA772" s="62">
        <f t="shared" si="181"/>
        <v>6.069</v>
      </c>
      <c r="AB772" s="62">
        <f t="shared" si="182"/>
        <v>3.1379999999999999</v>
      </c>
    </row>
    <row r="773" spans="2:28">
      <c r="B773" s="106">
        <f>'114+320'!B774</f>
        <v>45865</v>
      </c>
      <c r="C773" s="75">
        <f t="shared" si="159"/>
        <v>7</v>
      </c>
      <c r="D773" s="74">
        <f t="shared" si="172"/>
        <v>842</v>
      </c>
      <c r="E773" s="73">
        <f>VLOOKUP(B773,'114+320'!B774:AB1160,3,FALSE)</f>
        <v>2746</v>
      </c>
      <c r="F773" s="69">
        <f t="shared" si="173"/>
        <v>3588</v>
      </c>
      <c r="G773" s="72">
        <f>VLOOKUP(B773,'114+320'!$B$15:$AB$785,20,FALSE)</f>
        <v>4699</v>
      </c>
      <c r="H773" s="72">
        <f>VLOOKUP(B773,'114+320'!$B$15:$AB$785,4,FALSE)</f>
        <v>2129</v>
      </c>
      <c r="I773" s="68">
        <f t="shared" si="174"/>
        <v>1459</v>
      </c>
      <c r="J773" s="71">
        <f>VLOOKUP(B773,'114+320'!$B$15:$AB$785,13,FALSE)</f>
        <v>-1541</v>
      </c>
      <c r="K773" s="66">
        <f>'114+320'!Q774</f>
        <v>12</v>
      </c>
      <c r="L773" s="65">
        <f t="shared" si="175"/>
        <v>1361</v>
      </c>
      <c r="M773" s="70">
        <f>VLOOKUP(B773,'114+320'!$B$14:$AB$785,21,FALSE)</f>
        <v>4474</v>
      </c>
      <c r="N773" s="69">
        <f>VLOOKUP(B773,'114+320'!$B$15:$AB$785,5,FALSE)</f>
        <v>2354</v>
      </c>
      <c r="O773" s="68">
        <f t="shared" si="176"/>
        <v>1234</v>
      </c>
      <c r="P773" s="71">
        <f>VLOOKUP(B773,'114+320'!$B$15:$AB$785,14,FALSE)</f>
        <v>-1766</v>
      </c>
      <c r="Q773" s="66">
        <f>'114+320'!R774</f>
        <v>35</v>
      </c>
      <c r="R773" s="65">
        <f t="shared" si="177"/>
        <v>1586</v>
      </c>
      <c r="S773" s="70">
        <f>VLOOKUP(B773,'114+320'!$B$14:$AB$785,22,FALSE)</f>
        <v>4798</v>
      </c>
      <c r="T773" s="69">
        <f>VLOOKUP(B773,'114+320'!$B$15:$AB$785,6,FALSE)</f>
        <v>1970</v>
      </c>
      <c r="U773" s="68">
        <f t="shared" si="178"/>
        <v>1618</v>
      </c>
      <c r="V773" s="67">
        <f>VLOOKUP(B773,'114+320'!$B$15:$AB$785,15,FALSE)</f>
        <v>-1382</v>
      </c>
      <c r="W773" s="66">
        <f>'114+320'!S774</f>
        <v>10</v>
      </c>
      <c r="X773" s="65">
        <f t="shared" si="179"/>
        <v>1262</v>
      </c>
      <c r="Y773" s="64">
        <f t="shared" si="180"/>
        <v>-10</v>
      </c>
      <c r="Z773" s="63">
        <f t="shared" si="160"/>
        <v>0</v>
      </c>
      <c r="AA773" s="62">
        <f t="shared" si="181"/>
        <v>6.069</v>
      </c>
      <c r="AB773" s="62">
        <f t="shared" si="182"/>
        <v>3.0680000000000001</v>
      </c>
    </row>
    <row r="774" spans="2:28">
      <c r="B774" s="106">
        <f>'114+320'!B775</f>
        <v>0</v>
      </c>
      <c r="C774" s="75">
        <f t="shared" si="159"/>
        <v>-45865</v>
      </c>
      <c r="D774" s="74">
        <f t="shared" si="172"/>
        <v>842</v>
      </c>
      <c r="E774" s="73" t="e">
        <f>VLOOKUP(B774,'114+320'!B775:AB1161,3,FALSE)</f>
        <v>#N/A</v>
      </c>
      <c r="F774" s="69" t="e">
        <f t="shared" si="173"/>
        <v>#N/A</v>
      </c>
      <c r="G774" s="72" t="e">
        <f>VLOOKUP(B774,'114+320'!$B$15:$AB$785,20,FALSE)</f>
        <v>#N/A</v>
      </c>
      <c r="H774" s="72" t="e">
        <f>VLOOKUP(B774,'114+320'!$B$15:$AB$785,4,FALSE)</f>
        <v>#N/A</v>
      </c>
      <c r="I774" s="68" t="e">
        <f t="shared" si="174"/>
        <v>#N/A</v>
      </c>
      <c r="J774" s="71" t="e">
        <f>VLOOKUP(B774,'114+320'!$B$15:$AB$785,13,FALSE)</f>
        <v>#N/A</v>
      </c>
      <c r="K774" s="66">
        <f>'114+320'!Q775</f>
        <v>0</v>
      </c>
      <c r="L774" s="65">
        <f t="shared" si="175"/>
        <v>1361</v>
      </c>
      <c r="M774" s="70" t="e">
        <f>VLOOKUP(B774,'114+320'!$B$14:$AB$785,21,FALSE)</f>
        <v>#N/A</v>
      </c>
      <c r="N774" s="69" t="e">
        <f>VLOOKUP(B774,'114+320'!$B$15:$AB$785,5,FALSE)</f>
        <v>#N/A</v>
      </c>
      <c r="O774" s="68" t="e">
        <f t="shared" si="176"/>
        <v>#N/A</v>
      </c>
      <c r="P774" s="71" t="e">
        <f>VLOOKUP(B774,'114+320'!$B$15:$AB$785,14,FALSE)</f>
        <v>#N/A</v>
      </c>
      <c r="Q774" s="66">
        <f>'114+320'!R775</f>
        <v>0</v>
      </c>
      <c r="R774" s="65">
        <f t="shared" si="177"/>
        <v>1586</v>
      </c>
      <c r="S774" s="70" t="e">
        <f>VLOOKUP(B774,'114+320'!$B$14:$AB$785,22,FALSE)</f>
        <v>#N/A</v>
      </c>
      <c r="T774" s="69" t="e">
        <f>VLOOKUP(B774,'114+320'!$B$15:$AB$785,6,FALSE)</f>
        <v>#N/A</v>
      </c>
      <c r="U774" s="68" t="e">
        <f t="shared" si="178"/>
        <v>#N/A</v>
      </c>
      <c r="V774" s="67" t="e">
        <f>VLOOKUP(B774,'114+320'!$B$15:$AB$785,15,FALSE)</f>
        <v>#N/A</v>
      </c>
      <c r="W774" s="66">
        <f>'114+320'!S775</f>
        <v>0</v>
      </c>
      <c r="X774" s="65">
        <f t="shared" si="179"/>
        <v>1262</v>
      </c>
      <c r="Y774" s="64" t="e">
        <f t="shared" si="180"/>
        <v>#N/A</v>
      </c>
      <c r="Z774" s="63" t="e">
        <f t="shared" si="160"/>
        <v>#N/A</v>
      </c>
      <c r="AA774" s="62" t="e">
        <f t="shared" si="181"/>
        <v>#N/A</v>
      </c>
      <c r="AB774" s="62" t="e">
        <f t="shared" si="182"/>
        <v>#N/A</v>
      </c>
    </row>
    <row r="775" spans="2:28">
      <c r="B775" s="106">
        <f>'114+320'!B776</f>
        <v>0</v>
      </c>
      <c r="C775" s="75">
        <f t="shared" si="159"/>
        <v>0</v>
      </c>
      <c r="D775" s="74">
        <f t="shared" si="172"/>
        <v>842</v>
      </c>
      <c r="E775" s="73" t="e">
        <f>VLOOKUP(B775,'114+320'!B776:AB1162,3,FALSE)</f>
        <v>#N/A</v>
      </c>
      <c r="F775" s="69" t="e">
        <f t="shared" si="173"/>
        <v>#N/A</v>
      </c>
      <c r="G775" s="72" t="e">
        <f>VLOOKUP(B775,'114+320'!$B$15:$AB$785,20,FALSE)</f>
        <v>#N/A</v>
      </c>
      <c r="H775" s="72" t="e">
        <f>VLOOKUP(B775,'114+320'!$B$15:$AB$785,4,FALSE)</f>
        <v>#N/A</v>
      </c>
      <c r="I775" s="68" t="e">
        <f t="shared" si="174"/>
        <v>#N/A</v>
      </c>
      <c r="J775" s="71" t="e">
        <f>VLOOKUP(B775,'114+320'!$B$15:$AB$785,13,FALSE)</f>
        <v>#N/A</v>
      </c>
      <c r="K775" s="66">
        <f>'114+320'!Q776</f>
        <v>0</v>
      </c>
      <c r="L775" s="65">
        <f t="shared" si="175"/>
        <v>1361</v>
      </c>
      <c r="M775" s="70" t="e">
        <f>VLOOKUP(B775,'114+320'!$B$14:$AB$785,21,FALSE)</f>
        <v>#N/A</v>
      </c>
      <c r="N775" s="69" t="e">
        <f>VLOOKUP(B775,'114+320'!$B$15:$AB$785,5,FALSE)</f>
        <v>#N/A</v>
      </c>
      <c r="O775" s="68" t="e">
        <f t="shared" si="176"/>
        <v>#N/A</v>
      </c>
      <c r="P775" s="71" t="e">
        <f>VLOOKUP(B775,'114+320'!$B$15:$AB$785,14,FALSE)</f>
        <v>#N/A</v>
      </c>
      <c r="Q775" s="66">
        <f>'114+320'!R776</f>
        <v>0</v>
      </c>
      <c r="R775" s="65">
        <f t="shared" si="177"/>
        <v>1586</v>
      </c>
      <c r="S775" s="70" t="e">
        <f>VLOOKUP(B775,'114+320'!$B$14:$AB$785,22,FALSE)</f>
        <v>#N/A</v>
      </c>
      <c r="T775" s="69" t="e">
        <f>VLOOKUP(B775,'114+320'!$B$15:$AB$785,6,FALSE)</f>
        <v>#N/A</v>
      </c>
      <c r="U775" s="68" t="e">
        <f t="shared" si="178"/>
        <v>#N/A</v>
      </c>
      <c r="V775" s="67" t="e">
        <f>VLOOKUP(B775,'114+320'!$B$15:$AB$785,15,FALSE)</f>
        <v>#N/A</v>
      </c>
      <c r="W775" s="66">
        <f>'114+320'!S776</f>
        <v>0</v>
      </c>
      <c r="X775" s="65">
        <f t="shared" si="179"/>
        <v>1262</v>
      </c>
      <c r="Y775" s="64" t="e">
        <f t="shared" si="180"/>
        <v>#N/A</v>
      </c>
      <c r="Z775" s="63" t="e">
        <f t="shared" si="160"/>
        <v>#N/A</v>
      </c>
      <c r="AA775" s="62" t="e">
        <f t="shared" si="181"/>
        <v>#N/A</v>
      </c>
      <c r="AB775" s="62" t="e">
        <f t="shared" si="182"/>
        <v>#N/A</v>
      </c>
    </row>
    <row r="776" spans="2:28">
      <c r="B776" s="106">
        <f>'114+320'!B777</f>
        <v>0</v>
      </c>
      <c r="C776" s="75">
        <f t="shared" si="159"/>
        <v>0</v>
      </c>
      <c r="D776" s="74">
        <f t="shared" si="172"/>
        <v>842</v>
      </c>
      <c r="E776" s="73" t="e">
        <f>VLOOKUP(B776,'114+320'!B777:AB1163,3,FALSE)</f>
        <v>#N/A</v>
      </c>
      <c r="F776" s="69" t="e">
        <f t="shared" si="173"/>
        <v>#N/A</v>
      </c>
      <c r="G776" s="72" t="e">
        <f>VLOOKUP(B776,'114+320'!$B$15:$AB$785,20,FALSE)</f>
        <v>#N/A</v>
      </c>
      <c r="H776" s="72" t="e">
        <f>VLOOKUP(B776,'114+320'!$B$15:$AB$785,4,FALSE)</f>
        <v>#N/A</v>
      </c>
      <c r="I776" s="68" t="e">
        <f t="shared" si="174"/>
        <v>#N/A</v>
      </c>
      <c r="J776" s="71" t="e">
        <f>VLOOKUP(B776,'114+320'!$B$15:$AB$785,13,FALSE)</f>
        <v>#N/A</v>
      </c>
      <c r="K776" s="66">
        <f>'114+320'!Q777</f>
        <v>0</v>
      </c>
      <c r="L776" s="65">
        <f t="shared" si="175"/>
        <v>1361</v>
      </c>
      <c r="M776" s="70" t="e">
        <f>VLOOKUP(B776,'114+320'!$B$14:$AB$785,21,FALSE)</f>
        <v>#N/A</v>
      </c>
      <c r="N776" s="69" t="e">
        <f>VLOOKUP(B776,'114+320'!$B$15:$AB$785,5,FALSE)</f>
        <v>#N/A</v>
      </c>
      <c r="O776" s="68" t="e">
        <f t="shared" si="176"/>
        <v>#N/A</v>
      </c>
      <c r="P776" s="71" t="e">
        <f>VLOOKUP(B776,'114+320'!$B$15:$AB$785,14,FALSE)</f>
        <v>#N/A</v>
      </c>
      <c r="Q776" s="66">
        <f>'114+320'!R777</f>
        <v>0</v>
      </c>
      <c r="R776" s="65">
        <f t="shared" si="177"/>
        <v>1586</v>
      </c>
      <c r="S776" s="70" t="e">
        <f>VLOOKUP(B776,'114+320'!$B$14:$AB$785,22,FALSE)</f>
        <v>#N/A</v>
      </c>
      <c r="T776" s="69" t="e">
        <f>VLOOKUP(B776,'114+320'!$B$15:$AB$785,6,FALSE)</f>
        <v>#N/A</v>
      </c>
      <c r="U776" s="68" t="e">
        <f t="shared" si="178"/>
        <v>#N/A</v>
      </c>
      <c r="V776" s="67" t="e">
        <f>VLOOKUP(B776,'114+320'!$B$15:$AB$785,15,FALSE)</f>
        <v>#N/A</v>
      </c>
      <c r="W776" s="66">
        <f>'114+320'!S777</f>
        <v>0</v>
      </c>
      <c r="X776" s="65">
        <f t="shared" si="179"/>
        <v>1262</v>
      </c>
      <c r="Y776" s="64" t="e">
        <f t="shared" si="180"/>
        <v>#N/A</v>
      </c>
      <c r="Z776" s="63" t="e">
        <f t="shared" si="160"/>
        <v>#N/A</v>
      </c>
      <c r="AA776" s="62" t="e">
        <f t="shared" si="181"/>
        <v>#N/A</v>
      </c>
      <c r="AB776" s="62" t="e">
        <f t="shared" si="182"/>
        <v>#N/A</v>
      </c>
    </row>
    <row r="777" spans="2:28">
      <c r="B777" s="106">
        <f>'114+320'!B778</f>
        <v>0</v>
      </c>
      <c r="C777" s="75">
        <f t="shared" si="159"/>
        <v>0</v>
      </c>
      <c r="D777" s="74">
        <f t="shared" si="172"/>
        <v>842</v>
      </c>
      <c r="E777" s="73" t="e">
        <f>VLOOKUP(B777,'114+320'!B778:AB1164,3,FALSE)</f>
        <v>#N/A</v>
      </c>
      <c r="F777" s="69" t="e">
        <f t="shared" si="173"/>
        <v>#N/A</v>
      </c>
      <c r="G777" s="72" t="e">
        <f>VLOOKUP(B777,'114+320'!$B$15:$AB$785,20,FALSE)</f>
        <v>#N/A</v>
      </c>
      <c r="H777" s="72" t="e">
        <f>VLOOKUP(B777,'114+320'!$B$15:$AB$785,4,FALSE)</f>
        <v>#N/A</v>
      </c>
      <c r="I777" s="68" t="e">
        <f t="shared" si="174"/>
        <v>#N/A</v>
      </c>
      <c r="J777" s="71" t="e">
        <f>VLOOKUP(B777,'114+320'!$B$15:$AB$785,13,FALSE)</f>
        <v>#N/A</v>
      </c>
      <c r="K777" s="66">
        <f>'114+320'!Q778</f>
        <v>0</v>
      </c>
      <c r="L777" s="65">
        <f t="shared" si="175"/>
        <v>1361</v>
      </c>
      <c r="M777" s="70" t="e">
        <f>VLOOKUP(B777,'114+320'!$B$14:$AB$785,21,FALSE)</f>
        <v>#N/A</v>
      </c>
      <c r="N777" s="69" t="e">
        <f>VLOOKUP(B777,'114+320'!$B$15:$AB$785,5,FALSE)</f>
        <v>#N/A</v>
      </c>
      <c r="O777" s="68" t="e">
        <f t="shared" si="176"/>
        <v>#N/A</v>
      </c>
      <c r="P777" s="71" t="e">
        <f>VLOOKUP(B777,'114+320'!$B$15:$AB$785,14,FALSE)</f>
        <v>#N/A</v>
      </c>
      <c r="Q777" s="66">
        <f>'114+320'!R778</f>
        <v>0</v>
      </c>
      <c r="R777" s="65">
        <f t="shared" si="177"/>
        <v>1586</v>
      </c>
      <c r="S777" s="70" t="e">
        <f>VLOOKUP(B777,'114+320'!$B$14:$AB$785,22,FALSE)</f>
        <v>#N/A</v>
      </c>
      <c r="T777" s="69" t="e">
        <f>VLOOKUP(B777,'114+320'!$B$15:$AB$785,6,FALSE)</f>
        <v>#N/A</v>
      </c>
      <c r="U777" s="68" t="e">
        <f t="shared" si="178"/>
        <v>#N/A</v>
      </c>
      <c r="V777" s="67" t="e">
        <f>VLOOKUP(B777,'114+320'!$B$15:$AB$785,15,FALSE)</f>
        <v>#N/A</v>
      </c>
      <c r="W777" s="66">
        <f>'114+320'!S778</f>
        <v>0</v>
      </c>
      <c r="X777" s="65">
        <f t="shared" si="179"/>
        <v>1262</v>
      </c>
      <c r="Y777" s="64" t="e">
        <f t="shared" si="180"/>
        <v>#N/A</v>
      </c>
      <c r="Z777" s="63" t="e">
        <f t="shared" si="160"/>
        <v>#N/A</v>
      </c>
      <c r="AA777" s="62" t="e">
        <f t="shared" si="181"/>
        <v>#N/A</v>
      </c>
      <c r="AB777" s="62" t="e">
        <f t="shared" si="182"/>
        <v>#N/A</v>
      </c>
    </row>
    <row r="778" spans="2:28">
      <c r="B778" s="106">
        <f>'114+320'!B779</f>
        <v>0</v>
      </c>
      <c r="C778" s="75">
        <f t="shared" si="159"/>
        <v>0</v>
      </c>
      <c r="D778" s="74">
        <f t="shared" si="172"/>
        <v>842</v>
      </c>
      <c r="E778" s="73" t="e">
        <f>VLOOKUP(B778,'114+320'!B779:AB1165,3,FALSE)</f>
        <v>#N/A</v>
      </c>
      <c r="F778" s="69" t="e">
        <f t="shared" si="173"/>
        <v>#N/A</v>
      </c>
      <c r="G778" s="72" t="e">
        <f>VLOOKUP(B778,'114+320'!$B$15:$AB$785,20,FALSE)</f>
        <v>#N/A</v>
      </c>
      <c r="H778" s="72" t="e">
        <f>VLOOKUP(B778,'114+320'!$B$15:$AB$785,4,FALSE)</f>
        <v>#N/A</v>
      </c>
      <c r="I778" s="68" t="e">
        <f t="shared" si="174"/>
        <v>#N/A</v>
      </c>
      <c r="J778" s="71" t="e">
        <f>VLOOKUP(B778,'114+320'!$B$15:$AB$785,13,FALSE)</f>
        <v>#N/A</v>
      </c>
      <c r="K778" s="66">
        <f>'114+320'!Q779</f>
        <v>0</v>
      </c>
      <c r="L778" s="65">
        <f t="shared" si="175"/>
        <v>1361</v>
      </c>
      <c r="M778" s="70" t="e">
        <f>VLOOKUP(B778,'114+320'!$B$14:$AB$785,21,FALSE)</f>
        <v>#N/A</v>
      </c>
      <c r="N778" s="69" t="e">
        <f>VLOOKUP(B778,'114+320'!$B$15:$AB$785,5,FALSE)</f>
        <v>#N/A</v>
      </c>
      <c r="O778" s="68" t="e">
        <f t="shared" si="176"/>
        <v>#N/A</v>
      </c>
      <c r="P778" s="71" t="e">
        <f>VLOOKUP(B778,'114+320'!$B$15:$AB$785,14,FALSE)</f>
        <v>#N/A</v>
      </c>
      <c r="Q778" s="66">
        <f>'114+320'!R779</f>
        <v>0</v>
      </c>
      <c r="R778" s="65">
        <f t="shared" si="177"/>
        <v>1586</v>
      </c>
      <c r="S778" s="70" t="e">
        <f>VLOOKUP(B778,'114+320'!$B$14:$AB$785,22,FALSE)</f>
        <v>#N/A</v>
      </c>
      <c r="T778" s="69" t="e">
        <f>VLOOKUP(B778,'114+320'!$B$15:$AB$785,6,FALSE)</f>
        <v>#N/A</v>
      </c>
      <c r="U778" s="68" t="e">
        <f t="shared" si="178"/>
        <v>#N/A</v>
      </c>
      <c r="V778" s="67" t="e">
        <f>VLOOKUP(B778,'114+320'!$B$15:$AB$785,15,FALSE)</f>
        <v>#N/A</v>
      </c>
      <c r="W778" s="66">
        <f>'114+320'!S779</f>
        <v>0</v>
      </c>
      <c r="X778" s="65">
        <f t="shared" si="179"/>
        <v>1262</v>
      </c>
      <c r="Y778" s="64" t="e">
        <f t="shared" si="180"/>
        <v>#N/A</v>
      </c>
      <c r="Z778" s="63" t="e">
        <f t="shared" si="160"/>
        <v>#N/A</v>
      </c>
      <c r="AA778" s="62" t="e">
        <f t="shared" si="181"/>
        <v>#N/A</v>
      </c>
      <c r="AB778" s="62" t="e">
        <f t="shared" si="182"/>
        <v>#N/A</v>
      </c>
    </row>
    <row r="779" spans="2:28">
      <c r="B779" s="106">
        <f>'114+320'!B780</f>
        <v>0</v>
      </c>
      <c r="C779" s="75">
        <f t="shared" si="159"/>
        <v>0</v>
      </c>
      <c r="D779" s="74">
        <f t="shared" si="172"/>
        <v>842</v>
      </c>
      <c r="E779" s="73" t="e">
        <f>VLOOKUP(B779,'114+320'!B780:AB1166,3,FALSE)</f>
        <v>#N/A</v>
      </c>
      <c r="F779" s="69" t="e">
        <f t="shared" si="173"/>
        <v>#N/A</v>
      </c>
      <c r="G779" s="72" t="e">
        <f>VLOOKUP(B779,'114+320'!$B$15:$AB$785,20,FALSE)</f>
        <v>#N/A</v>
      </c>
      <c r="H779" s="72" t="e">
        <f>VLOOKUP(B779,'114+320'!$B$15:$AB$785,4,FALSE)</f>
        <v>#N/A</v>
      </c>
      <c r="I779" s="68" t="e">
        <f t="shared" si="174"/>
        <v>#N/A</v>
      </c>
      <c r="J779" s="71" t="e">
        <f>VLOOKUP(B779,'114+320'!$B$15:$AB$785,13,FALSE)</f>
        <v>#N/A</v>
      </c>
      <c r="K779" s="66">
        <f>'114+320'!Q780</f>
        <v>0</v>
      </c>
      <c r="L779" s="65">
        <f t="shared" si="175"/>
        <v>1361</v>
      </c>
      <c r="M779" s="70" t="e">
        <f>VLOOKUP(B779,'114+320'!$B$14:$AB$785,21,FALSE)</f>
        <v>#N/A</v>
      </c>
      <c r="N779" s="69" t="e">
        <f>VLOOKUP(B779,'114+320'!$B$15:$AB$785,5,FALSE)</f>
        <v>#N/A</v>
      </c>
      <c r="O779" s="68" t="e">
        <f t="shared" si="176"/>
        <v>#N/A</v>
      </c>
      <c r="P779" s="71" t="e">
        <f>VLOOKUP(B779,'114+320'!$B$15:$AB$785,14,FALSE)</f>
        <v>#N/A</v>
      </c>
      <c r="Q779" s="66">
        <f>'114+320'!R780</f>
        <v>0</v>
      </c>
      <c r="R779" s="65">
        <f t="shared" si="177"/>
        <v>1586</v>
      </c>
      <c r="S779" s="70" t="e">
        <f>VLOOKUP(B779,'114+320'!$B$14:$AB$785,22,FALSE)</f>
        <v>#N/A</v>
      </c>
      <c r="T779" s="69" t="e">
        <f>VLOOKUP(B779,'114+320'!$B$15:$AB$785,6,FALSE)</f>
        <v>#N/A</v>
      </c>
      <c r="U779" s="68" t="e">
        <f t="shared" si="178"/>
        <v>#N/A</v>
      </c>
      <c r="V779" s="67" t="e">
        <f>VLOOKUP(B779,'114+320'!$B$15:$AB$785,15,FALSE)</f>
        <v>#N/A</v>
      </c>
      <c r="W779" s="66">
        <f>'114+320'!S780</f>
        <v>0</v>
      </c>
      <c r="X779" s="65">
        <f t="shared" si="179"/>
        <v>1262</v>
      </c>
      <c r="Y779" s="64" t="e">
        <f t="shared" si="180"/>
        <v>#N/A</v>
      </c>
      <c r="Z779" s="63" t="e">
        <f t="shared" si="160"/>
        <v>#N/A</v>
      </c>
      <c r="AA779" s="62" t="e">
        <f t="shared" si="181"/>
        <v>#N/A</v>
      </c>
      <c r="AB779" s="62" t="e">
        <f t="shared" si="182"/>
        <v>#N/A</v>
      </c>
    </row>
    <row r="780" spans="2:28">
      <c r="B780" s="106">
        <f>'114+320'!B781</f>
        <v>0</v>
      </c>
      <c r="C780" s="75">
        <f t="shared" si="159"/>
        <v>0</v>
      </c>
      <c r="D780" s="74">
        <f t="shared" si="172"/>
        <v>842</v>
      </c>
      <c r="E780" s="73" t="e">
        <f>VLOOKUP(B780,'114+320'!B781:AB1167,3,FALSE)</f>
        <v>#N/A</v>
      </c>
      <c r="F780" s="69" t="e">
        <f t="shared" si="173"/>
        <v>#N/A</v>
      </c>
      <c r="G780" s="72" t="e">
        <f>VLOOKUP(B780,'114+320'!$B$15:$AB$785,20,FALSE)</f>
        <v>#N/A</v>
      </c>
      <c r="H780" s="72" t="e">
        <f>VLOOKUP(B780,'114+320'!$B$15:$AB$785,4,FALSE)</f>
        <v>#N/A</v>
      </c>
      <c r="I780" s="68" t="e">
        <f t="shared" si="174"/>
        <v>#N/A</v>
      </c>
      <c r="J780" s="71" t="e">
        <f>VLOOKUP(B780,'114+320'!$B$15:$AB$785,13,FALSE)</f>
        <v>#N/A</v>
      </c>
      <c r="K780" s="66">
        <f>'114+320'!Q781</f>
        <v>0</v>
      </c>
      <c r="L780" s="65">
        <f t="shared" si="175"/>
        <v>1361</v>
      </c>
      <c r="M780" s="70" t="e">
        <f>VLOOKUP(B780,'114+320'!$B$14:$AB$785,21,FALSE)</f>
        <v>#N/A</v>
      </c>
      <c r="N780" s="69" t="e">
        <f>VLOOKUP(B780,'114+320'!$B$15:$AB$785,5,FALSE)</f>
        <v>#N/A</v>
      </c>
      <c r="O780" s="68" t="e">
        <f t="shared" si="176"/>
        <v>#N/A</v>
      </c>
      <c r="P780" s="71" t="e">
        <f>VLOOKUP(B780,'114+320'!$B$15:$AB$785,14,FALSE)</f>
        <v>#N/A</v>
      </c>
      <c r="Q780" s="66">
        <f>'114+320'!R781</f>
        <v>0</v>
      </c>
      <c r="R780" s="65">
        <f t="shared" si="177"/>
        <v>1586</v>
      </c>
      <c r="S780" s="70" t="e">
        <f>VLOOKUP(B780,'114+320'!$B$14:$AB$785,22,FALSE)</f>
        <v>#N/A</v>
      </c>
      <c r="T780" s="69" t="e">
        <f>VLOOKUP(B780,'114+320'!$B$15:$AB$785,6,FALSE)</f>
        <v>#N/A</v>
      </c>
      <c r="U780" s="68" t="e">
        <f t="shared" si="178"/>
        <v>#N/A</v>
      </c>
      <c r="V780" s="67" t="e">
        <f>VLOOKUP(B780,'114+320'!$B$15:$AB$785,15,FALSE)</f>
        <v>#N/A</v>
      </c>
      <c r="W780" s="66">
        <f>'114+320'!S781</f>
        <v>0</v>
      </c>
      <c r="X780" s="65">
        <f t="shared" si="179"/>
        <v>1262</v>
      </c>
      <c r="Y780" s="64" t="e">
        <f t="shared" si="180"/>
        <v>#N/A</v>
      </c>
      <c r="Z780" s="63" t="e">
        <f t="shared" si="160"/>
        <v>#N/A</v>
      </c>
      <c r="AA780" s="62" t="e">
        <f t="shared" si="181"/>
        <v>#N/A</v>
      </c>
      <c r="AB780" s="62" t="e">
        <f t="shared" si="182"/>
        <v>#N/A</v>
      </c>
    </row>
    <row r="781" spans="2:28">
      <c r="B781" s="106">
        <f>'114+320'!B782</f>
        <v>0</v>
      </c>
      <c r="C781" s="75">
        <f t="shared" si="159"/>
        <v>0</v>
      </c>
      <c r="D781" s="74">
        <f t="shared" si="172"/>
        <v>842</v>
      </c>
      <c r="E781" s="73" t="e">
        <f>VLOOKUP(B781,'114+320'!B782:AB1168,3,FALSE)</f>
        <v>#N/A</v>
      </c>
      <c r="F781" s="69" t="e">
        <f t="shared" si="173"/>
        <v>#N/A</v>
      </c>
      <c r="G781" s="72" t="e">
        <f>VLOOKUP(B781,'114+320'!$B$15:$AB$785,20,FALSE)</f>
        <v>#N/A</v>
      </c>
      <c r="H781" s="72" t="e">
        <f>VLOOKUP(B781,'114+320'!$B$15:$AB$785,4,FALSE)</f>
        <v>#N/A</v>
      </c>
      <c r="I781" s="68" t="e">
        <f t="shared" si="174"/>
        <v>#N/A</v>
      </c>
      <c r="J781" s="71" t="e">
        <f>VLOOKUP(B781,'114+320'!$B$15:$AB$785,13,FALSE)</f>
        <v>#N/A</v>
      </c>
      <c r="K781" s="66">
        <f>'114+320'!Q782</f>
        <v>0</v>
      </c>
      <c r="L781" s="65">
        <f t="shared" si="175"/>
        <v>1361</v>
      </c>
      <c r="M781" s="70" t="e">
        <f>VLOOKUP(B781,'114+320'!$B$14:$AB$785,21,FALSE)</f>
        <v>#N/A</v>
      </c>
      <c r="N781" s="69" t="e">
        <f>VLOOKUP(B781,'114+320'!$B$15:$AB$785,5,FALSE)</f>
        <v>#N/A</v>
      </c>
      <c r="O781" s="68" t="e">
        <f t="shared" si="176"/>
        <v>#N/A</v>
      </c>
      <c r="P781" s="71" t="e">
        <f>VLOOKUP(B781,'114+320'!$B$15:$AB$785,14,FALSE)</f>
        <v>#N/A</v>
      </c>
      <c r="Q781" s="66">
        <f>'114+320'!R782</f>
        <v>0</v>
      </c>
      <c r="R781" s="65">
        <f t="shared" si="177"/>
        <v>1586</v>
      </c>
      <c r="S781" s="70" t="e">
        <f>VLOOKUP(B781,'114+320'!$B$14:$AB$785,22,FALSE)</f>
        <v>#N/A</v>
      </c>
      <c r="T781" s="69" t="e">
        <f>VLOOKUP(B781,'114+320'!$B$15:$AB$785,6,FALSE)</f>
        <v>#N/A</v>
      </c>
      <c r="U781" s="68" t="e">
        <f t="shared" si="178"/>
        <v>#N/A</v>
      </c>
      <c r="V781" s="67" t="e">
        <f>VLOOKUP(B781,'114+320'!$B$15:$AB$785,15,FALSE)</f>
        <v>#N/A</v>
      </c>
      <c r="W781" s="66">
        <f>'114+320'!S782</f>
        <v>0</v>
      </c>
      <c r="X781" s="65">
        <f t="shared" si="179"/>
        <v>1262</v>
      </c>
      <c r="Y781" s="64" t="e">
        <f t="shared" si="180"/>
        <v>#N/A</v>
      </c>
      <c r="Z781" s="63" t="e">
        <f t="shared" si="160"/>
        <v>#N/A</v>
      </c>
      <c r="AA781" s="62" t="e">
        <f t="shared" si="181"/>
        <v>#N/A</v>
      </c>
      <c r="AB781" s="62" t="e">
        <f t="shared" si="182"/>
        <v>#N/A</v>
      </c>
    </row>
  </sheetData>
  <mergeCells count="23">
    <mergeCell ref="E11:E12"/>
    <mergeCell ref="B1:AB1"/>
    <mergeCell ref="B2:AB2"/>
    <mergeCell ref="B3:AB3"/>
    <mergeCell ref="B4:I4"/>
    <mergeCell ref="J4:S4"/>
    <mergeCell ref="T4:AB4"/>
    <mergeCell ref="F11:F12"/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B5:I5"/>
    <mergeCell ref="Z11:Z12"/>
    <mergeCell ref="B11:B12"/>
    <mergeCell ref="C11:C12"/>
    <mergeCell ref="D11:D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0E60-C93F-4BF4-9CDC-720E7CA5BF24}">
  <sheetPr>
    <tabColor rgb="FFFFFF00"/>
  </sheetPr>
  <dimension ref="A1:AA939"/>
  <sheetViews>
    <sheetView tabSelected="1" topLeftCell="A747" zoomScale="98" zoomScaleNormal="98" zoomScaleSheetLayoutView="85" workbookViewId="0">
      <selection activeCell="Q777" sqref="Q777"/>
    </sheetView>
  </sheetViews>
  <sheetFormatPr defaultColWidth="9.140625" defaultRowHeight="14.25"/>
  <cols>
    <col min="1" max="1" width="11.5703125" style="138" customWidth="1"/>
    <col min="2" max="2" width="6.85546875" style="136" customWidth="1"/>
    <col min="3" max="11" width="9" style="137" customWidth="1"/>
    <col min="12" max="12" width="9.28515625" style="136" customWidth="1"/>
    <col min="13" max="13" width="8.7109375" style="136" customWidth="1"/>
    <col min="14" max="14" width="8.7109375" style="135" customWidth="1"/>
    <col min="15" max="15" width="13" style="135" customWidth="1"/>
    <col min="16" max="18" width="9.140625" style="133"/>
    <col min="19" max="19" width="12.140625" style="133" customWidth="1"/>
    <col min="20" max="20" width="9.140625" style="133"/>
    <col min="21" max="21" width="0" style="133" hidden="1" customWidth="1"/>
    <col min="22" max="22" width="10.28515625" style="134" customWidth="1"/>
    <col min="23" max="16384" width="9.140625" style="133"/>
  </cols>
  <sheetData>
    <row r="1" spans="1:27" ht="17.25" customHeight="1">
      <c r="A1" s="253" t="s">
        <v>43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4"/>
    </row>
    <row r="2" spans="1:27" ht="17.25" customHeight="1">
      <c r="A2" s="253" t="s">
        <v>42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2"/>
    </row>
    <row r="3" spans="1:27" ht="29.25" customHeight="1">
      <c r="A3" s="25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0"/>
    </row>
    <row r="4" spans="1:27" ht="14.25" customHeight="1">
      <c r="A4" s="190" t="s">
        <v>41</v>
      </c>
      <c r="B4" s="191"/>
      <c r="C4" s="191"/>
      <c r="D4" s="191"/>
      <c r="E4" s="192"/>
      <c r="F4" s="240" t="s">
        <v>40</v>
      </c>
      <c r="G4" s="240"/>
      <c r="H4" s="240"/>
      <c r="I4" s="240"/>
      <c r="J4" s="241"/>
      <c r="K4" s="239" t="s">
        <v>39</v>
      </c>
      <c r="L4" s="240"/>
      <c r="M4" s="240"/>
      <c r="N4" s="240"/>
      <c r="O4" s="241"/>
      <c r="Q4" s="145"/>
    </row>
    <row r="5" spans="1:27" ht="57" customHeight="1">
      <c r="A5" s="196" t="s">
        <v>38</v>
      </c>
      <c r="B5" s="197"/>
      <c r="C5" s="197"/>
      <c r="D5" s="197"/>
      <c r="E5" s="198"/>
      <c r="F5" s="21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18"/>
      <c r="H5" s="218"/>
      <c r="I5" s="218"/>
      <c r="J5" s="219"/>
      <c r="K5" s="217" t="s">
        <v>37</v>
      </c>
      <c r="L5" s="218"/>
      <c r="M5" s="218"/>
      <c r="N5" s="218"/>
      <c r="O5" s="219"/>
      <c r="Q5" s="145"/>
    </row>
    <row r="6" spans="1:27" ht="24.75" customHeight="1">
      <c r="A6" s="199" t="s">
        <v>36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1"/>
      <c r="P6" s="150"/>
    </row>
    <row r="7" spans="1:27" ht="15.75">
      <c r="A7" s="48" t="s">
        <v>35</v>
      </c>
      <c r="B7" s="46">
        <f>'[4]BC.95+020'!C7</f>
        <v>0</v>
      </c>
      <c r="C7" s="46"/>
      <c r="D7" s="46"/>
      <c r="E7" s="46"/>
      <c r="F7" s="46"/>
      <c r="G7" s="46"/>
      <c r="H7" s="46"/>
      <c r="I7" s="46"/>
      <c r="J7" s="47"/>
      <c r="K7" s="47" t="s">
        <v>34</v>
      </c>
      <c r="L7" s="47"/>
      <c r="M7" s="47">
        <f>'[4]BC.95+020'!N7</f>
        <v>0</v>
      </c>
      <c r="N7" s="47"/>
      <c r="O7" s="159"/>
      <c r="P7" s="148"/>
      <c r="S7" s="149"/>
    </row>
    <row r="8" spans="1:27" ht="15.75">
      <c r="A8" s="42" t="s">
        <v>33</v>
      </c>
      <c r="B8" s="40" t="str">
        <f>'[4]BC.95+020'!C8</f>
        <v>năng</v>
      </c>
      <c r="C8" s="40"/>
      <c r="D8" s="40"/>
      <c r="E8" s="40"/>
      <c r="F8" s="40"/>
      <c r="G8" s="40"/>
      <c r="H8" s="40"/>
      <c r="I8" s="40"/>
      <c r="J8" s="41"/>
      <c r="K8" s="41" t="s">
        <v>31</v>
      </c>
      <c r="L8" s="41"/>
      <c r="M8" s="43">
        <f>'114+320'!M9</f>
        <v>842</v>
      </c>
      <c r="N8" s="41"/>
      <c r="O8" s="158"/>
      <c r="P8" s="148"/>
      <c r="S8" s="149"/>
    </row>
    <row r="9" spans="1:27" ht="15.75">
      <c r="A9" s="127" t="s">
        <v>30</v>
      </c>
      <c r="B9" s="125" t="str">
        <f>'114+320'!C10</f>
        <v>Km114+320</v>
      </c>
      <c r="C9" s="125"/>
      <c r="D9" s="125"/>
      <c r="E9" s="125"/>
      <c r="F9" s="125"/>
      <c r="G9" s="125"/>
      <c r="H9" s="125"/>
      <c r="I9" s="125"/>
      <c r="J9" s="126"/>
      <c r="K9" s="126" t="s">
        <v>28</v>
      </c>
      <c r="L9" s="126"/>
      <c r="M9" s="242">
        <f>'114+320'!M10</f>
        <v>45043</v>
      </c>
      <c r="N9" s="243"/>
      <c r="O9" s="157"/>
      <c r="P9" s="148"/>
      <c r="Q9" s="147"/>
      <c r="R9" s="146"/>
      <c r="S9" s="145"/>
      <c r="T9" s="145"/>
    </row>
    <row r="10" spans="1:27" ht="14.25" customHeight="1">
      <c r="A10" s="156"/>
      <c r="B10" s="154"/>
      <c r="C10" s="154"/>
      <c r="D10" s="154"/>
      <c r="E10" s="154"/>
      <c r="F10" s="154"/>
      <c r="G10" s="154"/>
      <c r="H10" s="154"/>
      <c r="I10" s="154"/>
      <c r="J10" s="155"/>
      <c r="K10" s="155"/>
      <c r="L10" s="155"/>
      <c r="M10" s="155"/>
      <c r="N10" s="155"/>
      <c r="O10" s="154"/>
      <c r="P10" s="153"/>
      <c r="Q10" s="153"/>
      <c r="R10" s="153"/>
      <c r="S10" s="153"/>
      <c r="T10" s="153"/>
      <c r="U10" s="152"/>
      <c r="V10" s="152"/>
      <c r="W10" s="152"/>
      <c r="X10" s="152"/>
      <c r="Y10" s="152"/>
      <c r="Z10" s="51"/>
      <c r="AA10" s="51"/>
    </row>
    <row r="11" spans="1:27" ht="26.45" customHeight="1">
      <c r="A11" s="252" t="s">
        <v>74</v>
      </c>
      <c r="B11" s="252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Q11" s="145"/>
    </row>
    <row r="12" spans="1:27" ht="28.9" customHeight="1">
      <c r="A12" s="245" t="s">
        <v>73</v>
      </c>
      <c r="B12" s="246" t="s">
        <v>72</v>
      </c>
      <c r="C12" s="247" t="s">
        <v>71</v>
      </c>
      <c r="D12" s="248" t="s">
        <v>55</v>
      </c>
      <c r="E12" s="250" t="s">
        <v>70</v>
      </c>
      <c r="F12" s="251" t="s">
        <v>11</v>
      </c>
      <c r="G12" s="251"/>
      <c r="H12" s="251" t="s">
        <v>69</v>
      </c>
      <c r="I12" s="251"/>
      <c r="J12" s="251" t="s">
        <v>9</v>
      </c>
      <c r="K12" s="251"/>
      <c r="L12" s="246" t="s">
        <v>68</v>
      </c>
      <c r="M12" s="246" t="s">
        <v>67</v>
      </c>
      <c r="N12" s="246" t="s">
        <v>66</v>
      </c>
      <c r="O12" s="244" t="s">
        <v>65</v>
      </c>
      <c r="Q12" s="145"/>
    </row>
    <row r="13" spans="1:27" ht="72.599999999999994" customHeight="1">
      <c r="A13" s="245"/>
      <c r="B13" s="246"/>
      <c r="C13" s="247"/>
      <c r="D13" s="249"/>
      <c r="E13" s="250"/>
      <c r="F13" s="151" t="s">
        <v>64</v>
      </c>
      <c r="G13" s="151" t="s">
        <v>63</v>
      </c>
      <c r="H13" s="151" t="s">
        <v>64</v>
      </c>
      <c r="I13" s="151" t="s">
        <v>63</v>
      </c>
      <c r="J13" s="151" t="s">
        <v>64</v>
      </c>
      <c r="K13" s="151" t="s">
        <v>63</v>
      </c>
      <c r="L13" s="246"/>
      <c r="M13" s="246"/>
      <c r="N13" s="246"/>
      <c r="O13" s="244"/>
      <c r="P13" s="150"/>
    </row>
    <row r="14" spans="1:27">
      <c r="A14" s="76">
        <f>'BC.114+320'!B13</f>
        <v>45043</v>
      </c>
      <c r="B14" s="140">
        <v>0</v>
      </c>
      <c r="C14" s="142">
        <f>'BC.114+320'!M13/1000</f>
        <v>-0.18</v>
      </c>
      <c r="D14" s="142">
        <f>'BC.114+320'!AA13</f>
        <v>0</v>
      </c>
      <c r="E14" s="143">
        <f>'BC.114+320'!AB13</f>
        <v>0</v>
      </c>
      <c r="F14" s="142">
        <f>VLOOKUP($A14,'BC.114+320'!$B$13:$X$489,8,0)/1000</f>
        <v>1.82</v>
      </c>
      <c r="G14" s="142">
        <f>VLOOKUP($A14,'BC.114+320'!$B$13:$X$489,9,0)/1000</f>
        <v>-0.18</v>
      </c>
      <c r="H14" s="142">
        <f>VLOOKUP($A14,'BC.114+320'!$B$13:$X$489,14,0)/1000</f>
        <v>1.82</v>
      </c>
      <c r="I14" s="142">
        <f>VLOOKUP($A14,'BC.114+320'!$B$13:$X$489,15,0)/1000</f>
        <v>-0.18</v>
      </c>
      <c r="J14" s="142">
        <f>VLOOKUP($A14,'BC.114+320'!$B$13:$X$489,20,0)/1000</f>
        <v>1.88</v>
      </c>
      <c r="K14" s="142">
        <f>VLOOKUP($A14,'BC.114+320'!$B$13:$X$489,21,0)/1000</f>
        <v>-0.12</v>
      </c>
      <c r="L14" s="140">
        <f t="shared" ref="L14:L77" si="0">(G14-$G$14)*1000</f>
        <v>0</v>
      </c>
      <c r="M14" s="140">
        <f t="shared" ref="M14:M77" si="1">(I14-$I$14)*1000</f>
        <v>0</v>
      </c>
      <c r="N14" s="140">
        <v>0</v>
      </c>
      <c r="O14" s="140"/>
      <c r="P14" s="148"/>
      <c r="S14" s="149"/>
    </row>
    <row r="15" spans="1:27">
      <c r="A15" s="76">
        <f>'BC.114+320'!B14</f>
        <v>45044</v>
      </c>
      <c r="B15" s="140">
        <v>1</v>
      </c>
      <c r="C15" s="142">
        <f>'BC.114+320'!M14/1000</f>
        <v>-0.18</v>
      </c>
      <c r="D15" s="142">
        <f>'BC.114+320'!AA14</f>
        <v>0</v>
      </c>
      <c r="E15" s="143">
        <f>'BC.114+320'!AB14</f>
        <v>0</v>
      </c>
      <c r="F15" s="142">
        <f>VLOOKUP($A15,'BC.114+320'!$B$13:$X$489,8,0)/1000</f>
        <v>1.82</v>
      </c>
      <c r="G15" s="142">
        <f>VLOOKUP($A15,'BC.114+320'!$B$13:$X$489,9,0)/1000</f>
        <v>-0.18</v>
      </c>
      <c r="H15" s="142">
        <f>VLOOKUP($A15,'BC.114+320'!$B$13:$X$489,14,0)/1000</f>
        <v>1.82</v>
      </c>
      <c r="I15" s="142">
        <f>VLOOKUP($A15,'BC.114+320'!$B$13:$X$489,15,0)/1000</f>
        <v>-0.18</v>
      </c>
      <c r="J15" s="142">
        <f>VLOOKUP($A15,'BC.114+320'!$B$13:$X$489,20,0)/1000</f>
        <v>1.88</v>
      </c>
      <c r="K15" s="142">
        <f>VLOOKUP($A15,'BC.114+320'!$B$13:$X$489,21,0)/1000</f>
        <v>-0.12</v>
      </c>
      <c r="L15" s="140">
        <f t="shared" si="0"/>
        <v>0</v>
      </c>
      <c r="M15" s="141">
        <f t="shared" si="1"/>
        <v>0</v>
      </c>
      <c r="N15" s="140">
        <f t="shared" ref="N15:N78" si="2">(K15-$K$14)*1000</f>
        <v>0</v>
      </c>
      <c r="O15" s="140"/>
      <c r="P15" s="148"/>
      <c r="S15" s="149"/>
    </row>
    <row r="16" spans="1:27">
      <c r="A16" s="76">
        <f>'BC.114+320'!B15</f>
        <v>45045</v>
      </c>
      <c r="B16" s="140">
        <f t="shared" ref="B16:B79" si="3">+B15+1</f>
        <v>2</v>
      </c>
      <c r="C16" s="142">
        <f>'BC.114+320'!M15/1000</f>
        <v>-0.18</v>
      </c>
      <c r="D16" s="142">
        <f>'BC.114+320'!AA15</f>
        <v>0</v>
      </c>
      <c r="E16" s="143">
        <f>'BC.114+320'!AB15</f>
        <v>0</v>
      </c>
      <c r="F16" s="142">
        <f>VLOOKUP($A16,'BC.114+320'!$B$13:$X$489,8,0)/1000</f>
        <v>1.82</v>
      </c>
      <c r="G16" s="142">
        <f>VLOOKUP($A16,'BC.114+320'!$B$13:$X$489,9,0)/1000</f>
        <v>-0.18</v>
      </c>
      <c r="H16" s="142">
        <f>VLOOKUP($A16,'BC.114+320'!$B$13:$X$489,14,0)/1000</f>
        <v>1.82</v>
      </c>
      <c r="I16" s="142">
        <f>VLOOKUP($A16,'BC.114+320'!$B$13:$X$489,15,0)/1000</f>
        <v>-0.18</v>
      </c>
      <c r="J16" s="142">
        <f>VLOOKUP($A16,'BC.114+320'!$B$13:$X$489,20,0)/1000</f>
        <v>1.88</v>
      </c>
      <c r="K16" s="142">
        <f>VLOOKUP($A16,'BC.114+320'!$B$13:$X$489,21,0)/1000</f>
        <v>-0.12</v>
      </c>
      <c r="L16" s="140">
        <f t="shared" si="0"/>
        <v>0</v>
      </c>
      <c r="M16" s="141">
        <f t="shared" si="1"/>
        <v>0</v>
      </c>
      <c r="N16" s="140">
        <f t="shared" si="2"/>
        <v>0</v>
      </c>
      <c r="O16" s="140"/>
      <c r="P16" s="148"/>
      <c r="Q16" s="147"/>
      <c r="R16" s="146"/>
      <c r="S16" s="145"/>
      <c r="T16" s="145"/>
    </row>
    <row r="17" spans="1:20">
      <c r="A17" s="76">
        <f>'BC.114+320'!B16</f>
        <v>45046</v>
      </c>
      <c r="B17" s="140">
        <f t="shared" si="3"/>
        <v>3</v>
      </c>
      <c r="C17" s="142">
        <f>'BC.114+320'!M16/1000</f>
        <v>-0.18</v>
      </c>
      <c r="D17" s="142">
        <f>'BC.114+320'!AA16</f>
        <v>0</v>
      </c>
      <c r="E17" s="143">
        <f>'BC.114+320'!AB16</f>
        <v>0</v>
      </c>
      <c r="F17" s="142">
        <f>VLOOKUP($A17,'BC.114+320'!$B$13:$X$489,8,0)/1000</f>
        <v>1.82</v>
      </c>
      <c r="G17" s="142">
        <f>VLOOKUP($A17,'BC.114+320'!$B$13:$X$489,9,0)/1000</f>
        <v>-0.18</v>
      </c>
      <c r="H17" s="142">
        <f>VLOOKUP($A17,'BC.114+320'!$B$13:$X$489,14,0)/1000</f>
        <v>1.82</v>
      </c>
      <c r="I17" s="142">
        <f>VLOOKUP($A17,'BC.114+320'!$B$13:$X$489,15,0)/1000</f>
        <v>-0.18</v>
      </c>
      <c r="J17" s="142">
        <f>VLOOKUP($A17,'BC.114+320'!$B$13:$X$489,20,0)/1000</f>
        <v>1.88</v>
      </c>
      <c r="K17" s="142">
        <f>VLOOKUP($A17,'BC.114+320'!$B$13:$X$489,21,0)/1000</f>
        <v>-0.12</v>
      </c>
      <c r="L17" s="140">
        <f t="shared" si="0"/>
        <v>0</v>
      </c>
      <c r="M17" s="141">
        <f t="shared" si="1"/>
        <v>0</v>
      </c>
      <c r="N17" s="140">
        <f t="shared" si="2"/>
        <v>0</v>
      </c>
      <c r="O17" s="140"/>
      <c r="P17" s="148"/>
      <c r="Q17" s="147"/>
      <c r="R17" s="146"/>
      <c r="S17" s="145"/>
      <c r="T17" s="145"/>
    </row>
    <row r="18" spans="1:20">
      <c r="A18" s="76">
        <f>'BC.114+320'!B17</f>
        <v>45047</v>
      </c>
      <c r="B18" s="140">
        <f t="shared" si="3"/>
        <v>4</v>
      </c>
      <c r="C18" s="142">
        <f>'BC.114+320'!M17/1000</f>
        <v>-0.18</v>
      </c>
      <c r="D18" s="142">
        <f>'BC.114+320'!AA17</f>
        <v>0</v>
      </c>
      <c r="E18" s="143">
        <f>'BC.114+320'!AB17</f>
        <v>0</v>
      </c>
      <c r="F18" s="142">
        <f>VLOOKUP($A18,'BC.114+320'!$B$13:$X$489,8,0)/1000</f>
        <v>1.82</v>
      </c>
      <c r="G18" s="142">
        <f>VLOOKUP($A18,'BC.114+320'!$B$13:$X$489,9,0)/1000</f>
        <v>-0.18</v>
      </c>
      <c r="H18" s="142">
        <f>VLOOKUP($A18,'BC.114+320'!$B$13:$X$489,14,0)/1000</f>
        <v>1.82</v>
      </c>
      <c r="I18" s="142">
        <f>VLOOKUP($A18,'BC.114+320'!$B$13:$X$489,15,0)/1000</f>
        <v>-0.18</v>
      </c>
      <c r="J18" s="142">
        <f>VLOOKUP($A18,'BC.114+320'!$B$13:$X$489,20,0)/1000</f>
        <v>1.88</v>
      </c>
      <c r="K18" s="142">
        <f>VLOOKUP($A18,'BC.114+320'!$B$13:$X$489,21,0)/1000</f>
        <v>-0.12</v>
      </c>
      <c r="L18" s="140">
        <f t="shared" si="0"/>
        <v>0</v>
      </c>
      <c r="M18" s="141">
        <f t="shared" si="1"/>
        <v>0</v>
      </c>
      <c r="N18" s="140">
        <f t="shared" si="2"/>
        <v>0</v>
      </c>
      <c r="O18" s="140"/>
      <c r="P18" s="148"/>
      <c r="Q18" s="147"/>
      <c r="R18" s="146"/>
      <c r="S18" s="145"/>
      <c r="T18" s="145"/>
    </row>
    <row r="19" spans="1:20">
      <c r="A19" s="76">
        <f>'BC.114+320'!B18</f>
        <v>45048</v>
      </c>
      <c r="B19" s="140">
        <f t="shared" si="3"/>
        <v>5</v>
      </c>
      <c r="C19" s="142">
        <f>'BC.114+320'!M18/1000</f>
        <v>-0.18</v>
      </c>
      <c r="D19" s="142">
        <f>'BC.114+320'!AA18</f>
        <v>0</v>
      </c>
      <c r="E19" s="143">
        <f>'BC.114+320'!AB18</f>
        <v>0</v>
      </c>
      <c r="F19" s="142">
        <f>VLOOKUP($A19,'BC.114+320'!$B$13:$X$489,8,0)/1000</f>
        <v>1.82</v>
      </c>
      <c r="G19" s="142">
        <f>VLOOKUP($A19,'BC.114+320'!$B$13:$X$489,9,0)/1000</f>
        <v>-0.18</v>
      </c>
      <c r="H19" s="142">
        <f>VLOOKUP($A19,'BC.114+320'!$B$13:$X$489,14,0)/1000</f>
        <v>1.82</v>
      </c>
      <c r="I19" s="142">
        <f>VLOOKUP($A19,'BC.114+320'!$B$13:$X$489,15,0)/1000</f>
        <v>-0.18</v>
      </c>
      <c r="J19" s="142">
        <f>VLOOKUP($A19,'BC.114+320'!$B$13:$X$489,20,0)/1000</f>
        <v>1.88</v>
      </c>
      <c r="K19" s="142">
        <f>VLOOKUP($A19,'BC.114+320'!$B$13:$X$489,21,0)/1000</f>
        <v>-0.12</v>
      </c>
      <c r="L19" s="140">
        <f t="shared" si="0"/>
        <v>0</v>
      </c>
      <c r="M19" s="141">
        <f t="shared" si="1"/>
        <v>0</v>
      </c>
      <c r="N19" s="140">
        <f t="shared" si="2"/>
        <v>0</v>
      </c>
      <c r="O19" s="140"/>
      <c r="P19" s="148"/>
      <c r="Q19" s="147"/>
      <c r="R19" s="146"/>
      <c r="S19" s="145"/>
      <c r="T19" s="145"/>
    </row>
    <row r="20" spans="1:20">
      <c r="A20" s="76">
        <f>'BC.114+320'!B19</f>
        <v>45049</v>
      </c>
      <c r="B20" s="140">
        <f t="shared" si="3"/>
        <v>6</v>
      </c>
      <c r="C20" s="142">
        <f>'BC.114+320'!M19/1000</f>
        <v>-0.18</v>
      </c>
      <c r="D20" s="142">
        <f>'BC.114+320'!AA19</f>
        <v>0</v>
      </c>
      <c r="E20" s="143">
        <f>'BC.114+320'!AB19</f>
        <v>0</v>
      </c>
      <c r="F20" s="142">
        <f>VLOOKUP($A20,'BC.114+320'!$B$13:$X$489,8,0)/1000</f>
        <v>1.82</v>
      </c>
      <c r="G20" s="142">
        <f>VLOOKUP($A20,'BC.114+320'!$B$13:$X$489,9,0)/1000</f>
        <v>-0.18</v>
      </c>
      <c r="H20" s="142">
        <f>VLOOKUP($A20,'BC.114+320'!$B$13:$X$489,14,0)/1000</f>
        <v>1.82</v>
      </c>
      <c r="I20" s="142">
        <f>VLOOKUP($A20,'BC.114+320'!$B$13:$X$489,15,0)/1000</f>
        <v>-0.18</v>
      </c>
      <c r="J20" s="142">
        <f>VLOOKUP($A20,'BC.114+320'!$B$13:$X$489,20,0)/1000</f>
        <v>1.88</v>
      </c>
      <c r="K20" s="142">
        <f>VLOOKUP($A20,'BC.114+320'!$B$13:$X$489,21,0)/1000</f>
        <v>-0.12</v>
      </c>
      <c r="L20" s="140">
        <f t="shared" si="0"/>
        <v>0</v>
      </c>
      <c r="M20" s="141">
        <f t="shared" si="1"/>
        <v>0</v>
      </c>
      <c r="N20" s="140">
        <f t="shared" si="2"/>
        <v>0</v>
      </c>
      <c r="O20" s="140"/>
      <c r="P20" s="148"/>
      <c r="Q20" s="147"/>
      <c r="R20" s="146"/>
      <c r="S20" s="145"/>
      <c r="T20" s="145"/>
    </row>
    <row r="21" spans="1:20">
      <c r="A21" s="76">
        <f>'BC.114+320'!B20</f>
        <v>45050</v>
      </c>
      <c r="B21" s="140">
        <f t="shared" si="3"/>
        <v>7</v>
      </c>
      <c r="C21" s="142">
        <f>'BC.114+320'!M20/1000</f>
        <v>-0.18</v>
      </c>
      <c r="D21" s="142">
        <f>'BC.114+320'!AA20</f>
        <v>0</v>
      </c>
      <c r="E21" s="143">
        <f>'BC.114+320'!AB20</f>
        <v>0</v>
      </c>
      <c r="F21" s="142">
        <f>VLOOKUP($A21,'BC.114+320'!$B$13:$X$489,8,0)/1000</f>
        <v>1.82</v>
      </c>
      <c r="G21" s="142">
        <f>VLOOKUP($A21,'BC.114+320'!$B$13:$X$489,9,0)/1000</f>
        <v>-0.18</v>
      </c>
      <c r="H21" s="142">
        <f>VLOOKUP($A21,'BC.114+320'!$B$13:$X$489,14,0)/1000</f>
        <v>1.82</v>
      </c>
      <c r="I21" s="142">
        <f>VLOOKUP($A21,'BC.114+320'!$B$13:$X$489,15,0)/1000</f>
        <v>-0.18</v>
      </c>
      <c r="J21" s="142">
        <f>VLOOKUP($A21,'BC.114+320'!$B$13:$X$489,20,0)/1000</f>
        <v>1.88</v>
      </c>
      <c r="K21" s="142">
        <f>VLOOKUP($A21,'BC.114+320'!$B$13:$X$489,21,0)/1000</f>
        <v>-0.12</v>
      </c>
      <c r="L21" s="140">
        <f t="shared" si="0"/>
        <v>0</v>
      </c>
      <c r="M21" s="141">
        <f t="shared" si="1"/>
        <v>0</v>
      </c>
      <c r="N21" s="140">
        <f t="shared" si="2"/>
        <v>0</v>
      </c>
      <c r="O21" s="140"/>
      <c r="P21" s="148"/>
      <c r="Q21" s="147"/>
      <c r="R21" s="146"/>
      <c r="S21" s="145"/>
      <c r="T21" s="145"/>
    </row>
    <row r="22" spans="1:20">
      <c r="A22" s="76">
        <f>'BC.114+320'!B21</f>
        <v>45051</v>
      </c>
      <c r="B22" s="140">
        <f t="shared" si="3"/>
        <v>8</v>
      </c>
      <c r="C22" s="142">
        <f>'BC.114+320'!M21/1000</f>
        <v>-0.18</v>
      </c>
      <c r="D22" s="142">
        <f>'BC.114+320'!AA21</f>
        <v>0</v>
      </c>
      <c r="E22" s="143">
        <f>'BC.114+320'!AB21</f>
        <v>0</v>
      </c>
      <c r="F22" s="142">
        <f>VLOOKUP($A22,'BC.114+320'!$B$13:$X$489,8,0)/1000</f>
        <v>1.82</v>
      </c>
      <c r="G22" s="142">
        <f>VLOOKUP($A22,'BC.114+320'!$B$13:$X$489,9,0)/1000</f>
        <v>-0.18</v>
      </c>
      <c r="H22" s="142">
        <f>VLOOKUP($A22,'BC.114+320'!$B$13:$X$489,14,0)/1000</f>
        <v>1.82</v>
      </c>
      <c r="I22" s="142">
        <f>VLOOKUP($A22,'BC.114+320'!$B$13:$X$489,15,0)/1000</f>
        <v>-0.18</v>
      </c>
      <c r="J22" s="142">
        <f>VLOOKUP($A22,'BC.114+320'!$B$13:$X$489,20,0)/1000</f>
        <v>1.88</v>
      </c>
      <c r="K22" s="142">
        <f>VLOOKUP($A22,'BC.114+320'!$B$13:$X$489,21,0)/1000</f>
        <v>-0.12</v>
      </c>
      <c r="L22" s="140">
        <f t="shared" si="0"/>
        <v>0</v>
      </c>
      <c r="M22" s="141">
        <f t="shared" si="1"/>
        <v>0</v>
      </c>
      <c r="N22" s="140">
        <f t="shared" si="2"/>
        <v>0</v>
      </c>
      <c r="O22" s="140"/>
      <c r="P22" s="148"/>
      <c r="Q22" s="147"/>
      <c r="R22" s="146"/>
      <c r="S22" s="145"/>
      <c r="T22" s="145"/>
    </row>
    <row r="23" spans="1:20">
      <c r="A23" s="76">
        <f>'BC.114+320'!B22</f>
        <v>45052</v>
      </c>
      <c r="B23" s="140">
        <f t="shared" si="3"/>
        <v>9</v>
      </c>
      <c r="C23" s="142">
        <f>'BC.114+320'!M22/1000</f>
        <v>-0.18</v>
      </c>
      <c r="D23" s="142">
        <f>'BC.114+320'!AA22</f>
        <v>0</v>
      </c>
      <c r="E23" s="143">
        <f>'BC.114+320'!AB22</f>
        <v>0</v>
      </c>
      <c r="F23" s="142">
        <f>VLOOKUP($A23,'BC.114+320'!$B$13:$X$489,8,0)/1000</f>
        <v>1.82</v>
      </c>
      <c r="G23" s="142">
        <f>VLOOKUP($A23,'BC.114+320'!$B$13:$X$489,9,0)/1000</f>
        <v>-0.18</v>
      </c>
      <c r="H23" s="142">
        <f>VLOOKUP($A23,'BC.114+320'!$B$13:$X$489,14,0)/1000</f>
        <v>1.82</v>
      </c>
      <c r="I23" s="142">
        <f>VLOOKUP($A23,'BC.114+320'!$B$13:$X$489,15,0)/1000</f>
        <v>-0.18</v>
      </c>
      <c r="J23" s="142">
        <f>VLOOKUP($A23,'BC.114+320'!$B$13:$X$489,20,0)/1000</f>
        <v>1.88</v>
      </c>
      <c r="K23" s="142">
        <f>VLOOKUP($A23,'BC.114+320'!$B$13:$X$489,21,0)/1000</f>
        <v>-0.12</v>
      </c>
      <c r="L23" s="140">
        <f t="shared" si="0"/>
        <v>0</v>
      </c>
      <c r="M23" s="141">
        <f t="shared" si="1"/>
        <v>0</v>
      </c>
      <c r="N23" s="140">
        <f t="shared" si="2"/>
        <v>0</v>
      </c>
      <c r="O23" s="140"/>
      <c r="P23" s="148"/>
      <c r="Q23" s="147"/>
      <c r="R23" s="146"/>
      <c r="S23" s="145"/>
      <c r="T23" s="145"/>
    </row>
    <row r="24" spans="1:20">
      <c r="A24" s="76">
        <f>'BC.114+320'!B23</f>
        <v>45053</v>
      </c>
      <c r="B24" s="140">
        <f t="shared" si="3"/>
        <v>10</v>
      </c>
      <c r="C24" s="142">
        <f>'BC.114+320'!M23/1000</f>
        <v>-0.18</v>
      </c>
      <c r="D24" s="142">
        <f>'BC.114+320'!AA23</f>
        <v>0</v>
      </c>
      <c r="E24" s="143">
        <f>'BC.114+320'!AB23</f>
        <v>0</v>
      </c>
      <c r="F24" s="142">
        <f>VLOOKUP($A24,'BC.114+320'!$B$13:$X$489,8,0)/1000</f>
        <v>1.82</v>
      </c>
      <c r="G24" s="142">
        <f>VLOOKUP($A24,'BC.114+320'!$B$13:$X$489,9,0)/1000</f>
        <v>-0.18</v>
      </c>
      <c r="H24" s="142">
        <f>VLOOKUP($A24,'BC.114+320'!$B$13:$X$489,14,0)/1000</f>
        <v>1.82</v>
      </c>
      <c r="I24" s="142">
        <f>VLOOKUP($A24,'BC.114+320'!$B$13:$X$489,15,0)/1000</f>
        <v>-0.18</v>
      </c>
      <c r="J24" s="142">
        <f>VLOOKUP($A24,'BC.114+320'!$B$13:$X$489,20,0)/1000</f>
        <v>1.88</v>
      </c>
      <c r="K24" s="142">
        <f>VLOOKUP($A24,'BC.114+320'!$B$13:$X$489,21,0)/1000</f>
        <v>-0.12</v>
      </c>
      <c r="L24" s="140">
        <f t="shared" si="0"/>
        <v>0</v>
      </c>
      <c r="M24" s="141">
        <f t="shared" si="1"/>
        <v>0</v>
      </c>
      <c r="N24" s="140">
        <f t="shared" si="2"/>
        <v>0</v>
      </c>
      <c r="O24" s="140"/>
      <c r="P24" s="148"/>
      <c r="Q24" s="147"/>
      <c r="R24" s="146"/>
      <c r="S24" s="145"/>
      <c r="T24" s="145"/>
    </row>
    <row r="25" spans="1:20">
      <c r="A25" s="76">
        <f>'BC.114+320'!B24</f>
        <v>45054</v>
      </c>
      <c r="B25" s="140">
        <f t="shared" si="3"/>
        <v>11</v>
      </c>
      <c r="C25" s="142">
        <f>'BC.114+320'!M24/1000</f>
        <v>-0.18</v>
      </c>
      <c r="D25" s="142">
        <f>'BC.114+320'!AA24</f>
        <v>0</v>
      </c>
      <c r="E25" s="143">
        <f>'BC.114+320'!AB24</f>
        <v>0</v>
      </c>
      <c r="F25" s="142">
        <f>VLOOKUP($A25,'BC.114+320'!$B$13:$X$489,8,0)/1000</f>
        <v>1.82</v>
      </c>
      <c r="G25" s="142">
        <f>VLOOKUP($A25,'BC.114+320'!$B$13:$X$489,9,0)/1000</f>
        <v>-0.18</v>
      </c>
      <c r="H25" s="142">
        <f>VLOOKUP($A25,'BC.114+320'!$B$13:$X$489,14,0)/1000</f>
        <v>1.82</v>
      </c>
      <c r="I25" s="142">
        <f>VLOOKUP($A25,'BC.114+320'!$B$13:$X$489,15,0)/1000</f>
        <v>-0.18</v>
      </c>
      <c r="J25" s="142">
        <f>VLOOKUP($A25,'BC.114+320'!$B$13:$X$489,20,0)/1000</f>
        <v>1.88</v>
      </c>
      <c r="K25" s="142">
        <f>VLOOKUP($A25,'BC.114+320'!$B$13:$X$489,21,0)/1000</f>
        <v>-0.12</v>
      </c>
      <c r="L25" s="140">
        <f t="shared" si="0"/>
        <v>0</v>
      </c>
      <c r="M25" s="141">
        <f t="shared" si="1"/>
        <v>0</v>
      </c>
      <c r="N25" s="140">
        <f t="shared" si="2"/>
        <v>0</v>
      </c>
      <c r="O25" s="140"/>
      <c r="P25" s="148"/>
      <c r="Q25" s="147"/>
      <c r="R25" s="146"/>
      <c r="S25" s="145"/>
      <c r="T25" s="145"/>
    </row>
    <row r="26" spans="1:20">
      <c r="A26" s="76">
        <f>'BC.114+320'!B25</f>
        <v>45055</v>
      </c>
      <c r="B26" s="140">
        <f t="shared" si="3"/>
        <v>12</v>
      </c>
      <c r="C26" s="142">
        <f>'BC.114+320'!M25/1000</f>
        <v>-0.18</v>
      </c>
      <c r="D26" s="142">
        <f>'BC.114+320'!AA25</f>
        <v>0</v>
      </c>
      <c r="E26" s="143">
        <f>'BC.114+320'!AB25</f>
        <v>0</v>
      </c>
      <c r="F26" s="142">
        <f>VLOOKUP($A26,'BC.114+320'!$B$13:$X$489,8,0)/1000</f>
        <v>1.82</v>
      </c>
      <c r="G26" s="142">
        <f>VLOOKUP($A26,'BC.114+320'!$B$13:$X$489,9,0)/1000</f>
        <v>-0.18</v>
      </c>
      <c r="H26" s="142">
        <f>VLOOKUP($A26,'BC.114+320'!$B$13:$X$489,14,0)/1000</f>
        <v>1.82</v>
      </c>
      <c r="I26" s="142">
        <f>VLOOKUP($A26,'BC.114+320'!$B$13:$X$489,15,0)/1000</f>
        <v>-0.18</v>
      </c>
      <c r="J26" s="142">
        <f>VLOOKUP($A26,'BC.114+320'!$B$13:$X$489,20,0)/1000</f>
        <v>1.88</v>
      </c>
      <c r="K26" s="142">
        <f>VLOOKUP($A26,'BC.114+320'!$B$13:$X$489,21,0)/1000</f>
        <v>-0.12</v>
      </c>
      <c r="L26" s="140">
        <f t="shared" si="0"/>
        <v>0</v>
      </c>
      <c r="M26" s="141">
        <f t="shared" si="1"/>
        <v>0</v>
      </c>
      <c r="N26" s="140">
        <f t="shared" si="2"/>
        <v>0</v>
      </c>
      <c r="O26" s="140"/>
      <c r="P26" s="148"/>
      <c r="Q26" s="147"/>
      <c r="R26" s="146"/>
      <c r="S26" s="145"/>
      <c r="T26" s="145"/>
    </row>
    <row r="27" spans="1:20">
      <c r="A27" s="76">
        <f>'BC.114+320'!B26</f>
        <v>45056</v>
      </c>
      <c r="B27" s="140">
        <f t="shared" si="3"/>
        <v>13</v>
      </c>
      <c r="C27" s="142">
        <f>'BC.114+320'!M26/1000</f>
        <v>-0.18</v>
      </c>
      <c r="D27" s="142">
        <f>'BC.114+320'!AA26</f>
        <v>0</v>
      </c>
      <c r="E27" s="143">
        <f>'BC.114+320'!AB26</f>
        <v>0</v>
      </c>
      <c r="F27" s="142">
        <f>VLOOKUP($A27,'BC.114+320'!$B$13:$X$489,8,0)/1000</f>
        <v>1.82</v>
      </c>
      <c r="G27" s="142">
        <f>VLOOKUP($A27,'BC.114+320'!$B$13:$X$489,9,0)/1000</f>
        <v>-0.18</v>
      </c>
      <c r="H27" s="142">
        <f>VLOOKUP($A27,'BC.114+320'!$B$13:$X$489,14,0)/1000</f>
        <v>1.82</v>
      </c>
      <c r="I27" s="142">
        <f>VLOOKUP($A27,'BC.114+320'!$B$13:$X$489,15,0)/1000</f>
        <v>-0.18</v>
      </c>
      <c r="J27" s="142">
        <f>VLOOKUP($A27,'BC.114+320'!$B$13:$X$489,20,0)/1000</f>
        <v>1.88</v>
      </c>
      <c r="K27" s="142">
        <f>VLOOKUP($A27,'BC.114+320'!$B$13:$X$489,21,0)/1000</f>
        <v>-0.12</v>
      </c>
      <c r="L27" s="140">
        <f t="shared" si="0"/>
        <v>0</v>
      </c>
      <c r="M27" s="141">
        <f t="shared" si="1"/>
        <v>0</v>
      </c>
      <c r="N27" s="140">
        <f t="shared" si="2"/>
        <v>0</v>
      </c>
      <c r="O27" s="140"/>
      <c r="P27" s="148"/>
      <c r="Q27" s="147"/>
      <c r="R27" s="146"/>
      <c r="S27" s="145"/>
      <c r="T27" s="145"/>
    </row>
    <row r="28" spans="1:20">
      <c r="A28" s="76">
        <f>'BC.114+320'!B27</f>
        <v>45057</v>
      </c>
      <c r="B28" s="140">
        <f t="shared" si="3"/>
        <v>14</v>
      </c>
      <c r="C28" s="142">
        <f>'BC.114+320'!M27/1000</f>
        <v>-0.18</v>
      </c>
      <c r="D28" s="142">
        <f>'BC.114+320'!AA27</f>
        <v>0</v>
      </c>
      <c r="E28" s="143">
        <f>'BC.114+320'!AB27</f>
        <v>0</v>
      </c>
      <c r="F28" s="142">
        <f>VLOOKUP($A28,'BC.114+320'!$B$13:$X$489,8,0)/1000</f>
        <v>1.82</v>
      </c>
      <c r="G28" s="142">
        <f>VLOOKUP($A28,'BC.114+320'!$B$13:$X$489,9,0)/1000</f>
        <v>-0.18</v>
      </c>
      <c r="H28" s="142">
        <f>VLOOKUP($A28,'BC.114+320'!$B$13:$X$489,14,0)/1000</f>
        <v>1.82</v>
      </c>
      <c r="I28" s="142">
        <f>VLOOKUP($A28,'BC.114+320'!$B$13:$X$489,15,0)/1000</f>
        <v>-0.18</v>
      </c>
      <c r="J28" s="142">
        <f>VLOOKUP($A28,'BC.114+320'!$B$13:$X$489,20,0)/1000</f>
        <v>1.88</v>
      </c>
      <c r="K28" s="142">
        <f>VLOOKUP($A28,'BC.114+320'!$B$13:$X$489,21,0)/1000</f>
        <v>-0.12</v>
      </c>
      <c r="L28" s="140">
        <f t="shared" si="0"/>
        <v>0</v>
      </c>
      <c r="M28" s="141">
        <f t="shared" si="1"/>
        <v>0</v>
      </c>
      <c r="N28" s="140">
        <f t="shared" si="2"/>
        <v>0</v>
      </c>
      <c r="O28" s="140"/>
      <c r="P28" s="148"/>
      <c r="Q28" s="147"/>
      <c r="R28" s="146"/>
      <c r="S28" s="145"/>
      <c r="T28" s="145"/>
    </row>
    <row r="29" spans="1:20">
      <c r="A29" s="76">
        <f>'BC.114+320'!B28</f>
        <v>45058</v>
      </c>
      <c r="B29" s="140">
        <f t="shared" si="3"/>
        <v>15</v>
      </c>
      <c r="C29" s="142">
        <f>'BC.114+320'!M28/1000</f>
        <v>-0.18</v>
      </c>
      <c r="D29" s="142">
        <f>'BC.114+320'!AA28</f>
        <v>0</v>
      </c>
      <c r="E29" s="143">
        <f>'BC.114+320'!AB28</f>
        <v>0</v>
      </c>
      <c r="F29" s="142">
        <f>VLOOKUP($A29,'BC.114+320'!$B$13:$X$489,8,0)/1000</f>
        <v>1.82</v>
      </c>
      <c r="G29" s="142">
        <f>VLOOKUP($A29,'BC.114+320'!$B$13:$X$489,9,0)/1000</f>
        <v>-0.18</v>
      </c>
      <c r="H29" s="142">
        <f>VLOOKUP($A29,'BC.114+320'!$B$13:$X$489,14,0)/1000</f>
        <v>1.82</v>
      </c>
      <c r="I29" s="142">
        <f>VLOOKUP($A29,'BC.114+320'!$B$13:$X$489,15,0)/1000</f>
        <v>-0.18</v>
      </c>
      <c r="J29" s="142">
        <f>VLOOKUP($A29,'BC.114+320'!$B$13:$X$489,20,0)/1000</f>
        <v>1.88</v>
      </c>
      <c r="K29" s="142">
        <f>VLOOKUP($A29,'BC.114+320'!$B$13:$X$489,21,0)/1000</f>
        <v>-0.12</v>
      </c>
      <c r="L29" s="140">
        <f t="shared" si="0"/>
        <v>0</v>
      </c>
      <c r="M29" s="141">
        <f t="shared" si="1"/>
        <v>0</v>
      </c>
      <c r="N29" s="140">
        <f t="shared" si="2"/>
        <v>0</v>
      </c>
      <c r="O29" s="140"/>
      <c r="P29" s="148"/>
      <c r="Q29" s="147"/>
      <c r="R29" s="146"/>
      <c r="S29" s="145"/>
      <c r="T29" s="145"/>
    </row>
    <row r="30" spans="1:20">
      <c r="A30" s="76">
        <f>'BC.114+320'!B29</f>
        <v>45059</v>
      </c>
      <c r="B30" s="140">
        <f t="shared" si="3"/>
        <v>16</v>
      </c>
      <c r="C30" s="142">
        <f>'BC.114+320'!M29/1000</f>
        <v>-0.18</v>
      </c>
      <c r="D30" s="142">
        <f>'BC.114+320'!AA29</f>
        <v>0</v>
      </c>
      <c r="E30" s="143">
        <f>'BC.114+320'!AB29</f>
        <v>0</v>
      </c>
      <c r="F30" s="142">
        <f>VLOOKUP($A30,'BC.114+320'!$B$13:$X$489,8,0)/1000</f>
        <v>1.82</v>
      </c>
      <c r="G30" s="142">
        <f>VLOOKUP($A30,'BC.114+320'!$B$13:$X$489,9,0)/1000</f>
        <v>-0.18</v>
      </c>
      <c r="H30" s="142">
        <f>VLOOKUP($A30,'BC.114+320'!$B$13:$X$489,14,0)/1000</f>
        <v>1.82</v>
      </c>
      <c r="I30" s="142">
        <f>VLOOKUP($A30,'BC.114+320'!$B$13:$X$489,15,0)/1000</f>
        <v>-0.18</v>
      </c>
      <c r="J30" s="142">
        <f>VLOOKUP($A30,'BC.114+320'!$B$13:$X$489,20,0)/1000</f>
        <v>1.88</v>
      </c>
      <c r="K30" s="142">
        <f>VLOOKUP($A30,'BC.114+320'!$B$13:$X$489,21,0)/1000</f>
        <v>-0.12</v>
      </c>
      <c r="L30" s="140">
        <f t="shared" si="0"/>
        <v>0</v>
      </c>
      <c r="M30" s="141">
        <f t="shared" si="1"/>
        <v>0</v>
      </c>
      <c r="N30" s="140">
        <f t="shared" si="2"/>
        <v>0</v>
      </c>
      <c r="O30" s="140"/>
      <c r="P30" s="148"/>
      <c r="Q30" s="147"/>
      <c r="R30" s="146"/>
      <c r="S30" s="145"/>
      <c r="T30" s="145"/>
    </row>
    <row r="31" spans="1:20">
      <c r="A31" s="76">
        <f>'BC.114+320'!B30</f>
        <v>45060</v>
      </c>
      <c r="B31" s="140">
        <f t="shared" si="3"/>
        <v>17</v>
      </c>
      <c r="C31" s="142">
        <f>'BC.114+320'!M30/1000</f>
        <v>-0.18</v>
      </c>
      <c r="D31" s="142">
        <f>'BC.114+320'!AA30</f>
        <v>0</v>
      </c>
      <c r="E31" s="143">
        <f>'BC.114+320'!AB30</f>
        <v>0</v>
      </c>
      <c r="F31" s="142">
        <f>VLOOKUP($A31,'BC.114+320'!$B$13:$X$489,8,0)/1000</f>
        <v>1.82</v>
      </c>
      <c r="G31" s="142">
        <f>VLOOKUP($A31,'BC.114+320'!$B$13:$X$489,9,0)/1000</f>
        <v>-0.18</v>
      </c>
      <c r="H31" s="142">
        <f>VLOOKUP($A31,'BC.114+320'!$B$13:$X$489,14,0)/1000</f>
        <v>1.82</v>
      </c>
      <c r="I31" s="142">
        <f>VLOOKUP($A31,'BC.114+320'!$B$13:$X$489,15,0)/1000</f>
        <v>-0.18</v>
      </c>
      <c r="J31" s="142">
        <f>VLOOKUP($A31,'BC.114+320'!$B$13:$X$489,20,0)/1000</f>
        <v>1.88</v>
      </c>
      <c r="K31" s="142">
        <f>VLOOKUP($A31,'BC.114+320'!$B$13:$X$489,21,0)/1000</f>
        <v>-0.12</v>
      </c>
      <c r="L31" s="140">
        <f t="shared" si="0"/>
        <v>0</v>
      </c>
      <c r="M31" s="141">
        <f t="shared" si="1"/>
        <v>0</v>
      </c>
      <c r="N31" s="140">
        <f t="shared" si="2"/>
        <v>0</v>
      </c>
      <c r="O31" s="140"/>
      <c r="P31" s="148"/>
      <c r="Q31" s="147"/>
      <c r="R31" s="146"/>
      <c r="S31" s="145"/>
      <c r="T31" s="145"/>
    </row>
    <row r="32" spans="1:20">
      <c r="A32" s="76">
        <f>'BC.114+320'!B31</f>
        <v>45061</v>
      </c>
      <c r="B32" s="140">
        <f t="shared" si="3"/>
        <v>18</v>
      </c>
      <c r="C32" s="142">
        <f>'BC.114+320'!M31/1000</f>
        <v>-0.18</v>
      </c>
      <c r="D32" s="142">
        <f>'BC.114+320'!AA31</f>
        <v>0</v>
      </c>
      <c r="E32" s="143">
        <f>'BC.114+320'!AB31</f>
        <v>0</v>
      </c>
      <c r="F32" s="142">
        <f>VLOOKUP($A32,'BC.114+320'!$B$13:$X$489,8,0)/1000</f>
        <v>1.82</v>
      </c>
      <c r="G32" s="142">
        <f>VLOOKUP($A32,'BC.114+320'!$B$13:$X$489,9,0)/1000</f>
        <v>-0.18</v>
      </c>
      <c r="H32" s="142">
        <f>VLOOKUP($A32,'BC.114+320'!$B$13:$X$489,14,0)/1000</f>
        <v>1.82</v>
      </c>
      <c r="I32" s="142">
        <f>VLOOKUP($A32,'BC.114+320'!$B$13:$X$489,15,0)/1000</f>
        <v>-0.18</v>
      </c>
      <c r="J32" s="142">
        <f>VLOOKUP($A32,'BC.114+320'!$B$13:$X$489,20,0)/1000</f>
        <v>1.88</v>
      </c>
      <c r="K32" s="142">
        <f>VLOOKUP($A32,'BC.114+320'!$B$13:$X$489,21,0)/1000</f>
        <v>-0.12</v>
      </c>
      <c r="L32" s="140">
        <f t="shared" si="0"/>
        <v>0</v>
      </c>
      <c r="M32" s="141">
        <f t="shared" si="1"/>
        <v>0</v>
      </c>
      <c r="N32" s="140">
        <f t="shared" si="2"/>
        <v>0</v>
      </c>
      <c r="O32" s="140"/>
      <c r="P32" s="148"/>
      <c r="Q32" s="147"/>
      <c r="R32" s="146"/>
      <c r="S32" s="145"/>
      <c r="T32" s="145"/>
    </row>
    <row r="33" spans="1:20">
      <c r="A33" s="76">
        <f>'BC.114+320'!B32</f>
        <v>45062</v>
      </c>
      <c r="B33" s="140">
        <f t="shared" si="3"/>
        <v>19</v>
      </c>
      <c r="C33" s="142">
        <f>'BC.114+320'!M32/1000</f>
        <v>-0.18</v>
      </c>
      <c r="D33" s="142">
        <f>'BC.114+320'!AA32</f>
        <v>0</v>
      </c>
      <c r="E33" s="143">
        <f>'BC.114+320'!AB32</f>
        <v>0</v>
      </c>
      <c r="F33" s="142">
        <f>VLOOKUP($A33,'BC.114+320'!$B$13:$X$489,8,0)/1000</f>
        <v>1.82</v>
      </c>
      <c r="G33" s="142">
        <f>VLOOKUP($A33,'BC.114+320'!$B$13:$X$489,9,0)/1000</f>
        <v>-0.18</v>
      </c>
      <c r="H33" s="142">
        <f>VLOOKUP($A33,'BC.114+320'!$B$13:$X$489,14,0)/1000</f>
        <v>1.82</v>
      </c>
      <c r="I33" s="142">
        <f>VLOOKUP($A33,'BC.114+320'!$B$13:$X$489,15,0)/1000</f>
        <v>-0.18</v>
      </c>
      <c r="J33" s="142">
        <f>VLOOKUP($A33,'BC.114+320'!$B$13:$X$489,20,0)/1000</f>
        <v>1.88</v>
      </c>
      <c r="K33" s="142">
        <f>VLOOKUP($A33,'BC.114+320'!$B$13:$X$489,21,0)/1000</f>
        <v>-0.12</v>
      </c>
      <c r="L33" s="140">
        <f t="shared" si="0"/>
        <v>0</v>
      </c>
      <c r="M33" s="141">
        <f t="shared" si="1"/>
        <v>0</v>
      </c>
      <c r="N33" s="140">
        <f t="shared" si="2"/>
        <v>0</v>
      </c>
      <c r="O33" s="140"/>
      <c r="P33" s="148"/>
      <c r="Q33" s="147"/>
      <c r="R33" s="146"/>
      <c r="S33" s="145"/>
      <c r="T33" s="145"/>
    </row>
    <row r="34" spans="1:20">
      <c r="A34" s="76">
        <f>'BC.114+320'!B33</f>
        <v>45063</v>
      </c>
      <c r="B34" s="140">
        <f t="shared" si="3"/>
        <v>20</v>
      </c>
      <c r="C34" s="142">
        <f>'BC.114+320'!M33/1000</f>
        <v>-0.18</v>
      </c>
      <c r="D34" s="142">
        <f>'BC.114+320'!AA33</f>
        <v>0</v>
      </c>
      <c r="E34" s="143">
        <f>'BC.114+320'!AB33</f>
        <v>0</v>
      </c>
      <c r="F34" s="142">
        <f>VLOOKUP($A34,'BC.114+320'!$B$13:$X$489,8,0)/1000</f>
        <v>1.82</v>
      </c>
      <c r="G34" s="142">
        <f>VLOOKUP($A34,'BC.114+320'!$B$13:$X$489,9,0)/1000</f>
        <v>-0.18</v>
      </c>
      <c r="H34" s="142">
        <f>VLOOKUP($A34,'BC.114+320'!$B$13:$X$489,14,0)/1000</f>
        <v>1.82</v>
      </c>
      <c r="I34" s="142">
        <f>VLOOKUP($A34,'BC.114+320'!$B$13:$X$489,15,0)/1000</f>
        <v>-0.18</v>
      </c>
      <c r="J34" s="142">
        <f>VLOOKUP($A34,'BC.114+320'!$B$13:$X$489,20,0)/1000</f>
        <v>1.88</v>
      </c>
      <c r="K34" s="142">
        <f>VLOOKUP($A34,'BC.114+320'!$B$13:$X$489,21,0)/1000</f>
        <v>-0.12</v>
      </c>
      <c r="L34" s="140">
        <f t="shared" si="0"/>
        <v>0</v>
      </c>
      <c r="M34" s="141">
        <f t="shared" si="1"/>
        <v>0</v>
      </c>
      <c r="N34" s="140">
        <f t="shared" si="2"/>
        <v>0</v>
      </c>
      <c r="O34" s="140"/>
      <c r="P34" s="148"/>
      <c r="Q34" s="147"/>
      <c r="R34" s="146"/>
      <c r="S34" s="145"/>
      <c r="T34" s="145"/>
    </row>
    <row r="35" spans="1:20">
      <c r="A35" s="76">
        <f>'BC.114+320'!B34</f>
        <v>45064</v>
      </c>
      <c r="B35" s="140">
        <f t="shared" si="3"/>
        <v>21</v>
      </c>
      <c r="C35" s="142">
        <f>'BC.114+320'!M34/1000</f>
        <v>-0.18</v>
      </c>
      <c r="D35" s="142">
        <f>'BC.114+320'!AA34</f>
        <v>0</v>
      </c>
      <c r="E35" s="143">
        <f>'BC.114+320'!AB34</f>
        <v>0</v>
      </c>
      <c r="F35" s="142">
        <f>VLOOKUP($A35,'BC.114+320'!$B$13:$X$489,8,0)/1000</f>
        <v>1.82</v>
      </c>
      <c r="G35" s="142">
        <f>VLOOKUP($A35,'BC.114+320'!$B$13:$X$489,9,0)/1000</f>
        <v>-0.18</v>
      </c>
      <c r="H35" s="142">
        <f>VLOOKUP($A35,'BC.114+320'!$B$13:$X$489,14,0)/1000</f>
        <v>1.82</v>
      </c>
      <c r="I35" s="142">
        <f>VLOOKUP($A35,'BC.114+320'!$B$13:$X$489,15,0)/1000</f>
        <v>-0.18</v>
      </c>
      <c r="J35" s="142">
        <f>VLOOKUP($A35,'BC.114+320'!$B$13:$X$489,20,0)/1000</f>
        <v>1.88</v>
      </c>
      <c r="K35" s="142">
        <f>VLOOKUP($A35,'BC.114+320'!$B$13:$X$489,21,0)/1000</f>
        <v>-0.12</v>
      </c>
      <c r="L35" s="140">
        <f t="shared" si="0"/>
        <v>0</v>
      </c>
      <c r="M35" s="141">
        <f t="shared" si="1"/>
        <v>0</v>
      </c>
      <c r="N35" s="140">
        <f t="shared" si="2"/>
        <v>0</v>
      </c>
      <c r="O35" s="140"/>
      <c r="P35" s="148"/>
      <c r="Q35" s="147"/>
      <c r="R35" s="146"/>
      <c r="S35" s="145"/>
      <c r="T35" s="145"/>
    </row>
    <row r="36" spans="1:20">
      <c r="A36" s="76">
        <f>'BC.114+320'!B35</f>
        <v>45065</v>
      </c>
      <c r="B36" s="140">
        <f t="shared" si="3"/>
        <v>22</v>
      </c>
      <c r="C36" s="142">
        <f>'BC.114+320'!M35/1000</f>
        <v>-0.18</v>
      </c>
      <c r="D36" s="142">
        <f>'BC.114+320'!AA35</f>
        <v>0</v>
      </c>
      <c r="E36" s="143">
        <f>'BC.114+320'!AB35</f>
        <v>0</v>
      </c>
      <c r="F36" s="142">
        <f>VLOOKUP($A36,'BC.114+320'!$B$13:$X$489,8,0)/1000</f>
        <v>1.82</v>
      </c>
      <c r="G36" s="142">
        <f>VLOOKUP($A36,'BC.114+320'!$B$13:$X$489,9,0)/1000</f>
        <v>-0.18</v>
      </c>
      <c r="H36" s="142">
        <f>VLOOKUP($A36,'BC.114+320'!$B$13:$X$489,14,0)/1000</f>
        <v>1.82</v>
      </c>
      <c r="I36" s="142">
        <f>VLOOKUP($A36,'BC.114+320'!$B$13:$X$489,15,0)/1000</f>
        <v>-0.18</v>
      </c>
      <c r="J36" s="142">
        <f>VLOOKUP($A36,'BC.114+320'!$B$13:$X$489,20,0)/1000</f>
        <v>1.88</v>
      </c>
      <c r="K36" s="142">
        <f>VLOOKUP($A36,'BC.114+320'!$B$13:$X$489,21,0)/1000</f>
        <v>-0.12</v>
      </c>
      <c r="L36" s="140">
        <f t="shared" si="0"/>
        <v>0</v>
      </c>
      <c r="M36" s="141">
        <f t="shared" si="1"/>
        <v>0</v>
      </c>
      <c r="N36" s="140">
        <f t="shared" si="2"/>
        <v>0</v>
      </c>
      <c r="O36" s="140"/>
      <c r="P36" s="148"/>
      <c r="Q36" s="147"/>
      <c r="R36" s="146"/>
      <c r="S36" s="145"/>
      <c r="T36" s="145"/>
    </row>
    <row r="37" spans="1:20">
      <c r="A37" s="76">
        <f>'BC.114+320'!B36</f>
        <v>45066</v>
      </c>
      <c r="B37" s="140">
        <f t="shared" si="3"/>
        <v>23</v>
      </c>
      <c r="C37" s="142">
        <f>'BC.114+320'!M36/1000</f>
        <v>-0.18</v>
      </c>
      <c r="D37" s="142">
        <f>'BC.114+320'!AA36</f>
        <v>0</v>
      </c>
      <c r="E37" s="143">
        <f>'BC.114+320'!AB36</f>
        <v>0</v>
      </c>
      <c r="F37" s="142">
        <f>VLOOKUP($A37,'BC.114+320'!$B$13:$X$489,8,0)/1000</f>
        <v>1.82</v>
      </c>
      <c r="G37" s="142">
        <f>VLOOKUP($A37,'BC.114+320'!$B$13:$X$489,9,0)/1000</f>
        <v>-0.18</v>
      </c>
      <c r="H37" s="142">
        <f>VLOOKUP($A37,'BC.114+320'!$B$13:$X$489,14,0)/1000</f>
        <v>1.82</v>
      </c>
      <c r="I37" s="142">
        <f>VLOOKUP($A37,'BC.114+320'!$B$13:$X$489,15,0)/1000</f>
        <v>-0.18</v>
      </c>
      <c r="J37" s="142">
        <f>VLOOKUP($A37,'BC.114+320'!$B$13:$X$489,20,0)/1000</f>
        <v>1.88</v>
      </c>
      <c r="K37" s="142">
        <f>VLOOKUP($A37,'BC.114+320'!$B$13:$X$489,21,0)/1000</f>
        <v>-0.12</v>
      </c>
      <c r="L37" s="140">
        <f t="shared" si="0"/>
        <v>0</v>
      </c>
      <c r="M37" s="141">
        <f t="shared" si="1"/>
        <v>0</v>
      </c>
      <c r="N37" s="140">
        <f t="shared" si="2"/>
        <v>0</v>
      </c>
      <c r="O37" s="140"/>
      <c r="P37" s="148"/>
      <c r="Q37" s="147"/>
      <c r="R37" s="146"/>
      <c r="S37" s="145"/>
      <c r="T37" s="145"/>
    </row>
    <row r="38" spans="1:20">
      <c r="A38" s="76">
        <f>'BC.114+320'!B37</f>
        <v>45067</v>
      </c>
      <c r="B38" s="140">
        <f t="shared" si="3"/>
        <v>24</v>
      </c>
      <c r="C38" s="142">
        <f>'BC.114+320'!M37/1000</f>
        <v>-0.1</v>
      </c>
      <c r="D38" s="142">
        <f>'BC.114+320'!AA37</f>
        <v>0.02</v>
      </c>
      <c r="E38" s="143">
        <f>'BC.114+320'!AB37</f>
        <v>0.08</v>
      </c>
      <c r="F38" s="142">
        <f>VLOOKUP($A38,'BC.114+320'!$B$13:$X$489,8,0)/1000</f>
        <v>1.82</v>
      </c>
      <c r="G38" s="142">
        <f>VLOOKUP($A38,'BC.114+320'!$B$13:$X$489,9,0)/1000</f>
        <v>-0.18</v>
      </c>
      <c r="H38" s="142">
        <f>VLOOKUP($A38,'BC.114+320'!$B$13:$X$489,14,0)/1000</f>
        <v>1.82</v>
      </c>
      <c r="I38" s="142">
        <f>VLOOKUP($A38,'BC.114+320'!$B$13:$X$489,15,0)/1000</f>
        <v>-0.18</v>
      </c>
      <c r="J38" s="142">
        <f>VLOOKUP($A38,'BC.114+320'!$B$13:$X$489,20,0)/1000</f>
        <v>1.88</v>
      </c>
      <c r="K38" s="142">
        <f>VLOOKUP($A38,'BC.114+320'!$B$13:$X$489,21,0)/1000</f>
        <v>-0.12</v>
      </c>
      <c r="L38" s="140">
        <f t="shared" si="0"/>
        <v>0</v>
      </c>
      <c r="M38" s="141">
        <f t="shared" si="1"/>
        <v>0</v>
      </c>
      <c r="N38" s="140">
        <f t="shared" si="2"/>
        <v>0</v>
      </c>
      <c r="O38" s="140"/>
      <c r="P38" s="148"/>
      <c r="Q38" s="147"/>
      <c r="R38" s="146"/>
      <c r="S38" s="145"/>
      <c r="T38" s="145"/>
    </row>
    <row r="39" spans="1:20">
      <c r="A39" s="76">
        <f>'BC.114+320'!B38</f>
        <v>45068</v>
      </c>
      <c r="B39" s="140">
        <f t="shared" si="3"/>
        <v>25</v>
      </c>
      <c r="C39" s="142">
        <f>'BC.114+320'!M38/1000</f>
        <v>0.193</v>
      </c>
      <c r="D39" s="142">
        <f>'BC.114+320'!AA38</f>
        <v>0.313</v>
      </c>
      <c r="E39" s="143">
        <f>'BC.114+320'!AB38</f>
        <v>0.36599999999999999</v>
      </c>
      <c r="F39" s="142">
        <f>VLOOKUP($A39,'BC.114+320'!$B$13:$X$489,8,0)/1000</f>
        <v>1.8140000000000001</v>
      </c>
      <c r="G39" s="142">
        <f>VLOOKUP($A39,'BC.114+320'!$B$13:$X$489,9,0)/1000</f>
        <v>-0.186</v>
      </c>
      <c r="H39" s="142">
        <f>VLOOKUP($A39,'BC.114+320'!$B$13:$X$489,14,0)/1000</f>
        <v>1.8129999999999999</v>
      </c>
      <c r="I39" s="142">
        <f>VLOOKUP($A39,'BC.114+320'!$B$13:$X$489,15,0)/1000</f>
        <v>-0.187</v>
      </c>
      <c r="J39" s="142">
        <f>VLOOKUP($A39,'BC.114+320'!$B$13:$X$489,20,0)/1000</f>
        <v>1.873</v>
      </c>
      <c r="K39" s="142">
        <f>VLOOKUP($A39,'BC.114+320'!$B$13:$X$489,21,0)/1000</f>
        <v>-0.127</v>
      </c>
      <c r="L39" s="140">
        <f t="shared" si="0"/>
        <v>-6.0000000000000053</v>
      </c>
      <c r="M39" s="141">
        <f t="shared" si="1"/>
        <v>-7.0000000000000062</v>
      </c>
      <c r="N39" s="140">
        <f t="shared" si="2"/>
        <v>-7.0000000000000062</v>
      </c>
      <c r="O39" s="140"/>
      <c r="P39" s="148"/>
      <c r="Q39" s="147"/>
      <c r="R39" s="146"/>
      <c r="S39" s="145"/>
      <c r="T39" s="145"/>
    </row>
    <row r="40" spans="1:20">
      <c r="A40" s="76">
        <f>'BC.114+320'!B39</f>
        <v>45069</v>
      </c>
      <c r="B40" s="140">
        <f t="shared" si="3"/>
        <v>26</v>
      </c>
      <c r="C40" s="142">
        <f>'BC.114+320'!M39/1000</f>
        <v>0.186</v>
      </c>
      <c r="D40" s="142">
        <f>'BC.114+320'!AA39</f>
        <v>0.313</v>
      </c>
      <c r="E40" s="143">
        <f>'BC.114+320'!AB39</f>
        <v>0.35199999999999998</v>
      </c>
      <c r="F40" s="142">
        <f>VLOOKUP($A40,'BC.114+320'!$B$13:$X$489,8,0)/1000</f>
        <v>1.81</v>
      </c>
      <c r="G40" s="142">
        <f>VLOOKUP($A40,'BC.114+320'!$B$13:$X$489,9,0)/1000</f>
        <v>-0.19</v>
      </c>
      <c r="H40" s="142">
        <f>VLOOKUP($A40,'BC.114+320'!$B$13:$X$489,14,0)/1000</f>
        <v>1.806</v>
      </c>
      <c r="I40" s="142">
        <f>VLOOKUP($A40,'BC.114+320'!$B$13:$X$489,15,0)/1000</f>
        <v>-0.19400000000000001</v>
      </c>
      <c r="J40" s="142">
        <f>VLOOKUP($A40,'BC.114+320'!$B$13:$X$489,20,0)/1000</f>
        <v>1.869</v>
      </c>
      <c r="K40" s="142">
        <f>VLOOKUP($A40,'BC.114+320'!$B$13:$X$489,21,0)/1000</f>
        <v>-0.13100000000000001</v>
      </c>
      <c r="L40" s="140">
        <f t="shared" si="0"/>
        <v>-10.000000000000009</v>
      </c>
      <c r="M40" s="141">
        <f t="shared" si="1"/>
        <v>-14.000000000000012</v>
      </c>
      <c r="N40" s="140">
        <f t="shared" si="2"/>
        <v>-11.000000000000011</v>
      </c>
      <c r="O40" s="140"/>
      <c r="P40" s="148"/>
      <c r="Q40" s="147"/>
      <c r="R40" s="146"/>
      <c r="S40" s="145"/>
      <c r="T40" s="145"/>
    </row>
    <row r="41" spans="1:20">
      <c r="A41" s="76">
        <f>'BC.114+320'!B40</f>
        <v>45070</v>
      </c>
      <c r="B41" s="140">
        <f t="shared" si="3"/>
        <v>27</v>
      </c>
      <c r="C41" s="142">
        <f>'BC.114+320'!M40/1000</f>
        <v>0.18099999999999999</v>
      </c>
      <c r="D41" s="142">
        <f>'BC.114+320'!AA40</f>
        <v>0.313</v>
      </c>
      <c r="E41" s="143">
        <f>'BC.114+320'!AB40</f>
        <v>0.34200000000000003</v>
      </c>
      <c r="F41" s="142">
        <f>VLOOKUP($A41,'BC.114+320'!$B$13:$X$489,8,0)/1000</f>
        <v>1.8069999999999999</v>
      </c>
      <c r="G41" s="142">
        <f>VLOOKUP($A41,'BC.114+320'!$B$13:$X$489,9,0)/1000</f>
        <v>-0.193</v>
      </c>
      <c r="H41" s="142">
        <f>VLOOKUP($A41,'BC.114+320'!$B$13:$X$489,14,0)/1000</f>
        <v>1.8009999999999999</v>
      </c>
      <c r="I41" s="142">
        <f>VLOOKUP($A41,'BC.114+320'!$B$13:$X$489,15,0)/1000</f>
        <v>-0.19900000000000001</v>
      </c>
      <c r="J41" s="142">
        <f>VLOOKUP($A41,'BC.114+320'!$B$13:$X$489,20,0)/1000</f>
        <v>1.8660000000000001</v>
      </c>
      <c r="K41" s="142">
        <f>VLOOKUP($A41,'BC.114+320'!$B$13:$X$489,21,0)/1000</f>
        <v>-0.13400000000000001</v>
      </c>
      <c r="L41" s="140">
        <f t="shared" si="0"/>
        <v>-13.000000000000011</v>
      </c>
      <c r="M41" s="141">
        <f t="shared" si="1"/>
        <v>-19.000000000000018</v>
      </c>
      <c r="N41" s="140">
        <f t="shared" si="2"/>
        <v>-14.000000000000012</v>
      </c>
      <c r="O41" s="140"/>
      <c r="P41" s="148"/>
      <c r="Q41" s="147"/>
      <c r="R41" s="146"/>
      <c r="S41" s="145"/>
      <c r="T41" s="145"/>
    </row>
    <row r="42" spans="1:20">
      <c r="A42" s="76">
        <f>'BC.114+320'!B41</f>
        <v>45071</v>
      </c>
      <c r="B42" s="140">
        <f t="shared" si="3"/>
        <v>28</v>
      </c>
      <c r="C42" s="142">
        <f>'BC.114+320'!M41/1000</f>
        <v>0.17599999999999999</v>
      </c>
      <c r="D42" s="142">
        <f>'BC.114+320'!AA41</f>
        <v>0.313</v>
      </c>
      <c r="E42" s="143">
        <f>'BC.114+320'!AB41</f>
        <v>0.33200000000000002</v>
      </c>
      <c r="F42" s="142">
        <f>VLOOKUP($A42,'BC.114+320'!$B$13:$X$489,8,0)/1000</f>
        <v>1.8049999999999999</v>
      </c>
      <c r="G42" s="142">
        <f>VLOOKUP($A42,'BC.114+320'!$B$13:$X$489,9,0)/1000</f>
        <v>-0.19500000000000001</v>
      </c>
      <c r="H42" s="142">
        <f>VLOOKUP($A42,'BC.114+320'!$B$13:$X$489,14,0)/1000</f>
        <v>1.796</v>
      </c>
      <c r="I42" s="142">
        <f>VLOOKUP($A42,'BC.114+320'!$B$13:$X$489,15,0)/1000</f>
        <v>-0.20399999999999999</v>
      </c>
      <c r="J42" s="142">
        <f>VLOOKUP($A42,'BC.114+320'!$B$13:$X$489,20,0)/1000</f>
        <v>1.8640000000000001</v>
      </c>
      <c r="K42" s="142">
        <f>VLOOKUP($A42,'BC.114+320'!$B$13:$X$489,21,0)/1000</f>
        <v>-0.13600000000000001</v>
      </c>
      <c r="L42" s="140">
        <f t="shared" si="0"/>
        <v>-15.000000000000014</v>
      </c>
      <c r="M42" s="141">
        <f t="shared" si="1"/>
        <v>-23.999999999999993</v>
      </c>
      <c r="N42" s="140">
        <f t="shared" si="2"/>
        <v>-16.000000000000014</v>
      </c>
      <c r="O42" s="140"/>
      <c r="P42" s="148"/>
      <c r="Q42" s="147"/>
      <c r="R42" s="146"/>
      <c r="S42" s="145"/>
      <c r="T42" s="145"/>
    </row>
    <row r="43" spans="1:20">
      <c r="A43" s="76">
        <f>'BC.114+320'!B42</f>
        <v>45072</v>
      </c>
      <c r="B43" s="140">
        <f t="shared" si="3"/>
        <v>29</v>
      </c>
      <c r="C43" s="142">
        <f>'BC.114+320'!M42/1000</f>
        <v>0.46899999999999997</v>
      </c>
      <c r="D43" s="142">
        <f>'BC.114+320'!AA42</f>
        <v>0.60599999999999998</v>
      </c>
      <c r="E43" s="143">
        <f>'BC.114+320'!AB42</f>
        <v>0.61799999999999999</v>
      </c>
      <c r="F43" s="142">
        <f>VLOOKUP($A43,'BC.114+320'!$B$13:$X$489,8,0)/1000</f>
        <v>1.7989999999999999</v>
      </c>
      <c r="G43" s="142">
        <f>VLOOKUP($A43,'BC.114+320'!$B$13:$X$489,9,0)/1000</f>
        <v>-0.20100000000000001</v>
      </c>
      <c r="H43" s="142">
        <f>VLOOKUP($A43,'BC.114+320'!$B$13:$X$489,14,0)/1000</f>
        <v>1.7889999999999999</v>
      </c>
      <c r="I43" s="142">
        <f>VLOOKUP($A43,'BC.114+320'!$B$13:$X$489,15,0)/1000</f>
        <v>-0.21099999999999999</v>
      </c>
      <c r="J43" s="142">
        <f>VLOOKUP($A43,'BC.114+320'!$B$13:$X$489,20,0)/1000</f>
        <v>1.857</v>
      </c>
      <c r="K43" s="142">
        <f>VLOOKUP($A43,'BC.114+320'!$B$13:$X$489,21,0)/1000</f>
        <v>-0.14299999999999999</v>
      </c>
      <c r="L43" s="140">
        <f t="shared" si="0"/>
        <v>-21.000000000000018</v>
      </c>
      <c r="M43" s="141">
        <f t="shared" si="1"/>
        <v>-31</v>
      </c>
      <c r="N43" s="140">
        <f t="shared" si="2"/>
        <v>-22.999999999999993</v>
      </c>
      <c r="O43" s="140"/>
      <c r="P43" s="148"/>
      <c r="Q43" s="147"/>
      <c r="R43" s="146"/>
      <c r="S43" s="145"/>
      <c r="T43" s="145"/>
    </row>
    <row r="44" spans="1:20">
      <c r="A44" s="76">
        <f>'BC.114+320'!B43</f>
        <v>45073</v>
      </c>
      <c r="B44" s="140">
        <f t="shared" si="3"/>
        <v>30</v>
      </c>
      <c r="C44" s="142">
        <f>'BC.114+320'!M43/1000</f>
        <v>0.46600000000000003</v>
      </c>
      <c r="D44" s="142">
        <f>'BC.114+320'!AA43</f>
        <v>0.60599999999999998</v>
      </c>
      <c r="E44" s="143">
        <f>'BC.114+320'!AB43</f>
        <v>0.61199999999999999</v>
      </c>
      <c r="F44" s="142">
        <f>VLOOKUP($A44,'BC.114+320'!$B$13:$X$489,8,0)/1000</f>
        <v>1.796</v>
      </c>
      <c r="G44" s="142">
        <f>VLOOKUP($A44,'BC.114+320'!$B$13:$X$489,9,0)/1000</f>
        <v>-0.20399999999999999</v>
      </c>
      <c r="H44" s="142">
        <f>VLOOKUP($A44,'BC.114+320'!$B$13:$X$489,14,0)/1000</f>
        <v>1.786</v>
      </c>
      <c r="I44" s="142">
        <f>VLOOKUP($A44,'BC.114+320'!$B$13:$X$489,15,0)/1000</f>
        <v>-0.214</v>
      </c>
      <c r="J44" s="142">
        <f>VLOOKUP($A44,'BC.114+320'!$B$13:$X$489,20,0)/1000</f>
        <v>1.8540000000000001</v>
      </c>
      <c r="K44" s="142">
        <f>VLOOKUP($A44,'BC.114+320'!$B$13:$X$489,21,0)/1000</f>
        <v>-0.14599999999999999</v>
      </c>
      <c r="L44" s="140">
        <f t="shared" si="0"/>
        <v>-23.999999999999993</v>
      </c>
      <c r="M44" s="141">
        <f t="shared" si="1"/>
        <v>-34</v>
      </c>
      <c r="N44" s="140">
        <f t="shared" si="2"/>
        <v>-25.999999999999996</v>
      </c>
      <c r="O44" s="140"/>
      <c r="P44" s="148"/>
      <c r="Q44" s="147"/>
      <c r="R44" s="146"/>
      <c r="S44" s="145"/>
      <c r="T44" s="145"/>
    </row>
    <row r="45" spans="1:20">
      <c r="A45" s="76">
        <f>'BC.114+320'!B44</f>
        <v>45074</v>
      </c>
      <c r="B45" s="140">
        <f t="shared" si="3"/>
        <v>31</v>
      </c>
      <c r="C45" s="142">
        <f>'BC.114+320'!M44/1000</f>
        <v>0.46400000000000002</v>
      </c>
      <c r="D45" s="142">
        <f>'BC.114+320'!AA44</f>
        <v>0.60599999999999998</v>
      </c>
      <c r="E45" s="143">
        <f>'BC.114+320'!AB44</f>
        <v>0.60799999999999998</v>
      </c>
      <c r="F45" s="142">
        <f>VLOOKUP($A45,'BC.114+320'!$B$13:$X$489,8,0)/1000</f>
        <v>1.794</v>
      </c>
      <c r="G45" s="142">
        <f>VLOOKUP($A45,'BC.114+320'!$B$13:$X$489,9,0)/1000</f>
        <v>-0.20599999999999999</v>
      </c>
      <c r="H45" s="142">
        <f>VLOOKUP($A45,'BC.114+320'!$B$13:$X$489,14,0)/1000</f>
        <v>1.784</v>
      </c>
      <c r="I45" s="142">
        <f>VLOOKUP($A45,'BC.114+320'!$B$13:$X$489,15,0)/1000</f>
        <v>-0.216</v>
      </c>
      <c r="J45" s="142">
        <f>VLOOKUP($A45,'BC.114+320'!$B$13:$X$489,20,0)/1000</f>
        <v>1.8520000000000001</v>
      </c>
      <c r="K45" s="142">
        <f>VLOOKUP($A45,'BC.114+320'!$B$13:$X$489,21,0)/1000</f>
        <v>-0.14799999999999999</v>
      </c>
      <c r="L45" s="140">
        <f t="shared" si="0"/>
        <v>-25.999999999999996</v>
      </c>
      <c r="M45" s="141">
        <f t="shared" si="1"/>
        <v>-36.000000000000007</v>
      </c>
      <c r="N45" s="140">
        <f t="shared" si="2"/>
        <v>-27.999999999999996</v>
      </c>
      <c r="O45" s="140"/>
      <c r="P45" s="148"/>
      <c r="Q45" s="147"/>
      <c r="R45" s="146"/>
      <c r="S45" s="145"/>
      <c r="T45" s="145"/>
    </row>
    <row r="46" spans="1:20">
      <c r="A46" s="76">
        <f>'BC.114+320'!B45</f>
        <v>45075</v>
      </c>
      <c r="B46" s="140">
        <f t="shared" si="3"/>
        <v>32</v>
      </c>
      <c r="C46" s="142">
        <f>'BC.114+320'!M45/1000</f>
        <v>0.46</v>
      </c>
      <c r="D46" s="142">
        <f>'BC.114+320'!AA45</f>
        <v>0.60599999999999998</v>
      </c>
      <c r="E46" s="143">
        <f>'BC.114+320'!AB45</f>
        <v>0.6</v>
      </c>
      <c r="F46" s="142">
        <f>VLOOKUP($A46,'BC.114+320'!$B$13:$X$489,8,0)/1000</f>
        <v>1.79</v>
      </c>
      <c r="G46" s="142">
        <f>VLOOKUP($A46,'BC.114+320'!$B$13:$X$489,9,0)/1000</f>
        <v>-0.21</v>
      </c>
      <c r="H46" s="142">
        <f>VLOOKUP($A46,'BC.114+320'!$B$13:$X$489,14,0)/1000</f>
        <v>1.78</v>
      </c>
      <c r="I46" s="142">
        <f>VLOOKUP($A46,'BC.114+320'!$B$13:$X$489,15,0)/1000</f>
        <v>-0.22</v>
      </c>
      <c r="J46" s="142">
        <f>VLOOKUP($A46,'BC.114+320'!$B$13:$X$489,20,0)/1000</f>
        <v>1.8480000000000001</v>
      </c>
      <c r="K46" s="142">
        <f>VLOOKUP($A46,'BC.114+320'!$B$13:$X$489,21,0)/1000</f>
        <v>-0.152</v>
      </c>
      <c r="L46" s="140">
        <f t="shared" si="0"/>
        <v>-30</v>
      </c>
      <c r="M46" s="141">
        <f t="shared" si="1"/>
        <v>-40.000000000000007</v>
      </c>
      <c r="N46" s="140">
        <f t="shared" si="2"/>
        <v>-32</v>
      </c>
      <c r="O46" s="140"/>
      <c r="P46" s="148"/>
      <c r="Q46" s="147"/>
      <c r="R46" s="146"/>
      <c r="S46" s="145"/>
      <c r="T46" s="145"/>
    </row>
    <row r="47" spans="1:20">
      <c r="A47" s="76">
        <f>'BC.114+320'!B46</f>
        <v>45076</v>
      </c>
      <c r="B47" s="140">
        <f t="shared" si="3"/>
        <v>33</v>
      </c>
      <c r="C47" s="142">
        <f>'BC.114+320'!M46/1000</f>
        <v>0.753</v>
      </c>
      <c r="D47" s="142">
        <f>'BC.114+320'!AA46</f>
        <v>0.89900000000000002</v>
      </c>
      <c r="E47" s="143">
        <f>'BC.114+320'!AB46</f>
        <v>0.88600000000000001</v>
      </c>
      <c r="F47" s="142">
        <f>VLOOKUP($A47,'BC.114+320'!$B$13:$X$489,8,0)/1000</f>
        <v>1.7829999999999999</v>
      </c>
      <c r="G47" s="142">
        <f>VLOOKUP($A47,'BC.114+320'!$B$13:$X$489,9,0)/1000</f>
        <v>-0.217</v>
      </c>
      <c r="H47" s="142">
        <f>VLOOKUP($A47,'BC.114+320'!$B$13:$X$489,14,0)/1000</f>
        <v>1.7729999999999999</v>
      </c>
      <c r="I47" s="142">
        <f>VLOOKUP($A47,'BC.114+320'!$B$13:$X$489,15,0)/1000</f>
        <v>-0.22700000000000001</v>
      </c>
      <c r="J47" s="142">
        <f>VLOOKUP($A47,'BC.114+320'!$B$13:$X$489,20,0)/1000</f>
        <v>1.841</v>
      </c>
      <c r="K47" s="142">
        <f>VLOOKUP($A47,'BC.114+320'!$B$13:$X$489,21,0)/1000</f>
        <v>-0.159</v>
      </c>
      <c r="L47" s="140">
        <f t="shared" si="0"/>
        <v>-37.000000000000007</v>
      </c>
      <c r="M47" s="141">
        <f t="shared" si="1"/>
        <v>-47.000000000000014</v>
      </c>
      <c r="N47" s="140">
        <f t="shared" si="2"/>
        <v>-39.000000000000007</v>
      </c>
      <c r="O47" s="140"/>
      <c r="P47" s="148"/>
      <c r="Q47" s="147"/>
      <c r="R47" s="146"/>
      <c r="S47" s="145"/>
      <c r="T47" s="145"/>
    </row>
    <row r="48" spans="1:20">
      <c r="A48" s="76">
        <f>'BC.114+320'!B47</f>
        <v>45077</v>
      </c>
      <c r="B48" s="140">
        <f t="shared" si="3"/>
        <v>34</v>
      </c>
      <c r="C48" s="142">
        <f>'BC.114+320'!M47/1000</f>
        <v>0.748</v>
      </c>
      <c r="D48" s="142">
        <f>'BC.114+320'!AA47</f>
        <v>0.89900000000000002</v>
      </c>
      <c r="E48" s="143">
        <f>'BC.114+320'!AB47</f>
        <v>0.876</v>
      </c>
      <c r="F48" s="142">
        <f>VLOOKUP($A48,'BC.114+320'!$B$13:$X$489,8,0)/1000</f>
        <v>1.778</v>
      </c>
      <c r="G48" s="142">
        <f>VLOOKUP($A48,'BC.114+320'!$B$13:$X$489,9,0)/1000</f>
        <v>-0.222</v>
      </c>
      <c r="H48" s="142">
        <f>VLOOKUP($A48,'BC.114+320'!$B$13:$X$489,14,0)/1000</f>
        <v>1.768</v>
      </c>
      <c r="I48" s="142">
        <f>VLOOKUP($A48,'BC.114+320'!$B$13:$X$489,15,0)/1000</f>
        <v>-0.23200000000000001</v>
      </c>
      <c r="J48" s="142">
        <f>VLOOKUP($A48,'BC.114+320'!$B$13:$X$489,20,0)/1000</f>
        <v>1.8360000000000001</v>
      </c>
      <c r="K48" s="142">
        <f>VLOOKUP($A48,'BC.114+320'!$B$13:$X$489,21,0)/1000</f>
        <v>-0.16400000000000001</v>
      </c>
      <c r="L48" s="140">
        <f t="shared" si="0"/>
        <v>-42.000000000000007</v>
      </c>
      <c r="M48" s="141">
        <f t="shared" si="1"/>
        <v>-52.000000000000021</v>
      </c>
      <c r="N48" s="140">
        <f t="shared" si="2"/>
        <v>-44.000000000000014</v>
      </c>
      <c r="O48" s="140"/>
      <c r="P48" s="148"/>
      <c r="Q48" s="147"/>
      <c r="R48" s="146"/>
      <c r="S48" s="145"/>
      <c r="T48" s="145"/>
    </row>
    <row r="49" spans="1:20">
      <c r="A49" s="76">
        <f>'BC.114+320'!B48</f>
        <v>45078</v>
      </c>
      <c r="B49" s="140">
        <f t="shared" si="3"/>
        <v>35</v>
      </c>
      <c r="C49" s="142">
        <f>'BC.114+320'!M48/1000</f>
        <v>0.74299999999999999</v>
      </c>
      <c r="D49" s="142">
        <f>'BC.114+320'!AA48</f>
        <v>0.89900000000000002</v>
      </c>
      <c r="E49" s="143">
        <f>'BC.114+320'!AB48</f>
        <v>0.86599999999999999</v>
      </c>
      <c r="F49" s="142">
        <f>VLOOKUP($A49,'BC.114+320'!$B$13:$X$489,8,0)/1000</f>
        <v>1.7729999999999999</v>
      </c>
      <c r="G49" s="142">
        <f>VLOOKUP($A49,'BC.114+320'!$B$13:$X$489,9,0)/1000</f>
        <v>-0.22700000000000001</v>
      </c>
      <c r="H49" s="142">
        <f>VLOOKUP($A49,'BC.114+320'!$B$13:$X$489,14,0)/1000</f>
        <v>1.7629999999999999</v>
      </c>
      <c r="I49" s="142">
        <f>VLOOKUP($A49,'BC.114+320'!$B$13:$X$489,15,0)/1000</f>
        <v>-0.23699999999999999</v>
      </c>
      <c r="J49" s="142">
        <f>VLOOKUP($A49,'BC.114+320'!$B$13:$X$489,20,0)/1000</f>
        <v>1.831</v>
      </c>
      <c r="K49" s="142">
        <f>VLOOKUP($A49,'BC.114+320'!$B$13:$X$489,21,0)/1000</f>
        <v>-0.16900000000000001</v>
      </c>
      <c r="L49" s="140">
        <f t="shared" si="0"/>
        <v>-47.000000000000014</v>
      </c>
      <c r="M49" s="141">
        <f t="shared" si="1"/>
        <v>-56.999999999999993</v>
      </c>
      <c r="N49" s="140">
        <f t="shared" si="2"/>
        <v>-49.000000000000014</v>
      </c>
      <c r="O49" s="140"/>
      <c r="P49" s="148"/>
      <c r="Q49" s="147"/>
      <c r="R49" s="146"/>
      <c r="S49" s="145"/>
      <c r="T49" s="145"/>
    </row>
    <row r="50" spans="1:20">
      <c r="A50" s="76">
        <f>'BC.114+320'!B49</f>
        <v>45079</v>
      </c>
      <c r="B50" s="140">
        <f t="shared" si="3"/>
        <v>36</v>
      </c>
      <c r="C50" s="142">
        <f>'BC.114+320'!M49/1000</f>
        <v>0.73899999999999999</v>
      </c>
      <c r="D50" s="142">
        <f>'BC.114+320'!AA49</f>
        <v>0.89900000000000002</v>
      </c>
      <c r="E50" s="143">
        <f>'BC.114+320'!AB49</f>
        <v>0.85799999999999998</v>
      </c>
      <c r="F50" s="142">
        <f>VLOOKUP($A50,'BC.114+320'!$B$13:$X$489,8,0)/1000</f>
        <v>1.7689999999999999</v>
      </c>
      <c r="G50" s="142">
        <f>VLOOKUP($A50,'BC.114+320'!$B$13:$X$489,9,0)/1000</f>
        <v>-0.23100000000000001</v>
      </c>
      <c r="H50" s="142">
        <f>VLOOKUP($A50,'BC.114+320'!$B$13:$X$489,14,0)/1000</f>
        <v>1.7589999999999999</v>
      </c>
      <c r="I50" s="142">
        <f>VLOOKUP($A50,'BC.114+320'!$B$13:$X$489,15,0)/1000</f>
        <v>-0.24099999999999999</v>
      </c>
      <c r="J50" s="142">
        <f>VLOOKUP($A50,'BC.114+320'!$B$13:$X$489,20,0)/1000</f>
        <v>1.827</v>
      </c>
      <c r="K50" s="142">
        <f>VLOOKUP($A50,'BC.114+320'!$B$13:$X$489,21,0)/1000</f>
        <v>-0.17299999999999999</v>
      </c>
      <c r="L50" s="140">
        <f t="shared" si="0"/>
        <v>-51.000000000000014</v>
      </c>
      <c r="M50" s="141">
        <f t="shared" si="1"/>
        <v>-61</v>
      </c>
      <c r="N50" s="140">
        <f t="shared" si="2"/>
        <v>-52.999999999999993</v>
      </c>
      <c r="O50" s="140"/>
      <c r="P50" s="148"/>
      <c r="Q50" s="147"/>
      <c r="R50" s="146"/>
      <c r="S50" s="145"/>
      <c r="T50" s="145"/>
    </row>
    <row r="51" spans="1:20">
      <c r="A51" s="76">
        <f>'BC.114+320'!B50</f>
        <v>45080</v>
      </c>
      <c r="B51" s="140">
        <f t="shared" si="3"/>
        <v>37</v>
      </c>
      <c r="C51" s="142">
        <f>'BC.114+320'!M50/1000</f>
        <v>0.73599999999999999</v>
      </c>
      <c r="D51" s="142">
        <f>'BC.114+320'!AA50</f>
        <v>0.89900000000000002</v>
      </c>
      <c r="E51" s="143">
        <f>'BC.114+320'!AB50</f>
        <v>0.85199999999999998</v>
      </c>
      <c r="F51" s="142">
        <f>VLOOKUP($A51,'BC.114+320'!$B$13:$X$489,8,0)/1000</f>
        <v>1.766</v>
      </c>
      <c r="G51" s="142">
        <f>VLOOKUP($A51,'BC.114+320'!$B$13:$X$489,9,0)/1000</f>
        <v>-0.23400000000000001</v>
      </c>
      <c r="H51" s="142">
        <f>VLOOKUP($A51,'BC.114+320'!$B$13:$X$489,14,0)/1000</f>
        <v>1.756</v>
      </c>
      <c r="I51" s="142">
        <f>VLOOKUP($A51,'BC.114+320'!$B$13:$X$489,15,0)/1000</f>
        <v>-0.24399999999999999</v>
      </c>
      <c r="J51" s="142">
        <f>VLOOKUP($A51,'BC.114+320'!$B$13:$X$489,20,0)/1000</f>
        <v>1.8240000000000001</v>
      </c>
      <c r="K51" s="142">
        <f>VLOOKUP($A51,'BC.114+320'!$B$13:$X$489,21,0)/1000</f>
        <v>-0.17599999999999999</v>
      </c>
      <c r="L51" s="140">
        <f t="shared" si="0"/>
        <v>-54.000000000000021</v>
      </c>
      <c r="M51" s="141">
        <f t="shared" si="1"/>
        <v>-64</v>
      </c>
      <c r="N51" s="140">
        <f t="shared" si="2"/>
        <v>-55.999999999999993</v>
      </c>
      <c r="O51" s="140"/>
      <c r="P51" s="148"/>
      <c r="Q51" s="147"/>
      <c r="R51" s="146"/>
      <c r="S51" s="145"/>
      <c r="T51" s="145"/>
    </row>
    <row r="52" spans="1:20">
      <c r="A52" s="76">
        <f>'BC.114+320'!B51</f>
        <v>45081</v>
      </c>
      <c r="B52" s="140">
        <f t="shared" si="3"/>
        <v>38</v>
      </c>
      <c r="C52" s="142">
        <f>'BC.114+320'!M51/1000</f>
        <v>0.73199999999999998</v>
      </c>
      <c r="D52" s="142">
        <f>'BC.114+320'!AA51</f>
        <v>0.89900000000000002</v>
      </c>
      <c r="E52" s="143">
        <f>'BC.114+320'!AB51</f>
        <v>0.84399999999999997</v>
      </c>
      <c r="F52" s="142">
        <f>VLOOKUP($A52,'BC.114+320'!$B$13:$X$489,8,0)/1000</f>
        <v>1.7609999999999999</v>
      </c>
      <c r="G52" s="142">
        <f>VLOOKUP($A52,'BC.114+320'!$B$13:$X$489,9,0)/1000</f>
        <v>-0.23899999999999999</v>
      </c>
      <c r="H52" s="142">
        <f>VLOOKUP($A52,'BC.114+320'!$B$13:$X$489,14,0)/1000</f>
        <v>1.752</v>
      </c>
      <c r="I52" s="142">
        <f>VLOOKUP($A52,'BC.114+320'!$B$13:$X$489,15,0)/1000</f>
        <v>-0.248</v>
      </c>
      <c r="J52" s="142">
        <f>VLOOKUP($A52,'BC.114+320'!$B$13:$X$489,20,0)/1000</f>
        <v>1.819</v>
      </c>
      <c r="K52" s="142">
        <f>VLOOKUP($A52,'BC.114+320'!$B$13:$X$489,21,0)/1000</f>
        <v>-0.18099999999999999</v>
      </c>
      <c r="L52" s="140">
        <f t="shared" si="0"/>
        <v>-59</v>
      </c>
      <c r="M52" s="141">
        <f t="shared" si="1"/>
        <v>-68</v>
      </c>
      <c r="N52" s="140">
        <f t="shared" si="2"/>
        <v>-61</v>
      </c>
      <c r="O52" s="140"/>
      <c r="P52" s="148"/>
      <c r="Q52" s="147"/>
      <c r="R52" s="146"/>
      <c r="S52" s="145"/>
      <c r="T52" s="145"/>
    </row>
    <row r="53" spans="1:20">
      <c r="A53" s="76">
        <f>'BC.114+320'!B52</f>
        <v>45082</v>
      </c>
      <c r="B53" s="140">
        <f t="shared" si="3"/>
        <v>39</v>
      </c>
      <c r="C53" s="142">
        <f>'BC.114+320'!M52/1000</f>
        <v>0.72499999999999998</v>
      </c>
      <c r="D53" s="142">
        <f>'BC.114+320'!AA52</f>
        <v>0.89900000000000002</v>
      </c>
      <c r="E53" s="143">
        <f>'BC.114+320'!AB52</f>
        <v>0.83</v>
      </c>
      <c r="F53" s="142">
        <f>VLOOKUP($A53,'BC.114+320'!$B$13:$X$489,8,0)/1000</f>
        <v>1.7569999999999999</v>
      </c>
      <c r="G53" s="142">
        <f>VLOOKUP($A53,'BC.114+320'!$B$13:$X$489,9,0)/1000</f>
        <v>-0.24299999999999999</v>
      </c>
      <c r="H53" s="142">
        <f>VLOOKUP($A53,'BC.114+320'!$B$13:$X$489,14,0)/1000</f>
        <v>1.7450000000000001</v>
      </c>
      <c r="I53" s="142">
        <f>VLOOKUP($A53,'BC.114+320'!$B$13:$X$489,15,0)/1000</f>
        <v>-0.255</v>
      </c>
      <c r="J53" s="142">
        <f>VLOOKUP($A53,'BC.114+320'!$B$13:$X$489,20,0)/1000</f>
        <v>1.8149999999999999</v>
      </c>
      <c r="K53" s="142">
        <f>VLOOKUP($A53,'BC.114+320'!$B$13:$X$489,21,0)/1000</f>
        <v>-0.185</v>
      </c>
      <c r="L53" s="140">
        <f t="shared" si="0"/>
        <v>-63</v>
      </c>
      <c r="M53" s="141">
        <f t="shared" si="1"/>
        <v>-75.000000000000014</v>
      </c>
      <c r="N53" s="140">
        <f t="shared" si="2"/>
        <v>-65</v>
      </c>
      <c r="O53" s="140"/>
      <c r="P53" s="148"/>
      <c r="Q53" s="147"/>
      <c r="R53" s="146"/>
      <c r="S53" s="145"/>
      <c r="T53" s="145"/>
    </row>
    <row r="54" spans="1:20">
      <c r="A54" s="76">
        <f>'BC.114+320'!B53</f>
        <v>45083</v>
      </c>
      <c r="B54" s="140">
        <f t="shared" si="3"/>
        <v>40</v>
      </c>
      <c r="C54" s="142">
        <f>'BC.114+320'!M53/1000</f>
        <v>0.72</v>
      </c>
      <c r="D54" s="142">
        <f>'BC.114+320'!AA53</f>
        <v>0.89900000000000002</v>
      </c>
      <c r="E54" s="143">
        <f>'BC.114+320'!AB53</f>
        <v>0.82</v>
      </c>
      <c r="F54" s="142">
        <f>VLOOKUP($A54,'BC.114+320'!$B$13:$X$489,8,0)/1000</f>
        <v>1.754</v>
      </c>
      <c r="G54" s="142">
        <f>VLOOKUP($A54,'BC.114+320'!$B$13:$X$489,9,0)/1000</f>
        <v>-0.246</v>
      </c>
      <c r="H54" s="142">
        <f>VLOOKUP($A54,'BC.114+320'!$B$13:$X$489,14,0)/1000</f>
        <v>1.74</v>
      </c>
      <c r="I54" s="142">
        <f>VLOOKUP($A54,'BC.114+320'!$B$13:$X$489,15,0)/1000</f>
        <v>-0.26</v>
      </c>
      <c r="J54" s="142">
        <f>VLOOKUP($A54,'BC.114+320'!$B$13:$X$489,20,0)/1000</f>
        <v>1.8120000000000001</v>
      </c>
      <c r="K54" s="142">
        <f>VLOOKUP($A54,'BC.114+320'!$B$13:$X$489,21,0)/1000</f>
        <v>-0.188</v>
      </c>
      <c r="L54" s="140">
        <f t="shared" si="0"/>
        <v>-66</v>
      </c>
      <c r="M54" s="141">
        <f t="shared" si="1"/>
        <v>-80.000000000000014</v>
      </c>
      <c r="N54" s="140">
        <f t="shared" si="2"/>
        <v>-68</v>
      </c>
      <c r="O54" s="140"/>
      <c r="P54" s="148"/>
      <c r="Q54" s="147"/>
      <c r="R54" s="146"/>
      <c r="S54" s="145"/>
      <c r="T54" s="145"/>
    </row>
    <row r="55" spans="1:20">
      <c r="A55" s="76">
        <f>'BC.114+320'!B54</f>
        <v>45084</v>
      </c>
      <c r="B55" s="140">
        <f t="shared" si="3"/>
        <v>41</v>
      </c>
      <c r="C55" s="142">
        <f>'BC.114+320'!M54/1000</f>
        <v>0.71499999999999997</v>
      </c>
      <c r="D55" s="142">
        <f>'BC.114+320'!AA54</f>
        <v>0.89900000000000002</v>
      </c>
      <c r="E55" s="143">
        <f>'BC.114+320'!AB54</f>
        <v>0.81</v>
      </c>
      <c r="F55" s="142">
        <f>VLOOKUP($A55,'BC.114+320'!$B$13:$X$489,8,0)/1000</f>
        <v>1.752</v>
      </c>
      <c r="G55" s="142">
        <f>VLOOKUP($A55,'BC.114+320'!$B$13:$X$489,9,0)/1000</f>
        <v>-0.248</v>
      </c>
      <c r="H55" s="142">
        <f>VLOOKUP($A55,'BC.114+320'!$B$13:$X$489,14,0)/1000</f>
        <v>1.7350000000000001</v>
      </c>
      <c r="I55" s="142">
        <f>VLOOKUP($A55,'BC.114+320'!$B$13:$X$489,15,0)/1000</f>
        <v>-0.26500000000000001</v>
      </c>
      <c r="J55" s="142">
        <f>VLOOKUP($A55,'BC.114+320'!$B$13:$X$489,20,0)/1000</f>
        <v>1.81</v>
      </c>
      <c r="K55" s="142">
        <f>VLOOKUP($A55,'BC.114+320'!$B$13:$X$489,21,0)/1000</f>
        <v>-0.19</v>
      </c>
      <c r="L55" s="140">
        <f t="shared" si="0"/>
        <v>-68</v>
      </c>
      <c r="M55" s="141">
        <f t="shared" si="1"/>
        <v>-85.000000000000014</v>
      </c>
      <c r="N55" s="140">
        <f t="shared" si="2"/>
        <v>-70</v>
      </c>
      <c r="O55" s="140"/>
      <c r="P55" s="148"/>
      <c r="Q55" s="147"/>
      <c r="R55" s="146"/>
      <c r="S55" s="145"/>
      <c r="T55" s="145"/>
    </row>
    <row r="56" spans="1:20">
      <c r="A56" s="76">
        <f>'BC.114+320'!B55</f>
        <v>45085</v>
      </c>
      <c r="B56" s="140">
        <f t="shared" si="3"/>
        <v>42</v>
      </c>
      <c r="C56" s="142">
        <f>'BC.114+320'!M55/1000</f>
        <v>0.71099999999999997</v>
      </c>
      <c r="D56" s="142">
        <f>'BC.114+320'!AA55</f>
        <v>0.89900000000000002</v>
      </c>
      <c r="E56" s="143">
        <f>'BC.114+320'!AB55</f>
        <v>0.80200000000000005</v>
      </c>
      <c r="F56" s="142">
        <f>VLOOKUP($A56,'BC.114+320'!$B$13:$X$489,8,0)/1000</f>
        <v>1.748</v>
      </c>
      <c r="G56" s="142">
        <f>VLOOKUP($A56,'BC.114+320'!$B$13:$X$489,9,0)/1000</f>
        <v>-0.252</v>
      </c>
      <c r="H56" s="142">
        <f>VLOOKUP($A56,'BC.114+320'!$B$13:$X$489,14,0)/1000</f>
        <v>1.7310000000000001</v>
      </c>
      <c r="I56" s="142">
        <f>VLOOKUP($A56,'BC.114+320'!$B$13:$X$489,15,0)/1000</f>
        <v>-0.26900000000000002</v>
      </c>
      <c r="J56" s="142">
        <f>VLOOKUP($A56,'BC.114+320'!$B$13:$X$489,20,0)/1000</f>
        <v>1.806</v>
      </c>
      <c r="K56" s="142">
        <f>VLOOKUP($A56,'BC.114+320'!$B$13:$X$489,21,0)/1000</f>
        <v>-0.19400000000000001</v>
      </c>
      <c r="L56" s="140">
        <f t="shared" si="0"/>
        <v>-72.000000000000014</v>
      </c>
      <c r="M56" s="141">
        <f t="shared" si="1"/>
        <v>-89.000000000000028</v>
      </c>
      <c r="N56" s="140">
        <f t="shared" si="2"/>
        <v>-74.000000000000014</v>
      </c>
      <c r="O56" s="140"/>
      <c r="P56" s="148"/>
      <c r="Q56" s="147"/>
      <c r="R56" s="146"/>
      <c r="S56" s="145"/>
      <c r="T56" s="145"/>
    </row>
    <row r="57" spans="1:20">
      <c r="A57" s="76">
        <f>'BC.114+320'!B56</f>
        <v>45086</v>
      </c>
      <c r="B57" s="140">
        <f t="shared" si="3"/>
        <v>43</v>
      </c>
      <c r="C57" s="142">
        <f>'BC.114+320'!M56/1000</f>
        <v>0.70799999999999996</v>
      </c>
      <c r="D57" s="142">
        <f>'BC.114+320'!AA56</f>
        <v>0.89900000000000002</v>
      </c>
      <c r="E57" s="143">
        <f>'BC.114+320'!AB56</f>
        <v>0.79600000000000004</v>
      </c>
      <c r="F57" s="142">
        <f>VLOOKUP($A57,'BC.114+320'!$B$13:$X$489,8,0)/1000</f>
        <v>1.7450000000000001</v>
      </c>
      <c r="G57" s="142">
        <f>VLOOKUP($A57,'BC.114+320'!$B$13:$X$489,9,0)/1000</f>
        <v>-0.255</v>
      </c>
      <c r="H57" s="142">
        <f>VLOOKUP($A57,'BC.114+320'!$B$13:$X$489,14,0)/1000</f>
        <v>1.728</v>
      </c>
      <c r="I57" s="142">
        <f>VLOOKUP($A57,'BC.114+320'!$B$13:$X$489,15,0)/1000</f>
        <v>-0.27200000000000002</v>
      </c>
      <c r="J57" s="142">
        <f>VLOOKUP($A57,'BC.114+320'!$B$13:$X$489,20,0)/1000</f>
        <v>1.8029999999999999</v>
      </c>
      <c r="K57" s="142">
        <f>VLOOKUP($A57,'BC.114+320'!$B$13:$X$489,21,0)/1000</f>
        <v>-0.19700000000000001</v>
      </c>
      <c r="L57" s="140">
        <f t="shared" si="0"/>
        <v>-75.000000000000014</v>
      </c>
      <c r="M57" s="141">
        <f t="shared" si="1"/>
        <v>-92.000000000000028</v>
      </c>
      <c r="N57" s="140">
        <f t="shared" si="2"/>
        <v>-77.000000000000014</v>
      </c>
      <c r="O57" s="140"/>
      <c r="P57" s="148"/>
      <c r="Q57" s="147"/>
      <c r="R57" s="146"/>
      <c r="S57" s="145"/>
      <c r="T57" s="145"/>
    </row>
    <row r="58" spans="1:20">
      <c r="A58" s="76">
        <f>'BC.114+320'!B57</f>
        <v>45087</v>
      </c>
      <c r="B58" s="140">
        <f t="shared" si="3"/>
        <v>44</v>
      </c>
      <c r="C58" s="142">
        <f>'BC.114+320'!M57/1000</f>
        <v>0.70599999999999996</v>
      </c>
      <c r="D58" s="142">
        <f>'BC.114+320'!AA57</f>
        <v>0.89900000000000002</v>
      </c>
      <c r="E58" s="143">
        <f>'BC.114+320'!AB57</f>
        <v>0.79200000000000004</v>
      </c>
      <c r="F58" s="142">
        <f>VLOOKUP($A58,'BC.114+320'!$B$13:$X$489,8,0)/1000</f>
        <v>1.7430000000000001</v>
      </c>
      <c r="G58" s="142">
        <f>VLOOKUP($A58,'BC.114+320'!$B$13:$X$489,9,0)/1000</f>
        <v>-0.25700000000000001</v>
      </c>
      <c r="H58" s="142">
        <f>VLOOKUP($A58,'BC.114+320'!$B$13:$X$489,14,0)/1000</f>
        <v>1.726</v>
      </c>
      <c r="I58" s="142">
        <f>VLOOKUP($A58,'BC.114+320'!$B$13:$X$489,15,0)/1000</f>
        <v>-0.27400000000000002</v>
      </c>
      <c r="J58" s="142">
        <f>VLOOKUP($A58,'BC.114+320'!$B$13:$X$489,20,0)/1000</f>
        <v>1.8009999999999999</v>
      </c>
      <c r="K58" s="142">
        <f>VLOOKUP($A58,'BC.114+320'!$B$13:$X$489,21,0)/1000</f>
        <v>-0.19900000000000001</v>
      </c>
      <c r="L58" s="140">
        <f t="shared" si="0"/>
        <v>-77.000000000000014</v>
      </c>
      <c r="M58" s="141">
        <f t="shared" si="1"/>
        <v>-94.000000000000028</v>
      </c>
      <c r="N58" s="140">
        <f t="shared" si="2"/>
        <v>-79.000000000000014</v>
      </c>
      <c r="O58" s="140"/>
      <c r="P58" s="148"/>
      <c r="Q58" s="147"/>
      <c r="R58" s="146"/>
      <c r="S58" s="145"/>
      <c r="T58" s="145"/>
    </row>
    <row r="59" spans="1:20">
      <c r="A59" s="76">
        <f>'BC.114+320'!B58</f>
        <v>45088</v>
      </c>
      <c r="B59" s="140">
        <f t="shared" si="3"/>
        <v>45</v>
      </c>
      <c r="C59" s="142">
        <f>'BC.114+320'!M58/1000</f>
        <v>0.70199999999999996</v>
      </c>
      <c r="D59" s="142">
        <f>'BC.114+320'!AA58</f>
        <v>0.89900000000000002</v>
      </c>
      <c r="E59" s="143">
        <f>'BC.114+320'!AB58</f>
        <v>0.78400000000000003</v>
      </c>
      <c r="F59" s="142">
        <f>VLOOKUP($A59,'BC.114+320'!$B$13:$X$489,8,0)/1000</f>
        <v>1.7390000000000001</v>
      </c>
      <c r="G59" s="142">
        <f>VLOOKUP($A59,'BC.114+320'!$B$13:$X$489,9,0)/1000</f>
        <v>-0.26100000000000001</v>
      </c>
      <c r="H59" s="142">
        <f>VLOOKUP($A59,'BC.114+320'!$B$13:$X$489,14,0)/1000</f>
        <v>1.722</v>
      </c>
      <c r="I59" s="142">
        <f>VLOOKUP($A59,'BC.114+320'!$B$13:$X$489,15,0)/1000</f>
        <v>-0.27800000000000002</v>
      </c>
      <c r="J59" s="142">
        <f>VLOOKUP($A59,'BC.114+320'!$B$13:$X$489,20,0)/1000</f>
        <v>1.7969999999999999</v>
      </c>
      <c r="K59" s="142">
        <f>VLOOKUP($A59,'BC.114+320'!$B$13:$X$489,21,0)/1000</f>
        <v>-0.20300000000000001</v>
      </c>
      <c r="L59" s="140">
        <f t="shared" si="0"/>
        <v>-81.000000000000014</v>
      </c>
      <c r="M59" s="141">
        <f t="shared" si="1"/>
        <v>-98.000000000000028</v>
      </c>
      <c r="N59" s="140">
        <f t="shared" si="2"/>
        <v>-83.000000000000014</v>
      </c>
      <c r="O59" s="140"/>
      <c r="P59" s="148"/>
      <c r="Q59" s="147"/>
      <c r="R59" s="146"/>
      <c r="S59" s="145"/>
      <c r="T59" s="145"/>
    </row>
    <row r="60" spans="1:20">
      <c r="A60" s="76">
        <f>'BC.114+320'!B59</f>
        <v>45089</v>
      </c>
      <c r="B60" s="140">
        <f t="shared" si="3"/>
        <v>46</v>
      </c>
      <c r="C60" s="142">
        <f>'BC.114+320'!M59/1000</f>
        <v>0.69499999999999995</v>
      </c>
      <c r="D60" s="142">
        <f>'BC.114+320'!AA59</f>
        <v>0.89900000000000002</v>
      </c>
      <c r="E60" s="143">
        <f>'BC.114+320'!AB59</f>
        <v>0.77</v>
      </c>
      <c r="F60" s="142">
        <f>VLOOKUP($A60,'BC.114+320'!$B$13:$X$489,8,0)/1000</f>
        <v>1.732</v>
      </c>
      <c r="G60" s="142">
        <f>VLOOKUP($A60,'BC.114+320'!$B$13:$X$489,9,0)/1000</f>
        <v>-0.26800000000000002</v>
      </c>
      <c r="H60" s="142">
        <f>VLOOKUP($A60,'BC.114+320'!$B$13:$X$489,14,0)/1000</f>
        <v>1.7150000000000001</v>
      </c>
      <c r="I60" s="142">
        <f>VLOOKUP($A60,'BC.114+320'!$B$13:$X$489,15,0)/1000</f>
        <v>-0.28499999999999998</v>
      </c>
      <c r="J60" s="142">
        <f>VLOOKUP($A60,'BC.114+320'!$B$13:$X$489,20,0)/1000</f>
        <v>1.79</v>
      </c>
      <c r="K60" s="142">
        <f>VLOOKUP($A60,'BC.114+320'!$B$13:$X$489,21,0)/1000</f>
        <v>-0.21</v>
      </c>
      <c r="L60" s="140">
        <f t="shared" si="0"/>
        <v>-88.000000000000028</v>
      </c>
      <c r="M60" s="141">
        <f t="shared" si="1"/>
        <v>-104.99999999999999</v>
      </c>
      <c r="N60" s="140">
        <f t="shared" si="2"/>
        <v>-90</v>
      </c>
      <c r="O60" s="140"/>
      <c r="P60" s="148"/>
      <c r="Q60" s="147"/>
      <c r="R60" s="146"/>
      <c r="S60" s="145"/>
      <c r="T60" s="145"/>
    </row>
    <row r="61" spans="1:20">
      <c r="A61" s="76">
        <f>'BC.114+320'!B60</f>
        <v>45090</v>
      </c>
      <c r="B61" s="140">
        <f t="shared" si="3"/>
        <v>47</v>
      </c>
      <c r="C61" s="142">
        <f>'BC.114+320'!M60/1000</f>
        <v>0.69</v>
      </c>
      <c r="D61" s="142">
        <f>'BC.114+320'!AA60</f>
        <v>0.89900000000000002</v>
      </c>
      <c r="E61" s="143">
        <f>'BC.114+320'!AB60</f>
        <v>0.76</v>
      </c>
      <c r="F61" s="142">
        <f>VLOOKUP($A61,'BC.114+320'!$B$13:$X$489,8,0)/1000</f>
        <v>1.7270000000000001</v>
      </c>
      <c r="G61" s="142">
        <f>VLOOKUP($A61,'BC.114+320'!$B$13:$X$489,9,0)/1000</f>
        <v>-0.27300000000000002</v>
      </c>
      <c r="H61" s="142">
        <f>VLOOKUP($A61,'BC.114+320'!$B$13:$X$489,14,0)/1000</f>
        <v>1.71</v>
      </c>
      <c r="I61" s="142">
        <f>VLOOKUP($A61,'BC.114+320'!$B$13:$X$489,15,0)/1000</f>
        <v>-0.28999999999999998</v>
      </c>
      <c r="J61" s="142">
        <f>VLOOKUP($A61,'BC.114+320'!$B$13:$X$489,20,0)/1000</f>
        <v>1.7849999999999999</v>
      </c>
      <c r="K61" s="142">
        <f>VLOOKUP($A61,'BC.114+320'!$B$13:$X$489,21,0)/1000</f>
        <v>-0.215</v>
      </c>
      <c r="L61" s="140">
        <f t="shared" si="0"/>
        <v>-93.000000000000028</v>
      </c>
      <c r="M61" s="141">
        <f t="shared" si="1"/>
        <v>-109.99999999999999</v>
      </c>
      <c r="N61" s="140">
        <f t="shared" si="2"/>
        <v>-95</v>
      </c>
      <c r="O61" s="140"/>
      <c r="P61" s="148"/>
      <c r="Q61" s="147"/>
      <c r="R61" s="146"/>
      <c r="S61" s="145"/>
      <c r="T61" s="145"/>
    </row>
    <row r="62" spans="1:20">
      <c r="A62" s="76">
        <f>'BC.114+320'!B61</f>
        <v>45091</v>
      </c>
      <c r="B62" s="140">
        <f t="shared" si="3"/>
        <v>48</v>
      </c>
      <c r="C62" s="142">
        <f>'BC.114+320'!M61/1000</f>
        <v>0.68500000000000005</v>
      </c>
      <c r="D62" s="142">
        <f>'BC.114+320'!AA61</f>
        <v>0.89900000000000002</v>
      </c>
      <c r="E62" s="143">
        <f>'BC.114+320'!AB61</f>
        <v>0.75</v>
      </c>
      <c r="F62" s="142">
        <f>VLOOKUP($A62,'BC.114+320'!$B$13:$X$489,8,0)/1000</f>
        <v>1.722</v>
      </c>
      <c r="G62" s="142">
        <f>VLOOKUP($A62,'BC.114+320'!$B$13:$X$489,9,0)/1000</f>
        <v>-0.27800000000000002</v>
      </c>
      <c r="H62" s="142">
        <f>VLOOKUP($A62,'BC.114+320'!$B$13:$X$489,14,0)/1000</f>
        <v>1.7050000000000001</v>
      </c>
      <c r="I62" s="142">
        <f>VLOOKUP($A62,'BC.114+320'!$B$13:$X$489,15,0)/1000</f>
        <v>-0.29499999999999998</v>
      </c>
      <c r="J62" s="142">
        <f>VLOOKUP($A62,'BC.114+320'!$B$13:$X$489,20,0)/1000</f>
        <v>1.78</v>
      </c>
      <c r="K62" s="142">
        <f>VLOOKUP($A62,'BC.114+320'!$B$13:$X$489,21,0)/1000</f>
        <v>-0.22</v>
      </c>
      <c r="L62" s="140">
        <f t="shared" si="0"/>
        <v>-98.000000000000028</v>
      </c>
      <c r="M62" s="141">
        <f t="shared" si="1"/>
        <v>-114.99999999999999</v>
      </c>
      <c r="N62" s="140">
        <f t="shared" si="2"/>
        <v>-100</v>
      </c>
      <c r="O62" s="140"/>
      <c r="P62" s="148"/>
      <c r="Q62" s="147"/>
      <c r="R62" s="146"/>
      <c r="S62" s="145"/>
      <c r="T62" s="145"/>
    </row>
    <row r="63" spans="1:20">
      <c r="A63" s="76">
        <f>'BC.114+320'!B62</f>
        <v>45092</v>
      </c>
      <c r="B63" s="140">
        <f t="shared" si="3"/>
        <v>49</v>
      </c>
      <c r="C63" s="142">
        <f>'BC.114+320'!M62/1000</f>
        <v>0.68100000000000005</v>
      </c>
      <c r="D63" s="142">
        <f>'BC.114+320'!AA62</f>
        <v>0.89900000000000002</v>
      </c>
      <c r="E63" s="143">
        <f>'BC.114+320'!AB62</f>
        <v>0.74199999999999999</v>
      </c>
      <c r="F63" s="142">
        <f>VLOOKUP($A63,'BC.114+320'!$B$13:$X$489,8,0)/1000</f>
        <v>1.718</v>
      </c>
      <c r="G63" s="142">
        <f>VLOOKUP($A63,'BC.114+320'!$B$13:$X$489,9,0)/1000</f>
        <v>-0.28199999999999997</v>
      </c>
      <c r="H63" s="142">
        <f>VLOOKUP($A63,'BC.114+320'!$B$13:$X$489,14,0)/1000</f>
        <v>1.7010000000000001</v>
      </c>
      <c r="I63" s="142">
        <f>VLOOKUP($A63,'BC.114+320'!$B$13:$X$489,15,0)/1000</f>
        <v>-0.29899999999999999</v>
      </c>
      <c r="J63" s="142">
        <f>VLOOKUP($A63,'BC.114+320'!$B$13:$X$489,20,0)/1000</f>
        <v>1.776</v>
      </c>
      <c r="K63" s="142">
        <f>VLOOKUP($A63,'BC.114+320'!$B$13:$X$489,21,0)/1000</f>
        <v>-0.224</v>
      </c>
      <c r="L63" s="140">
        <f t="shared" si="0"/>
        <v>-101.99999999999999</v>
      </c>
      <c r="M63" s="141">
        <f t="shared" si="1"/>
        <v>-119</v>
      </c>
      <c r="N63" s="140">
        <f t="shared" si="2"/>
        <v>-104.00000000000001</v>
      </c>
      <c r="O63" s="140"/>
      <c r="P63" s="148"/>
      <c r="Q63" s="147"/>
      <c r="R63" s="146"/>
      <c r="S63" s="145"/>
      <c r="T63" s="145"/>
    </row>
    <row r="64" spans="1:20">
      <c r="A64" s="76">
        <f>'BC.114+320'!B63</f>
        <v>45093</v>
      </c>
      <c r="B64" s="140">
        <f t="shared" si="3"/>
        <v>50</v>
      </c>
      <c r="C64" s="142">
        <f>'BC.114+320'!M63/1000</f>
        <v>0.68</v>
      </c>
      <c r="D64" s="142">
        <f>'BC.114+320'!AA63</f>
        <v>0.89900000000000002</v>
      </c>
      <c r="E64" s="143">
        <f>'BC.114+320'!AB63</f>
        <v>0.74</v>
      </c>
      <c r="F64" s="142">
        <f>VLOOKUP($A64,'BC.114+320'!$B$13:$X$489,8,0)/1000</f>
        <v>1.7170000000000001</v>
      </c>
      <c r="G64" s="142">
        <f>VLOOKUP($A64,'BC.114+320'!$B$13:$X$489,9,0)/1000</f>
        <v>-0.28299999999999997</v>
      </c>
      <c r="H64" s="142">
        <f>VLOOKUP($A64,'BC.114+320'!$B$13:$X$489,14,0)/1000</f>
        <v>1.7</v>
      </c>
      <c r="I64" s="142">
        <f>VLOOKUP($A64,'BC.114+320'!$B$13:$X$489,15,0)/1000</f>
        <v>-0.3</v>
      </c>
      <c r="J64" s="142">
        <f>VLOOKUP($A64,'BC.114+320'!$B$13:$X$489,20,0)/1000</f>
        <v>1.7749999999999999</v>
      </c>
      <c r="K64" s="142">
        <f>VLOOKUP($A64,'BC.114+320'!$B$13:$X$489,21,0)/1000</f>
        <v>-0.22500000000000001</v>
      </c>
      <c r="L64" s="140">
        <f t="shared" si="0"/>
        <v>-102.99999999999999</v>
      </c>
      <c r="M64" s="141">
        <f t="shared" si="1"/>
        <v>-120</v>
      </c>
      <c r="N64" s="140">
        <f t="shared" si="2"/>
        <v>-105.00000000000001</v>
      </c>
      <c r="O64" s="140"/>
      <c r="P64" s="148"/>
      <c r="Q64" s="147"/>
      <c r="R64" s="146"/>
      <c r="S64" s="145"/>
      <c r="T64" s="145"/>
    </row>
    <row r="65" spans="1:20">
      <c r="A65" s="76">
        <f>'BC.114+320'!B64</f>
        <v>45094</v>
      </c>
      <c r="B65" s="140">
        <f t="shared" si="3"/>
        <v>51</v>
      </c>
      <c r="C65" s="142">
        <f>'BC.114+320'!M64/1000</f>
        <v>0.67900000000000005</v>
      </c>
      <c r="D65" s="142">
        <f>'BC.114+320'!AA64</f>
        <v>0.89900000000000002</v>
      </c>
      <c r="E65" s="143">
        <f>'BC.114+320'!AB64</f>
        <v>0.73799999999999999</v>
      </c>
      <c r="F65" s="142">
        <f>VLOOKUP($A65,'BC.114+320'!$B$13:$X$489,8,0)/1000</f>
        <v>1.716</v>
      </c>
      <c r="G65" s="142">
        <f>VLOOKUP($A65,'BC.114+320'!$B$13:$X$489,9,0)/1000</f>
        <v>-0.28399999999999997</v>
      </c>
      <c r="H65" s="142">
        <f>VLOOKUP($A65,'BC.114+320'!$B$13:$X$489,14,0)/1000</f>
        <v>1.6990000000000001</v>
      </c>
      <c r="I65" s="142">
        <f>VLOOKUP($A65,'BC.114+320'!$B$13:$X$489,15,0)/1000</f>
        <v>-0.30099999999999999</v>
      </c>
      <c r="J65" s="142">
        <f>VLOOKUP($A65,'BC.114+320'!$B$13:$X$489,20,0)/1000</f>
        <v>1.774</v>
      </c>
      <c r="K65" s="142">
        <f>VLOOKUP($A65,'BC.114+320'!$B$13:$X$489,21,0)/1000</f>
        <v>-0.22600000000000001</v>
      </c>
      <c r="L65" s="140">
        <f t="shared" si="0"/>
        <v>-103.99999999999999</v>
      </c>
      <c r="M65" s="141">
        <f t="shared" si="1"/>
        <v>-121</v>
      </c>
      <c r="N65" s="140">
        <f t="shared" si="2"/>
        <v>-106.00000000000001</v>
      </c>
      <c r="O65" s="140"/>
      <c r="P65" s="148"/>
      <c r="Q65" s="147"/>
      <c r="R65" s="146"/>
      <c r="S65" s="145"/>
      <c r="T65" s="145"/>
    </row>
    <row r="66" spans="1:20">
      <c r="A66" s="76">
        <f>'BC.114+320'!B65</f>
        <v>45095</v>
      </c>
      <c r="B66" s="140">
        <f t="shared" si="3"/>
        <v>52</v>
      </c>
      <c r="C66" s="142">
        <f>'BC.114+320'!M65/1000</f>
        <v>0.67900000000000005</v>
      </c>
      <c r="D66" s="142">
        <f>'BC.114+320'!AA65</f>
        <v>0.89900000000000002</v>
      </c>
      <c r="E66" s="143">
        <f>'BC.114+320'!AB65</f>
        <v>0.73799999999999999</v>
      </c>
      <c r="F66" s="142">
        <f>VLOOKUP($A66,'BC.114+320'!$B$13:$X$489,8,0)/1000</f>
        <v>1.716</v>
      </c>
      <c r="G66" s="142">
        <f>VLOOKUP($A66,'BC.114+320'!$B$13:$X$489,9,0)/1000</f>
        <v>-0.28399999999999997</v>
      </c>
      <c r="H66" s="142">
        <f>VLOOKUP($A66,'BC.114+320'!$B$13:$X$489,14,0)/1000</f>
        <v>1.6990000000000001</v>
      </c>
      <c r="I66" s="142">
        <f>VLOOKUP($A66,'BC.114+320'!$B$13:$X$489,15,0)/1000</f>
        <v>-0.30099999999999999</v>
      </c>
      <c r="J66" s="142">
        <f>VLOOKUP($A66,'BC.114+320'!$B$13:$X$489,20,0)/1000</f>
        <v>1.772</v>
      </c>
      <c r="K66" s="142">
        <f>VLOOKUP($A66,'BC.114+320'!$B$13:$X$489,21,0)/1000</f>
        <v>-0.22800000000000001</v>
      </c>
      <c r="L66" s="140">
        <f t="shared" si="0"/>
        <v>-103.99999999999999</v>
      </c>
      <c r="M66" s="141">
        <f t="shared" si="1"/>
        <v>-121</v>
      </c>
      <c r="N66" s="140">
        <f t="shared" si="2"/>
        <v>-108.00000000000001</v>
      </c>
      <c r="O66" s="140"/>
      <c r="P66" s="148"/>
      <c r="Q66" s="147"/>
      <c r="R66" s="146"/>
      <c r="S66" s="145"/>
      <c r="T66" s="145"/>
    </row>
    <row r="67" spans="1:20">
      <c r="A67" s="76">
        <f>'BC.114+320'!B66</f>
        <v>45096</v>
      </c>
      <c r="B67" s="140">
        <f t="shared" si="3"/>
        <v>53</v>
      </c>
      <c r="C67" s="142">
        <f>'BC.114+320'!M66/1000</f>
        <v>0.67800000000000005</v>
      </c>
      <c r="D67" s="142">
        <f>'BC.114+320'!AA66</f>
        <v>0.89900000000000002</v>
      </c>
      <c r="E67" s="143">
        <f>'BC.114+320'!AB66</f>
        <v>0.73599999999999999</v>
      </c>
      <c r="F67" s="142">
        <f>VLOOKUP($A67,'BC.114+320'!$B$13:$X$489,8,0)/1000</f>
        <v>1.7150000000000001</v>
      </c>
      <c r="G67" s="142">
        <f>VLOOKUP($A67,'BC.114+320'!$B$13:$X$489,9,0)/1000</f>
        <v>-0.28499999999999998</v>
      </c>
      <c r="H67" s="142">
        <f>VLOOKUP($A67,'BC.114+320'!$B$13:$X$489,14,0)/1000</f>
        <v>1.698</v>
      </c>
      <c r="I67" s="142">
        <f>VLOOKUP($A67,'BC.114+320'!$B$13:$X$489,15,0)/1000</f>
        <v>-0.30199999999999999</v>
      </c>
      <c r="J67" s="142">
        <f>VLOOKUP($A67,'BC.114+320'!$B$13:$X$489,20,0)/1000</f>
        <v>1.772</v>
      </c>
      <c r="K67" s="142">
        <f>VLOOKUP($A67,'BC.114+320'!$B$13:$X$489,21,0)/1000</f>
        <v>-0.22800000000000001</v>
      </c>
      <c r="L67" s="140">
        <f t="shared" si="0"/>
        <v>-104.99999999999999</v>
      </c>
      <c r="M67" s="141">
        <f t="shared" si="1"/>
        <v>-122</v>
      </c>
      <c r="N67" s="140">
        <f t="shared" si="2"/>
        <v>-108.00000000000001</v>
      </c>
      <c r="O67" s="140"/>
      <c r="P67" s="148"/>
      <c r="Q67" s="147"/>
      <c r="R67" s="146"/>
      <c r="S67" s="145"/>
      <c r="T67" s="145"/>
    </row>
    <row r="68" spans="1:20">
      <c r="A68" s="76">
        <f>'BC.114+320'!B67</f>
        <v>45097</v>
      </c>
      <c r="B68" s="140">
        <f t="shared" si="3"/>
        <v>54</v>
      </c>
      <c r="C68" s="142">
        <f>'BC.114+320'!M67/1000</f>
        <v>0.67800000000000005</v>
      </c>
      <c r="D68" s="142">
        <f>'BC.114+320'!AA67</f>
        <v>0.89900000000000002</v>
      </c>
      <c r="E68" s="143">
        <f>'BC.114+320'!AB67</f>
        <v>0.73599999999999999</v>
      </c>
      <c r="F68" s="142">
        <f>VLOOKUP($A68,'BC.114+320'!$B$13:$X$489,8,0)/1000</f>
        <v>1.7150000000000001</v>
      </c>
      <c r="G68" s="142">
        <f>VLOOKUP($A68,'BC.114+320'!$B$13:$X$489,9,0)/1000</f>
        <v>-0.28499999999999998</v>
      </c>
      <c r="H68" s="142">
        <f>VLOOKUP($A68,'BC.114+320'!$B$13:$X$489,14,0)/1000</f>
        <v>1.698</v>
      </c>
      <c r="I68" s="142">
        <f>VLOOKUP($A68,'BC.114+320'!$B$13:$X$489,15,0)/1000</f>
        <v>-0.30199999999999999</v>
      </c>
      <c r="J68" s="142">
        <f>VLOOKUP($A68,'BC.114+320'!$B$13:$X$489,20,0)/1000</f>
        <v>1.77</v>
      </c>
      <c r="K68" s="142">
        <f>VLOOKUP($A68,'BC.114+320'!$B$13:$X$489,21,0)/1000</f>
        <v>-0.23</v>
      </c>
      <c r="L68" s="140">
        <f t="shared" si="0"/>
        <v>-104.99999999999999</v>
      </c>
      <c r="M68" s="141">
        <f t="shared" si="1"/>
        <v>-122</v>
      </c>
      <c r="N68" s="140">
        <f t="shared" si="2"/>
        <v>-110.00000000000001</v>
      </c>
      <c r="O68" s="140"/>
      <c r="P68" s="148"/>
      <c r="Q68" s="147"/>
      <c r="R68" s="146"/>
      <c r="S68" s="145"/>
      <c r="T68" s="145"/>
    </row>
    <row r="69" spans="1:20">
      <c r="A69" s="76">
        <f>'BC.114+320'!B68</f>
        <v>45098</v>
      </c>
      <c r="B69" s="140">
        <f t="shared" si="3"/>
        <v>55</v>
      </c>
      <c r="C69" s="142">
        <f>'BC.114+320'!M68/1000</f>
        <v>0.67700000000000005</v>
      </c>
      <c r="D69" s="142">
        <f>'BC.114+320'!AA68</f>
        <v>0.89900000000000002</v>
      </c>
      <c r="E69" s="143">
        <f>'BC.114+320'!AB68</f>
        <v>0.73399999999999999</v>
      </c>
      <c r="F69" s="142">
        <f>VLOOKUP($A69,'BC.114+320'!$B$13:$X$489,8,0)/1000</f>
        <v>1.714</v>
      </c>
      <c r="G69" s="142">
        <f>VLOOKUP($A69,'BC.114+320'!$B$13:$X$489,9,0)/1000</f>
        <v>-0.28599999999999998</v>
      </c>
      <c r="H69" s="142">
        <f>VLOOKUP($A69,'BC.114+320'!$B$13:$X$489,14,0)/1000</f>
        <v>1.6970000000000001</v>
      </c>
      <c r="I69" s="142">
        <f>VLOOKUP($A69,'BC.114+320'!$B$13:$X$489,15,0)/1000</f>
        <v>-0.30299999999999999</v>
      </c>
      <c r="J69" s="142">
        <f>VLOOKUP($A69,'BC.114+320'!$B$13:$X$489,20,0)/1000</f>
        <v>1.7689999999999999</v>
      </c>
      <c r="K69" s="142">
        <f>VLOOKUP($A69,'BC.114+320'!$B$13:$X$489,21,0)/1000</f>
        <v>-0.23100000000000001</v>
      </c>
      <c r="L69" s="140">
        <f t="shared" si="0"/>
        <v>-105.99999999999999</v>
      </c>
      <c r="M69" s="141">
        <f t="shared" si="1"/>
        <v>-123</v>
      </c>
      <c r="N69" s="140">
        <f t="shared" si="2"/>
        <v>-111.00000000000001</v>
      </c>
      <c r="O69" s="140"/>
      <c r="P69" s="148"/>
      <c r="Q69" s="147"/>
      <c r="R69" s="146"/>
      <c r="S69" s="145"/>
      <c r="T69" s="145"/>
    </row>
    <row r="70" spans="1:20">
      <c r="A70" s="76">
        <f>'BC.114+320'!B69</f>
        <v>45099</v>
      </c>
      <c r="B70" s="140">
        <f t="shared" si="3"/>
        <v>56</v>
      </c>
      <c r="C70" s="142">
        <f>'BC.114+320'!M69/1000</f>
        <v>0.67700000000000005</v>
      </c>
      <c r="D70" s="142">
        <f>'BC.114+320'!AA69</f>
        <v>0.89900000000000002</v>
      </c>
      <c r="E70" s="143">
        <f>'BC.114+320'!AB69</f>
        <v>0.73399999999999999</v>
      </c>
      <c r="F70" s="142">
        <f>VLOOKUP($A70,'BC.114+320'!$B$13:$X$489,8,0)/1000</f>
        <v>1.714</v>
      </c>
      <c r="G70" s="142">
        <f>VLOOKUP($A70,'BC.114+320'!$B$13:$X$489,9,0)/1000</f>
        <v>-0.28599999999999998</v>
      </c>
      <c r="H70" s="142">
        <f>VLOOKUP($A70,'BC.114+320'!$B$13:$X$489,14,0)/1000</f>
        <v>1.6970000000000001</v>
      </c>
      <c r="I70" s="142">
        <f>VLOOKUP($A70,'BC.114+320'!$B$13:$X$489,15,0)/1000</f>
        <v>-0.30299999999999999</v>
      </c>
      <c r="J70" s="142">
        <f>VLOOKUP($A70,'BC.114+320'!$B$13:$X$489,20,0)/1000</f>
        <v>1.7689999999999999</v>
      </c>
      <c r="K70" s="142">
        <f>VLOOKUP($A70,'BC.114+320'!$B$13:$X$489,21,0)/1000</f>
        <v>-0.23100000000000001</v>
      </c>
      <c r="L70" s="140">
        <f t="shared" si="0"/>
        <v>-105.99999999999999</v>
      </c>
      <c r="M70" s="141">
        <f t="shared" si="1"/>
        <v>-123</v>
      </c>
      <c r="N70" s="140">
        <f t="shared" si="2"/>
        <v>-111.00000000000001</v>
      </c>
      <c r="O70" s="140"/>
      <c r="P70" s="148"/>
      <c r="Q70" s="147"/>
      <c r="R70" s="146"/>
      <c r="S70" s="145"/>
      <c r="T70" s="145"/>
    </row>
    <row r="71" spans="1:20">
      <c r="A71" s="76">
        <f>'BC.114+320'!B70</f>
        <v>45100</v>
      </c>
      <c r="B71" s="140">
        <f t="shared" si="3"/>
        <v>57</v>
      </c>
      <c r="C71" s="142">
        <f>'BC.114+320'!M70/1000</f>
        <v>0.67700000000000005</v>
      </c>
      <c r="D71" s="142">
        <f>'BC.114+320'!AA70</f>
        <v>0.89900000000000002</v>
      </c>
      <c r="E71" s="143">
        <f>'BC.114+320'!AB70</f>
        <v>0.73399999999999999</v>
      </c>
      <c r="F71" s="142">
        <f>VLOOKUP($A71,'BC.114+320'!$B$13:$X$489,8,0)/1000</f>
        <v>1.714</v>
      </c>
      <c r="G71" s="142">
        <f>VLOOKUP($A71,'BC.114+320'!$B$13:$X$489,9,0)/1000</f>
        <v>-0.28599999999999998</v>
      </c>
      <c r="H71" s="142">
        <f>VLOOKUP($A71,'BC.114+320'!$B$13:$X$489,14,0)/1000</f>
        <v>1.6970000000000001</v>
      </c>
      <c r="I71" s="142">
        <f>VLOOKUP($A71,'BC.114+320'!$B$13:$X$489,15,0)/1000</f>
        <v>-0.30299999999999999</v>
      </c>
      <c r="J71" s="142">
        <f>VLOOKUP($A71,'BC.114+320'!$B$13:$X$489,20,0)/1000</f>
        <v>1.7689999999999999</v>
      </c>
      <c r="K71" s="142">
        <f>VLOOKUP($A71,'BC.114+320'!$B$13:$X$489,21,0)/1000</f>
        <v>-0.23100000000000001</v>
      </c>
      <c r="L71" s="140">
        <f t="shared" si="0"/>
        <v>-105.99999999999999</v>
      </c>
      <c r="M71" s="141">
        <f t="shared" si="1"/>
        <v>-123</v>
      </c>
      <c r="N71" s="140">
        <f t="shared" si="2"/>
        <v>-111.00000000000001</v>
      </c>
      <c r="O71" s="140"/>
      <c r="P71" s="148"/>
      <c r="Q71" s="147"/>
      <c r="R71" s="146"/>
      <c r="S71" s="145"/>
      <c r="T71" s="145"/>
    </row>
    <row r="72" spans="1:20">
      <c r="A72" s="76">
        <f>'BC.114+320'!B71</f>
        <v>45101</v>
      </c>
      <c r="B72" s="140">
        <f t="shared" si="3"/>
        <v>58</v>
      </c>
      <c r="C72" s="142">
        <f>'BC.114+320'!M71/1000</f>
        <v>0.67700000000000005</v>
      </c>
      <c r="D72" s="142">
        <f>'BC.114+320'!AA71</f>
        <v>0.89900000000000002</v>
      </c>
      <c r="E72" s="143">
        <f>'BC.114+320'!AB71</f>
        <v>0.73399999999999999</v>
      </c>
      <c r="F72" s="142">
        <f>VLOOKUP($A72,'BC.114+320'!$B$13:$X$489,8,0)/1000</f>
        <v>1.714</v>
      </c>
      <c r="G72" s="142">
        <f>VLOOKUP($A72,'BC.114+320'!$B$13:$X$489,9,0)/1000</f>
        <v>-0.28599999999999998</v>
      </c>
      <c r="H72" s="142">
        <f>VLOOKUP($A72,'BC.114+320'!$B$13:$X$489,14,0)/1000</f>
        <v>1.6970000000000001</v>
      </c>
      <c r="I72" s="142">
        <f>VLOOKUP($A72,'BC.114+320'!$B$13:$X$489,15,0)/1000</f>
        <v>-0.30299999999999999</v>
      </c>
      <c r="J72" s="142">
        <f>VLOOKUP($A72,'BC.114+320'!$B$13:$X$489,20,0)/1000</f>
        <v>1.7689999999999999</v>
      </c>
      <c r="K72" s="142">
        <f>VLOOKUP($A72,'BC.114+320'!$B$13:$X$489,21,0)/1000</f>
        <v>-0.23100000000000001</v>
      </c>
      <c r="L72" s="140">
        <f t="shared" si="0"/>
        <v>-105.99999999999999</v>
      </c>
      <c r="M72" s="141">
        <f t="shared" si="1"/>
        <v>-123</v>
      </c>
      <c r="N72" s="140">
        <f t="shared" si="2"/>
        <v>-111.00000000000001</v>
      </c>
      <c r="O72" s="140"/>
      <c r="P72" s="148"/>
      <c r="Q72" s="147"/>
      <c r="R72" s="146"/>
      <c r="S72" s="145"/>
      <c r="T72" s="145"/>
    </row>
    <row r="73" spans="1:20">
      <c r="A73" s="76">
        <f>'BC.114+320'!B72</f>
        <v>45102</v>
      </c>
      <c r="B73" s="140">
        <f t="shared" si="3"/>
        <v>59</v>
      </c>
      <c r="C73" s="142">
        <f>'BC.114+320'!M72/1000</f>
        <v>0.67700000000000005</v>
      </c>
      <c r="D73" s="142">
        <f>'BC.114+320'!AA72</f>
        <v>0.89900000000000002</v>
      </c>
      <c r="E73" s="143">
        <f>'BC.114+320'!AB72</f>
        <v>0.73399999999999999</v>
      </c>
      <c r="F73" s="142">
        <f>VLOOKUP($A73,'BC.114+320'!$B$13:$X$489,8,0)/1000</f>
        <v>1.714</v>
      </c>
      <c r="G73" s="142">
        <f>VLOOKUP($A73,'BC.114+320'!$B$13:$X$489,9,0)/1000</f>
        <v>-0.28599999999999998</v>
      </c>
      <c r="H73" s="142">
        <f>VLOOKUP($A73,'BC.114+320'!$B$13:$X$489,14,0)/1000</f>
        <v>1.6970000000000001</v>
      </c>
      <c r="I73" s="142">
        <f>VLOOKUP($A73,'BC.114+320'!$B$13:$X$489,15,0)/1000</f>
        <v>-0.30299999999999999</v>
      </c>
      <c r="J73" s="142">
        <f>VLOOKUP($A73,'BC.114+320'!$B$13:$X$489,20,0)/1000</f>
        <v>1.7689999999999999</v>
      </c>
      <c r="K73" s="142">
        <f>VLOOKUP($A73,'BC.114+320'!$B$13:$X$489,21,0)/1000</f>
        <v>-0.23100000000000001</v>
      </c>
      <c r="L73" s="140">
        <f t="shared" si="0"/>
        <v>-105.99999999999999</v>
      </c>
      <c r="M73" s="141">
        <f t="shared" si="1"/>
        <v>-123</v>
      </c>
      <c r="N73" s="140">
        <f t="shared" si="2"/>
        <v>-111.00000000000001</v>
      </c>
      <c r="O73" s="140"/>
      <c r="P73" s="148"/>
      <c r="Q73" s="147"/>
      <c r="R73" s="146"/>
      <c r="S73" s="145"/>
      <c r="T73" s="145"/>
    </row>
    <row r="74" spans="1:20">
      <c r="A74" s="76">
        <f>'BC.114+320'!B73</f>
        <v>45103</v>
      </c>
      <c r="B74" s="140">
        <f t="shared" si="3"/>
        <v>60</v>
      </c>
      <c r="C74" s="142">
        <f>'BC.114+320'!M73/1000</f>
        <v>0.67700000000000005</v>
      </c>
      <c r="D74" s="142">
        <f>'BC.114+320'!AA73</f>
        <v>0.89900000000000002</v>
      </c>
      <c r="E74" s="143">
        <f>'BC.114+320'!AB73</f>
        <v>0.73399999999999999</v>
      </c>
      <c r="F74" s="142">
        <f>VLOOKUP($A74,'BC.114+320'!$B$13:$X$489,8,0)/1000</f>
        <v>1.714</v>
      </c>
      <c r="G74" s="142">
        <f>VLOOKUP($A74,'BC.114+320'!$B$13:$X$489,9,0)/1000</f>
        <v>-0.28599999999999998</v>
      </c>
      <c r="H74" s="142">
        <f>VLOOKUP($A74,'BC.114+320'!$B$13:$X$489,14,0)/1000</f>
        <v>1.6970000000000001</v>
      </c>
      <c r="I74" s="142">
        <f>VLOOKUP($A74,'BC.114+320'!$B$13:$X$489,15,0)/1000</f>
        <v>-0.30299999999999999</v>
      </c>
      <c r="J74" s="142">
        <f>VLOOKUP($A74,'BC.114+320'!$B$13:$X$489,20,0)/1000</f>
        <v>1.7689999999999999</v>
      </c>
      <c r="K74" s="142">
        <f>VLOOKUP($A74,'BC.114+320'!$B$13:$X$489,21,0)/1000</f>
        <v>-0.23100000000000001</v>
      </c>
      <c r="L74" s="140">
        <f t="shared" si="0"/>
        <v>-105.99999999999999</v>
      </c>
      <c r="M74" s="141">
        <f t="shared" si="1"/>
        <v>-123</v>
      </c>
      <c r="N74" s="140">
        <f t="shared" si="2"/>
        <v>-111.00000000000001</v>
      </c>
      <c r="O74" s="140"/>
      <c r="P74" s="148"/>
      <c r="Q74" s="147"/>
      <c r="R74" s="146"/>
      <c r="S74" s="145"/>
      <c r="T74" s="145"/>
    </row>
    <row r="75" spans="1:20">
      <c r="A75" s="76">
        <f>'BC.114+320'!B74</f>
        <v>45104</v>
      </c>
      <c r="B75" s="140">
        <f t="shared" si="3"/>
        <v>61</v>
      </c>
      <c r="C75" s="142">
        <f>'BC.114+320'!M74/1000</f>
        <v>0.67700000000000005</v>
      </c>
      <c r="D75" s="142">
        <f>'BC.114+320'!AA74</f>
        <v>0.89900000000000002</v>
      </c>
      <c r="E75" s="143">
        <f>'BC.114+320'!AB74</f>
        <v>0.73399999999999999</v>
      </c>
      <c r="F75" s="142">
        <f>VLOOKUP($A75,'BC.114+320'!$B$13:$X$489,8,0)/1000</f>
        <v>1.714</v>
      </c>
      <c r="G75" s="142">
        <f>VLOOKUP($A75,'BC.114+320'!$B$13:$X$489,9,0)/1000</f>
        <v>-0.28599999999999998</v>
      </c>
      <c r="H75" s="142">
        <f>VLOOKUP($A75,'BC.114+320'!$B$13:$X$489,14,0)/1000</f>
        <v>1.6970000000000001</v>
      </c>
      <c r="I75" s="142">
        <f>VLOOKUP($A75,'BC.114+320'!$B$13:$X$489,15,0)/1000</f>
        <v>-0.30299999999999999</v>
      </c>
      <c r="J75" s="142">
        <f>VLOOKUP($A75,'BC.114+320'!$B$13:$X$489,20,0)/1000</f>
        <v>1.7689999999999999</v>
      </c>
      <c r="K75" s="142">
        <f>VLOOKUP($A75,'BC.114+320'!$B$13:$X$489,21,0)/1000</f>
        <v>-0.23100000000000001</v>
      </c>
      <c r="L75" s="140">
        <f t="shared" si="0"/>
        <v>-105.99999999999999</v>
      </c>
      <c r="M75" s="141">
        <f t="shared" si="1"/>
        <v>-123</v>
      </c>
      <c r="N75" s="140">
        <f t="shared" si="2"/>
        <v>-111.00000000000001</v>
      </c>
      <c r="O75" s="140"/>
      <c r="P75" s="148"/>
      <c r="Q75" s="147"/>
      <c r="R75" s="146"/>
      <c r="S75" s="145"/>
      <c r="T75" s="145"/>
    </row>
    <row r="76" spans="1:20">
      <c r="A76" s="76">
        <f>'BC.114+320'!B75</f>
        <v>45105</v>
      </c>
      <c r="B76" s="140">
        <f t="shared" si="3"/>
        <v>62</v>
      </c>
      <c r="C76" s="142">
        <f>'BC.114+320'!M75/1000</f>
        <v>0.67700000000000005</v>
      </c>
      <c r="D76" s="142">
        <f>'BC.114+320'!AA75</f>
        <v>0.89900000000000002</v>
      </c>
      <c r="E76" s="143">
        <f>'BC.114+320'!AB75</f>
        <v>0.73399999999999999</v>
      </c>
      <c r="F76" s="142">
        <f>VLOOKUP($A76,'BC.114+320'!$B$13:$X$489,8,0)/1000</f>
        <v>1.714</v>
      </c>
      <c r="G76" s="142">
        <f>VLOOKUP($A76,'BC.114+320'!$B$13:$X$489,9,0)/1000</f>
        <v>-0.28599999999999998</v>
      </c>
      <c r="H76" s="142">
        <f>VLOOKUP($A76,'BC.114+320'!$B$13:$X$489,14,0)/1000</f>
        <v>1.6970000000000001</v>
      </c>
      <c r="I76" s="142">
        <f>VLOOKUP($A76,'BC.114+320'!$B$13:$X$489,15,0)/1000</f>
        <v>-0.30299999999999999</v>
      </c>
      <c r="J76" s="142">
        <f>VLOOKUP($A76,'BC.114+320'!$B$13:$X$489,20,0)/1000</f>
        <v>1.7689999999999999</v>
      </c>
      <c r="K76" s="142">
        <f>VLOOKUP($A76,'BC.114+320'!$B$13:$X$489,21,0)/1000</f>
        <v>-0.23100000000000001</v>
      </c>
      <c r="L76" s="140">
        <f t="shared" si="0"/>
        <v>-105.99999999999999</v>
      </c>
      <c r="M76" s="141">
        <f t="shared" si="1"/>
        <v>-123</v>
      </c>
      <c r="N76" s="140">
        <f t="shared" si="2"/>
        <v>-111.00000000000001</v>
      </c>
      <c r="O76" s="140"/>
      <c r="P76" s="148"/>
      <c r="Q76" s="147"/>
      <c r="R76" s="146"/>
      <c r="S76" s="145"/>
      <c r="T76" s="145"/>
    </row>
    <row r="77" spans="1:20">
      <c r="A77" s="76">
        <f>'BC.114+320'!B76</f>
        <v>45106</v>
      </c>
      <c r="B77" s="140">
        <f t="shared" si="3"/>
        <v>63</v>
      </c>
      <c r="C77" s="142">
        <f>'BC.114+320'!M76/1000</f>
        <v>0.67700000000000005</v>
      </c>
      <c r="D77" s="142">
        <f>'BC.114+320'!AA76</f>
        <v>0.89900000000000002</v>
      </c>
      <c r="E77" s="143">
        <f>'BC.114+320'!AB76</f>
        <v>0.73399999999999999</v>
      </c>
      <c r="F77" s="142">
        <f>VLOOKUP($A77,'BC.114+320'!$B$13:$X$489,8,0)/1000</f>
        <v>1.714</v>
      </c>
      <c r="G77" s="142">
        <f>VLOOKUP($A77,'BC.114+320'!$B$13:$X$489,9,0)/1000</f>
        <v>-0.28599999999999998</v>
      </c>
      <c r="H77" s="142">
        <f>VLOOKUP($A77,'BC.114+320'!$B$13:$X$489,14,0)/1000</f>
        <v>1.6970000000000001</v>
      </c>
      <c r="I77" s="142">
        <f>VLOOKUP($A77,'BC.114+320'!$B$13:$X$489,15,0)/1000</f>
        <v>-0.30299999999999999</v>
      </c>
      <c r="J77" s="142">
        <f>VLOOKUP($A77,'BC.114+320'!$B$13:$X$489,20,0)/1000</f>
        <v>1.7689999999999999</v>
      </c>
      <c r="K77" s="142">
        <f>VLOOKUP($A77,'BC.114+320'!$B$13:$X$489,21,0)/1000</f>
        <v>-0.23100000000000001</v>
      </c>
      <c r="L77" s="140">
        <f t="shared" si="0"/>
        <v>-105.99999999999999</v>
      </c>
      <c r="M77" s="141">
        <f t="shared" si="1"/>
        <v>-123</v>
      </c>
      <c r="N77" s="140">
        <f t="shared" si="2"/>
        <v>-111.00000000000001</v>
      </c>
      <c r="O77" s="140"/>
    </row>
    <row r="78" spans="1:20">
      <c r="A78" s="76">
        <f>'BC.114+320'!B77</f>
        <v>45107</v>
      </c>
      <c r="B78" s="140">
        <f t="shared" si="3"/>
        <v>64</v>
      </c>
      <c r="C78" s="142">
        <f>'BC.114+320'!M77/1000</f>
        <v>0.67700000000000005</v>
      </c>
      <c r="D78" s="142">
        <f>'BC.114+320'!AA77</f>
        <v>0.89900000000000002</v>
      </c>
      <c r="E78" s="143">
        <f>'BC.114+320'!AB77</f>
        <v>0.73399999999999999</v>
      </c>
      <c r="F78" s="142">
        <f>VLOOKUP($A78,'BC.114+320'!$B$13:$X$489,8,0)/1000</f>
        <v>1.714</v>
      </c>
      <c r="G78" s="142">
        <f>VLOOKUP($A78,'BC.114+320'!$B$13:$X$489,9,0)/1000</f>
        <v>-0.28599999999999998</v>
      </c>
      <c r="H78" s="142">
        <f>VLOOKUP($A78,'BC.114+320'!$B$13:$X$489,14,0)/1000</f>
        <v>1.6970000000000001</v>
      </c>
      <c r="I78" s="142">
        <f>VLOOKUP($A78,'BC.114+320'!$B$13:$X$489,15,0)/1000</f>
        <v>-0.30299999999999999</v>
      </c>
      <c r="J78" s="142">
        <f>VLOOKUP($A78,'BC.114+320'!$B$13:$X$489,20,0)/1000</f>
        <v>1.7689999999999999</v>
      </c>
      <c r="K78" s="142">
        <f>VLOOKUP($A78,'BC.114+320'!$B$13:$X$489,21,0)/1000</f>
        <v>-0.23100000000000001</v>
      </c>
      <c r="L78" s="140">
        <f t="shared" ref="L78:L141" si="4">(G78-$G$14)*1000</f>
        <v>-105.99999999999999</v>
      </c>
      <c r="M78" s="141">
        <f t="shared" ref="M78:M141" si="5">(I78-$I$14)*1000</f>
        <v>-123</v>
      </c>
      <c r="N78" s="140">
        <f t="shared" si="2"/>
        <v>-111.00000000000001</v>
      </c>
      <c r="O78" s="140"/>
    </row>
    <row r="79" spans="1:20">
      <c r="A79" s="76">
        <f>'BC.114+320'!B78</f>
        <v>45108</v>
      </c>
      <c r="B79" s="140">
        <f t="shared" si="3"/>
        <v>65</v>
      </c>
      <c r="C79" s="142">
        <f>'BC.114+320'!M78/1000</f>
        <v>0.67700000000000005</v>
      </c>
      <c r="D79" s="142">
        <f>'BC.114+320'!AA78</f>
        <v>0.89900000000000002</v>
      </c>
      <c r="E79" s="143">
        <f>'BC.114+320'!AB78</f>
        <v>0.73399999999999999</v>
      </c>
      <c r="F79" s="142">
        <f>VLOOKUP($A79,'BC.114+320'!$B$13:$X$489,8,0)/1000</f>
        <v>1.714</v>
      </c>
      <c r="G79" s="142">
        <f>VLOOKUP($A79,'BC.114+320'!$B$13:$X$489,9,0)/1000</f>
        <v>-0.28599999999999998</v>
      </c>
      <c r="H79" s="142">
        <f>VLOOKUP($A79,'BC.114+320'!$B$13:$X$489,14,0)/1000</f>
        <v>1.6970000000000001</v>
      </c>
      <c r="I79" s="142">
        <f>VLOOKUP($A79,'BC.114+320'!$B$13:$X$489,15,0)/1000</f>
        <v>-0.30299999999999999</v>
      </c>
      <c r="J79" s="142">
        <f>VLOOKUP($A79,'BC.114+320'!$B$13:$X$489,20,0)/1000</f>
        <v>1.7689999999999999</v>
      </c>
      <c r="K79" s="142">
        <f>VLOOKUP($A79,'BC.114+320'!$B$13:$X$489,21,0)/1000</f>
        <v>-0.23100000000000001</v>
      </c>
      <c r="L79" s="140">
        <f t="shared" si="4"/>
        <v>-105.99999999999999</v>
      </c>
      <c r="M79" s="141">
        <f t="shared" si="5"/>
        <v>-123</v>
      </c>
      <c r="N79" s="140">
        <f t="shared" ref="N79:N142" si="6">(K79-$K$14)*1000</f>
        <v>-111.00000000000001</v>
      </c>
      <c r="O79" s="140"/>
    </row>
    <row r="80" spans="1:20">
      <c r="A80" s="76">
        <f>'BC.114+320'!B79</f>
        <v>45109</v>
      </c>
      <c r="B80" s="140">
        <f t="shared" ref="B80:B143" si="7">+B79+1</f>
        <v>66</v>
      </c>
      <c r="C80" s="142">
        <f>'BC.114+320'!M79/1000</f>
        <v>0.67700000000000005</v>
      </c>
      <c r="D80" s="142">
        <f>'BC.114+320'!AA79</f>
        <v>0.89900000000000002</v>
      </c>
      <c r="E80" s="143">
        <f>'BC.114+320'!AB79</f>
        <v>0.73399999999999999</v>
      </c>
      <c r="F80" s="142">
        <f>VLOOKUP($A80,'BC.114+320'!$B$13:$X$489,8,0)/1000</f>
        <v>1.714</v>
      </c>
      <c r="G80" s="142">
        <f>VLOOKUP($A80,'BC.114+320'!$B$13:$X$489,9,0)/1000</f>
        <v>-0.28599999999999998</v>
      </c>
      <c r="H80" s="142">
        <f>VLOOKUP($A80,'BC.114+320'!$B$13:$X$489,14,0)/1000</f>
        <v>1.6970000000000001</v>
      </c>
      <c r="I80" s="142">
        <f>VLOOKUP($A80,'BC.114+320'!$B$13:$X$489,15,0)/1000</f>
        <v>-0.30299999999999999</v>
      </c>
      <c r="J80" s="142">
        <f>VLOOKUP($A80,'BC.114+320'!$B$13:$X$489,20,0)/1000</f>
        <v>1.7689999999999999</v>
      </c>
      <c r="K80" s="142">
        <f>VLOOKUP($A80,'BC.114+320'!$B$13:$X$489,21,0)/1000</f>
        <v>-0.23100000000000001</v>
      </c>
      <c r="L80" s="140">
        <f t="shared" si="4"/>
        <v>-105.99999999999999</v>
      </c>
      <c r="M80" s="141">
        <f t="shared" si="5"/>
        <v>-123</v>
      </c>
      <c r="N80" s="140">
        <f t="shared" si="6"/>
        <v>-111.00000000000001</v>
      </c>
      <c r="O80" s="140"/>
    </row>
    <row r="81" spans="1:25">
      <c r="A81" s="76">
        <f>'BC.114+320'!B80</f>
        <v>45110</v>
      </c>
      <c r="B81" s="140">
        <f t="shared" si="7"/>
        <v>67</v>
      </c>
      <c r="C81" s="142">
        <f>'BC.114+320'!M80/1000</f>
        <v>0.67700000000000005</v>
      </c>
      <c r="D81" s="142">
        <f>'BC.114+320'!AA80</f>
        <v>0.89900000000000002</v>
      </c>
      <c r="E81" s="143">
        <f>'BC.114+320'!AB80</f>
        <v>0.73399999999999999</v>
      </c>
      <c r="F81" s="142">
        <f>VLOOKUP($A81,'BC.114+320'!$B$13:$X$489,8,0)/1000</f>
        <v>1.714</v>
      </c>
      <c r="G81" s="142">
        <f>VLOOKUP($A81,'BC.114+320'!$B$13:$X$489,9,0)/1000</f>
        <v>-0.28599999999999998</v>
      </c>
      <c r="H81" s="142">
        <f>VLOOKUP($A81,'BC.114+320'!$B$13:$X$489,14,0)/1000</f>
        <v>1.6970000000000001</v>
      </c>
      <c r="I81" s="142">
        <f>VLOOKUP($A81,'BC.114+320'!$B$13:$X$489,15,0)/1000</f>
        <v>-0.30299999999999999</v>
      </c>
      <c r="J81" s="142">
        <f>VLOOKUP($A81,'BC.114+320'!$B$13:$X$489,20,0)/1000</f>
        <v>1.7689999999999999</v>
      </c>
      <c r="K81" s="142">
        <f>VLOOKUP($A81,'BC.114+320'!$B$13:$X$489,21,0)/1000</f>
        <v>-0.23100000000000001</v>
      </c>
      <c r="L81" s="140">
        <f t="shared" si="4"/>
        <v>-105.99999999999999</v>
      </c>
      <c r="M81" s="141">
        <f t="shared" si="5"/>
        <v>-123</v>
      </c>
      <c r="N81" s="140">
        <f t="shared" si="6"/>
        <v>-111.00000000000001</v>
      </c>
      <c r="O81" s="140"/>
    </row>
    <row r="82" spans="1:25">
      <c r="A82" s="76">
        <f>'BC.114+320'!B81</f>
        <v>45111</v>
      </c>
      <c r="B82" s="140">
        <f t="shared" si="7"/>
        <v>68</v>
      </c>
      <c r="C82" s="142">
        <f>'BC.114+320'!M81/1000</f>
        <v>0.67700000000000005</v>
      </c>
      <c r="D82" s="142">
        <f>'BC.114+320'!AA81</f>
        <v>0.89900000000000002</v>
      </c>
      <c r="E82" s="143">
        <f>'BC.114+320'!AB81</f>
        <v>0.73399999999999999</v>
      </c>
      <c r="F82" s="142">
        <f>VLOOKUP($A82,'BC.114+320'!$B$13:$X$489,8,0)/1000</f>
        <v>1.714</v>
      </c>
      <c r="G82" s="142">
        <f>VLOOKUP($A82,'BC.114+320'!$B$13:$X$489,9,0)/1000</f>
        <v>-0.28599999999999998</v>
      </c>
      <c r="H82" s="142">
        <f>VLOOKUP($A82,'BC.114+320'!$B$13:$X$489,14,0)/1000</f>
        <v>1.6970000000000001</v>
      </c>
      <c r="I82" s="142">
        <f>VLOOKUP($A82,'BC.114+320'!$B$13:$X$489,15,0)/1000</f>
        <v>-0.30299999999999999</v>
      </c>
      <c r="J82" s="142">
        <f>VLOOKUP($A82,'BC.114+320'!$B$13:$X$489,20,0)/1000</f>
        <v>1.7689999999999999</v>
      </c>
      <c r="K82" s="142">
        <f>VLOOKUP($A82,'BC.114+320'!$B$13:$X$489,21,0)/1000</f>
        <v>-0.23100000000000001</v>
      </c>
      <c r="L82" s="140">
        <f t="shared" si="4"/>
        <v>-105.99999999999999</v>
      </c>
      <c r="M82" s="141">
        <f t="shared" si="5"/>
        <v>-123</v>
      </c>
      <c r="N82" s="140">
        <f t="shared" si="6"/>
        <v>-111.00000000000001</v>
      </c>
      <c r="O82" s="140"/>
    </row>
    <row r="83" spans="1:25">
      <c r="A83" s="76">
        <f>'BC.114+320'!B82</f>
        <v>45112</v>
      </c>
      <c r="B83" s="140">
        <f t="shared" si="7"/>
        <v>69</v>
      </c>
      <c r="C83" s="142">
        <f>'BC.114+320'!M82/1000</f>
        <v>0.67700000000000005</v>
      </c>
      <c r="D83" s="142">
        <f>'BC.114+320'!AA82</f>
        <v>0.89900000000000002</v>
      </c>
      <c r="E83" s="143">
        <f>'BC.114+320'!AB82</f>
        <v>0.73399999999999999</v>
      </c>
      <c r="F83" s="142">
        <f>VLOOKUP($A83,'BC.114+320'!$B$13:$X$489,8,0)/1000</f>
        <v>1.714</v>
      </c>
      <c r="G83" s="142">
        <f>VLOOKUP($A83,'BC.114+320'!$B$13:$X$489,9,0)/1000</f>
        <v>-0.28599999999999998</v>
      </c>
      <c r="H83" s="142">
        <f>VLOOKUP($A83,'BC.114+320'!$B$13:$X$489,14,0)/1000</f>
        <v>1.6970000000000001</v>
      </c>
      <c r="I83" s="142">
        <f>VLOOKUP($A83,'BC.114+320'!$B$13:$X$489,15,0)/1000</f>
        <v>-0.30299999999999999</v>
      </c>
      <c r="J83" s="142">
        <f>VLOOKUP($A83,'BC.114+320'!$B$13:$X$489,20,0)/1000</f>
        <v>1.7689999999999999</v>
      </c>
      <c r="K83" s="142">
        <f>VLOOKUP($A83,'BC.114+320'!$B$13:$X$489,21,0)/1000</f>
        <v>-0.23100000000000001</v>
      </c>
      <c r="L83" s="140">
        <f t="shared" si="4"/>
        <v>-105.99999999999999</v>
      </c>
      <c r="M83" s="141">
        <f t="shared" si="5"/>
        <v>-123</v>
      </c>
      <c r="N83" s="140">
        <f t="shared" si="6"/>
        <v>-111.00000000000001</v>
      </c>
      <c r="O83" s="140"/>
    </row>
    <row r="84" spans="1:25">
      <c r="A84" s="76">
        <f>'BC.114+320'!B83</f>
        <v>45113</v>
      </c>
      <c r="B84" s="140">
        <f t="shared" si="7"/>
        <v>70</v>
      </c>
      <c r="C84" s="142">
        <f>'BC.114+320'!M83/1000</f>
        <v>0.67700000000000005</v>
      </c>
      <c r="D84" s="142">
        <f>'BC.114+320'!AA83</f>
        <v>0.89900000000000002</v>
      </c>
      <c r="E84" s="143">
        <f>'BC.114+320'!AB83</f>
        <v>0.73399999999999999</v>
      </c>
      <c r="F84" s="142">
        <f>VLOOKUP($A84,'BC.114+320'!$B$13:$X$489,8,0)/1000</f>
        <v>1.714</v>
      </c>
      <c r="G84" s="142">
        <f>VLOOKUP($A84,'BC.114+320'!$B$13:$X$489,9,0)/1000</f>
        <v>-0.28599999999999998</v>
      </c>
      <c r="H84" s="142">
        <f>VLOOKUP($A84,'BC.114+320'!$B$13:$X$489,14,0)/1000</f>
        <v>1.6970000000000001</v>
      </c>
      <c r="I84" s="142">
        <f>VLOOKUP($A84,'BC.114+320'!$B$13:$X$489,15,0)/1000</f>
        <v>-0.30299999999999999</v>
      </c>
      <c r="J84" s="142">
        <f>VLOOKUP($A84,'BC.114+320'!$B$13:$X$489,20,0)/1000</f>
        <v>1.7689999999999999</v>
      </c>
      <c r="K84" s="142">
        <f>VLOOKUP($A84,'BC.114+320'!$B$13:$X$489,21,0)/1000</f>
        <v>-0.23100000000000001</v>
      </c>
      <c r="L84" s="140">
        <f t="shared" si="4"/>
        <v>-105.99999999999999</v>
      </c>
      <c r="M84" s="141">
        <f t="shared" si="5"/>
        <v>-123</v>
      </c>
      <c r="N84" s="140">
        <f t="shared" si="6"/>
        <v>-111.00000000000001</v>
      </c>
      <c r="O84" s="140"/>
    </row>
    <row r="85" spans="1:25">
      <c r="A85" s="76">
        <f>'BC.114+320'!B84</f>
        <v>45114</v>
      </c>
      <c r="B85" s="140">
        <f t="shared" si="7"/>
        <v>71</v>
      </c>
      <c r="C85" s="142">
        <f>'BC.114+320'!M84/1000</f>
        <v>0.67700000000000005</v>
      </c>
      <c r="D85" s="142">
        <f>'BC.114+320'!AA84</f>
        <v>0.89900000000000002</v>
      </c>
      <c r="E85" s="143">
        <f>'BC.114+320'!AB84</f>
        <v>0.73399999999999999</v>
      </c>
      <c r="F85" s="142">
        <f>VLOOKUP($A85,'BC.114+320'!$B$13:$X$489,8,0)/1000</f>
        <v>1.714</v>
      </c>
      <c r="G85" s="142">
        <f>VLOOKUP($A85,'BC.114+320'!$B$13:$X$489,9,0)/1000</f>
        <v>-0.28599999999999998</v>
      </c>
      <c r="H85" s="142">
        <f>VLOOKUP($A85,'BC.114+320'!$B$13:$X$489,14,0)/1000</f>
        <v>1.6970000000000001</v>
      </c>
      <c r="I85" s="142">
        <f>VLOOKUP($A85,'BC.114+320'!$B$13:$X$489,15,0)/1000</f>
        <v>-0.30299999999999999</v>
      </c>
      <c r="J85" s="142">
        <f>VLOOKUP($A85,'BC.114+320'!$B$13:$X$489,20,0)/1000</f>
        <v>1.7689999999999999</v>
      </c>
      <c r="K85" s="142">
        <f>VLOOKUP($A85,'BC.114+320'!$B$13:$X$489,21,0)/1000</f>
        <v>-0.23100000000000001</v>
      </c>
      <c r="L85" s="140">
        <f t="shared" si="4"/>
        <v>-105.99999999999999</v>
      </c>
      <c r="M85" s="141">
        <f t="shared" si="5"/>
        <v>-123</v>
      </c>
      <c r="N85" s="140">
        <f t="shared" si="6"/>
        <v>-111.00000000000001</v>
      </c>
      <c r="O85" s="140"/>
    </row>
    <row r="86" spans="1:25">
      <c r="A86" s="76">
        <f>'BC.114+320'!B85</f>
        <v>45115</v>
      </c>
      <c r="B86" s="140">
        <f t="shared" si="7"/>
        <v>72</v>
      </c>
      <c r="C86" s="142">
        <f>'BC.114+320'!M85/1000</f>
        <v>0.67700000000000005</v>
      </c>
      <c r="D86" s="142">
        <f>'BC.114+320'!AA85</f>
        <v>0.89900000000000002</v>
      </c>
      <c r="E86" s="143">
        <f>'BC.114+320'!AB85</f>
        <v>0.73399999999999999</v>
      </c>
      <c r="F86" s="142">
        <f>VLOOKUP($A86,'BC.114+320'!$B$13:$X$489,8,0)/1000</f>
        <v>1.714</v>
      </c>
      <c r="G86" s="142">
        <f>VLOOKUP($A86,'BC.114+320'!$B$13:$X$489,9,0)/1000</f>
        <v>-0.28599999999999998</v>
      </c>
      <c r="H86" s="142">
        <f>VLOOKUP($A86,'BC.114+320'!$B$13:$X$489,14,0)/1000</f>
        <v>1.6970000000000001</v>
      </c>
      <c r="I86" s="142">
        <f>VLOOKUP($A86,'BC.114+320'!$B$13:$X$489,15,0)/1000</f>
        <v>-0.30299999999999999</v>
      </c>
      <c r="J86" s="142">
        <f>VLOOKUP($A86,'BC.114+320'!$B$13:$X$489,20,0)/1000</f>
        <v>1.7689999999999999</v>
      </c>
      <c r="K86" s="142">
        <f>VLOOKUP($A86,'BC.114+320'!$B$13:$X$489,21,0)/1000</f>
        <v>-0.23100000000000001</v>
      </c>
      <c r="L86" s="140">
        <f t="shared" si="4"/>
        <v>-105.99999999999999</v>
      </c>
      <c r="M86" s="141">
        <f t="shared" si="5"/>
        <v>-123</v>
      </c>
      <c r="N86" s="140">
        <f t="shared" si="6"/>
        <v>-111.00000000000001</v>
      </c>
      <c r="O86" s="140"/>
    </row>
    <row r="87" spans="1:25">
      <c r="A87" s="76">
        <f>'BC.114+320'!B86</f>
        <v>45116</v>
      </c>
      <c r="B87" s="140">
        <f t="shared" si="7"/>
        <v>73</v>
      </c>
      <c r="C87" s="142">
        <f>'BC.114+320'!M86/1000</f>
        <v>0.67700000000000005</v>
      </c>
      <c r="D87" s="142">
        <f>'BC.114+320'!AA86</f>
        <v>0.89900000000000002</v>
      </c>
      <c r="E87" s="143">
        <f>'BC.114+320'!AB86</f>
        <v>0.73399999999999999</v>
      </c>
      <c r="F87" s="142">
        <f>VLOOKUP($A87,'BC.114+320'!$B$13:$X$489,8,0)/1000</f>
        <v>1.714</v>
      </c>
      <c r="G87" s="142">
        <f>VLOOKUP($A87,'BC.114+320'!$B$13:$X$489,9,0)/1000</f>
        <v>-0.28599999999999998</v>
      </c>
      <c r="H87" s="142">
        <f>VLOOKUP($A87,'BC.114+320'!$B$13:$X$489,14,0)/1000</f>
        <v>1.6970000000000001</v>
      </c>
      <c r="I87" s="142">
        <f>VLOOKUP($A87,'BC.114+320'!$B$13:$X$489,15,0)/1000</f>
        <v>-0.30299999999999999</v>
      </c>
      <c r="J87" s="142">
        <f>VLOOKUP($A87,'BC.114+320'!$B$13:$X$489,20,0)/1000</f>
        <v>1.7689999999999999</v>
      </c>
      <c r="K87" s="142">
        <f>VLOOKUP($A87,'BC.114+320'!$B$13:$X$489,21,0)/1000</f>
        <v>-0.23100000000000001</v>
      </c>
      <c r="L87" s="140">
        <f t="shared" si="4"/>
        <v>-105.99999999999999</v>
      </c>
      <c r="M87" s="141">
        <f t="shared" si="5"/>
        <v>-123</v>
      </c>
      <c r="N87" s="140">
        <f t="shared" si="6"/>
        <v>-111.00000000000001</v>
      </c>
      <c r="O87" s="140"/>
    </row>
    <row r="88" spans="1:25">
      <c r="A88" s="76">
        <f>'BC.114+320'!B87</f>
        <v>45117</v>
      </c>
      <c r="B88" s="140">
        <f t="shared" si="7"/>
        <v>74</v>
      </c>
      <c r="C88" s="142">
        <f>'BC.114+320'!M87/1000</f>
        <v>0.67700000000000005</v>
      </c>
      <c r="D88" s="142">
        <f>'BC.114+320'!AA87</f>
        <v>0.89900000000000002</v>
      </c>
      <c r="E88" s="143">
        <f>'BC.114+320'!AB87</f>
        <v>0.73399999999999999</v>
      </c>
      <c r="F88" s="142">
        <f>VLOOKUP($A88,'BC.114+320'!$B$13:$X$489,8,0)/1000</f>
        <v>1.714</v>
      </c>
      <c r="G88" s="142">
        <f>VLOOKUP($A88,'BC.114+320'!$B$13:$X$489,9,0)/1000</f>
        <v>-0.28599999999999998</v>
      </c>
      <c r="H88" s="142">
        <f>VLOOKUP($A88,'BC.114+320'!$B$13:$X$489,14,0)/1000</f>
        <v>1.6970000000000001</v>
      </c>
      <c r="I88" s="142">
        <f>VLOOKUP($A88,'BC.114+320'!$B$13:$X$489,15,0)/1000</f>
        <v>-0.30299999999999999</v>
      </c>
      <c r="J88" s="142">
        <f>VLOOKUP($A88,'BC.114+320'!$B$13:$X$489,20,0)/1000</f>
        <v>1.7689999999999999</v>
      </c>
      <c r="K88" s="142">
        <f>VLOOKUP($A88,'BC.114+320'!$B$13:$X$489,21,0)/1000</f>
        <v>-0.23100000000000001</v>
      </c>
      <c r="L88" s="140">
        <f t="shared" si="4"/>
        <v>-105.99999999999999</v>
      </c>
      <c r="M88" s="141">
        <f t="shared" si="5"/>
        <v>-123</v>
      </c>
      <c r="N88" s="140">
        <f t="shared" si="6"/>
        <v>-111.00000000000001</v>
      </c>
      <c r="O88" s="140"/>
    </row>
    <row r="89" spans="1:25">
      <c r="A89" s="76">
        <f>'BC.114+320'!B88</f>
        <v>45118</v>
      </c>
      <c r="B89" s="140">
        <f t="shared" si="7"/>
        <v>75</v>
      </c>
      <c r="C89" s="142">
        <f>'BC.114+320'!M88/1000</f>
        <v>0.67700000000000005</v>
      </c>
      <c r="D89" s="142">
        <f>'BC.114+320'!AA88</f>
        <v>0.89900000000000002</v>
      </c>
      <c r="E89" s="143">
        <f>'BC.114+320'!AB88</f>
        <v>0.73399999999999999</v>
      </c>
      <c r="F89" s="142">
        <f>VLOOKUP($A89,'BC.114+320'!$B$13:$X$489,8,0)/1000</f>
        <v>1.714</v>
      </c>
      <c r="G89" s="142">
        <f>VLOOKUP($A89,'BC.114+320'!$B$13:$X$489,9,0)/1000</f>
        <v>-0.28599999999999998</v>
      </c>
      <c r="H89" s="142">
        <f>VLOOKUP($A89,'BC.114+320'!$B$13:$X$489,14,0)/1000</f>
        <v>1.6970000000000001</v>
      </c>
      <c r="I89" s="142">
        <f>VLOOKUP($A89,'BC.114+320'!$B$13:$X$489,15,0)/1000</f>
        <v>-0.30299999999999999</v>
      </c>
      <c r="J89" s="142">
        <f>VLOOKUP($A89,'BC.114+320'!$B$13:$X$489,20,0)/1000</f>
        <v>1.7689999999999999</v>
      </c>
      <c r="K89" s="142">
        <f>VLOOKUP($A89,'BC.114+320'!$B$13:$X$489,21,0)/1000</f>
        <v>-0.23100000000000001</v>
      </c>
      <c r="L89" s="140">
        <f t="shared" si="4"/>
        <v>-105.99999999999999</v>
      </c>
      <c r="M89" s="141">
        <f t="shared" si="5"/>
        <v>-123</v>
      </c>
      <c r="N89" s="140">
        <f t="shared" si="6"/>
        <v>-111.00000000000001</v>
      </c>
      <c r="O89" s="140"/>
    </row>
    <row r="90" spans="1:25">
      <c r="A90" s="76">
        <f>'BC.114+320'!B89</f>
        <v>45119</v>
      </c>
      <c r="B90" s="140">
        <f t="shared" si="7"/>
        <v>76</v>
      </c>
      <c r="C90" s="142">
        <f>'BC.114+320'!M89/1000</f>
        <v>0.67700000000000005</v>
      </c>
      <c r="D90" s="142">
        <f>'BC.114+320'!AA89</f>
        <v>0.89900000000000002</v>
      </c>
      <c r="E90" s="143">
        <f>'BC.114+320'!AB89</f>
        <v>0.73399999999999999</v>
      </c>
      <c r="F90" s="142">
        <f>VLOOKUP($A90,'BC.114+320'!$B$13:$X$489,8,0)/1000</f>
        <v>1.714</v>
      </c>
      <c r="G90" s="142">
        <f>VLOOKUP($A90,'BC.114+320'!$B$13:$X$489,9,0)/1000</f>
        <v>-0.28599999999999998</v>
      </c>
      <c r="H90" s="142">
        <f>VLOOKUP($A90,'BC.114+320'!$B$13:$X$489,14,0)/1000</f>
        <v>1.6970000000000001</v>
      </c>
      <c r="I90" s="142">
        <f>VLOOKUP($A90,'BC.114+320'!$B$13:$X$489,15,0)/1000</f>
        <v>-0.30299999999999999</v>
      </c>
      <c r="J90" s="142">
        <f>VLOOKUP($A90,'BC.114+320'!$B$13:$X$489,20,0)/1000</f>
        <v>1.7689999999999999</v>
      </c>
      <c r="K90" s="142">
        <f>VLOOKUP($A90,'BC.114+320'!$B$13:$X$489,21,0)/1000</f>
        <v>-0.23100000000000001</v>
      </c>
      <c r="L90" s="140">
        <f t="shared" si="4"/>
        <v>-105.99999999999999</v>
      </c>
      <c r="M90" s="141">
        <f t="shared" si="5"/>
        <v>-123</v>
      </c>
      <c r="N90" s="140">
        <f t="shared" si="6"/>
        <v>-111.00000000000001</v>
      </c>
      <c r="O90" s="140"/>
    </row>
    <row r="91" spans="1:25">
      <c r="A91" s="76">
        <f>'BC.114+320'!B90</f>
        <v>45120</v>
      </c>
      <c r="B91" s="140">
        <f t="shared" si="7"/>
        <v>77</v>
      </c>
      <c r="C91" s="142">
        <f>'BC.114+320'!M90/1000</f>
        <v>0.67700000000000005</v>
      </c>
      <c r="D91" s="142">
        <f>'BC.114+320'!AA90</f>
        <v>0.89900000000000002</v>
      </c>
      <c r="E91" s="143">
        <f>'BC.114+320'!AB90</f>
        <v>0.73399999999999999</v>
      </c>
      <c r="F91" s="142">
        <f>VLOOKUP($A91,'BC.114+320'!$B$13:$X$489,8,0)/1000</f>
        <v>1.714</v>
      </c>
      <c r="G91" s="142">
        <f>VLOOKUP($A91,'BC.114+320'!$B$13:$X$489,9,0)/1000</f>
        <v>-0.28599999999999998</v>
      </c>
      <c r="H91" s="142">
        <f>VLOOKUP($A91,'BC.114+320'!$B$13:$X$489,14,0)/1000</f>
        <v>1.6970000000000001</v>
      </c>
      <c r="I91" s="142">
        <f>VLOOKUP($A91,'BC.114+320'!$B$13:$X$489,15,0)/1000</f>
        <v>-0.30299999999999999</v>
      </c>
      <c r="J91" s="142">
        <f>VLOOKUP($A91,'BC.114+320'!$B$13:$X$489,20,0)/1000</f>
        <v>1.7689999999999999</v>
      </c>
      <c r="K91" s="142">
        <f>VLOOKUP($A91,'BC.114+320'!$B$13:$X$489,21,0)/1000</f>
        <v>-0.23100000000000001</v>
      </c>
      <c r="L91" s="140">
        <f t="shared" si="4"/>
        <v>-105.99999999999999</v>
      </c>
      <c r="M91" s="141">
        <f t="shared" si="5"/>
        <v>-123</v>
      </c>
      <c r="N91" s="140">
        <f t="shared" si="6"/>
        <v>-111.00000000000001</v>
      </c>
      <c r="O91" s="140"/>
    </row>
    <row r="92" spans="1:25">
      <c r="A92" s="76">
        <f>'BC.114+320'!B91</f>
        <v>45121</v>
      </c>
      <c r="B92" s="140">
        <f t="shared" si="7"/>
        <v>78</v>
      </c>
      <c r="C92" s="142">
        <f>'BC.114+320'!M91/1000</f>
        <v>0.67700000000000005</v>
      </c>
      <c r="D92" s="142">
        <f>'BC.114+320'!AA91</f>
        <v>0.89900000000000002</v>
      </c>
      <c r="E92" s="143">
        <f>'BC.114+320'!AB91</f>
        <v>0.73399999999999999</v>
      </c>
      <c r="F92" s="142">
        <f>VLOOKUP($A92,'BC.114+320'!$B$13:$X$489,8,0)/1000</f>
        <v>1.714</v>
      </c>
      <c r="G92" s="142">
        <f>VLOOKUP($A92,'BC.114+320'!$B$13:$X$489,9,0)/1000</f>
        <v>-0.28599999999999998</v>
      </c>
      <c r="H92" s="142">
        <f>VLOOKUP($A92,'BC.114+320'!$B$13:$X$489,14,0)/1000</f>
        <v>1.6970000000000001</v>
      </c>
      <c r="I92" s="142">
        <f>VLOOKUP($A92,'BC.114+320'!$B$13:$X$489,15,0)/1000</f>
        <v>-0.30299999999999999</v>
      </c>
      <c r="J92" s="142">
        <f>VLOOKUP($A92,'BC.114+320'!$B$13:$X$489,20,0)/1000</f>
        <v>1.7689999999999999</v>
      </c>
      <c r="K92" s="142">
        <f>VLOOKUP($A92,'BC.114+320'!$B$13:$X$489,21,0)/1000</f>
        <v>-0.23100000000000001</v>
      </c>
      <c r="L92" s="140">
        <f t="shared" si="4"/>
        <v>-105.99999999999999</v>
      </c>
      <c r="M92" s="141">
        <f t="shared" si="5"/>
        <v>-123</v>
      </c>
      <c r="N92" s="140">
        <f t="shared" si="6"/>
        <v>-111.00000000000001</v>
      </c>
      <c r="O92" s="140"/>
      <c r="Y92" s="133">
        <f>A21-A14</f>
        <v>7</v>
      </c>
    </row>
    <row r="93" spans="1:25">
      <c r="A93" s="76">
        <f>'BC.114+320'!B92</f>
        <v>45122</v>
      </c>
      <c r="B93" s="140">
        <f t="shared" si="7"/>
        <v>79</v>
      </c>
      <c r="C93" s="142">
        <f>'BC.114+320'!M92/1000</f>
        <v>0.67700000000000005</v>
      </c>
      <c r="D93" s="142">
        <f>'BC.114+320'!AA92</f>
        <v>0.89900000000000002</v>
      </c>
      <c r="E93" s="143">
        <f>'BC.114+320'!AB92</f>
        <v>0.73399999999999999</v>
      </c>
      <c r="F93" s="142">
        <f>VLOOKUP($A93,'BC.114+320'!$B$13:$X$489,8,0)/1000</f>
        <v>1.714</v>
      </c>
      <c r="G93" s="142">
        <f>VLOOKUP($A93,'BC.114+320'!$B$13:$X$489,9,0)/1000</f>
        <v>-0.28599999999999998</v>
      </c>
      <c r="H93" s="142">
        <f>VLOOKUP($A93,'BC.114+320'!$B$13:$X$489,14,0)/1000</f>
        <v>1.6970000000000001</v>
      </c>
      <c r="I93" s="142">
        <f>VLOOKUP($A93,'BC.114+320'!$B$13:$X$489,15,0)/1000</f>
        <v>-0.30299999999999999</v>
      </c>
      <c r="J93" s="142">
        <f>VLOOKUP($A93,'BC.114+320'!$B$13:$X$489,20,0)/1000</f>
        <v>1.7689999999999999</v>
      </c>
      <c r="K93" s="142">
        <f>VLOOKUP($A93,'BC.114+320'!$B$13:$X$489,21,0)/1000</f>
        <v>-0.23100000000000001</v>
      </c>
      <c r="L93" s="140">
        <f t="shared" si="4"/>
        <v>-105.99999999999999</v>
      </c>
      <c r="M93" s="141">
        <f t="shared" si="5"/>
        <v>-123</v>
      </c>
      <c r="N93" s="140">
        <f t="shared" si="6"/>
        <v>-111.00000000000001</v>
      </c>
      <c r="O93" s="140"/>
    </row>
    <row r="94" spans="1:25">
      <c r="A94" s="76">
        <f>'BC.114+320'!B93</f>
        <v>45123</v>
      </c>
      <c r="B94" s="140">
        <f t="shared" si="7"/>
        <v>80</v>
      </c>
      <c r="C94" s="142">
        <f>'BC.114+320'!M93/1000</f>
        <v>0.67700000000000005</v>
      </c>
      <c r="D94" s="142">
        <f>'BC.114+320'!AA93</f>
        <v>0.89900000000000002</v>
      </c>
      <c r="E94" s="143">
        <f>'BC.114+320'!AB93</f>
        <v>0.73399999999999999</v>
      </c>
      <c r="F94" s="142">
        <f>VLOOKUP($A94,'BC.114+320'!$B$13:$X$489,8,0)/1000</f>
        <v>1.714</v>
      </c>
      <c r="G94" s="142">
        <f>VLOOKUP($A94,'BC.114+320'!$B$13:$X$489,9,0)/1000</f>
        <v>-0.28599999999999998</v>
      </c>
      <c r="H94" s="142">
        <f>VLOOKUP($A94,'BC.114+320'!$B$13:$X$489,14,0)/1000</f>
        <v>1.6970000000000001</v>
      </c>
      <c r="I94" s="142">
        <f>VLOOKUP($A94,'BC.114+320'!$B$13:$X$489,15,0)/1000</f>
        <v>-0.30299999999999999</v>
      </c>
      <c r="J94" s="142">
        <f>VLOOKUP($A94,'BC.114+320'!$B$13:$X$489,20,0)/1000</f>
        <v>1.7689999999999999</v>
      </c>
      <c r="K94" s="142">
        <f>VLOOKUP($A94,'BC.114+320'!$B$13:$X$489,21,0)/1000</f>
        <v>-0.23100000000000001</v>
      </c>
      <c r="L94" s="140">
        <f t="shared" si="4"/>
        <v>-105.99999999999999</v>
      </c>
      <c r="M94" s="141">
        <f t="shared" si="5"/>
        <v>-123</v>
      </c>
      <c r="N94" s="140">
        <f t="shared" si="6"/>
        <v>-111.00000000000001</v>
      </c>
      <c r="O94" s="140"/>
    </row>
    <row r="95" spans="1:25">
      <c r="A95" s="76">
        <f>'BC.114+320'!B94</f>
        <v>45124</v>
      </c>
      <c r="B95" s="140">
        <f t="shared" si="7"/>
        <v>81</v>
      </c>
      <c r="C95" s="142">
        <f>'BC.114+320'!M94/1000</f>
        <v>0.67700000000000005</v>
      </c>
      <c r="D95" s="142">
        <f>'BC.114+320'!AA94</f>
        <v>0.89900000000000002</v>
      </c>
      <c r="E95" s="143">
        <f>'BC.114+320'!AB94</f>
        <v>0.73399999999999999</v>
      </c>
      <c r="F95" s="142">
        <f>VLOOKUP($A95,'BC.114+320'!$B$13:$X$489,8,0)/1000</f>
        <v>1.714</v>
      </c>
      <c r="G95" s="142">
        <f>VLOOKUP($A95,'BC.114+320'!$B$13:$X$489,9,0)/1000</f>
        <v>-0.28599999999999998</v>
      </c>
      <c r="H95" s="142">
        <f>VLOOKUP($A95,'BC.114+320'!$B$13:$X$489,14,0)/1000</f>
        <v>1.6970000000000001</v>
      </c>
      <c r="I95" s="142">
        <f>VLOOKUP($A95,'BC.114+320'!$B$13:$X$489,15,0)/1000</f>
        <v>-0.30299999999999999</v>
      </c>
      <c r="J95" s="142">
        <f>VLOOKUP($A95,'BC.114+320'!$B$13:$X$489,20,0)/1000</f>
        <v>1.7689999999999999</v>
      </c>
      <c r="K95" s="142">
        <f>VLOOKUP($A95,'BC.114+320'!$B$13:$X$489,21,0)/1000</f>
        <v>-0.23100000000000001</v>
      </c>
      <c r="L95" s="140">
        <f t="shared" si="4"/>
        <v>-105.99999999999999</v>
      </c>
      <c r="M95" s="141">
        <f t="shared" si="5"/>
        <v>-123</v>
      </c>
      <c r="N95" s="140">
        <f t="shared" si="6"/>
        <v>-111.00000000000001</v>
      </c>
      <c r="O95" s="140"/>
    </row>
    <row r="96" spans="1:25">
      <c r="A96" s="76">
        <f>'BC.114+320'!B95</f>
        <v>45125</v>
      </c>
      <c r="B96" s="140">
        <f t="shared" si="7"/>
        <v>82</v>
      </c>
      <c r="C96" s="142">
        <f>'BC.114+320'!M95/1000</f>
        <v>0.67700000000000005</v>
      </c>
      <c r="D96" s="142">
        <f>'BC.114+320'!AA95</f>
        <v>0.89900000000000002</v>
      </c>
      <c r="E96" s="143">
        <f>'BC.114+320'!AB95</f>
        <v>0.73399999999999999</v>
      </c>
      <c r="F96" s="142">
        <f>VLOOKUP($A96,'BC.114+320'!$B$13:$X$489,8,0)/1000</f>
        <v>1.714</v>
      </c>
      <c r="G96" s="142">
        <f>VLOOKUP($A96,'BC.114+320'!$B$13:$X$489,9,0)/1000</f>
        <v>-0.28599999999999998</v>
      </c>
      <c r="H96" s="142">
        <f>VLOOKUP($A96,'BC.114+320'!$B$13:$X$489,14,0)/1000</f>
        <v>1.6970000000000001</v>
      </c>
      <c r="I96" s="142">
        <f>VLOOKUP($A96,'BC.114+320'!$B$13:$X$489,15,0)/1000</f>
        <v>-0.30299999999999999</v>
      </c>
      <c r="J96" s="142">
        <f>VLOOKUP($A96,'BC.114+320'!$B$13:$X$489,20,0)/1000</f>
        <v>1.7689999999999999</v>
      </c>
      <c r="K96" s="142">
        <f>VLOOKUP($A96,'BC.114+320'!$B$13:$X$489,21,0)/1000</f>
        <v>-0.23100000000000001</v>
      </c>
      <c r="L96" s="140">
        <f t="shared" si="4"/>
        <v>-105.99999999999999</v>
      </c>
      <c r="M96" s="141">
        <f t="shared" si="5"/>
        <v>-123</v>
      </c>
      <c r="N96" s="140">
        <f t="shared" si="6"/>
        <v>-111.00000000000001</v>
      </c>
      <c r="O96" s="140"/>
    </row>
    <row r="97" spans="1:15">
      <c r="A97" s="76">
        <f>'BC.114+320'!B96</f>
        <v>45126</v>
      </c>
      <c r="B97" s="140">
        <f t="shared" si="7"/>
        <v>83</v>
      </c>
      <c r="C97" s="142">
        <f>'BC.114+320'!M96/1000</f>
        <v>0.67700000000000005</v>
      </c>
      <c r="D97" s="142">
        <f>'BC.114+320'!AA96</f>
        <v>0.89900000000000002</v>
      </c>
      <c r="E97" s="143">
        <f>'BC.114+320'!AB96</f>
        <v>0.73399999999999999</v>
      </c>
      <c r="F97" s="142">
        <f>VLOOKUP($A97,'BC.114+320'!$B$13:$X$489,8,0)/1000</f>
        <v>1.714</v>
      </c>
      <c r="G97" s="142">
        <f>VLOOKUP($A97,'BC.114+320'!$B$13:$X$489,9,0)/1000</f>
        <v>-0.28599999999999998</v>
      </c>
      <c r="H97" s="142">
        <f>VLOOKUP($A97,'BC.114+320'!$B$13:$X$489,14,0)/1000</f>
        <v>1.6970000000000001</v>
      </c>
      <c r="I97" s="142">
        <f>VLOOKUP($A97,'BC.114+320'!$B$13:$X$489,15,0)/1000</f>
        <v>-0.30299999999999999</v>
      </c>
      <c r="J97" s="142">
        <f>VLOOKUP($A97,'BC.114+320'!$B$13:$X$489,20,0)/1000</f>
        <v>1.7689999999999999</v>
      </c>
      <c r="K97" s="142">
        <f>VLOOKUP($A97,'BC.114+320'!$B$13:$X$489,21,0)/1000</f>
        <v>-0.23100000000000001</v>
      </c>
      <c r="L97" s="140">
        <f t="shared" si="4"/>
        <v>-105.99999999999999</v>
      </c>
      <c r="M97" s="141">
        <f t="shared" si="5"/>
        <v>-123</v>
      </c>
      <c r="N97" s="140">
        <f t="shared" si="6"/>
        <v>-111.00000000000001</v>
      </c>
      <c r="O97" s="140"/>
    </row>
    <row r="98" spans="1:15">
      <c r="A98" s="76">
        <f>'BC.114+320'!B97</f>
        <v>45127</v>
      </c>
      <c r="B98" s="140">
        <f t="shared" si="7"/>
        <v>84</v>
      </c>
      <c r="C98" s="142">
        <f>'BC.114+320'!M97/1000</f>
        <v>0.67700000000000005</v>
      </c>
      <c r="D98" s="142">
        <f>'BC.114+320'!AA97</f>
        <v>0.89900000000000002</v>
      </c>
      <c r="E98" s="143">
        <f>'BC.114+320'!AB97</f>
        <v>0.73399999999999999</v>
      </c>
      <c r="F98" s="142">
        <f>VLOOKUP($A98,'BC.114+320'!$B$13:$X$489,8,0)/1000</f>
        <v>1.714</v>
      </c>
      <c r="G98" s="142">
        <f>VLOOKUP($A98,'BC.114+320'!$B$13:$X$489,9,0)/1000</f>
        <v>-0.28599999999999998</v>
      </c>
      <c r="H98" s="142">
        <f>VLOOKUP($A98,'BC.114+320'!$B$13:$X$489,14,0)/1000</f>
        <v>1.6970000000000001</v>
      </c>
      <c r="I98" s="142">
        <f>VLOOKUP($A98,'BC.114+320'!$B$13:$X$489,15,0)/1000</f>
        <v>-0.30299999999999999</v>
      </c>
      <c r="J98" s="142">
        <f>VLOOKUP($A98,'BC.114+320'!$B$13:$X$489,20,0)/1000</f>
        <v>1.7689999999999999</v>
      </c>
      <c r="K98" s="142">
        <f>VLOOKUP($A98,'BC.114+320'!$B$13:$X$489,21,0)/1000</f>
        <v>-0.23100000000000001</v>
      </c>
      <c r="L98" s="140">
        <f t="shared" si="4"/>
        <v>-105.99999999999999</v>
      </c>
      <c r="M98" s="141">
        <f t="shared" si="5"/>
        <v>-123</v>
      </c>
      <c r="N98" s="140">
        <f t="shared" si="6"/>
        <v>-111.00000000000001</v>
      </c>
      <c r="O98" s="140"/>
    </row>
    <row r="99" spans="1:15">
      <c r="A99" s="76">
        <f>'BC.114+320'!B98</f>
        <v>45128</v>
      </c>
      <c r="B99" s="140">
        <f t="shared" si="7"/>
        <v>85</v>
      </c>
      <c r="C99" s="142">
        <f>'BC.114+320'!M98/1000</f>
        <v>0.67700000000000005</v>
      </c>
      <c r="D99" s="142">
        <f>'BC.114+320'!AA98</f>
        <v>0.89900000000000002</v>
      </c>
      <c r="E99" s="143">
        <f>'BC.114+320'!AB98</f>
        <v>0.73399999999999999</v>
      </c>
      <c r="F99" s="142">
        <f>VLOOKUP($A99,'BC.114+320'!$B$13:$X$489,8,0)/1000</f>
        <v>1.714</v>
      </c>
      <c r="G99" s="142">
        <f>VLOOKUP($A99,'BC.114+320'!$B$13:$X$489,9,0)/1000</f>
        <v>-0.28599999999999998</v>
      </c>
      <c r="H99" s="142">
        <f>VLOOKUP($A99,'BC.114+320'!$B$13:$X$489,14,0)/1000</f>
        <v>1.6970000000000001</v>
      </c>
      <c r="I99" s="142">
        <f>VLOOKUP($A99,'BC.114+320'!$B$13:$X$489,15,0)/1000</f>
        <v>-0.30299999999999999</v>
      </c>
      <c r="J99" s="142">
        <f>VLOOKUP($A99,'BC.114+320'!$B$13:$X$489,20,0)/1000</f>
        <v>1.7689999999999999</v>
      </c>
      <c r="K99" s="142">
        <f>VLOOKUP($A99,'BC.114+320'!$B$13:$X$489,21,0)/1000</f>
        <v>-0.23100000000000001</v>
      </c>
      <c r="L99" s="140">
        <f t="shared" si="4"/>
        <v>-105.99999999999999</v>
      </c>
      <c r="M99" s="141">
        <f t="shared" si="5"/>
        <v>-123</v>
      </c>
      <c r="N99" s="140">
        <f t="shared" si="6"/>
        <v>-111.00000000000001</v>
      </c>
      <c r="O99" s="140"/>
    </row>
    <row r="100" spans="1:15">
      <c r="A100" s="76">
        <f>'BC.114+320'!B99</f>
        <v>45129</v>
      </c>
      <c r="B100" s="140">
        <f t="shared" si="7"/>
        <v>86</v>
      </c>
      <c r="C100" s="142">
        <f>'BC.114+320'!M99/1000</f>
        <v>0.67700000000000005</v>
      </c>
      <c r="D100" s="142">
        <f>'BC.114+320'!AA99</f>
        <v>0.89900000000000002</v>
      </c>
      <c r="E100" s="143">
        <f>'BC.114+320'!AB99</f>
        <v>0.73399999999999999</v>
      </c>
      <c r="F100" s="142">
        <f>VLOOKUP($A100,'BC.114+320'!$B$13:$X$489,8,0)/1000</f>
        <v>1.714</v>
      </c>
      <c r="G100" s="142">
        <f>VLOOKUP($A100,'BC.114+320'!$B$13:$X$489,9,0)/1000</f>
        <v>-0.28599999999999998</v>
      </c>
      <c r="H100" s="142">
        <f>VLOOKUP($A100,'BC.114+320'!$B$13:$X$489,14,0)/1000</f>
        <v>1.6970000000000001</v>
      </c>
      <c r="I100" s="142">
        <f>VLOOKUP($A100,'BC.114+320'!$B$13:$X$489,15,0)/1000</f>
        <v>-0.30299999999999999</v>
      </c>
      <c r="J100" s="142">
        <f>VLOOKUP($A100,'BC.114+320'!$B$13:$X$489,20,0)/1000</f>
        <v>1.7689999999999999</v>
      </c>
      <c r="K100" s="142">
        <f>VLOOKUP($A100,'BC.114+320'!$B$13:$X$489,21,0)/1000</f>
        <v>-0.23100000000000001</v>
      </c>
      <c r="L100" s="140">
        <f t="shared" si="4"/>
        <v>-105.99999999999999</v>
      </c>
      <c r="M100" s="141">
        <f t="shared" si="5"/>
        <v>-123</v>
      </c>
      <c r="N100" s="140">
        <f t="shared" si="6"/>
        <v>-111.00000000000001</v>
      </c>
      <c r="O100" s="140"/>
    </row>
    <row r="101" spans="1:15">
      <c r="A101" s="76">
        <f>'BC.114+320'!B100</f>
        <v>45130</v>
      </c>
      <c r="B101" s="140">
        <f t="shared" si="7"/>
        <v>87</v>
      </c>
      <c r="C101" s="142">
        <f>'BC.114+320'!M100/1000</f>
        <v>0.67700000000000005</v>
      </c>
      <c r="D101" s="142">
        <f>'BC.114+320'!AA100</f>
        <v>0.89900000000000002</v>
      </c>
      <c r="E101" s="143">
        <f>'BC.114+320'!AB100</f>
        <v>0.73399999999999999</v>
      </c>
      <c r="F101" s="142">
        <f>VLOOKUP($A101,'BC.114+320'!$B$13:$X$489,8,0)/1000</f>
        <v>1.714</v>
      </c>
      <c r="G101" s="142">
        <f>VLOOKUP($A101,'BC.114+320'!$B$13:$X$489,9,0)/1000</f>
        <v>-0.28599999999999998</v>
      </c>
      <c r="H101" s="142">
        <f>VLOOKUP($A101,'BC.114+320'!$B$13:$X$489,14,0)/1000</f>
        <v>1.6970000000000001</v>
      </c>
      <c r="I101" s="142">
        <f>VLOOKUP($A101,'BC.114+320'!$B$13:$X$489,15,0)/1000</f>
        <v>-0.30299999999999999</v>
      </c>
      <c r="J101" s="142">
        <f>VLOOKUP($A101,'BC.114+320'!$B$13:$X$489,20,0)/1000</f>
        <v>1.7689999999999999</v>
      </c>
      <c r="K101" s="142">
        <f>VLOOKUP($A101,'BC.114+320'!$B$13:$X$489,21,0)/1000</f>
        <v>-0.23100000000000001</v>
      </c>
      <c r="L101" s="140">
        <f t="shared" si="4"/>
        <v>-105.99999999999999</v>
      </c>
      <c r="M101" s="141">
        <f t="shared" si="5"/>
        <v>-123</v>
      </c>
      <c r="N101" s="140">
        <f t="shared" si="6"/>
        <v>-111.00000000000001</v>
      </c>
      <c r="O101" s="140"/>
    </row>
    <row r="102" spans="1:15">
      <c r="A102" s="76">
        <f>'BC.114+320'!B101</f>
        <v>45131</v>
      </c>
      <c r="B102" s="140">
        <f t="shared" si="7"/>
        <v>88</v>
      </c>
      <c r="C102" s="142">
        <f>'BC.114+320'!M101/1000</f>
        <v>0.67700000000000005</v>
      </c>
      <c r="D102" s="142">
        <f>'BC.114+320'!AA101</f>
        <v>0.89900000000000002</v>
      </c>
      <c r="E102" s="143">
        <f>'BC.114+320'!AB101</f>
        <v>0.73399999999999999</v>
      </c>
      <c r="F102" s="142">
        <f>VLOOKUP($A102,'BC.114+320'!$B$13:$X$489,8,0)/1000</f>
        <v>1.714</v>
      </c>
      <c r="G102" s="142">
        <f>VLOOKUP($A102,'BC.114+320'!$B$13:$X$489,9,0)/1000</f>
        <v>-0.28599999999999998</v>
      </c>
      <c r="H102" s="142">
        <f>VLOOKUP($A102,'BC.114+320'!$B$13:$X$489,14,0)/1000</f>
        <v>1.6970000000000001</v>
      </c>
      <c r="I102" s="142">
        <f>VLOOKUP($A102,'BC.114+320'!$B$13:$X$489,15,0)/1000</f>
        <v>-0.30299999999999999</v>
      </c>
      <c r="J102" s="142">
        <f>VLOOKUP($A102,'BC.114+320'!$B$13:$X$489,20,0)/1000</f>
        <v>1.7689999999999999</v>
      </c>
      <c r="K102" s="142">
        <f>VLOOKUP($A102,'BC.114+320'!$B$13:$X$489,21,0)/1000</f>
        <v>-0.23100000000000001</v>
      </c>
      <c r="L102" s="140">
        <f t="shared" si="4"/>
        <v>-105.99999999999999</v>
      </c>
      <c r="M102" s="141">
        <f t="shared" si="5"/>
        <v>-123</v>
      </c>
      <c r="N102" s="140">
        <f t="shared" si="6"/>
        <v>-111.00000000000001</v>
      </c>
      <c r="O102" s="140"/>
    </row>
    <row r="103" spans="1:15">
      <c r="A103" s="76">
        <f>'BC.114+320'!B102</f>
        <v>45132</v>
      </c>
      <c r="B103" s="140">
        <f t="shared" si="7"/>
        <v>89</v>
      </c>
      <c r="C103" s="142">
        <f>'BC.114+320'!M102/1000</f>
        <v>0.67700000000000005</v>
      </c>
      <c r="D103" s="142">
        <f>'BC.114+320'!AA102</f>
        <v>0.89900000000000002</v>
      </c>
      <c r="E103" s="143">
        <f>'BC.114+320'!AB102</f>
        <v>0.73399999999999999</v>
      </c>
      <c r="F103" s="142">
        <f>VLOOKUP($A103,'BC.114+320'!$B$13:$X$489,8,0)/1000</f>
        <v>1.714</v>
      </c>
      <c r="G103" s="142">
        <f>VLOOKUP($A103,'BC.114+320'!$B$13:$X$489,9,0)/1000</f>
        <v>-0.28599999999999998</v>
      </c>
      <c r="H103" s="142">
        <f>VLOOKUP($A103,'BC.114+320'!$B$13:$X$489,14,0)/1000</f>
        <v>1.6970000000000001</v>
      </c>
      <c r="I103" s="142">
        <f>VLOOKUP($A103,'BC.114+320'!$B$13:$X$489,15,0)/1000</f>
        <v>-0.30299999999999999</v>
      </c>
      <c r="J103" s="142">
        <f>VLOOKUP($A103,'BC.114+320'!$B$13:$X$489,20,0)/1000</f>
        <v>1.7689999999999999</v>
      </c>
      <c r="K103" s="142">
        <f>VLOOKUP($A103,'BC.114+320'!$B$13:$X$489,21,0)/1000</f>
        <v>-0.23100000000000001</v>
      </c>
      <c r="L103" s="140">
        <f t="shared" si="4"/>
        <v>-105.99999999999999</v>
      </c>
      <c r="M103" s="141">
        <f t="shared" si="5"/>
        <v>-123</v>
      </c>
      <c r="N103" s="140">
        <f t="shared" si="6"/>
        <v>-111.00000000000001</v>
      </c>
      <c r="O103" s="140"/>
    </row>
    <row r="104" spans="1:15">
      <c r="A104" s="76">
        <f>'BC.114+320'!B103</f>
        <v>45133</v>
      </c>
      <c r="B104" s="140">
        <f t="shared" si="7"/>
        <v>90</v>
      </c>
      <c r="C104" s="142">
        <f>'BC.114+320'!M103/1000</f>
        <v>0.67700000000000005</v>
      </c>
      <c r="D104" s="142">
        <f>'BC.114+320'!AA103</f>
        <v>0.89900000000000002</v>
      </c>
      <c r="E104" s="143">
        <f>'BC.114+320'!AB103</f>
        <v>0.73399999999999999</v>
      </c>
      <c r="F104" s="142">
        <f>VLOOKUP($A104,'BC.114+320'!$B$13:$X$489,8,0)/1000</f>
        <v>1.714</v>
      </c>
      <c r="G104" s="142">
        <f>VLOOKUP($A104,'BC.114+320'!$B$13:$X$489,9,0)/1000</f>
        <v>-0.28599999999999998</v>
      </c>
      <c r="H104" s="142">
        <f>VLOOKUP($A104,'BC.114+320'!$B$13:$X$489,14,0)/1000</f>
        <v>1.6970000000000001</v>
      </c>
      <c r="I104" s="142">
        <f>VLOOKUP($A104,'BC.114+320'!$B$13:$X$489,15,0)/1000</f>
        <v>-0.30299999999999999</v>
      </c>
      <c r="J104" s="142">
        <f>VLOOKUP($A104,'BC.114+320'!$B$13:$X$489,20,0)/1000</f>
        <v>1.7689999999999999</v>
      </c>
      <c r="K104" s="142">
        <f>VLOOKUP($A104,'BC.114+320'!$B$13:$X$489,21,0)/1000</f>
        <v>-0.23100000000000001</v>
      </c>
      <c r="L104" s="140">
        <f t="shared" si="4"/>
        <v>-105.99999999999999</v>
      </c>
      <c r="M104" s="141">
        <f t="shared" si="5"/>
        <v>-123</v>
      </c>
      <c r="N104" s="140">
        <f t="shared" si="6"/>
        <v>-111.00000000000001</v>
      </c>
      <c r="O104" s="140"/>
    </row>
    <row r="105" spans="1:15">
      <c r="A105" s="76">
        <f>'BC.114+320'!B104</f>
        <v>45134</v>
      </c>
      <c r="B105" s="140">
        <f t="shared" si="7"/>
        <v>91</v>
      </c>
      <c r="C105" s="142">
        <f>'BC.114+320'!M104/1000</f>
        <v>0.67700000000000005</v>
      </c>
      <c r="D105" s="142">
        <f>'BC.114+320'!AA104</f>
        <v>0.89900000000000002</v>
      </c>
      <c r="E105" s="143">
        <f>'BC.114+320'!AB104</f>
        <v>0.73399999999999999</v>
      </c>
      <c r="F105" s="142">
        <f>VLOOKUP($A105,'BC.114+320'!$B$13:$X$489,8,0)/1000</f>
        <v>1.714</v>
      </c>
      <c r="G105" s="142">
        <f>VLOOKUP($A105,'BC.114+320'!$B$13:$X$489,9,0)/1000</f>
        <v>-0.28599999999999998</v>
      </c>
      <c r="H105" s="142">
        <f>VLOOKUP($A105,'BC.114+320'!$B$13:$X$489,14,0)/1000</f>
        <v>1.6970000000000001</v>
      </c>
      <c r="I105" s="142">
        <f>VLOOKUP($A105,'BC.114+320'!$B$13:$X$489,15,0)/1000</f>
        <v>-0.30299999999999999</v>
      </c>
      <c r="J105" s="142">
        <f>VLOOKUP($A105,'BC.114+320'!$B$13:$X$489,20,0)/1000</f>
        <v>1.7689999999999999</v>
      </c>
      <c r="K105" s="142">
        <f>VLOOKUP($A105,'BC.114+320'!$B$13:$X$489,21,0)/1000</f>
        <v>-0.23100000000000001</v>
      </c>
      <c r="L105" s="140">
        <f t="shared" si="4"/>
        <v>-105.99999999999999</v>
      </c>
      <c r="M105" s="141">
        <f t="shared" si="5"/>
        <v>-123</v>
      </c>
      <c r="N105" s="140">
        <f t="shared" si="6"/>
        <v>-111.00000000000001</v>
      </c>
      <c r="O105" s="140"/>
    </row>
    <row r="106" spans="1:15">
      <c r="A106" s="76">
        <f>'BC.114+320'!B105</f>
        <v>45135</v>
      </c>
      <c r="B106" s="140">
        <f t="shared" si="7"/>
        <v>92</v>
      </c>
      <c r="C106" s="142">
        <f>'BC.114+320'!M105/1000</f>
        <v>0.67700000000000005</v>
      </c>
      <c r="D106" s="142">
        <f>'BC.114+320'!AA105</f>
        <v>0.89900000000000002</v>
      </c>
      <c r="E106" s="143">
        <f>'BC.114+320'!AB105</f>
        <v>0.73399999999999999</v>
      </c>
      <c r="F106" s="142">
        <f>VLOOKUP($A106,'BC.114+320'!$B$13:$X$489,8,0)/1000</f>
        <v>1.714</v>
      </c>
      <c r="G106" s="142">
        <f>VLOOKUP($A106,'BC.114+320'!$B$13:$X$489,9,0)/1000</f>
        <v>-0.28599999999999998</v>
      </c>
      <c r="H106" s="142">
        <f>VLOOKUP($A106,'BC.114+320'!$B$13:$X$489,14,0)/1000</f>
        <v>1.6970000000000001</v>
      </c>
      <c r="I106" s="142">
        <f>VLOOKUP($A106,'BC.114+320'!$B$13:$X$489,15,0)/1000</f>
        <v>-0.30299999999999999</v>
      </c>
      <c r="J106" s="142">
        <f>VLOOKUP($A106,'BC.114+320'!$B$13:$X$489,20,0)/1000</f>
        <v>1.7689999999999999</v>
      </c>
      <c r="K106" s="142">
        <f>VLOOKUP($A106,'BC.114+320'!$B$13:$X$489,21,0)/1000</f>
        <v>-0.23100000000000001</v>
      </c>
      <c r="L106" s="140">
        <f t="shared" si="4"/>
        <v>-105.99999999999999</v>
      </c>
      <c r="M106" s="141">
        <f t="shared" si="5"/>
        <v>-123</v>
      </c>
      <c r="N106" s="140">
        <f t="shared" si="6"/>
        <v>-111.00000000000001</v>
      </c>
      <c r="O106" s="140"/>
    </row>
    <row r="107" spans="1:15">
      <c r="A107" s="76">
        <f>'BC.114+320'!B106</f>
        <v>45136</v>
      </c>
      <c r="B107" s="140">
        <f t="shared" si="7"/>
        <v>93</v>
      </c>
      <c r="C107" s="142">
        <f>'BC.114+320'!M106/1000</f>
        <v>0.67700000000000005</v>
      </c>
      <c r="D107" s="142">
        <f>'BC.114+320'!AA106</f>
        <v>0.89900000000000002</v>
      </c>
      <c r="E107" s="143">
        <f>'BC.114+320'!AB106</f>
        <v>0.73399999999999999</v>
      </c>
      <c r="F107" s="142">
        <f>VLOOKUP($A107,'BC.114+320'!$B$13:$X$489,8,0)/1000</f>
        <v>1.714</v>
      </c>
      <c r="G107" s="142">
        <f>VLOOKUP($A107,'BC.114+320'!$B$13:$X$489,9,0)/1000</f>
        <v>-0.28599999999999998</v>
      </c>
      <c r="H107" s="142">
        <f>VLOOKUP($A107,'BC.114+320'!$B$13:$X$489,14,0)/1000</f>
        <v>1.6970000000000001</v>
      </c>
      <c r="I107" s="142">
        <f>VLOOKUP($A107,'BC.114+320'!$B$13:$X$489,15,0)/1000</f>
        <v>-0.30299999999999999</v>
      </c>
      <c r="J107" s="142">
        <f>VLOOKUP($A107,'BC.114+320'!$B$13:$X$489,20,0)/1000</f>
        <v>1.7689999999999999</v>
      </c>
      <c r="K107" s="142">
        <f>VLOOKUP($A107,'BC.114+320'!$B$13:$X$489,21,0)/1000</f>
        <v>-0.23100000000000001</v>
      </c>
      <c r="L107" s="140">
        <f t="shared" si="4"/>
        <v>-105.99999999999999</v>
      </c>
      <c r="M107" s="141">
        <f t="shared" si="5"/>
        <v>-123</v>
      </c>
      <c r="N107" s="140">
        <f t="shared" si="6"/>
        <v>-111.00000000000001</v>
      </c>
      <c r="O107" s="140"/>
    </row>
    <row r="108" spans="1:15">
      <c r="A108" s="76">
        <f>'BC.114+320'!B107</f>
        <v>45137</v>
      </c>
      <c r="B108" s="140">
        <f t="shared" si="7"/>
        <v>94</v>
      </c>
      <c r="C108" s="142">
        <f>'BC.114+320'!M107/1000</f>
        <v>0.67700000000000005</v>
      </c>
      <c r="D108" s="142">
        <f>'BC.114+320'!AA107</f>
        <v>0.89900000000000002</v>
      </c>
      <c r="E108" s="143">
        <f>'BC.114+320'!AB107</f>
        <v>0.73399999999999999</v>
      </c>
      <c r="F108" s="142">
        <f>VLOOKUP($A108,'BC.114+320'!$B$13:$X$489,8,0)/1000</f>
        <v>1.714</v>
      </c>
      <c r="G108" s="142">
        <f>VLOOKUP($A108,'BC.114+320'!$B$13:$X$489,9,0)/1000</f>
        <v>-0.28599999999999998</v>
      </c>
      <c r="H108" s="142">
        <f>VLOOKUP($A108,'BC.114+320'!$B$13:$X$489,14,0)/1000</f>
        <v>1.6970000000000001</v>
      </c>
      <c r="I108" s="142">
        <f>VLOOKUP($A108,'BC.114+320'!$B$13:$X$489,15,0)/1000</f>
        <v>-0.30299999999999999</v>
      </c>
      <c r="J108" s="142">
        <f>VLOOKUP($A108,'BC.114+320'!$B$13:$X$489,20,0)/1000</f>
        <v>1.7689999999999999</v>
      </c>
      <c r="K108" s="142">
        <f>VLOOKUP($A108,'BC.114+320'!$B$13:$X$489,21,0)/1000</f>
        <v>-0.23100000000000001</v>
      </c>
      <c r="L108" s="140">
        <f t="shared" si="4"/>
        <v>-105.99999999999999</v>
      </c>
      <c r="M108" s="141">
        <f t="shared" si="5"/>
        <v>-123</v>
      </c>
      <c r="N108" s="140">
        <f t="shared" si="6"/>
        <v>-111.00000000000001</v>
      </c>
      <c r="O108" s="140"/>
    </row>
    <row r="109" spans="1:15">
      <c r="A109" s="76">
        <f>'BC.114+320'!B108</f>
        <v>45138</v>
      </c>
      <c r="B109" s="140">
        <f t="shared" si="7"/>
        <v>95</v>
      </c>
      <c r="C109" s="142">
        <f>'BC.114+320'!M108/1000</f>
        <v>0.67700000000000005</v>
      </c>
      <c r="D109" s="142">
        <f>'BC.114+320'!AA108</f>
        <v>0.89900000000000002</v>
      </c>
      <c r="E109" s="143">
        <f>'BC.114+320'!AB108</f>
        <v>0.73399999999999999</v>
      </c>
      <c r="F109" s="142">
        <f>VLOOKUP($A109,'BC.114+320'!$B$13:$X$489,8,0)/1000</f>
        <v>1.714</v>
      </c>
      <c r="G109" s="142">
        <f>VLOOKUP($A109,'BC.114+320'!$B$13:$X$489,9,0)/1000</f>
        <v>-0.28599999999999998</v>
      </c>
      <c r="H109" s="142">
        <f>VLOOKUP($A109,'BC.114+320'!$B$13:$X$489,14,0)/1000</f>
        <v>1.6970000000000001</v>
      </c>
      <c r="I109" s="142">
        <f>VLOOKUP($A109,'BC.114+320'!$B$13:$X$489,15,0)/1000</f>
        <v>-0.30299999999999999</v>
      </c>
      <c r="J109" s="142">
        <f>VLOOKUP($A109,'BC.114+320'!$B$13:$X$489,20,0)/1000</f>
        <v>1.7689999999999999</v>
      </c>
      <c r="K109" s="142">
        <f>VLOOKUP($A109,'BC.114+320'!$B$13:$X$489,21,0)/1000</f>
        <v>-0.23100000000000001</v>
      </c>
      <c r="L109" s="140">
        <f t="shared" si="4"/>
        <v>-105.99999999999999</v>
      </c>
      <c r="M109" s="141">
        <f t="shared" si="5"/>
        <v>-123</v>
      </c>
      <c r="N109" s="140">
        <f t="shared" si="6"/>
        <v>-111.00000000000001</v>
      </c>
      <c r="O109" s="140"/>
    </row>
    <row r="110" spans="1:15">
      <c r="A110" s="76">
        <f>'BC.114+320'!B109</f>
        <v>45139</v>
      </c>
      <c r="B110" s="140">
        <f t="shared" si="7"/>
        <v>96</v>
      </c>
      <c r="C110" s="142">
        <f>'BC.114+320'!M109/1000</f>
        <v>0.67700000000000005</v>
      </c>
      <c r="D110" s="142">
        <f>'BC.114+320'!AA109</f>
        <v>0.89900000000000002</v>
      </c>
      <c r="E110" s="143">
        <f>'BC.114+320'!AB109</f>
        <v>0.73399999999999999</v>
      </c>
      <c r="F110" s="142">
        <f>VLOOKUP($A110,'BC.114+320'!$B$13:$X$489,8,0)/1000</f>
        <v>1.714</v>
      </c>
      <c r="G110" s="142">
        <f>VLOOKUP($A110,'BC.114+320'!$B$13:$X$489,9,0)/1000</f>
        <v>-0.28599999999999998</v>
      </c>
      <c r="H110" s="142">
        <f>VLOOKUP($A110,'BC.114+320'!$B$13:$X$489,14,0)/1000</f>
        <v>1.6970000000000001</v>
      </c>
      <c r="I110" s="142">
        <f>VLOOKUP($A110,'BC.114+320'!$B$13:$X$489,15,0)/1000</f>
        <v>-0.30299999999999999</v>
      </c>
      <c r="J110" s="142">
        <f>VLOOKUP($A110,'BC.114+320'!$B$13:$X$489,20,0)/1000</f>
        <v>1.7689999999999999</v>
      </c>
      <c r="K110" s="142">
        <f>VLOOKUP($A110,'BC.114+320'!$B$13:$X$489,21,0)/1000</f>
        <v>-0.23100000000000001</v>
      </c>
      <c r="L110" s="140">
        <f t="shared" si="4"/>
        <v>-105.99999999999999</v>
      </c>
      <c r="M110" s="141">
        <f t="shared" si="5"/>
        <v>-123</v>
      </c>
      <c r="N110" s="140">
        <f t="shared" si="6"/>
        <v>-111.00000000000001</v>
      </c>
      <c r="O110" s="140"/>
    </row>
    <row r="111" spans="1:15">
      <c r="A111" s="76">
        <f>'BC.114+320'!B110</f>
        <v>45140</v>
      </c>
      <c r="B111" s="140">
        <f t="shared" si="7"/>
        <v>97</v>
      </c>
      <c r="C111" s="142">
        <f>'BC.114+320'!M110/1000</f>
        <v>0.67700000000000005</v>
      </c>
      <c r="D111" s="142">
        <f>'BC.114+320'!AA110</f>
        <v>0.89900000000000002</v>
      </c>
      <c r="E111" s="143">
        <f>'BC.114+320'!AB110</f>
        <v>0.73399999999999999</v>
      </c>
      <c r="F111" s="142">
        <f>VLOOKUP($A111,'BC.114+320'!$B$13:$X$489,8,0)/1000</f>
        <v>1.714</v>
      </c>
      <c r="G111" s="142">
        <f>VLOOKUP($A111,'BC.114+320'!$B$13:$X$489,9,0)/1000</f>
        <v>-0.28599999999999998</v>
      </c>
      <c r="H111" s="142">
        <f>VLOOKUP($A111,'BC.114+320'!$B$13:$X$489,14,0)/1000</f>
        <v>1.6970000000000001</v>
      </c>
      <c r="I111" s="142">
        <f>VLOOKUP($A111,'BC.114+320'!$B$13:$X$489,15,0)/1000</f>
        <v>-0.30299999999999999</v>
      </c>
      <c r="J111" s="142">
        <f>VLOOKUP($A111,'BC.114+320'!$B$13:$X$489,20,0)/1000</f>
        <v>1.7689999999999999</v>
      </c>
      <c r="K111" s="142">
        <f>VLOOKUP($A111,'BC.114+320'!$B$13:$X$489,21,0)/1000</f>
        <v>-0.23100000000000001</v>
      </c>
      <c r="L111" s="140">
        <f t="shared" si="4"/>
        <v>-105.99999999999999</v>
      </c>
      <c r="M111" s="141">
        <f t="shared" si="5"/>
        <v>-123</v>
      </c>
      <c r="N111" s="140">
        <f t="shared" si="6"/>
        <v>-111.00000000000001</v>
      </c>
      <c r="O111" s="140"/>
    </row>
    <row r="112" spans="1:15">
      <c r="A112" s="76">
        <f>'BC.114+320'!B111</f>
        <v>45141</v>
      </c>
      <c r="B112" s="140">
        <f t="shared" si="7"/>
        <v>98</v>
      </c>
      <c r="C112" s="142">
        <f>'BC.114+320'!M111/1000</f>
        <v>0.67700000000000005</v>
      </c>
      <c r="D112" s="142">
        <f>'BC.114+320'!AA111</f>
        <v>0.89900000000000002</v>
      </c>
      <c r="E112" s="143">
        <f>'BC.114+320'!AB111</f>
        <v>0.73399999999999999</v>
      </c>
      <c r="F112" s="142">
        <f>VLOOKUP($A112,'BC.114+320'!$B$13:$X$489,8,0)/1000</f>
        <v>1.714</v>
      </c>
      <c r="G112" s="142">
        <f>VLOOKUP($A112,'BC.114+320'!$B$13:$X$489,9,0)/1000</f>
        <v>-0.28599999999999998</v>
      </c>
      <c r="H112" s="142">
        <f>VLOOKUP($A112,'BC.114+320'!$B$13:$X$489,14,0)/1000</f>
        <v>1.6970000000000001</v>
      </c>
      <c r="I112" s="142">
        <f>VLOOKUP($A112,'BC.114+320'!$B$13:$X$489,15,0)/1000</f>
        <v>-0.30299999999999999</v>
      </c>
      <c r="J112" s="142">
        <f>VLOOKUP($A112,'BC.114+320'!$B$13:$X$489,20,0)/1000</f>
        <v>1.7689999999999999</v>
      </c>
      <c r="K112" s="142">
        <f>VLOOKUP($A112,'BC.114+320'!$B$13:$X$489,21,0)/1000</f>
        <v>-0.23100000000000001</v>
      </c>
      <c r="L112" s="140">
        <f t="shared" si="4"/>
        <v>-105.99999999999999</v>
      </c>
      <c r="M112" s="141">
        <f t="shared" si="5"/>
        <v>-123</v>
      </c>
      <c r="N112" s="140">
        <f t="shared" si="6"/>
        <v>-111.00000000000001</v>
      </c>
      <c r="O112" s="140"/>
    </row>
    <row r="113" spans="1:15">
      <c r="A113" s="76">
        <f>'BC.114+320'!B112</f>
        <v>45142</v>
      </c>
      <c r="B113" s="140">
        <f t="shared" si="7"/>
        <v>99</v>
      </c>
      <c r="C113" s="142">
        <f>'BC.114+320'!M112/1000</f>
        <v>0.67700000000000005</v>
      </c>
      <c r="D113" s="142">
        <f>'BC.114+320'!AA112</f>
        <v>0.89900000000000002</v>
      </c>
      <c r="E113" s="143">
        <f>'BC.114+320'!AB112</f>
        <v>0.73399999999999999</v>
      </c>
      <c r="F113" s="142">
        <f>VLOOKUP($A113,'BC.114+320'!$B$13:$X$489,8,0)/1000</f>
        <v>1.714</v>
      </c>
      <c r="G113" s="142">
        <f>VLOOKUP($A113,'BC.114+320'!$B$13:$X$489,9,0)/1000</f>
        <v>-0.28599999999999998</v>
      </c>
      <c r="H113" s="142">
        <f>VLOOKUP($A113,'BC.114+320'!$B$13:$X$489,14,0)/1000</f>
        <v>1.6970000000000001</v>
      </c>
      <c r="I113" s="142">
        <f>VLOOKUP($A113,'BC.114+320'!$B$13:$X$489,15,0)/1000</f>
        <v>-0.30299999999999999</v>
      </c>
      <c r="J113" s="142">
        <f>VLOOKUP($A113,'BC.114+320'!$B$13:$X$489,20,0)/1000</f>
        <v>1.7689999999999999</v>
      </c>
      <c r="K113" s="142">
        <f>VLOOKUP($A113,'BC.114+320'!$B$13:$X$489,21,0)/1000</f>
        <v>-0.23100000000000001</v>
      </c>
      <c r="L113" s="140">
        <f t="shared" si="4"/>
        <v>-105.99999999999999</v>
      </c>
      <c r="M113" s="141">
        <f t="shared" si="5"/>
        <v>-123</v>
      </c>
      <c r="N113" s="140">
        <f t="shared" si="6"/>
        <v>-111.00000000000001</v>
      </c>
      <c r="O113" s="140"/>
    </row>
    <row r="114" spans="1:15">
      <c r="A114" s="76">
        <f>'BC.114+320'!B113</f>
        <v>45143</v>
      </c>
      <c r="B114" s="140">
        <f t="shared" si="7"/>
        <v>100</v>
      </c>
      <c r="C114" s="142">
        <f>'BC.114+320'!M113/1000</f>
        <v>0.67700000000000005</v>
      </c>
      <c r="D114" s="142">
        <f>'BC.114+320'!AA113</f>
        <v>0.89900000000000002</v>
      </c>
      <c r="E114" s="143">
        <f>'BC.114+320'!AB113</f>
        <v>0.73399999999999999</v>
      </c>
      <c r="F114" s="142">
        <f>VLOOKUP($A114,'BC.114+320'!$B$13:$X$489,8,0)/1000</f>
        <v>1.714</v>
      </c>
      <c r="G114" s="142">
        <f>VLOOKUP($A114,'BC.114+320'!$B$13:$X$489,9,0)/1000</f>
        <v>-0.28599999999999998</v>
      </c>
      <c r="H114" s="142">
        <f>VLOOKUP($A114,'BC.114+320'!$B$13:$X$489,14,0)/1000</f>
        <v>1.6970000000000001</v>
      </c>
      <c r="I114" s="142">
        <f>VLOOKUP($A114,'BC.114+320'!$B$13:$X$489,15,0)/1000</f>
        <v>-0.30299999999999999</v>
      </c>
      <c r="J114" s="142">
        <f>VLOOKUP($A114,'BC.114+320'!$B$13:$X$489,20,0)/1000</f>
        <v>1.7689999999999999</v>
      </c>
      <c r="K114" s="142">
        <f>VLOOKUP($A114,'BC.114+320'!$B$13:$X$489,21,0)/1000</f>
        <v>-0.23100000000000001</v>
      </c>
      <c r="L114" s="140">
        <f t="shared" si="4"/>
        <v>-105.99999999999999</v>
      </c>
      <c r="M114" s="141">
        <f t="shared" si="5"/>
        <v>-123</v>
      </c>
      <c r="N114" s="140">
        <f t="shared" si="6"/>
        <v>-111.00000000000001</v>
      </c>
      <c r="O114" s="140"/>
    </row>
    <row r="115" spans="1:15">
      <c r="A115" s="76">
        <f>'BC.114+320'!B114</f>
        <v>45144</v>
      </c>
      <c r="B115" s="140">
        <f t="shared" si="7"/>
        <v>101</v>
      </c>
      <c r="C115" s="142">
        <f>'BC.114+320'!M114/1000</f>
        <v>0.67700000000000005</v>
      </c>
      <c r="D115" s="142">
        <f>'BC.114+320'!AA114</f>
        <v>0.89900000000000002</v>
      </c>
      <c r="E115" s="143">
        <f>'BC.114+320'!AB114</f>
        <v>0.73399999999999999</v>
      </c>
      <c r="F115" s="142">
        <f>VLOOKUP($A115,'BC.114+320'!$B$13:$X$489,8,0)/1000</f>
        <v>1.714</v>
      </c>
      <c r="G115" s="142">
        <f>VLOOKUP($A115,'BC.114+320'!$B$13:$X$489,9,0)/1000</f>
        <v>-0.28599999999999998</v>
      </c>
      <c r="H115" s="142">
        <f>VLOOKUP($A115,'BC.114+320'!$B$13:$X$489,14,0)/1000</f>
        <v>1.6970000000000001</v>
      </c>
      <c r="I115" s="142">
        <f>VLOOKUP($A115,'BC.114+320'!$B$13:$X$489,15,0)/1000</f>
        <v>-0.30299999999999999</v>
      </c>
      <c r="J115" s="142">
        <f>VLOOKUP($A115,'BC.114+320'!$B$13:$X$489,20,0)/1000</f>
        <v>1.7689999999999999</v>
      </c>
      <c r="K115" s="142">
        <f>VLOOKUP($A115,'BC.114+320'!$B$13:$X$489,21,0)/1000</f>
        <v>-0.23100000000000001</v>
      </c>
      <c r="L115" s="140">
        <f t="shared" si="4"/>
        <v>-105.99999999999999</v>
      </c>
      <c r="M115" s="141">
        <f t="shared" si="5"/>
        <v>-123</v>
      </c>
      <c r="N115" s="140">
        <f t="shared" si="6"/>
        <v>-111.00000000000001</v>
      </c>
      <c r="O115" s="140"/>
    </row>
    <row r="116" spans="1:15">
      <c r="A116" s="76">
        <f>'BC.114+320'!B115</f>
        <v>45145</v>
      </c>
      <c r="B116" s="140">
        <f t="shared" si="7"/>
        <v>102</v>
      </c>
      <c r="C116" s="142">
        <f>'BC.114+320'!M115/1000</f>
        <v>0.67700000000000005</v>
      </c>
      <c r="D116" s="142">
        <f>'BC.114+320'!AA115</f>
        <v>0.89900000000000002</v>
      </c>
      <c r="E116" s="143">
        <f>'BC.114+320'!AB115</f>
        <v>0.73399999999999999</v>
      </c>
      <c r="F116" s="142">
        <f>VLOOKUP($A116,'BC.114+320'!$B$13:$X$489,8,0)/1000</f>
        <v>1.714</v>
      </c>
      <c r="G116" s="142">
        <f>VLOOKUP($A116,'BC.114+320'!$B$13:$X$489,9,0)/1000</f>
        <v>-0.28599999999999998</v>
      </c>
      <c r="H116" s="142">
        <f>VLOOKUP($A116,'BC.114+320'!$B$13:$X$489,14,0)/1000</f>
        <v>1.6970000000000001</v>
      </c>
      <c r="I116" s="142">
        <f>VLOOKUP($A116,'BC.114+320'!$B$13:$X$489,15,0)/1000</f>
        <v>-0.30299999999999999</v>
      </c>
      <c r="J116" s="142">
        <f>VLOOKUP($A116,'BC.114+320'!$B$13:$X$489,20,0)/1000</f>
        <v>1.7689999999999999</v>
      </c>
      <c r="K116" s="142">
        <f>VLOOKUP($A116,'BC.114+320'!$B$13:$X$489,21,0)/1000</f>
        <v>-0.23100000000000001</v>
      </c>
      <c r="L116" s="140">
        <f t="shared" si="4"/>
        <v>-105.99999999999999</v>
      </c>
      <c r="M116" s="141">
        <f t="shared" si="5"/>
        <v>-123</v>
      </c>
      <c r="N116" s="140">
        <f t="shared" si="6"/>
        <v>-111.00000000000001</v>
      </c>
      <c r="O116" s="140"/>
    </row>
    <row r="117" spans="1:15">
      <c r="A117" s="76">
        <f>'BC.114+320'!B116</f>
        <v>45146</v>
      </c>
      <c r="B117" s="140">
        <f t="shared" si="7"/>
        <v>103</v>
      </c>
      <c r="C117" s="142">
        <f>'BC.114+320'!M116/1000</f>
        <v>0.67700000000000005</v>
      </c>
      <c r="D117" s="142">
        <f>'BC.114+320'!AA116</f>
        <v>0.89900000000000002</v>
      </c>
      <c r="E117" s="143">
        <f>'BC.114+320'!AB116</f>
        <v>0.73399999999999999</v>
      </c>
      <c r="F117" s="142">
        <f>VLOOKUP($A117,'BC.114+320'!$B$13:$X$489,8,0)/1000</f>
        <v>1.714</v>
      </c>
      <c r="G117" s="142">
        <f>VLOOKUP($A117,'BC.114+320'!$B$13:$X$489,9,0)/1000</f>
        <v>-0.28599999999999998</v>
      </c>
      <c r="H117" s="142">
        <f>VLOOKUP($A117,'BC.114+320'!$B$13:$X$489,14,0)/1000</f>
        <v>1.6970000000000001</v>
      </c>
      <c r="I117" s="142">
        <f>VLOOKUP($A117,'BC.114+320'!$B$13:$X$489,15,0)/1000</f>
        <v>-0.30299999999999999</v>
      </c>
      <c r="J117" s="142">
        <f>VLOOKUP($A117,'BC.114+320'!$B$13:$X$489,20,0)/1000</f>
        <v>1.7689999999999999</v>
      </c>
      <c r="K117" s="142">
        <f>VLOOKUP($A117,'BC.114+320'!$B$13:$X$489,21,0)/1000</f>
        <v>-0.23100000000000001</v>
      </c>
      <c r="L117" s="140">
        <f t="shared" si="4"/>
        <v>-105.99999999999999</v>
      </c>
      <c r="M117" s="141">
        <f t="shared" si="5"/>
        <v>-123</v>
      </c>
      <c r="N117" s="140">
        <f t="shared" si="6"/>
        <v>-111.00000000000001</v>
      </c>
      <c r="O117" s="140"/>
    </row>
    <row r="118" spans="1:15">
      <c r="A118" s="76">
        <f>'BC.114+320'!B117</f>
        <v>45147</v>
      </c>
      <c r="B118" s="140">
        <f t="shared" si="7"/>
        <v>104</v>
      </c>
      <c r="C118" s="142">
        <f>'BC.114+320'!M117/1000</f>
        <v>0.67700000000000005</v>
      </c>
      <c r="D118" s="142">
        <f>'BC.114+320'!AA117</f>
        <v>0.89900000000000002</v>
      </c>
      <c r="E118" s="143">
        <f>'BC.114+320'!AB117</f>
        <v>0.73399999999999999</v>
      </c>
      <c r="F118" s="142">
        <f>VLOOKUP($A118,'BC.114+320'!$B$13:$X$489,8,0)/1000</f>
        <v>1.714</v>
      </c>
      <c r="G118" s="142">
        <f>VLOOKUP($A118,'BC.114+320'!$B$13:$X$489,9,0)/1000</f>
        <v>-0.28599999999999998</v>
      </c>
      <c r="H118" s="142">
        <f>VLOOKUP($A118,'BC.114+320'!$B$13:$X$489,14,0)/1000</f>
        <v>1.6970000000000001</v>
      </c>
      <c r="I118" s="142">
        <f>VLOOKUP($A118,'BC.114+320'!$B$13:$X$489,15,0)/1000</f>
        <v>-0.30299999999999999</v>
      </c>
      <c r="J118" s="142">
        <f>VLOOKUP($A118,'BC.114+320'!$B$13:$X$489,20,0)/1000</f>
        <v>1.7689999999999999</v>
      </c>
      <c r="K118" s="142">
        <f>VLOOKUP($A118,'BC.114+320'!$B$13:$X$489,21,0)/1000</f>
        <v>-0.23100000000000001</v>
      </c>
      <c r="L118" s="140">
        <f t="shared" si="4"/>
        <v>-105.99999999999999</v>
      </c>
      <c r="M118" s="141">
        <f t="shared" si="5"/>
        <v>-123</v>
      </c>
      <c r="N118" s="140">
        <f t="shared" si="6"/>
        <v>-111.00000000000001</v>
      </c>
      <c r="O118" s="140"/>
    </row>
    <row r="119" spans="1:15">
      <c r="A119" s="76">
        <f>'BC.114+320'!B118</f>
        <v>45148</v>
      </c>
      <c r="B119" s="140">
        <f t="shared" si="7"/>
        <v>105</v>
      </c>
      <c r="C119" s="142">
        <f>'BC.114+320'!M118/1000</f>
        <v>0.67700000000000005</v>
      </c>
      <c r="D119" s="142">
        <f>'BC.114+320'!AA118</f>
        <v>0.89900000000000002</v>
      </c>
      <c r="E119" s="143">
        <f>'BC.114+320'!AB118</f>
        <v>0.73399999999999999</v>
      </c>
      <c r="F119" s="142">
        <f>VLOOKUP($A119,'BC.114+320'!$B$13:$X$489,8,0)/1000</f>
        <v>1.714</v>
      </c>
      <c r="G119" s="142">
        <f>VLOOKUP($A119,'BC.114+320'!$B$13:$X$489,9,0)/1000</f>
        <v>-0.28599999999999998</v>
      </c>
      <c r="H119" s="142">
        <f>VLOOKUP($A119,'BC.114+320'!$B$13:$X$489,14,0)/1000</f>
        <v>1.6970000000000001</v>
      </c>
      <c r="I119" s="142">
        <f>VLOOKUP($A119,'BC.114+320'!$B$13:$X$489,15,0)/1000</f>
        <v>-0.30299999999999999</v>
      </c>
      <c r="J119" s="142">
        <f>VLOOKUP($A119,'BC.114+320'!$B$13:$X$489,20,0)/1000</f>
        <v>1.7689999999999999</v>
      </c>
      <c r="K119" s="142">
        <f>VLOOKUP($A119,'BC.114+320'!$B$13:$X$489,21,0)/1000</f>
        <v>-0.23100000000000001</v>
      </c>
      <c r="L119" s="140">
        <f t="shared" si="4"/>
        <v>-105.99999999999999</v>
      </c>
      <c r="M119" s="141">
        <f t="shared" si="5"/>
        <v>-123</v>
      </c>
      <c r="N119" s="140">
        <f t="shared" si="6"/>
        <v>-111.00000000000001</v>
      </c>
      <c r="O119" s="140"/>
    </row>
    <row r="120" spans="1:15">
      <c r="A120" s="76">
        <f>'BC.114+320'!B119</f>
        <v>45149</v>
      </c>
      <c r="B120" s="140">
        <f t="shared" si="7"/>
        <v>106</v>
      </c>
      <c r="C120" s="142">
        <f>'BC.114+320'!M119/1000</f>
        <v>0.67700000000000005</v>
      </c>
      <c r="D120" s="142">
        <f>'BC.114+320'!AA119</f>
        <v>0.89900000000000002</v>
      </c>
      <c r="E120" s="143">
        <f>'BC.114+320'!AB119</f>
        <v>0.73399999999999999</v>
      </c>
      <c r="F120" s="142">
        <f>VLOOKUP($A120,'BC.114+320'!$B$13:$X$489,8,0)/1000</f>
        <v>1.714</v>
      </c>
      <c r="G120" s="142">
        <f>VLOOKUP($A120,'BC.114+320'!$B$13:$X$489,9,0)/1000</f>
        <v>-0.28599999999999998</v>
      </c>
      <c r="H120" s="142">
        <f>VLOOKUP($A120,'BC.114+320'!$B$13:$X$489,14,0)/1000</f>
        <v>1.6970000000000001</v>
      </c>
      <c r="I120" s="142">
        <f>VLOOKUP($A120,'BC.114+320'!$B$13:$X$489,15,0)/1000</f>
        <v>-0.30299999999999999</v>
      </c>
      <c r="J120" s="142">
        <f>VLOOKUP($A120,'BC.114+320'!$B$13:$X$489,20,0)/1000</f>
        <v>1.7689999999999999</v>
      </c>
      <c r="K120" s="142">
        <f>VLOOKUP($A120,'BC.114+320'!$B$13:$X$489,21,0)/1000</f>
        <v>-0.23100000000000001</v>
      </c>
      <c r="L120" s="140">
        <f t="shared" si="4"/>
        <v>-105.99999999999999</v>
      </c>
      <c r="M120" s="141">
        <f t="shared" si="5"/>
        <v>-123</v>
      </c>
      <c r="N120" s="140">
        <f t="shared" si="6"/>
        <v>-111.00000000000001</v>
      </c>
      <c r="O120" s="140"/>
    </row>
    <row r="121" spans="1:15">
      <c r="A121" s="76">
        <f>'BC.114+320'!B120</f>
        <v>45150</v>
      </c>
      <c r="B121" s="140">
        <f t="shared" si="7"/>
        <v>107</v>
      </c>
      <c r="C121" s="142">
        <f>'BC.114+320'!M120/1000</f>
        <v>0.67700000000000005</v>
      </c>
      <c r="D121" s="142">
        <f>'BC.114+320'!AA120</f>
        <v>0.89900000000000002</v>
      </c>
      <c r="E121" s="143">
        <f>'BC.114+320'!AB120</f>
        <v>0.73399999999999999</v>
      </c>
      <c r="F121" s="142">
        <f>VLOOKUP($A121,'BC.114+320'!$B$13:$X$489,8,0)/1000</f>
        <v>1.714</v>
      </c>
      <c r="G121" s="142">
        <f>VLOOKUP($A121,'BC.114+320'!$B$13:$X$489,9,0)/1000</f>
        <v>-0.28599999999999998</v>
      </c>
      <c r="H121" s="142">
        <f>VLOOKUP($A121,'BC.114+320'!$B$13:$X$489,14,0)/1000</f>
        <v>1.6970000000000001</v>
      </c>
      <c r="I121" s="142">
        <f>VLOOKUP($A121,'BC.114+320'!$B$13:$X$489,15,0)/1000</f>
        <v>-0.30299999999999999</v>
      </c>
      <c r="J121" s="142">
        <f>VLOOKUP($A121,'BC.114+320'!$B$13:$X$489,20,0)/1000</f>
        <v>1.7689999999999999</v>
      </c>
      <c r="K121" s="142">
        <f>VLOOKUP($A121,'BC.114+320'!$B$13:$X$489,21,0)/1000</f>
        <v>-0.23100000000000001</v>
      </c>
      <c r="L121" s="140">
        <f t="shared" si="4"/>
        <v>-105.99999999999999</v>
      </c>
      <c r="M121" s="141">
        <f t="shared" si="5"/>
        <v>-123</v>
      </c>
      <c r="N121" s="140">
        <f t="shared" si="6"/>
        <v>-111.00000000000001</v>
      </c>
      <c r="O121" s="140"/>
    </row>
    <row r="122" spans="1:15">
      <c r="A122" s="76">
        <f>'BC.114+320'!B121</f>
        <v>45151</v>
      </c>
      <c r="B122" s="140">
        <f t="shared" si="7"/>
        <v>108</v>
      </c>
      <c r="C122" s="142">
        <f>'BC.114+320'!M121/1000</f>
        <v>0.67700000000000005</v>
      </c>
      <c r="D122" s="142">
        <f>'BC.114+320'!AA121</f>
        <v>0.89900000000000002</v>
      </c>
      <c r="E122" s="143">
        <f>'BC.114+320'!AB121</f>
        <v>0.73399999999999999</v>
      </c>
      <c r="F122" s="142">
        <f>VLOOKUP($A122,'BC.114+320'!$B$13:$X$489,8,0)/1000</f>
        <v>1.714</v>
      </c>
      <c r="G122" s="142">
        <f>VLOOKUP($A122,'BC.114+320'!$B$13:$X$489,9,0)/1000</f>
        <v>-0.28599999999999998</v>
      </c>
      <c r="H122" s="142">
        <f>VLOOKUP($A122,'BC.114+320'!$B$13:$X$489,14,0)/1000</f>
        <v>1.6970000000000001</v>
      </c>
      <c r="I122" s="142">
        <f>VLOOKUP($A122,'BC.114+320'!$B$13:$X$489,15,0)/1000</f>
        <v>-0.30299999999999999</v>
      </c>
      <c r="J122" s="142">
        <f>VLOOKUP($A122,'BC.114+320'!$B$13:$X$489,20,0)/1000</f>
        <v>1.7689999999999999</v>
      </c>
      <c r="K122" s="142">
        <f>VLOOKUP($A122,'BC.114+320'!$B$13:$X$489,21,0)/1000</f>
        <v>-0.23100000000000001</v>
      </c>
      <c r="L122" s="140">
        <f t="shared" si="4"/>
        <v>-105.99999999999999</v>
      </c>
      <c r="M122" s="141">
        <f t="shared" si="5"/>
        <v>-123</v>
      </c>
      <c r="N122" s="140">
        <f t="shared" si="6"/>
        <v>-111.00000000000001</v>
      </c>
      <c r="O122" s="140"/>
    </row>
    <row r="123" spans="1:15">
      <c r="A123" s="76">
        <f>'BC.114+320'!B122</f>
        <v>45152</v>
      </c>
      <c r="B123" s="140">
        <f t="shared" si="7"/>
        <v>109</v>
      </c>
      <c r="C123" s="142">
        <f>'BC.114+320'!M122/1000</f>
        <v>0.67700000000000005</v>
      </c>
      <c r="D123" s="142">
        <f>'BC.114+320'!AA122</f>
        <v>0.89900000000000002</v>
      </c>
      <c r="E123" s="143">
        <f>'BC.114+320'!AB122</f>
        <v>0.73399999999999999</v>
      </c>
      <c r="F123" s="142">
        <f>VLOOKUP($A123,'BC.114+320'!$B$13:$X$489,8,0)/1000</f>
        <v>1.714</v>
      </c>
      <c r="G123" s="142">
        <f>VLOOKUP($A123,'BC.114+320'!$B$13:$X$489,9,0)/1000</f>
        <v>-0.28599999999999998</v>
      </c>
      <c r="H123" s="142">
        <f>VLOOKUP($A123,'BC.114+320'!$B$13:$X$489,14,0)/1000</f>
        <v>1.6970000000000001</v>
      </c>
      <c r="I123" s="142">
        <f>VLOOKUP($A123,'BC.114+320'!$B$13:$X$489,15,0)/1000</f>
        <v>-0.30299999999999999</v>
      </c>
      <c r="J123" s="142">
        <f>VLOOKUP($A123,'BC.114+320'!$B$13:$X$489,20,0)/1000</f>
        <v>1.7689999999999999</v>
      </c>
      <c r="K123" s="142">
        <f>VLOOKUP($A123,'BC.114+320'!$B$13:$X$489,21,0)/1000</f>
        <v>-0.23100000000000001</v>
      </c>
      <c r="L123" s="140">
        <f t="shared" si="4"/>
        <v>-105.99999999999999</v>
      </c>
      <c r="M123" s="141">
        <f t="shared" si="5"/>
        <v>-123</v>
      </c>
      <c r="N123" s="140">
        <f t="shared" si="6"/>
        <v>-111.00000000000001</v>
      </c>
      <c r="O123" s="140"/>
    </row>
    <row r="124" spans="1:15">
      <c r="A124" s="76">
        <f>'BC.114+320'!B123</f>
        <v>45153</v>
      </c>
      <c r="B124" s="140">
        <f t="shared" si="7"/>
        <v>110</v>
      </c>
      <c r="C124" s="142">
        <f>'BC.114+320'!M123/1000</f>
        <v>0.67700000000000005</v>
      </c>
      <c r="D124" s="142">
        <f>'BC.114+320'!AA123</f>
        <v>0.89900000000000002</v>
      </c>
      <c r="E124" s="143">
        <f>'BC.114+320'!AB123</f>
        <v>0.73399999999999999</v>
      </c>
      <c r="F124" s="142">
        <f>VLOOKUP($A124,'BC.114+320'!$B$13:$X$489,8,0)/1000</f>
        <v>1.714</v>
      </c>
      <c r="G124" s="142">
        <f>VLOOKUP($A124,'BC.114+320'!$B$13:$X$489,9,0)/1000</f>
        <v>-0.28599999999999998</v>
      </c>
      <c r="H124" s="142">
        <f>VLOOKUP($A124,'BC.114+320'!$B$13:$X$489,14,0)/1000</f>
        <v>1.6970000000000001</v>
      </c>
      <c r="I124" s="142">
        <f>VLOOKUP($A124,'BC.114+320'!$B$13:$X$489,15,0)/1000</f>
        <v>-0.30299999999999999</v>
      </c>
      <c r="J124" s="142">
        <f>VLOOKUP($A124,'BC.114+320'!$B$13:$X$489,20,0)/1000</f>
        <v>1.7689999999999999</v>
      </c>
      <c r="K124" s="142">
        <f>VLOOKUP($A124,'BC.114+320'!$B$13:$X$489,21,0)/1000</f>
        <v>-0.23100000000000001</v>
      </c>
      <c r="L124" s="140">
        <f t="shared" si="4"/>
        <v>-105.99999999999999</v>
      </c>
      <c r="M124" s="141">
        <f t="shared" si="5"/>
        <v>-123</v>
      </c>
      <c r="N124" s="140">
        <f t="shared" si="6"/>
        <v>-111.00000000000001</v>
      </c>
      <c r="O124" s="140"/>
    </row>
    <row r="125" spans="1:15">
      <c r="A125" s="76">
        <f>'BC.114+320'!B124</f>
        <v>45154</v>
      </c>
      <c r="B125" s="140">
        <f t="shared" si="7"/>
        <v>111</v>
      </c>
      <c r="C125" s="142">
        <f>'BC.114+320'!M124/1000</f>
        <v>0.67700000000000005</v>
      </c>
      <c r="D125" s="142">
        <f>'BC.114+320'!AA124</f>
        <v>0.89900000000000002</v>
      </c>
      <c r="E125" s="143">
        <f>'BC.114+320'!AB124</f>
        <v>0.73399999999999999</v>
      </c>
      <c r="F125" s="142">
        <f>VLOOKUP($A125,'BC.114+320'!$B$13:$X$489,8,0)/1000</f>
        <v>1.714</v>
      </c>
      <c r="G125" s="142">
        <f>VLOOKUP($A125,'BC.114+320'!$B$13:$X$489,9,0)/1000</f>
        <v>-0.28599999999999998</v>
      </c>
      <c r="H125" s="142">
        <f>VLOOKUP($A125,'BC.114+320'!$B$13:$X$489,14,0)/1000</f>
        <v>1.6970000000000001</v>
      </c>
      <c r="I125" s="142">
        <f>VLOOKUP($A125,'BC.114+320'!$B$13:$X$489,15,0)/1000</f>
        <v>-0.30299999999999999</v>
      </c>
      <c r="J125" s="142">
        <f>VLOOKUP($A125,'BC.114+320'!$B$13:$X$489,20,0)/1000</f>
        <v>1.7689999999999999</v>
      </c>
      <c r="K125" s="142">
        <f>VLOOKUP($A125,'BC.114+320'!$B$13:$X$489,21,0)/1000</f>
        <v>-0.23100000000000001</v>
      </c>
      <c r="L125" s="140">
        <f t="shared" si="4"/>
        <v>-105.99999999999999</v>
      </c>
      <c r="M125" s="141">
        <f t="shared" si="5"/>
        <v>-123</v>
      </c>
      <c r="N125" s="140">
        <f t="shared" si="6"/>
        <v>-111.00000000000001</v>
      </c>
      <c r="O125" s="140"/>
    </row>
    <row r="126" spans="1:15">
      <c r="A126" s="76">
        <f>'BC.114+320'!B125</f>
        <v>45155</v>
      </c>
      <c r="B126" s="140">
        <f t="shared" si="7"/>
        <v>112</v>
      </c>
      <c r="C126" s="142">
        <f>'BC.114+320'!M125/1000</f>
        <v>0.67700000000000005</v>
      </c>
      <c r="D126" s="142">
        <f>'BC.114+320'!AA125</f>
        <v>0.89900000000000002</v>
      </c>
      <c r="E126" s="143">
        <f>'BC.114+320'!AB125</f>
        <v>0.73399999999999999</v>
      </c>
      <c r="F126" s="142">
        <f>VLOOKUP($A126,'BC.114+320'!$B$13:$X$489,8,0)/1000</f>
        <v>1.714</v>
      </c>
      <c r="G126" s="142">
        <f>VLOOKUP($A126,'BC.114+320'!$B$13:$X$489,9,0)/1000</f>
        <v>-0.28599999999999998</v>
      </c>
      <c r="H126" s="142">
        <f>VLOOKUP($A126,'BC.114+320'!$B$13:$X$489,14,0)/1000</f>
        <v>1.6970000000000001</v>
      </c>
      <c r="I126" s="142">
        <f>VLOOKUP($A126,'BC.114+320'!$B$13:$X$489,15,0)/1000</f>
        <v>-0.30299999999999999</v>
      </c>
      <c r="J126" s="142">
        <f>VLOOKUP($A126,'BC.114+320'!$B$13:$X$489,20,0)/1000</f>
        <v>1.7689999999999999</v>
      </c>
      <c r="K126" s="142">
        <f>VLOOKUP($A126,'BC.114+320'!$B$13:$X$489,21,0)/1000</f>
        <v>-0.23100000000000001</v>
      </c>
      <c r="L126" s="140">
        <f t="shared" si="4"/>
        <v>-105.99999999999999</v>
      </c>
      <c r="M126" s="141">
        <f t="shared" si="5"/>
        <v>-123</v>
      </c>
      <c r="N126" s="140">
        <f t="shared" si="6"/>
        <v>-111.00000000000001</v>
      </c>
      <c r="O126" s="140"/>
    </row>
    <row r="127" spans="1:15">
      <c r="A127" s="76">
        <f>'BC.114+320'!B126</f>
        <v>45156</v>
      </c>
      <c r="B127" s="140">
        <f t="shared" si="7"/>
        <v>113</v>
      </c>
      <c r="C127" s="142">
        <f>'BC.114+320'!M126/1000</f>
        <v>0.67700000000000005</v>
      </c>
      <c r="D127" s="142">
        <f>'BC.114+320'!AA126</f>
        <v>0.89900000000000002</v>
      </c>
      <c r="E127" s="143">
        <f>'BC.114+320'!AB126</f>
        <v>0.73399999999999999</v>
      </c>
      <c r="F127" s="142">
        <f>VLOOKUP($A127,'BC.114+320'!$B$13:$X$489,8,0)/1000</f>
        <v>1.714</v>
      </c>
      <c r="G127" s="142">
        <f>VLOOKUP($A127,'BC.114+320'!$B$13:$X$489,9,0)/1000</f>
        <v>-0.28599999999999998</v>
      </c>
      <c r="H127" s="142">
        <f>VLOOKUP($A127,'BC.114+320'!$B$13:$X$489,14,0)/1000</f>
        <v>1.6970000000000001</v>
      </c>
      <c r="I127" s="142">
        <f>VLOOKUP($A127,'BC.114+320'!$B$13:$X$489,15,0)/1000</f>
        <v>-0.30299999999999999</v>
      </c>
      <c r="J127" s="142">
        <f>VLOOKUP($A127,'BC.114+320'!$B$13:$X$489,20,0)/1000</f>
        <v>1.7689999999999999</v>
      </c>
      <c r="K127" s="142">
        <f>VLOOKUP($A127,'BC.114+320'!$B$13:$X$489,21,0)/1000</f>
        <v>-0.23100000000000001</v>
      </c>
      <c r="L127" s="140">
        <f t="shared" si="4"/>
        <v>-105.99999999999999</v>
      </c>
      <c r="M127" s="141">
        <f t="shared" si="5"/>
        <v>-123</v>
      </c>
      <c r="N127" s="140">
        <f t="shared" si="6"/>
        <v>-111.00000000000001</v>
      </c>
      <c r="O127" s="140"/>
    </row>
    <row r="128" spans="1:15">
      <c r="A128" s="76">
        <f>'BC.114+320'!B127</f>
        <v>45157</v>
      </c>
      <c r="B128" s="140">
        <f t="shared" si="7"/>
        <v>114</v>
      </c>
      <c r="C128" s="142">
        <f>'BC.114+320'!M127/1000</f>
        <v>0.67700000000000005</v>
      </c>
      <c r="D128" s="142">
        <f>'BC.114+320'!AA127</f>
        <v>0.89900000000000002</v>
      </c>
      <c r="E128" s="143">
        <f>'BC.114+320'!AB127</f>
        <v>0.73399999999999999</v>
      </c>
      <c r="F128" s="142">
        <f>VLOOKUP($A128,'BC.114+320'!$B$13:$X$489,8,0)/1000</f>
        <v>1.714</v>
      </c>
      <c r="G128" s="142">
        <f>VLOOKUP($A128,'BC.114+320'!$B$13:$X$489,9,0)/1000</f>
        <v>-0.28599999999999998</v>
      </c>
      <c r="H128" s="142">
        <f>VLOOKUP($A128,'BC.114+320'!$B$13:$X$489,14,0)/1000</f>
        <v>1.6970000000000001</v>
      </c>
      <c r="I128" s="142">
        <f>VLOOKUP($A128,'BC.114+320'!$B$13:$X$489,15,0)/1000</f>
        <v>-0.30299999999999999</v>
      </c>
      <c r="J128" s="142">
        <f>VLOOKUP($A128,'BC.114+320'!$B$13:$X$489,20,0)/1000</f>
        <v>1.7689999999999999</v>
      </c>
      <c r="K128" s="142">
        <f>VLOOKUP($A128,'BC.114+320'!$B$13:$X$489,21,0)/1000</f>
        <v>-0.23100000000000001</v>
      </c>
      <c r="L128" s="140">
        <f t="shared" si="4"/>
        <v>-105.99999999999999</v>
      </c>
      <c r="M128" s="141">
        <f t="shared" si="5"/>
        <v>-123</v>
      </c>
      <c r="N128" s="140">
        <f t="shared" si="6"/>
        <v>-111.00000000000001</v>
      </c>
      <c r="O128" s="140"/>
    </row>
    <row r="129" spans="1:15">
      <c r="A129" s="76">
        <f>'BC.114+320'!B128</f>
        <v>45158</v>
      </c>
      <c r="B129" s="140">
        <f t="shared" si="7"/>
        <v>115</v>
      </c>
      <c r="C129" s="142">
        <f>'BC.114+320'!M128/1000</f>
        <v>0.67700000000000005</v>
      </c>
      <c r="D129" s="142">
        <f>'BC.114+320'!AA128</f>
        <v>0.89900000000000002</v>
      </c>
      <c r="E129" s="143">
        <f>'BC.114+320'!AB128</f>
        <v>0.73399999999999999</v>
      </c>
      <c r="F129" s="142">
        <f>VLOOKUP($A129,'BC.114+320'!$B$13:$X$489,8,0)/1000</f>
        <v>1.714</v>
      </c>
      <c r="G129" s="142">
        <f>VLOOKUP($A129,'BC.114+320'!$B$13:$X$489,9,0)/1000</f>
        <v>-0.28599999999999998</v>
      </c>
      <c r="H129" s="142">
        <f>VLOOKUP($A129,'BC.114+320'!$B$13:$X$489,14,0)/1000</f>
        <v>1.6970000000000001</v>
      </c>
      <c r="I129" s="142">
        <f>VLOOKUP($A129,'BC.114+320'!$B$13:$X$489,15,0)/1000</f>
        <v>-0.30299999999999999</v>
      </c>
      <c r="J129" s="142">
        <f>VLOOKUP($A129,'BC.114+320'!$B$13:$X$489,20,0)/1000</f>
        <v>1.7689999999999999</v>
      </c>
      <c r="K129" s="142">
        <f>VLOOKUP($A129,'BC.114+320'!$B$13:$X$489,21,0)/1000</f>
        <v>-0.23100000000000001</v>
      </c>
      <c r="L129" s="140">
        <f t="shared" si="4"/>
        <v>-105.99999999999999</v>
      </c>
      <c r="M129" s="141">
        <f t="shared" si="5"/>
        <v>-123</v>
      </c>
      <c r="N129" s="140">
        <f t="shared" si="6"/>
        <v>-111.00000000000001</v>
      </c>
      <c r="O129" s="140"/>
    </row>
    <row r="130" spans="1:15">
      <c r="A130" s="76">
        <f>'BC.114+320'!B129</f>
        <v>45159</v>
      </c>
      <c r="B130" s="140">
        <f t="shared" si="7"/>
        <v>116</v>
      </c>
      <c r="C130" s="142">
        <f>'BC.114+320'!M129/1000</f>
        <v>0.67700000000000005</v>
      </c>
      <c r="D130" s="142">
        <f>'BC.114+320'!AA129</f>
        <v>0.89900000000000002</v>
      </c>
      <c r="E130" s="143">
        <f>'BC.114+320'!AB129</f>
        <v>0.73399999999999999</v>
      </c>
      <c r="F130" s="142">
        <f>VLOOKUP($A130,'BC.114+320'!$B$13:$X$489,8,0)/1000</f>
        <v>1.714</v>
      </c>
      <c r="G130" s="142">
        <f>VLOOKUP($A130,'BC.114+320'!$B$13:$X$489,9,0)/1000</f>
        <v>-0.28599999999999998</v>
      </c>
      <c r="H130" s="142">
        <f>VLOOKUP($A130,'BC.114+320'!$B$13:$X$489,14,0)/1000</f>
        <v>1.6970000000000001</v>
      </c>
      <c r="I130" s="142">
        <f>VLOOKUP($A130,'BC.114+320'!$B$13:$X$489,15,0)/1000</f>
        <v>-0.30299999999999999</v>
      </c>
      <c r="J130" s="142">
        <f>VLOOKUP($A130,'BC.114+320'!$B$13:$X$489,20,0)/1000</f>
        <v>1.7689999999999999</v>
      </c>
      <c r="K130" s="142">
        <f>VLOOKUP($A130,'BC.114+320'!$B$13:$X$489,21,0)/1000</f>
        <v>-0.23100000000000001</v>
      </c>
      <c r="L130" s="140">
        <f t="shared" si="4"/>
        <v>-105.99999999999999</v>
      </c>
      <c r="M130" s="141">
        <f t="shared" si="5"/>
        <v>-123</v>
      </c>
      <c r="N130" s="140">
        <f t="shared" si="6"/>
        <v>-111.00000000000001</v>
      </c>
      <c r="O130" s="140"/>
    </row>
    <row r="131" spans="1:15">
      <c r="A131" s="76">
        <f>'BC.114+320'!B130</f>
        <v>45160</v>
      </c>
      <c r="B131" s="140">
        <f t="shared" si="7"/>
        <v>117</v>
      </c>
      <c r="C131" s="142">
        <f>'BC.114+320'!M130/1000</f>
        <v>0.67700000000000005</v>
      </c>
      <c r="D131" s="142">
        <f>'BC.114+320'!AA130</f>
        <v>0.89900000000000002</v>
      </c>
      <c r="E131" s="143">
        <f>'BC.114+320'!AB130</f>
        <v>0.73399999999999999</v>
      </c>
      <c r="F131" s="142">
        <f>VLOOKUP($A131,'BC.114+320'!$B$13:$X$489,8,0)/1000</f>
        <v>1.714</v>
      </c>
      <c r="G131" s="142">
        <f>VLOOKUP($A131,'BC.114+320'!$B$13:$X$489,9,0)/1000</f>
        <v>-0.28599999999999998</v>
      </c>
      <c r="H131" s="142">
        <f>VLOOKUP($A131,'BC.114+320'!$B$13:$X$489,14,0)/1000</f>
        <v>1.6970000000000001</v>
      </c>
      <c r="I131" s="142">
        <f>VLOOKUP($A131,'BC.114+320'!$B$13:$X$489,15,0)/1000</f>
        <v>-0.30299999999999999</v>
      </c>
      <c r="J131" s="142">
        <f>VLOOKUP($A131,'BC.114+320'!$B$13:$X$489,20,0)/1000</f>
        <v>1.7689999999999999</v>
      </c>
      <c r="K131" s="142">
        <f>VLOOKUP($A131,'BC.114+320'!$B$13:$X$489,21,0)/1000</f>
        <v>-0.23100000000000001</v>
      </c>
      <c r="L131" s="140">
        <f t="shared" si="4"/>
        <v>-105.99999999999999</v>
      </c>
      <c r="M131" s="141">
        <f t="shared" si="5"/>
        <v>-123</v>
      </c>
      <c r="N131" s="140">
        <f t="shared" si="6"/>
        <v>-111.00000000000001</v>
      </c>
      <c r="O131" s="140"/>
    </row>
    <row r="132" spans="1:15">
      <c r="A132" s="76">
        <f>'BC.114+320'!B131</f>
        <v>45161</v>
      </c>
      <c r="B132" s="140">
        <f t="shared" si="7"/>
        <v>118</v>
      </c>
      <c r="C132" s="142">
        <f>'BC.114+320'!M131/1000</f>
        <v>0.67700000000000005</v>
      </c>
      <c r="D132" s="142">
        <f>'BC.114+320'!AA131</f>
        <v>0.89900000000000002</v>
      </c>
      <c r="E132" s="143">
        <f>'BC.114+320'!AB131</f>
        <v>0.73399999999999999</v>
      </c>
      <c r="F132" s="142">
        <f>VLOOKUP($A132,'BC.114+320'!$B$13:$X$489,8,0)/1000</f>
        <v>1.714</v>
      </c>
      <c r="G132" s="142">
        <f>VLOOKUP($A132,'BC.114+320'!$B$13:$X$489,9,0)/1000</f>
        <v>-0.28599999999999998</v>
      </c>
      <c r="H132" s="142">
        <f>VLOOKUP($A132,'BC.114+320'!$B$13:$X$489,14,0)/1000</f>
        <v>1.6970000000000001</v>
      </c>
      <c r="I132" s="142">
        <f>VLOOKUP($A132,'BC.114+320'!$B$13:$X$489,15,0)/1000</f>
        <v>-0.30299999999999999</v>
      </c>
      <c r="J132" s="142">
        <f>VLOOKUP($A132,'BC.114+320'!$B$13:$X$489,20,0)/1000</f>
        <v>1.7689999999999999</v>
      </c>
      <c r="K132" s="142">
        <f>VLOOKUP($A132,'BC.114+320'!$B$13:$X$489,21,0)/1000</f>
        <v>-0.23100000000000001</v>
      </c>
      <c r="L132" s="140">
        <f t="shared" si="4"/>
        <v>-105.99999999999999</v>
      </c>
      <c r="M132" s="141">
        <f t="shared" si="5"/>
        <v>-123</v>
      </c>
      <c r="N132" s="140">
        <f t="shared" si="6"/>
        <v>-111.00000000000001</v>
      </c>
      <c r="O132" s="140"/>
    </row>
    <row r="133" spans="1:15">
      <c r="A133" s="76">
        <f>'BC.114+320'!B132</f>
        <v>45162</v>
      </c>
      <c r="B133" s="140">
        <f t="shared" si="7"/>
        <v>119</v>
      </c>
      <c r="C133" s="142">
        <f>'BC.114+320'!M132/1000</f>
        <v>0.67700000000000005</v>
      </c>
      <c r="D133" s="142">
        <f>'BC.114+320'!AA132</f>
        <v>0.89900000000000002</v>
      </c>
      <c r="E133" s="143">
        <f>'BC.114+320'!AB132</f>
        <v>0.73399999999999999</v>
      </c>
      <c r="F133" s="142">
        <f>VLOOKUP($A133,'BC.114+320'!$B$13:$X$489,8,0)/1000</f>
        <v>1.714</v>
      </c>
      <c r="G133" s="142">
        <f>VLOOKUP($A133,'BC.114+320'!$B$13:$X$489,9,0)/1000</f>
        <v>-0.28599999999999998</v>
      </c>
      <c r="H133" s="142">
        <f>VLOOKUP($A133,'BC.114+320'!$B$13:$X$489,14,0)/1000</f>
        <v>1.6970000000000001</v>
      </c>
      <c r="I133" s="142">
        <f>VLOOKUP($A133,'BC.114+320'!$B$13:$X$489,15,0)/1000</f>
        <v>-0.30299999999999999</v>
      </c>
      <c r="J133" s="142">
        <f>VLOOKUP($A133,'BC.114+320'!$B$13:$X$489,20,0)/1000</f>
        <v>1.7689999999999999</v>
      </c>
      <c r="K133" s="142">
        <f>VLOOKUP($A133,'BC.114+320'!$B$13:$X$489,21,0)/1000</f>
        <v>-0.23100000000000001</v>
      </c>
      <c r="L133" s="140">
        <f t="shared" si="4"/>
        <v>-105.99999999999999</v>
      </c>
      <c r="M133" s="141">
        <f t="shared" si="5"/>
        <v>-123</v>
      </c>
      <c r="N133" s="140">
        <f t="shared" si="6"/>
        <v>-111.00000000000001</v>
      </c>
      <c r="O133" s="140"/>
    </row>
    <row r="134" spans="1:15">
      <c r="A134" s="76">
        <f>'BC.114+320'!B133</f>
        <v>45163</v>
      </c>
      <c r="B134" s="140">
        <f t="shared" si="7"/>
        <v>120</v>
      </c>
      <c r="C134" s="142">
        <f>'BC.114+320'!M133/1000</f>
        <v>0.67700000000000005</v>
      </c>
      <c r="D134" s="142">
        <f>'BC.114+320'!AA133</f>
        <v>0.89900000000000002</v>
      </c>
      <c r="E134" s="143">
        <f>'BC.114+320'!AB133</f>
        <v>0.73399999999999999</v>
      </c>
      <c r="F134" s="142">
        <f>VLOOKUP($A134,'BC.114+320'!$B$13:$X$489,8,0)/1000</f>
        <v>1.714</v>
      </c>
      <c r="G134" s="142">
        <f>VLOOKUP($A134,'BC.114+320'!$B$13:$X$489,9,0)/1000</f>
        <v>-0.28599999999999998</v>
      </c>
      <c r="H134" s="142">
        <f>VLOOKUP($A134,'BC.114+320'!$B$13:$X$489,14,0)/1000</f>
        <v>1.6970000000000001</v>
      </c>
      <c r="I134" s="142">
        <f>VLOOKUP($A134,'BC.114+320'!$B$13:$X$489,15,0)/1000</f>
        <v>-0.30299999999999999</v>
      </c>
      <c r="J134" s="142">
        <f>VLOOKUP($A134,'BC.114+320'!$B$13:$X$489,20,0)/1000</f>
        <v>1.7689999999999999</v>
      </c>
      <c r="K134" s="142">
        <f>VLOOKUP($A134,'BC.114+320'!$B$13:$X$489,21,0)/1000</f>
        <v>-0.23100000000000001</v>
      </c>
      <c r="L134" s="140">
        <f t="shared" si="4"/>
        <v>-105.99999999999999</v>
      </c>
      <c r="M134" s="141">
        <f t="shared" si="5"/>
        <v>-123</v>
      </c>
      <c r="N134" s="140">
        <f t="shared" si="6"/>
        <v>-111.00000000000001</v>
      </c>
      <c r="O134" s="144"/>
    </row>
    <row r="135" spans="1:15">
      <c r="A135" s="76">
        <f>'BC.114+320'!B134</f>
        <v>45164</v>
      </c>
      <c r="B135" s="140">
        <f t="shared" si="7"/>
        <v>121</v>
      </c>
      <c r="C135" s="142">
        <f>'BC.114+320'!M134/1000</f>
        <v>0.67700000000000005</v>
      </c>
      <c r="D135" s="142">
        <f>'BC.114+320'!AA134</f>
        <v>0.89900000000000002</v>
      </c>
      <c r="E135" s="143">
        <f>'BC.114+320'!AB134</f>
        <v>0.73399999999999999</v>
      </c>
      <c r="F135" s="142">
        <f>VLOOKUP($A135,'BC.114+320'!$B$13:$X$489,8,0)/1000</f>
        <v>1.714</v>
      </c>
      <c r="G135" s="142">
        <f>VLOOKUP($A135,'BC.114+320'!$B$13:$X$489,9,0)/1000</f>
        <v>-0.28599999999999998</v>
      </c>
      <c r="H135" s="142">
        <f>VLOOKUP($A135,'BC.114+320'!$B$13:$X$489,14,0)/1000</f>
        <v>1.6970000000000001</v>
      </c>
      <c r="I135" s="142">
        <f>VLOOKUP($A135,'BC.114+320'!$B$13:$X$489,15,0)/1000</f>
        <v>-0.30299999999999999</v>
      </c>
      <c r="J135" s="142">
        <f>VLOOKUP($A135,'BC.114+320'!$B$13:$X$489,20,0)/1000</f>
        <v>1.7689999999999999</v>
      </c>
      <c r="K135" s="142">
        <f>VLOOKUP($A135,'BC.114+320'!$B$13:$X$489,21,0)/1000</f>
        <v>-0.23100000000000001</v>
      </c>
      <c r="L135" s="140">
        <f t="shared" si="4"/>
        <v>-105.99999999999999</v>
      </c>
      <c r="M135" s="141">
        <f t="shared" si="5"/>
        <v>-123</v>
      </c>
      <c r="N135" s="140">
        <f t="shared" si="6"/>
        <v>-111.00000000000001</v>
      </c>
      <c r="O135" s="140"/>
    </row>
    <row r="136" spans="1:15">
      <c r="A136" s="76">
        <f>'BC.114+320'!B135</f>
        <v>45165</v>
      </c>
      <c r="B136" s="140">
        <f t="shared" si="7"/>
        <v>122</v>
      </c>
      <c r="C136" s="142">
        <f>'BC.114+320'!M135/1000</f>
        <v>0.67700000000000005</v>
      </c>
      <c r="D136" s="142">
        <f>'BC.114+320'!AA135</f>
        <v>0.89900000000000002</v>
      </c>
      <c r="E136" s="143">
        <f>'BC.114+320'!AB135</f>
        <v>0.73399999999999999</v>
      </c>
      <c r="F136" s="142">
        <f>VLOOKUP($A136,'BC.114+320'!$B$13:$X$489,8,0)/1000</f>
        <v>1.714</v>
      </c>
      <c r="G136" s="142">
        <f>VLOOKUP($A136,'BC.114+320'!$B$13:$X$489,9,0)/1000</f>
        <v>-0.28599999999999998</v>
      </c>
      <c r="H136" s="142">
        <f>VLOOKUP($A136,'BC.114+320'!$B$13:$X$489,14,0)/1000</f>
        <v>1.6970000000000001</v>
      </c>
      <c r="I136" s="142">
        <f>VLOOKUP($A136,'BC.114+320'!$B$13:$X$489,15,0)/1000</f>
        <v>-0.30299999999999999</v>
      </c>
      <c r="J136" s="142">
        <f>VLOOKUP($A136,'BC.114+320'!$B$13:$X$489,20,0)/1000</f>
        <v>1.7689999999999999</v>
      </c>
      <c r="K136" s="142">
        <f>VLOOKUP($A136,'BC.114+320'!$B$13:$X$489,21,0)/1000</f>
        <v>-0.23100000000000001</v>
      </c>
      <c r="L136" s="140">
        <f t="shared" si="4"/>
        <v>-105.99999999999999</v>
      </c>
      <c r="M136" s="141">
        <f t="shared" si="5"/>
        <v>-123</v>
      </c>
      <c r="N136" s="140">
        <f t="shared" si="6"/>
        <v>-111.00000000000001</v>
      </c>
      <c r="O136" s="140"/>
    </row>
    <row r="137" spans="1:15">
      <c r="A137" s="76">
        <f>'BC.114+320'!B136</f>
        <v>45166</v>
      </c>
      <c r="B137" s="140">
        <f t="shared" si="7"/>
        <v>123</v>
      </c>
      <c r="C137" s="142">
        <f>'BC.114+320'!M136/1000</f>
        <v>0.67700000000000005</v>
      </c>
      <c r="D137" s="142">
        <f>'BC.114+320'!AA136</f>
        <v>0.89900000000000002</v>
      </c>
      <c r="E137" s="143">
        <f>'BC.114+320'!AB136</f>
        <v>0.73399999999999999</v>
      </c>
      <c r="F137" s="142">
        <f>VLOOKUP($A137,'BC.114+320'!$B$13:$X$489,8,0)/1000</f>
        <v>1.714</v>
      </c>
      <c r="G137" s="142">
        <f>VLOOKUP($A137,'BC.114+320'!$B$13:$X$489,9,0)/1000</f>
        <v>-0.28599999999999998</v>
      </c>
      <c r="H137" s="142">
        <f>VLOOKUP($A137,'BC.114+320'!$B$13:$X$489,14,0)/1000</f>
        <v>1.6970000000000001</v>
      </c>
      <c r="I137" s="142">
        <f>VLOOKUP($A137,'BC.114+320'!$B$13:$X$489,15,0)/1000</f>
        <v>-0.30299999999999999</v>
      </c>
      <c r="J137" s="142">
        <f>VLOOKUP($A137,'BC.114+320'!$B$13:$X$489,20,0)/1000</f>
        <v>1.7689999999999999</v>
      </c>
      <c r="K137" s="142">
        <f>VLOOKUP($A137,'BC.114+320'!$B$13:$X$489,21,0)/1000</f>
        <v>-0.23100000000000001</v>
      </c>
      <c r="L137" s="140">
        <f t="shared" si="4"/>
        <v>-105.99999999999999</v>
      </c>
      <c r="M137" s="141">
        <f t="shared" si="5"/>
        <v>-123</v>
      </c>
      <c r="N137" s="140">
        <f t="shared" si="6"/>
        <v>-111.00000000000001</v>
      </c>
      <c r="O137" s="140"/>
    </row>
    <row r="138" spans="1:15">
      <c r="A138" s="76">
        <f>'BC.114+320'!B137</f>
        <v>45167</v>
      </c>
      <c r="B138" s="140">
        <f t="shared" si="7"/>
        <v>124</v>
      </c>
      <c r="C138" s="142">
        <f>'BC.114+320'!M137/1000</f>
        <v>0.67700000000000005</v>
      </c>
      <c r="D138" s="142">
        <f>'BC.114+320'!AA137</f>
        <v>0.89900000000000002</v>
      </c>
      <c r="E138" s="143">
        <f>'BC.114+320'!AB137</f>
        <v>0.73399999999999999</v>
      </c>
      <c r="F138" s="142">
        <f>VLOOKUP($A138,'BC.114+320'!$B$13:$X$489,8,0)/1000</f>
        <v>1.714</v>
      </c>
      <c r="G138" s="142">
        <f>VLOOKUP($A138,'BC.114+320'!$B$13:$X$489,9,0)/1000</f>
        <v>-0.28599999999999998</v>
      </c>
      <c r="H138" s="142">
        <f>VLOOKUP($A138,'BC.114+320'!$B$13:$X$489,14,0)/1000</f>
        <v>1.6970000000000001</v>
      </c>
      <c r="I138" s="142">
        <f>VLOOKUP($A138,'BC.114+320'!$B$13:$X$489,15,0)/1000</f>
        <v>-0.30299999999999999</v>
      </c>
      <c r="J138" s="142">
        <f>VLOOKUP($A138,'BC.114+320'!$B$13:$X$489,20,0)/1000</f>
        <v>1.7689999999999999</v>
      </c>
      <c r="K138" s="142">
        <f>VLOOKUP($A138,'BC.114+320'!$B$13:$X$489,21,0)/1000</f>
        <v>-0.23100000000000001</v>
      </c>
      <c r="L138" s="140">
        <f t="shared" si="4"/>
        <v>-105.99999999999999</v>
      </c>
      <c r="M138" s="141">
        <f t="shared" si="5"/>
        <v>-123</v>
      </c>
      <c r="N138" s="140">
        <f t="shared" si="6"/>
        <v>-111.00000000000001</v>
      </c>
      <c r="O138" s="140"/>
    </row>
    <row r="139" spans="1:15">
      <c r="A139" s="76">
        <f>'BC.114+320'!B138</f>
        <v>45168</v>
      </c>
      <c r="B139" s="140">
        <f t="shared" si="7"/>
        <v>125</v>
      </c>
      <c r="C139" s="142">
        <f>'BC.114+320'!M138/1000</f>
        <v>0.67700000000000005</v>
      </c>
      <c r="D139" s="142">
        <f>'BC.114+320'!AA138</f>
        <v>0.89900000000000002</v>
      </c>
      <c r="E139" s="143">
        <f>'BC.114+320'!AB138</f>
        <v>0.73399999999999999</v>
      </c>
      <c r="F139" s="142">
        <f>VLOOKUP($A139,'BC.114+320'!$B$13:$X$489,8,0)/1000</f>
        <v>1.714</v>
      </c>
      <c r="G139" s="142">
        <f>VLOOKUP($A139,'BC.114+320'!$B$13:$X$489,9,0)/1000</f>
        <v>-0.28599999999999998</v>
      </c>
      <c r="H139" s="142">
        <f>VLOOKUP($A139,'BC.114+320'!$B$13:$X$489,14,0)/1000</f>
        <v>1.6970000000000001</v>
      </c>
      <c r="I139" s="142">
        <f>VLOOKUP($A139,'BC.114+320'!$B$13:$X$489,15,0)/1000</f>
        <v>-0.30299999999999999</v>
      </c>
      <c r="J139" s="142">
        <f>VLOOKUP($A139,'BC.114+320'!$B$13:$X$489,20,0)/1000</f>
        <v>1.7689999999999999</v>
      </c>
      <c r="K139" s="142">
        <f>VLOOKUP($A139,'BC.114+320'!$B$13:$X$489,21,0)/1000</f>
        <v>-0.23100000000000001</v>
      </c>
      <c r="L139" s="140">
        <f t="shared" si="4"/>
        <v>-105.99999999999999</v>
      </c>
      <c r="M139" s="141">
        <f t="shared" si="5"/>
        <v>-123</v>
      </c>
      <c r="N139" s="140">
        <f t="shared" si="6"/>
        <v>-111.00000000000001</v>
      </c>
      <c r="O139" s="140"/>
    </row>
    <row r="140" spans="1:15">
      <c r="A140" s="76">
        <f>'BC.114+320'!B139</f>
        <v>45169</v>
      </c>
      <c r="B140" s="140">
        <f t="shared" si="7"/>
        <v>126</v>
      </c>
      <c r="C140" s="142">
        <f>'BC.114+320'!M139/1000</f>
        <v>0.67700000000000005</v>
      </c>
      <c r="D140" s="142">
        <f>'BC.114+320'!AA139</f>
        <v>0.89900000000000002</v>
      </c>
      <c r="E140" s="143">
        <f>'BC.114+320'!AB139</f>
        <v>0.73399999999999999</v>
      </c>
      <c r="F140" s="142">
        <f>VLOOKUP($A140,'BC.114+320'!$B$13:$X$489,8,0)/1000</f>
        <v>1.714</v>
      </c>
      <c r="G140" s="142">
        <f>VLOOKUP($A140,'BC.114+320'!$B$13:$X$489,9,0)/1000</f>
        <v>-0.28599999999999998</v>
      </c>
      <c r="H140" s="142">
        <f>VLOOKUP($A140,'BC.114+320'!$B$13:$X$489,14,0)/1000</f>
        <v>1.6970000000000001</v>
      </c>
      <c r="I140" s="142">
        <f>VLOOKUP($A140,'BC.114+320'!$B$13:$X$489,15,0)/1000</f>
        <v>-0.30299999999999999</v>
      </c>
      <c r="J140" s="142">
        <f>VLOOKUP($A140,'BC.114+320'!$B$13:$X$489,20,0)/1000</f>
        <v>1.7689999999999999</v>
      </c>
      <c r="K140" s="142">
        <f>VLOOKUP($A140,'BC.114+320'!$B$13:$X$489,21,0)/1000</f>
        <v>-0.23100000000000001</v>
      </c>
      <c r="L140" s="140">
        <f t="shared" si="4"/>
        <v>-105.99999999999999</v>
      </c>
      <c r="M140" s="141">
        <f t="shared" si="5"/>
        <v>-123</v>
      </c>
      <c r="N140" s="140">
        <f t="shared" si="6"/>
        <v>-111.00000000000001</v>
      </c>
      <c r="O140" s="140"/>
    </row>
    <row r="141" spans="1:15">
      <c r="A141" s="76">
        <f>'BC.114+320'!B140</f>
        <v>45170</v>
      </c>
      <c r="B141" s="140">
        <f t="shared" si="7"/>
        <v>127</v>
      </c>
      <c r="C141" s="142">
        <f>'BC.114+320'!M140/1000</f>
        <v>0.67700000000000005</v>
      </c>
      <c r="D141" s="142">
        <f>'BC.114+320'!AA140</f>
        <v>0.89900000000000002</v>
      </c>
      <c r="E141" s="143">
        <f>'BC.114+320'!AB140</f>
        <v>0.73399999999999999</v>
      </c>
      <c r="F141" s="142">
        <f>VLOOKUP($A141,'BC.114+320'!$B$13:$X$489,8,0)/1000</f>
        <v>1.714</v>
      </c>
      <c r="G141" s="142">
        <f>VLOOKUP($A141,'BC.114+320'!$B$13:$X$489,9,0)/1000</f>
        <v>-0.28599999999999998</v>
      </c>
      <c r="H141" s="142">
        <f>VLOOKUP($A141,'BC.114+320'!$B$13:$X$489,14,0)/1000</f>
        <v>1.6970000000000001</v>
      </c>
      <c r="I141" s="142">
        <f>VLOOKUP($A141,'BC.114+320'!$B$13:$X$489,15,0)/1000</f>
        <v>-0.30299999999999999</v>
      </c>
      <c r="J141" s="142">
        <f>VLOOKUP($A141,'BC.114+320'!$B$13:$X$489,20,0)/1000</f>
        <v>1.7689999999999999</v>
      </c>
      <c r="K141" s="142">
        <f>VLOOKUP($A141,'BC.114+320'!$B$13:$X$489,21,0)/1000</f>
        <v>-0.23100000000000001</v>
      </c>
      <c r="L141" s="140">
        <f t="shared" si="4"/>
        <v>-105.99999999999999</v>
      </c>
      <c r="M141" s="141">
        <f t="shared" si="5"/>
        <v>-123</v>
      </c>
      <c r="N141" s="140">
        <f t="shared" si="6"/>
        <v>-111.00000000000001</v>
      </c>
      <c r="O141" s="140"/>
    </row>
    <row r="142" spans="1:15">
      <c r="A142" s="76">
        <f>'BC.114+320'!B141</f>
        <v>45171</v>
      </c>
      <c r="B142" s="140">
        <f t="shared" si="7"/>
        <v>128</v>
      </c>
      <c r="C142" s="142">
        <f>'BC.114+320'!M141/1000</f>
        <v>0.67700000000000005</v>
      </c>
      <c r="D142" s="142">
        <f>'BC.114+320'!AA141</f>
        <v>0.89900000000000002</v>
      </c>
      <c r="E142" s="143">
        <f>'BC.114+320'!AB141</f>
        <v>0.73399999999999999</v>
      </c>
      <c r="F142" s="142">
        <f>VLOOKUP($A142,'BC.114+320'!$B$13:$X$489,8,0)/1000</f>
        <v>1.714</v>
      </c>
      <c r="G142" s="142">
        <f>VLOOKUP($A142,'BC.114+320'!$B$13:$X$489,9,0)/1000</f>
        <v>-0.28599999999999998</v>
      </c>
      <c r="H142" s="142">
        <f>VLOOKUP($A142,'BC.114+320'!$B$13:$X$489,14,0)/1000</f>
        <v>1.6970000000000001</v>
      </c>
      <c r="I142" s="142">
        <f>VLOOKUP($A142,'BC.114+320'!$B$13:$X$489,15,0)/1000</f>
        <v>-0.30299999999999999</v>
      </c>
      <c r="J142" s="142">
        <f>VLOOKUP($A142,'BC.114+320'!$B$13:$X$489,20,0)/1000</f>
        <v>1.7689999999999999</v>
      </c>
      <c r="K142" s="142">
        <f>VLOOKUP($A142,'BC.114+320'!$B$13:$X$489,21,0)/1000</f>
        <v>-0.23100000000000001</v>
      </c>
      <c r="L142" s="140">
        <f t="shared" ref="L142:L205" si="8">(G142-$G$14)*1000</f>
        <v>-105.99999999999999</v>
      </c>
      <c r="M142" s="141">
        <f t="shared" ref="M142:M205" si="9">(I142-$I$14)*1000</f>
        <v>-123</v>
      </c>
      <c r="N142" s="140">
        <f t="shared" si="6"/>
        <v>-111.00000000000001</v>
      </c>
      <c r="O142" s="140"/>
    </row>
    <row r="143" spans="1:15">
      <c r="A143" s="76">
        <f>'BC.114+320'!B142</f>
        <v>45172</v>
      </c>
      <c r="B143" s="140">
        <f t="shared" si="7"/>
        <v>129</v>
      </c>
      <c r="C143" s="142">
        <f>'BC.114+320'!M142/1000</f>
        <v>0.67700000000000005</v>
      </c>
      <c r="D143" s="142">
        <f>'BC.114+320'!AA142</f>
        <v>0.89900000000000002</v>
      </c>
      <c r="E143" s="143">
        <f>'BC.114+320'!AB142</f>
        <v>0.73399999999999999</v>
      </c>
      <c r="F143" s="142">
        <f>VLOOKUP($A143,'BC.114+320'!$B$13:$X$489,8,0)/1000</f>
        <v>1.714</v>
      </c>
      <c r="G143" s="142">
        <f>VLOOKUP($A143,'BC.114+320'!$B$13:$X$489,9,0)/1000</f>
        <v>-0.28599999999999998</v>
      </c>
      <c r="H143" s="142">
        <f>VLOOKUP($A143,'BC.114+320'!$B$13:$X$489,14,0)/1000</f>
        <v>1.6970000000000001</v>
      </c>
      <c r="I143" s="142">
        <f>VLOOKUP($A143,'BC.114+320'!$B$13:$X$489,15,0)/1000</f>
        <v>-0.30299999999999999</v>
      </c>
      <c r="J143" s="142">
        <f>VLOOKUP($A143,'BC.114+320'!$B$13:$X$489,20,0)/1000</f>
        <v>1.7689999999999999</v>
      </c>
      <c r="K143" s="142">
        <f>VLOOKUP($A143,'BC.114+320'!$B$13:$X$489,21,0)/1000</f>
        <v>-0.23100000000000001</v>
      </c>
      <c r="L143" s="140">
        <f t="shared" si="8"/>
        <v>-105.99999999999999</v>
      </c>
      <c r="M143" s="141">
        <f t="shared" si="9"/>
        <v>-123</v>
      </c>
      <c r="N143" s="140">
        <f t="shared" ref="N143:N206" si="10">(K143-$K$14)*1000</f>
        <v>-111.00000000000001</v>
      </c>
      <c r="O143" s="140"/>
    </row>
    <row r="144" spans="1:15">
      <c r="A144" s="76">
        <f>'BC.114+320'!B143</f>
        <v>45173</v>
      </c>
      <c r="B144" s="140">
        <f t="shared" ref="B144:B207" si="11">+B143+1</f>
        <v>130</v>
      </c>
      <c r="C144" s="142">
        <f>'BC.114+320'!M143/1000</f>
        <v>0.67700000000000005</v>
      </c>
      <c r="D144" s="142">
        <f>'BC.114+320'!AA143</f>
        <v>0.89900000000000002</v>
      </c>
      <c r="E144" s="143">
        <f>'BC.114+320'!AB143</f>
        <v>0.73399999999999999</v>
      </c>
      <c r="F144" s="142">
        <f>VLOOKUP($A144,'BC.114+320'!$B$13:$X$489,8,0)/1000</f>
        <v>1.714</v>
      </c>
      <c r="G144" s="142">
        <f>VLOOKUP($A144,'BC.114+320'!$B$13:$X$489,9,0)/1000</f>
        <v>-0.28599999999999998</v>
      </c>
      <c r="H144" s="142">
        <f>VLOOKUP($A144,'BC.114+320'!$B$13:$X$489,14,0)/1000</f>
        <v>1.6970000000000001</v>
      </c>
      <c r="I144" s="142">
        <f>VLOOKUP($A144,'BC.114+320'!$B$13:$X$489,15,0)/1000</f>
        <v>-0.30299999999999999</v>
      </c>
      <c r="J144" s="142">
        <f>VLOOKUP($A144,'BC.114+320'!$B$13:$X$489,20,0)/1000</f>
        <v>1.7689999999999999</v>
      </c>
      <c r="K144" s="142">
        <f>VLOOKUP($A144,'BC.114+320'!$B$13:$X$489,21,0)/1000</f>
        <v>-0.23100000000000001</v>
      </c>
      <c r="L144" s="140">
        <f t="shared" si="8"/>
        <v>-105.99999999999999</v>
      </c>
      <c r="M144" s="141">
        <f t="shared" si="9"/>
        <v>-123</v>
      </c>
      <c r="N144" s="140">
        <f t="shared" si="10"/>
        <v>-111.00000000000001</v>
      </c>
      <c r="O144" s="140"/>
    </row>
    <row r="145" spans="1:15">
      <c r="A145" s="76">
        <f>'BC.114+320'!B144</f>
        <v>45174</v>
      </c>
      <c r="B145" s="140">
        <f t="shared" si="11"/>
        <v>131</v>
      </c>
      <c r="C145" s="142">
        <f>'BC.114+320'!M144/1000</f>
        <v>0.67700000000000005</v>
      </c>
      <c r="D145" s="142">
        <f>'BC.114+320'!AA144</f>
        <v>0.89900000000000002</v>
      </c>
      <c r="E145" s="143">
        <f>'BC.114+320'!AB144</f>
        <v>0.73399999999999999</v>
      </c>
      <c r="F145" s="142">
        <f>VLOOKUP($A145,'BC.114+320'!$B$13:$X$489,8,0)/1000</f>
        <v>1.714</v>
      </c>
      <c r="G145" s="142">
        <f>VLOOKUP($A145,'BC.114+320'!$B$13:$X$489,9,0)/1000</f>
        <v>-0.28599999999999998</v>
      </c>
      <c r="H145" s="142">
        <f>VLOOKUP($A145,'BC.114+320'!$B$13:$X$489,14,0)/1000</f>
        <v>1.6970000000000001</v>
      </c>
      <c r="I145" s="142">
        <f>VLOOKUP($A145,'BC.114+320'!$B$13:$X$489,15,0)/1000</f>
        <v>-0.30299999999999999</v>
      </c>
      <c r="J145" s="142">
        <f>VLOOKUP($A145,'BC.114+320'!$B$13:$X$489,20,0)/1000</f>
        <v>1.7689999999999999</v>
      </c>
      <c r="K145" s="142">
        <f>VLOOKUP($A145,'BC.114+320'!$B$13:$X$489,21,0)/1000</f>
        <v>-0.23100000000000001</v>
      </c>
      <c r="L145" s="140">
        <f t="shared" si="8"/>
        <v>-105.99999999999999</v>
      </c>
      <c r="M145" s="141">
        <f t="shared" si="9"/>
        <v>-123</v>
      </c>
      <c r="N145" s="140">
        <f t="shared" si="10"/>
        <v>-111.00000000000001</v>
      </c>
      <c r="O145" s="140"/>
    </row>
    <row r="146" spans="1:15">
      <c r="A146" s="76">
        <f>'BC.114+320'!B145</f>
        <v>45175</v>
      </c>
      <c r="B146" s="140">
        <f t="shared" si="11"/>
        <v>132</v>
      </c>
      <c r="C146" s="142">
        <f>'BC.114+320'!M145/1000</f>
        <v>0.67700000000000005</v>
      </c>
      <c r="D146" s="142">
        <f>'BC.114+320'!AA145</f>
        <v>0.89900000000000002</v>
      </c>
      <c r="E146" s="143">
        <f>'BC.114+320'!AB145</f>
        <v>0.73399999999999999</v>
      </c>
      <c r="F146" s="142">
        <f>VLOOKUP($A146,'BC.114+320'!$B$13:$X$489,8,0)/1000</f>
        <v>1.714</v>
      </c>
      <c r="G146" s="142">
        <f>VLOOKUP($A146,'BC.114+320'!$B$13:$X$489,9,0)/1000</f>
        <v>-0.28599999999999998</v>
      </c>
      <c r="H146" s="142">
        <f>VLOOKUP($A146,'BC.114+320'!$B$13:$X$489,14,0)/1000</f>
        <v>1.6970000000000001</v>
      </c>
      <c r="I146" s="142">
        <f>VLOOKUP($A146,'BC.114+320'!$B$13:$X$489,15,0)/1000</f>
        <v>-0.30299999999999999</v>
      </c>
      <c r="J146" s="142">
        <f>VLOOKUP($A146,'BC.114+320'!$B$13:$X$489,20,0)/1000</f>
        <v>1.7689999999999999</v>
      </c>
      <c r="K146" s="142">
        <f>VLOOKUP($A146,'BC.114+320'!$B$13:$X$489,21,0)/1000</f>
        <v>-0.23100000000000001</v>
      </c>
      <c r="L146" s="140">
        <f t="shared" si="8"/>
        <v>-105.99999999999999</v>
      </c>
      <c r="M146" s="141">
        <f t="shared" si="9"/>
        <v>-123</v>
      </c>
      <c r="N146" s="140">
        <f t="shared" si="10"/>
        <v>-111.00000000000001</v>
      </c>
      <c r="O146" s="140"/>
    </row>
    <row r="147" spans="1:15">
      <c r="A147" s="76">
        <f>'BC.114+320'!B146</f>
        <v>45176</v>
      </c>
      <c r="B147" s="140">
        <f t="shared" si="11"/>
        <v>133</v>
      </c>
      <c r="C147" s="142">
        <f>'BC.114+320'!M146/1000</f>
        <v>0.67700000000000005</v>
      </c>
      <c r="D147" s="142">
        <f>'BC.114+320'!AA146</f>
        <v>0.89900000000000002</v>
      </c>
      <c r="E147" s="143">
        <f>'BC.114+320'!AB146</f>
        <v>0.73399999999999999</v>
      </c>
      <c r="F147" s="142">
        <f>VLOOKUP($A147,'BC.114+320'!$B$13:$X$489,8,0)/1000</f>
        <v>1.714</v>
      </c>
      <c r="G147" s="142">
        <f>VLOOKUP($A147,'BC.114+320'!$B$13:$X$489,9,0)/1000</f>
        <v>-0.28599999999999998</v>
      </c>
      <c r="H147" s="142">
        <f>VLOOKUP($A147,'BC.114+320'!$B$13:$X$489,14,0)/1000</f>
        <v>1.6970000000000001</v>
      </c>
      <c r="I147" s="142">
        <f>VLOOKUP($A147,'BC.114+320'!$B$13:$X$489,15,0)/1000</f>
        <v>-0.30299999999999999</v>
      </c>
      <c r="J147" s="142">
        <f>VLOOKUP($A147,'BC.114+320'!$B$13:$X$489,20,0)/1000</f>
        <v>1.7689999999999999</v>
      </c>
      <c r="K147" s="142">
        <f>VLOOKUP($A147,'BC.114+320'!$B$13:$X$489,21,0)/1000</f>
        <v>-0.23100000000000001</v>
      </c>
      <c r="L147" s="140">
        <f t="shared" si="8"/>
        <v>-105.99999999999999</v>
      </c>
      <c r="M147" s="141">
        <f t="shared" si="9"/>
        <v>-123</v>
      </c>
      <c r="N147" s="140">
        <f t="shared" si="10"/>
        <v>-111.00000000000001</v>
      </c>
      <c r="O147" s="140"/>
    </row>
    <row r="148" spans="1:15">
      <c r="A148" s="76">
        <f>'BC.114+320'!B147</f>
        <v>45177</v>
      </c>
      <c r="B148" s="140">
        <f t="shared" si="11"/>
        <v>134</v>
      </c>
      <c r="C148" s="142">
        <f>'BC.114+320'!M147/1000</f>
        <v>0.67700000000000005</v>
      </c>
      <c r="D148" s="142">
        <f>'BC.114+320'!AA147</f>
        <v>0.89900000000000002</v>
      </c>
      <c r="E148" s="143">
        <f>'BC.114+320'!AB147</f>
        <v>0.73399999999999999</v>
      </c>
      <c r="F148" s="142">
        <f>VLOOKUP($A148,'BC.114+320'!$B$13:$X$489,8,0)/1000</f>
        <v>1.714</v>
      </c>
      <c r="G148" s="142">
        <f>VLOOKUP($A148,'BC.114+320'!$B$13:$X$489,9,0)/1000</f>
        <v>-0.28599999999999998</v>
      </c>
      <c r="H148" s="142">
        <f>VLOOKUP($A148,'BC.114+320'!$B$13:$X$489,14,0)/1000</f>
        <v>1.6970000000000001</v>
      </c>
      <c r="I148" s="142">
        <f>VLOOKUP($A148,'BC.114+320'!$B$13:$X$489,15,0)/1000</f>
        <v>-0.30299999999999999</v>
      </c>
      <c r="J148" s="142">
        <f>VLOOKUP($A148,'BC.114+320'!$B$13:$X$489,20,0)/1000</f>
        <v>1.7689999999999999</v>
      </c>
      <c r="K148" s="142">
        <f>VLOOKUP($A148,'BC.114+320'!$B$13:$X$489,21,0)/1000</f>
        <v>-0.23100000000000001</v>
      </c>
      <c r="L148" s="140">
        <f t="shared" si="8"/>
        <v>-105.99999999999999</v>
      </c>
      <c r="M148" s="141">
        <f t="shared" si="9"/>
        <v>-123</v>
      </c>
      <c r="N148" s="140">
        <f t="shared" si="10"/>
        <v>-111.00000000000001</v>
      </c>
      <c r="O148" s="140"/>
    </row>
    <row r="149" spans="1:15">
      <c r="A149" s="76">
        <f>'BC.114+320'!B148</f>
        <v>45178</v>
      </c>
      <c r="B149" s="140">
        <f t="shared" si="11"/>
        <v>135</v>
      </c>
      <c r="C149" s="142">
        <f>'BC.114+320'!M148/1000</f>
        <v>0.67700000000000005</v>
      </c>
      <c r="D149" s="142">
        <f>'BC.114+320'!AA148</f>
        <v>0.89900000000000002</v>
      </c>
      <c r="E149" s="143">
        <f>'BC.114+320'!AB148</f>
        <v>0.73399999999999999</v>
      </c>
      <c r="F149" s="142">
        <f>VLOOKUP($A149,'BC.114+320'!$B$13:$X$489,8,0)/1000</f>
        <v>1.714</v>
      </c>
      <c r="G149" s="142">
        <f>VLOOKUP($A149,'BC.114+320'!$B$13:$X$489,9,0)/1000</f>
        <v>-0.28599999999999998</v>
      </c>
      <c r="H149" s="142">
        <f>VLOOKUP($A149,'BC.114+320'!$B$13:$X$489,14,0)/1000</f>
        <v>1.6970000000000001</v>
      </c>
      <c r="I149" s="142">
        <f>VLOOKUP($A149,'BC.114+320'!$B$13:$X$489,15,0)/1000</f>
        <v>-0.30299999999999999</v>
      </c>
      <c r="J149" s="142">
        <f>VLOOKUP($A149,'BC.114+320'!$B$13:$X$489,20,0)/1000</f>
        <v>1.7689999999999999</v>
      </c>
      <c r="K149" s="142">
        <f>VLOOKUP($A149,'BC.114+320'!$B$13:$X$489,21,0)/1000</f>
        <v>-0.23100000000000001</v>
      </c>
      <c r="L149" s="140">
        <f t="shared" si="8"/>
        <v>-105.99999999999999</v>
      </c>
      <c r="M149" s="141">
        <f t="shared" si="9"/>
        <v>-123</v>
      </c>
      <c r="N149" s="140">
        <f t="shared" si="10"/>
        <v>-111.00000000000001</v>
      </c>
      <c r="O149" s="140"/>
    </row>
    <row r="150" spans="1:15">
      <c r="A150" s="76">
        <f>'BC.114+320'!B149</f>
        <v>45179</v>
      </c>
      <c r="B150" s="140">
        <f t="shared" si="11"/>
        <v>136</v>
      </c>
      <c r="C150" s="142">
        <f>'BC.114+320'!M149/1000</f>
        <v>0.67700000000000005</v>
      </c>
      <c r="D150" s="142">
        <f>'BC.114+320'!AA149</f>
        <v>0.89900000000000002</v>
      </c>
      <c r="E150" s="143">
        <f>'BC.114+320'!AB149</f>
        <v>0.73399999999999999</v>
      </c>
      <c r="F150" s="142">
        <f>VLOOKUP($A150,'BC.114+320'!$B$13:$X$489,8,0)/1000</f>
        <v>1.714</v>
      </c>
      <c r="G150" s="142">
        <f>VLOOKUP($A150,'BC.114+320'!$B$13:$X$489,9,0)/1000</f>
        <v>-0.28599999999999998</v>
      </c>
      <c r="H150" s="142">
        <f>VLOOKUP($A150,'BC.114+320'!$B$13:$X$489,14,0)/1000</f>
        <v>1.6970000000000001</v>
      </c>
      <c r="I150" s="142">
        <f>VLOOKUP($A150,'BC.114+320'!$B$13:$X$489,15,0)/1000</f>
        <v>-0.30299999999999999</v>
      </c>
      <c r="J150" s="142">
        <f>VLOOKUP($A150,'BC.114+320'!$B$13:$X$489,20,0)/1000</f>
        <v>1.7689999999999999</v>
      </c>
      <c r="K150" s="142">
        <f>VLOOKUP($A150,'BC.114+320'!$B$13:$X$489,21,0)/1000</f>
        <v>-0.23100000000000001</v>
      </c>
      <c r="L150" s="140">
        <f t="shared" si="8"/>
        <v>-105.99999999999999</v>
      </c>
      <c r="M150" s="141">
        <f t="shared" si="9"/>
        <v>-123</v>
      </c>
      <c r="N150" s="140">
        <f t="shared" si="10"/>
        <v>-111.00000000000001</v>
      </c>
      <c r="O150" s="140"/>
    </row>
    <row r="151" spans="1:15">
      <c r="A151" s="76">
        <f>'BC.114+320'!B150</f>
        <v>45180</v>
      </c>
      <c r="B151" s="140">
        <f t="shared" si="11"/>
        <v>137</v>
      </c>
      <c r="C151" s="142">
        <f>'BC.114+320'!M150/1000</f>
        <v>0.67700000000000005</v>
      </c>
      <c r="D151" s="142">
        <f>'BC.114+320'!AA150</f>
        <v>0.89900000000000002</v>
      </c>
      <c r="E151" s="143">
        <f>'BC.114+320'!AB150</f>
        <v>0.73399999999999999</v>
      </c>
      <c r="F151" s="142">
        <f>VLOOKUP($A151,'BC.114+320'!$B$13:$X$489,8,0)/1000</f>
        <v>1.714</v>
      </c>
      <c r="G151" s="142">
        <f>VLOOKUP($A151,'BC.114+320'!$B$13:$X$489,9,0)/1000</f>
        <v>-0.28599999999999998</v>
      </c>
      <c r="H151" s="142">
        <f>VLOOKUP($A151,'BC.114+320'!$B$13:$X$489,14,0)/1000</f>
        <v>1.6970000000000001</v>
      </c>
      <c r="I151" s="142">
        <f>VLOOKUP($A151,'BC.114+320'!$B$13:$X$489,15,0)/1000</f>
        <v>-0.30299999999999999</v>
      </c>
      <c r="J151" s="142">
        <f>VLOOKUP($A151,'BC.114+320'!$B$13:$X$489,20,0)/1000</f>
        <v>1.7689999999999999</v>
      </c>
      <c r="K151" s="142">
        <f>VLOOKUP($A151,'BC.114+320'!$B$13:$X$489,21,0)/1000</f>
        <v>-0.23100000000000001</v>
      </c>
      <c r="L151" s="140">
        <f t="shared" si="8"/>
        <v>-105.99999999999999</v>
      </c>
      <c r="M151" s="141">
        <f t="shared" si="9"/>
        <v>-123</v>
      </c>
      <c r="N151" s="140">
        <f t="shared" si="10"/>
        <v>-111.00000000000001</v>
      </c>
      <c r="O151" s="140"/>
    </row>
    <row r="152" spans="1:15">
      <c r="A152" s="76">
        <f>'BC.114+320'!B151</f>
        <v>45181</v>
      </c>
      <c r="B152" s="140">
        <f t="shared" si="11"/>
        <v>138</v>
      </c>
      <c r="C152" s="142">
        <f>'BC.114+320'!M151/1000</f>
        <v>0.67700000000000005</v>
      </c>
      <c r="D152" s="142">
        <f>'BC.114+320'!AA151</f>
        <v>0.89900000000000002</v>
      </c>
      <c r="E152" s="143">
        <f>'BC.114+320'!AB151</f>
        <v>0.73399999999999999</v>
      </c>
      <c r="F152" s="142">
        <f>VLOOKUP($A152,'BC.114+320'!$B$13:$X$489,8,0)/1000</f>
        <v>1.714</v>
      </c>
      <c r="G152" s="142">
        <f>VLOOKUP($A152,'BC.114+320'!$B$13:$X$489,9,0)/1000</f>
        <v>-0.28599999999999998</v>
      </c>
      <c r="H152" s="142">
        <f>VLOOKUP($A152,'BC.114+320'!$B$13:$X$489,14,0)/1000</f>
        <v>1.6970000000000001</v>
      </c>
      <c r="I152" s="142">
        <f>VLOOKUP($A152,'BC.114+320'!$B$13:$X$489,15,0)/1000</f>
        <v>-0.30299999999999999</v>
      </c>
      <c r="J152" s="142">
        <f>VLOOKUP($A152,'BC.114+320'!$B$13:$X$489,20,0)/1000</f>
        <v>1.7689999999999999</v>
      </c>
      <c r="K152" s="142">
        <f>VLOOKUP($A152,'BC.114+320'!$B$13:$X$489,21,0)/1000</f>
        <v>-0.23100000000000001</v>
      </c>
      <c r="L152" s="140">
        <f t="shared" si="8"/>
        <v>-105.99999999999999</v>
      </c>
      <c r="M152" s="141">
        <f t="shared" si="9"/>
        <v>-123</v>
      </c>
      <c r="N152" s="140">
        <f t="shared" si="10"/>
        <v>-111.00000000000001</v>
      </c>
      <c r="O152" s="140"/>
    </row>
    <row r="153" spans="1:15">
      <c r="A153" s="76">
        <f>'BC.114+320'!B152</f>
        <v>45182</v>
      </c>
      <c r="B153" s="140">
        <f t="shared" si="11"/>
        <v>139</v>
      </c>
      <c r="C153" s="142">
        <f>'BC.114+320'!M152/1000</f>
        <v>0.67700000000000005</v>
      </c>
      <c r="D153" s="142">
        <f>'BC.114+320'!AA152</f>
        <v>0.89900000000000002</v>
      </c>
      <c r="E153" s="143">
        <f>'BC.114+320'!AB152</f>
        <v>0.73399999999999999</v>
      </c>
      <c r="F153" s="142">
        <f>VLOOKUP($A153,'BC.114+320'!$B$13:$X$489,8,0)/1000</f>
        <v>1.714</v>
      </c>
      <c r="G153" s="142">
        <f>VLOOKUP($A153,'BC.114+320'!$B$13:$X$489,9,0)/1000</f>
        <v>-0.28599999999999998</v>
      </c>
      <c r="H153" s="142">
        <f>VLOOKUP($A153,'BC.114+320'!$B$13:$X$489,14,0)/1000</f>
        <v>1.6970000000000001</v>
      </c>
      <c r="I153" s="142">
        <f>VLOOKUP($A153,'BC.114+320'!$B$13:$X$489,15,0)/1000</f>
        <v>-0.30299999999999999</v>
      </c>
      <c r="J153" s="142">
        <f>VLOOKUP($A153,'BC.114+320'!$B$13:$X$489,20,0)/1000</f>
        <v>1.7689999999999999</v>
      </c>
      <c r="K153" s="142">
        <f>VLOOKUP($A153,'BC.114+320'!$B$13:$X$489,21,0)/1000</f>
        <v>-0.23100000000000001</v>
      </c>
      <c r="L153" s="140">
        <f t="shared" si="8"/>
        <v>-105.99999999999999</v>
      </c>
      <c r="M153" s="141">
        <f t="shared" si="9"/>
        <v>-123</v>
      </c>
      <c r="N153" s="140">
        <f t="shared" si="10"/>
        <v>-111.00000000000001</v>
      </c>
      <c r="O153" s="140"/>
    </row>
    <row r="154" spans="1:15">
      <c r="A154" s="76">
        <f>'BC.114+320'!B153</f>
        <v>45183</v>
      </c>
      <c r="B154" s="140">
        <f t="shared" si="11"/>
        <v>140</v>
      </c>
      <c r="C154" s="142">
        <f>'BC.114+320'!M153/1000</f>
        <v>0.67700000000000005</v>
      </c>
      <c r="D154" s="142">
        <f>'BC.114+320'!AA153</f>
        <v>0.89900000000000002</v>
      </c>
      <c r="E154" s="143">
        <f>'BC.114+320'!AB153</f>
        <v>0.73399999999999999</v>
      </c>
      <c r="F154" s="142">
        <f>VLOOKUP($A154,'BC.114+320'!$B$13:$X$489,8,0)/1000</f>
        <v>1.714</v>
      </c>
      <c r="G154" s="142">
        <f>VLOOKUP($A154,'BC.114+320'!$B$13:$X$489,9,0)/1000</f>
        <v>-0.28599999999999998</v>
      </c>
      <c r="H154" s="142">
        <f>VLOOKUP($A154,'BC.114+320'!$B$13:$X$489,14,0)/1000</f>
        <v>1.6970000000000001</v>
      </c>
      <c r="I154" s="142">
        <f>VLOOKUP($A154,'BC.114+320'!$B$13:$X$489,15,0)/1000</f>
        <v>-0.30299999999999999</v>
      </c>
      <c r="J154" s="142">
        <f>VLOOKUP($A154,'BC.114+320'!$B$13:$X$489,20,0)/1000</f>
        <v>1.7689999999999999</v>
      </c>
      <c r="K154" s="142">
        <f>VLOOKUP($A154,'BC.114+320'!$B$13:$X$489,21,0)/1000</f>
        <v>-0.23100000000000001</v>
      </c>
      <c r="L154" s="140">
        <f t="shared" si="8"/>
        <v>-105.99999999999999</v>
      </c>
      <c r="M154" s="141">
        <f t="shared" si="9"/>
        <v>-123</v>
      </c>
      <c r="N154" s="140">
        <f t="shared" si="10"/>
        <v>-111.00000000000001</v>
      </c>
      <c r="O154" s="140"/>
    </row>
    <row r="155" spans="1:15">
      <c r="A155" s="76">
        <f>'BC.114+320'!B154</f>
        <v>45184</v>
      </c>
      <c r="B155" s="140">
        <f t="shared" si="11"/>
        <v>141</v>
      </c>
      <c r="C155" s="142">
        <f>'BC.114+320'!M154/1000</f>
        <v>0.67700000000000005</v>
      </c>
      <c r="D155" s="142">
        <f>'BC.114+320'!AA154</f>
        <v>0.89900000000000002</v>
      </c>
      <c r="E155" s="143">
        <f>'BC.114+320'!AB154</f>
        <v>0.73399999999999999</v>
      </c>
      <c r="F155" s="142">
        <f>VLOOKUP($A155,'BC.114+320'!$B$13:$X$489,8,0)/1000</f>
        <v>1.714</v>
      </c>
      <c r="G155" s="142">
        <f>VLOOKUP($A155,'BC.114+320'!$B$13:$X$489,9,0)/1000</f>
        <v>-0.28599999999999998</v>
      </c>
      <c r="H155" s="142">
        <f>VLOOKUP($A155,'BC.114+320'!$B$13:$X$489,14,0)/1000</f>
        <v>1.6970000000000001</v>
      </c>
      <c r="I155" s="142">
        <f>VLOOKUP($A155,'BC.114+320'!$B$13:$X$489,15,0)/1000</f>
        <v>-0.30299999999999999</v>
      </c>
      <c r="J155" s="142">
        <f>VLOOKUP($A155,'BC.114+320'!$B$13:$X$489,20,0)/1000</f>
        <v>1.7689999999999999</v>
      </c>
      <c r="K155" s="142">
        <f>VLOOKUP($A155,'BC.114+320'!$B$13:$X$489,21,0)/1000</f>
        <v>-0.23100000000000001</v>
      </c>
      <c r="L155" s="140">
        <f t="shared" si="8"/>
        <v>-105.99999999999999</v>
      </c>
      <c r="M155" s="141">
        <f t="shared" si="9"/>
        <v>-123</v>
      </c>
      <c r="N155" s="140">
        <f t="shared" si="10"/>
        <v>-111.00000000000001</v>
      </c>
      <c r="O155" s="140"/>
    </row>
    <row r="156" spans="1:15">
      <c r="A156" s="76">
        <f>'BC.114+320'!B155</f>
        <v>45185</v>
      </c>
      <c r="B156" s="140">
        <f t="shared" si="11"/>
        <v>142</v>
      </c>
      <c r="C156" s="142">
        <f>'BC.114+320'!M155/1000</f>
        <v>0.67700000000000005</v>
      </c>
      <c r="D156" s="142">
        <f>'BC.114+320'!AA155</f>
        <v>0.89900000000000002</v>
      </c>
      <c r="E156" s="143">
        <f>'BC.114+320'!AB155</f>
        <v>0.73399999999999999</v>
      </c>
      <c r="F156" s="142">
        <f>VLOOKUP($A156,'BC.114+320'!$B$13:$X$489,8,0)/1000</f>
        <v>1.714</v>
      </c>
      <c r="G156" s="142">
        <f>VLOOKUP($A156,'BC.114+320'!$B$13:$X$489,9,0)/1000</f>
        <v>-0.28599999999999998</v>
      </c>
      <c r="H156" s="142">
        <f>VLOOKUP($A156,'BC.114+320'!$B$13:$X$489,14,0)/1000</f>
        <v>1.6970000000000001</v>
      </c>
      <c r="I156" s="142">
        <f>VLOOKUP($A156,'BC.114+320'!$B$13:$X$489,15,0)/1000</f>
        <v>-0.30299999999999999</v>
      </c>
      <c r="J156" s="142">
        <f>VLOOKUP($A156,'BC.114+320'!$B$13:$X$489,20,0)/1000</f>
        <v>1.7689999999999999</v>
      </c>
      <c r="K156" s="142">
        <f>VLOOKUP($A156,'BC.114+320'!$B$13:$X$489,21,0)/1000</f>
        <v>-0.23100000000000001</v>
      </c>
      <c r="L156" s="140">
        <f t="shared" si="8"/>
        <v>-105.99999999999999</v>
      </c>
      <c r="M156" s="141">
        <f t="shared" si="9"/>
        <v>-123</v>
      </c>
      <c r="N156" s="140">
        <f t="shared" si="10"/>
        <v>-111.00000000000001</v>
      </c>
      <c r="O156" s="140"/>
    </row>
    <row r="157" spans="1:15">
      <c r="A157" s="76">
        <f>'BC.114+320'!B156</f>
        <v>45186</v>
      </c>
      <c r="B157" s="140">
        <f t="shared" si="11"/>
        <v>143</v>
      </c>
      <c r="C157" s="142">
        <f>'BC.114+320'!M156/1000</f>
        <v>0.67700000000000005</v>
      </c>
      <c r="D157" s="142">
        <f>'BC.114+320'!AA156</f>
        <v>0.89900000000000002</v>
      </c>
      <c r="E157" s="143">
        <f>'BC.114+320'!AB156</f>
        <v>0.73399999999999999</v>
      </c>
      <c r="F157" s="142">
        <f>VLOOKUP($A157,'BC.114+320'!$B$13:$X$489,8,0)/1000</f>
        <v>1.714</v>
      </c>
      <c r="G157" s="142">
        <f>VLOOKUP($A157,'BC.114+320'!$B$13:$X$489,9,0)/1000</f>
        <v>-0.28599999999999998</v>
      </c>
      <c r="H157" s="142">
        <f>VLOOKUP($A157,'BC.114+320'!$B$13:$X$489,14,0)/1000</f>
        <v>1.6970000000000001</v>
      </c>
      <c r="I157" s="142">
        <f>VLOOKUP($A157,'BC.114+320'!$B$13:$X$489,15,0)/1000</f>
        <v>-0.30299999999999999</v>
      </c>
      <c r="J157" s="142">
        <f>VLOOKUP($A157,'BC.114+320'!$B$13:$X$489,20,0)/1000</f>
        <v>1.7689999999999999</v>
      </c>
      <c r="K157" s="142">
        <f>VLOOKUP($A157,'BC.114+320'!$B$13:$X$489,21,0)/1000</f>
        <v>-0.23100000000000001</v>
      </c>
      <c r="L157" s="140">
        <f t="shared" si="8"/>
        <v>-105.99999999999999</v>
      </c>
      <c r="M157" s="141">
        <f t="shared" si="9"/>
        <v>-123</v>
      </c>
      <c r="N157" s="140">
        <f t="shared" si="10"/>
        <v>-111.00000000000001</v>
      </c>
      <c r="O157" s="140"/>
    </row>
    <row r="158" spans="1:15">
      <c r="A158" s="76">
        <f>'BC.114+320'!B157</f>
        <v>45187</v>
      </c>
      <c r="B158" s="140">
        <f t="shared" si="11"/>
        <v>144</v>
      </c>
      <c r="C158" s="142">
        <f>'BC.114+320'!M157/1000</f>
        <v>0.67700000000000005</v>
      </c>
      <c r="D158" s="142">
        <f>'BC.114+320'!AA157</f>
        <v>0.89900000000000002</v>
      </c>
      <c r="E158" s="143">
        <f>'BC.114+320'!AB157</f>
        <v>0.73399999999999999</v>
      </c>
      <c r="F158" s="142">
        <f>VLOOKUP($A158,'BC.114+320'!$B$13:$X$489,8,0)/1000</f>
        <v>1.714</v>
      </c>
      <c r="G158" s="142">
        <f>VLOOKUP($A158,'BC.114+320'!$B$13:$X$489,9,0)/1000</f>
        <v>-0.28599999999999998</v>
      </c>
      <c r="H158" s="142">
        <f>VLOOKUP($A158,'BC.114+320'!$B$13:$X$489,14,0)/1000</f>
        <v>1.6970000000000001</v>
      </c>
      <c r="I158" s="142">
        <f>VLOOKUP($A158,'BC.114+320'!$B$13:$X$489,15,0)/1000</f>
        <v>-0.30299999999999999</v>
      </c>
      <c r="J158" s="142">
        <f>VLOOKUP($A158,'BC.114+320'!$B$13:$X$489,20,0)/1000</f>
        <v>1.7689999999999999</v>
      </c>
      <c r="K158" s="142">
        <f>VLOOKUP($A158,'BC.114+320'!$B$13:$X$489,21,0)/1000</f>
        <v>-0.23100000000000001</v>
      </c>
      <c r="L158" s="140">
        <f t="shared" si="8"/>
        <v>-105.99999999999999</v>
      </c>
      <c r="M158" s="141">
        <f t="shared" si="9"/>
        <v>-123</v>
      </c>
      <c r="N158" s="140">
        <f t="shared" si="10"/>
        <v>-111.00000000000001</v>
      </c>
      <c r="O158" s="140"/>
    </row>
    <row r="159" spans="1:15">
      <c r="A159" s="76">
        <f>'BC.114+320'!B158</f>
        <v>45188</v>
      </c>
      <c r="B159" s="140">
        <f t="shared" si="11"/>
        <v>145</v>
      </c>
      <c r="C159" s="142">
        <f>'BC.114+320'!M158/1000</f>
        <v>0.67700000000000005</v>
      </c>
      <c r="D159" s="142">
        <f>'BC.114+320'!AA158</f>
        <v>0.89900000000000002</v>
      </c>
      <c r="E159" s="143">
        <f>'BC.114+320'!AB158</f>
        <v>0.73399999999999999</v>
      </c>
      <c r="F159" s="142">
        <f>VLOOKUP($A159,'BC.114+320'!$B$13:$X$489,8,0)/1000</f>
        <v>1.714</v>
      </c>
      <c r="G159" s="142">
        <f>VLOOKUP($A159,'BC.114+320'!$B$13:$X$489,9,0)/1000</f>
        <v>-0.28599999999999998</v>
      </c>
      <c r="H159" s="142">
        <f>VLOOKUP($A159,'BC.114+320'!$B$13:$X$489,14,0)/1000</f>
        <v>1.6970000000000001</v>
      </c>
      <c r="I159" s="142">
        <f>VLOOKUP($A159,'BC.114+320'!$B$13:$X$489,15,0)/1000</f>
        <v>-0.30299999999999999</v>
      </c>
      <c r="J159" s="142">
        <f>VLOOKUP($A159,'BC.114+320'!$B$13:$X$489,20,0)/1000</f>
        <v>1.7689999999999999</v>
      </c>
      <c r="K159" s="142">
        <f>VLOOKUP($A159,'BC.114+320'!$B$13:$X$489,21,0)/1000</f>
        <v>-0.23100000000000001</v>
      </c>
      <c r="L159" s="140">
        <f t="shared" si="8"/>
        <v>-105.99999999999999</v>
      </c>
      <c r="M159" s="141">
        <f t="shared" si="9"/>
        <v>-123</v>
      </c>
      <c r="N159" s="140">
        <f t="shared" si="10"/>
        <v>-111.00000000000001</v>
      </c>
      <c r="O159" s="140"/>
    </row>
    <row r="160" spans="1:15">
      <c r="A160" s="76">
        <f>'BC.114+320'!B159</f>
        <v>45189</v>
      </c>
      <c r="B160" s="140">
        <f t="shared" si="11"/>
        <v>146</v>
      </c>
      <c r="C160" s="142">
        <f>'BC.114+320'!M159/1000</f>
        <v>0.67700000000000005</v>
      </c>
      <c r="D160" s="142">
        <f>'BC.114+320'!AA159</f>
        <v>0.89900000000000002</v>
      </c>
      <c r="E160" s="143">
        <f>'BC.114+320'!AB159</f>
        <v>0.73399999999999999</v>
      </c>
      <c r="F160" s="142">
        <f>VLOOKUP($A160,'BC.114+320'!$B$13:$X$489,8,0)/1000</f>
        <v>1.714</v>
      </c>
      <c r="G160" s="142">
        <f>VLOOKUP($A160,'BC.114+320'!$B$13:$X$489,9,0)/1000</f>
        <v>-0.28599999999999998</v>
      </c>
      <c r="H160" s="142">
        <f>VLOOKUP($A160,'BC.114+320'!$B$13:$X$489,14,0)/1000</f>
        <v>1.6970000000000001</v>
      </c>
      <c r="I160" s="142">
        <f>VLOOKUP($A160,'BC.114+320'!$B$13:$X$489,15,0)/1000</f>
        <v>-0.30299999999999999</v>
      </c>
      <c r="J160" s="142">
        <f>VLOOKUP($A160,'BC.114+320'!$B$13:$X$489,20,0)/1000</f>
        <v>1.7689999999999999</v>
      </c>
      <c r="K160" s="142">
        <f>VLOOKUP($A160,'BC.114+320'!$B$13:$X$489,21,0)/1000</f>
        <v>-0.23100000000000001</v>
      </c>
      <c r="L160" s="140">
        <f t="shared" si="8"/>
        <v>-105.99999999999999</v>
      </c>
      <c r="M160" s="141">
        <f t="shared" si="9"/>
        <v>-123</v>
      </c>
      <c r="N160" s="140">
        <f t="shared" si="10"/>
        <v>-111.00000000000001</v>
      </c>
      <c r="O160" s="140"/>
    </row>
    <row r="161" spans="1:15">
      <c r="A161" s="76">
        <f>'BC.114+320'!B160</f>
        <v>45190</v>
      </c>
      <c r="B161" s="140">
        <f t="shared" si="11"/>
        <v>147</v>
      </c>
      <c r="C161" s="142">
        <f>'BC.114+320'!M160/1000</f>
        <v>0.67700000000000005</v>
      </c>
      <c r="D161" s="142">
        <f>'BC.114+320'!AA160</f>
        <v>0.89900000000000002</v>
      </c>
      <c r="E161" s="143">
        <f>'BC.114+320'!AB160</f>
        <v>0.73399999999999999</v>
      </c>
      <c r="F161" s="142">
        <f>VLOOKUP($A161,'BC.114+320'!$B$13:$X$489,8,0)/1000</f>
        <v>1.714</v>
      </c>
      <c r="G161" s="142">
        <f>VLOOKUP($A161,'BC.114+320'!$B$13:$X$489,9,0)/1000</f>
        <v>-0.28599999999999998</v>
      </c>
      <c r="H161" s="142">
        <f>VLOOKUP($A161,'BC.114+320'!$B$13:$X$489,14,0)/1000</f>
        <v>1.6970000000000001</v>
      </c>
      <c r="I161" s="142">
        <f>VLOOKUP($A161,'BC.114+320'!$B$13:$X$489,15,0)/1000</f>
        <v>-0.30299999999999999</v>
      </c>
      <c r="J161" s="142">
        <f>VLOOKUP($A161,'BC.114+320'!$B$13:$X$489,20,0)/1000</f>
        <v>1.7689999999999999</v>
      </c>
      <c r="K161" s="142">
        <f>VLOOKUP($A161,'BC.114+320'!$B$13:$X$489,21,0)/1000</f>
        <v>-0.23100000000000001</v>
      </c>
      <c r="L161" s="140">
        <f t="shared" si="8"/>
        <v>-105.99999999999999</v>
      </c>
      <c r="M161" s="141">
        <f t="shared" si="9"/>
        <v>-123</v>
      </c>
      <c r="N161" s="140">
        <f t="shared" si="10"/>
        <v>-111.00000000000001</v>
      </c>
      <c r="O161" s="140"/>
    </row>
    <row r="162" spans="1:15">
      <c r="A162" s="76">
        <f>'BC.114+320'!B161</f>
        <v>45191</v>
      </c>
      <c r="B162" s="140">
        <f t="shared" si="11"/>
        <v>148</v>
      </c>
      <c r="C162" s="142">
        <f>'BC.114+320'!M161/1000</f>
        <v>0.67700000000000005</v>
      </c>
      <c r="D162" s="142">
        <f>'BC.114+320'!AA161</f>
        <v>0.89900000000000002</v>
      </c>
      <c r="E162" s="143">
        <f>'BC.114+320'!AB161</f>
        <v>0.73399999999999999</v>
      </c>
      <c r="F162" s="142">
        <f>VLOOKUP($A162,'BC.114+320'!$B$13:$X$489,8,0)/1000</f>
        <v>1.714</v>
      </c>
      <c r="G162" s="142">
        <f>VLOOKUP($A162,'BC.114+320'!$B$13:$X$489,9,0)/1000</f>
        <v>-0.28599999999999998</v>
      </c>
      <c r="H162" s="142">
        <f>VLOOKUP($A162,'BC.114+320'!$B$13:$X$489,14,0)/1000</f>
        <v>1.6970000000000001</v>
      </c>
      <c r="I162" s="142">
        <f>VLOOKUP($A162,'BC.114+320'!$B$13:$X$489,15,0)/1000</f>
        <v>-0.30299999999999999</v>
      </c>
      <c r="J162" s="142">
        <f>VLOOKUP($A162,'BC.114+320'!$B$13:$X$489,20,0)/1000</f>
        <v>1.7689999999999999</v>
      </c>
      <c r="K162" s="142">
        <f>VLOOKUP($A162,'BC.114+320'!$B$13:$X$489,21,0)/1000</f>
        <v>-0.23100000000000001</v>
      </c>
      <c r="L162" s="140">
        <f t="shared" si="8"/>
        <v>-105.99999999999999</v>
      </c>
      <c r="M162" s="141">
        <f t="shared" si="9"/>
        <v>-123</v>
      </c>
      <c r="N162" s="140">
        <f t="shared" si="10"/>
        <v>-111.00000000000001</v>
      </c>
      <c r="O162" s="140"/>
    </row>
    <row r="163" spans="1:15">
      <c r="A163" s="76">
        <f>'BC.114+320'!B162</f>
        <v>45192</v>
      </c>
      <c r="B163" s="140">
        <f t="shared" si="11"/>
        <v>149</v>
      </c>
      <c r="C163" s="142">
        <f>'BC.114+320'!M162/1000</f>
        <v>0.67700000000000005</v>
      </c>
      <c r="D163" s="142">
        <f>'BC.114+320'!AA162</f>
        <v>0.89900000000000002</v>
      </c>
      <c r="E163" s="143">
        <f>'BC.114+320'!AB162</f>
        <v>0.73399999999999999</v>
      </c>
      <c r="F163" s="142">
        <f>VLOOKUP($A163,'BC.114+320'!$B$13:$X$489,8,0)/1000</f>
        <v>1.714</v>
      </c>
      <c r="G163" s="142">
        <f>VLOOKUP($A163,'BC.114+320'!$B$13:$X$489,9,0)/1000</f>
        <v>-0.28599999999999998</v>
      </c>
      <c r="H163" s="142">
        <f>VLOOKUP($A163,'BC.114+320'!$B$13:$X$489,14,0)/1000</f>
        <v>1.6970000000000001</v>
      </c>
      <c r="I163" s="142">
        <f>VLOOKUP($A163,'BC.114+320'!$B$13:$X$489,15,0)/1000</f>
        <v>-0.30299999999999999</v>
      </c>
      <c r="J163" s="142">
        <f>VLOOKUP($A163,'BC.114+320'!$B$13:$X$489,20,0)/1000</f>
        <v>1.7689999999999999</v>
      </c>
      <c r="K163" s="142">
        <f>VLOOKUP($A163,'BC.114+320'!$B$13:$X$489,21,0)/1000</f>
        <v>-0.23100000000000001</v>
      </c>
      <c r="L163" s="140">
        <f t="shared" si="8"/>
        <v>-105.99999999999999</v>
      </c>
      <c r="M163" s="141">
        <f t="shared" si="9"/>
        <v>-123</v>
      </c>
      <c r="N163" s="140">
        <f t="shared" si="10"/>
        <v>-111.00000000000001</v>
      </c>
      <c r="O163" s="140"/>
    </row>
    <row r="164" spans="1:15">
      <c r="A164" s="76">
        <f>'BC.114+320'!B163</f>
        <v>45193</v>
      </c>
      <c r="B164" s="140">
        <f t="shared" si="11"/>
        <v>150</v>
      </c>
      <c r="C164" s="142">
        <f>'BC.114+320'!M163/1000</f>
        <v>0.67700000000000005</v>
      </c>
      <c r="D164" s="142">
        <f>'BC.114+320'!AA163</f>
        <v>0.89900000000000002</v>
      </c>
      <c r="E164" s="143">
        <f>'BC.114+320'!AB163</f>
        <v>0.73399999999999999</v>
      </c>
      <c r="F164" s="142">
        <f>VLOOKUP($A164,'BC.114+320'!$B$13:$X$489,8,0)/1000</f>
        <v>1.714</v>
      </c>
      <c r="G164" s="142">
        <f>VLOOKUP($A164,'BC.114+320'!$B$13:$X$489,9,0)/1000</f>
        <v>-0.28599999999999998</v>
      </c>
      <c r="H164" s="142">
        <f>VLOOKUP($A164,'BC.114+320'!$B$13:$X$489,14,0)/1000</f>
        <v>1.6970000000000001</v>
      </c>
      <c r="I164" s="142">
        <f>VLOOKUP($A164,'BC.114+320'!$B$13:$X$489,15,0)/1000</f>
        <v>-0.30299999999999999</v>
      </c>
      <c r="J164" s="142">
        <f>VLOOKUP($A164,'BC.114+320'!$B$13:$X$489,20,0)/1000</f>
        <v>1.7689999999999999</v>
      </c>
      <c r="K164" s="142">
        <f>VLOOKUP($A164,'BC.114+320'!$B$13:$X$489,21,0)/1000</f>
        <v>-0.23100000000000001</v>
      </c>
      <c r="L164" s="140">
        <f t="shared" si="8"/>
        <v>-105.99999999999999</v>
      </c>
      <c r="M164" s="141">
        <f t="shared" si="9"/>
        <v>-123</v>
      </c>
      <c r="N164" s="140">
        <f t="shared" si="10"/>
        <v>-111.00000000000001</v>
      </c>
      <c r="O164" s="140"/>
    </row>
    <row r="165" spans="1:15">
      <c r="A165" s="76">
        <f>'BC.114+320'!B164</f>
        <v>45194</v>
      </c>
      <c r="B165" s="140">
        <f t="shared" si="11"/>
        <v>151</v>
      </c>
      <c r="C165" s="142">
        <f>'BC.114+320'!M164/1000</f>
        <v>0.67700000000000005</v>
      </c>
      <c r="D165" s="142">
        <f>'BC.114+320'!AA164</f>
        <v>0.89900000000000002</v>
      </c>
      <c r="E165" s="143">
        <f>'BC.114+320'!AB164</f>
        <v>0.73399999999999999</v>
      </c>
      <c r="F165" s="142">
        <f>VLOOKUP($A165,'BC.114+320'!$B$13:$X$489,8,0)/1000</f>
        <v>1.714</v>
      </c>
      <c r="G165" s="142">
        <f>VLOOKUP($A165,'BC.114+320'!$B$13:$X$489,9,0)/1000</f>
        <v>-0.28599999999999998</v>
      </c>
      <c r="H165" s="142">
        <f>VLOOKUP($A165,'BC.114+320'!$B$13:$X$489,14,0)/1000</f>
        <v>1.6970000000000001</v>
      </c>
      <c r="I165" s="142">
        <f>VLOOKUP($A165,'BC.114+320'!$B$13:$X$489,15,0)/1000</f>
        <v>-0.30299999999999999</v>
      </c>
      <c r="J165" s="142">
        <f>VLOOKUP($A165,'BC.114+320'!$B$13:$X$489,20,0)/1000</f>
        <v>1.7689999999999999</v>
      </c>
      <c r="K165" s="142">
        <f>VLOOKUP($A165,'BC.114+320'!$B$13:$X$489,21,0)/1000</f>
        <v>-0.23100000000000001</v>
      </c>
      <c r="L165" s="140">
        <f t="shared" si="8"/>
        <v>-105.99999999999999</v>
      </c>
      <c r="M165" s="141">
        <f t="shared" si="9"/>
        <v>-123</v>
      </c>
      <c r="N165" s="140">
        <f t="shared" si="10"/>
        <v>-111.00000000000001</v>
      </c>
      <c r="O165" s="140"/>
    </row>
    <row r="166" spans="1:15">
      <c r="A166" s="76">
        <f>'BC.114+320'!B165</f>
        <v>45195</v>
      </c>
      <c r="B166" s="140">
        <f t="shared" si="11"/>
        <v>152</v>
      </c>
      <c r="C166" s="142">
        <f>'BC.114+320'!M165/1000</f>
        <v>0.67700000000000005</v>
      </c>
      <c r="D166" s="142">
        <f>'BC.114+320'!AA165</f>
        <v>0.89900000000000002</v>
      </c>
      <c r="E166" s="143">
        <f>'BC.114+320'!AB165</f>
        <v>0.73399999999999999</v>
      </c>
      <c r="F166" s="142">
        <f>VLOOKUP($A166,'BC.114+320'!$B$13:$X$489,8,0)/1000</f>
        <v>1.714</v>
      </c>
      <c r="G166" s="142">
        <f>VLOOKUP($A166,'BC.114+320'!$B$13:$X$489,9,0)/1000</f>
        <v>-0.28599999999999998</v>
      </c>
      <c r="H166" s="142">
        <f>VLOOKUP($A166,'BC.114+320'!$B$13:$X$489,14,0)/1000</f>
        <v>1.6970000000000001</v>
      </c>
      <c r="I166" s="142">
        <f>VLOOKUP($A166,'BC.114+320'!$B$13:$X$489,15,0)/1000</f>
        <v>-0.30299999999999999</v>
      </c>
      <c r="J166" s="142">
        <f>VLOOKUP($A166,'BC.114+320'!$B$13:$X$489,20,0)/1000</f>
        <v>1.7689999999999999</v>
      </c>
      <c r="K166" s="142">
        <f>VLOOKUP($A166,'BC.114+320'!$B$13:$X$489,21,0)/1000</f>
        <v>-0.23100000000000001</v>
      </c>
      <c r="L166" s="140">
        <f t="shared" si="8"/>
        <v>-105.99999999999999</v>
      </c>
      <c r="M166" s="141">
        <f t="shared" si="9"/>
        <v>-123</v>
      </c>
      <c r="N166" s="140">
        <f t="shared" si="10"/>
        <v>-111.00000000000001</v>
      </c>
      <c r="O166" s="140"/>
    </row>
    <row r="167" spans="1:15">
      <c r="A167" s="76">
        <f>'BC.114+320'!B166</f>
        <v>45196</v>
      </c>
      <c r="B167" s="140">
        <f t="shared" si="11"/>
        <v>153</v>
      </c>
      <c r="C167" s="142">
        <f>'BC.114+320'!M166/1000</f>
        <v>0.67700000000000005</v>
      </c>
      <c r="D167" s="142">
        <f>'BC.114+320'!AA166</f>
        <v>0.89900000000000002</v>
      </c>
      <c r="E167" s="143">
        <f>'BC.114+320'!AB166</f>
        <v>0.73399999999999999</v>
      </c>
      <c r="F167" s="142">
        <f>VLOOKUP($A167,'BC.114+320'!$B$13:$X$489,8,0)/1000</f>
        <v>1.714</v>
      </c>
      <c r="G167" s="142">
        <f>VLOOKUP($A167,'BC.114+320'!$B$13:$X$489,9,0)/1000</f>
        <v>-0.28599999999999998</v>
      </c>
      <c r="H167" s="142">
        <f>VLOOKUP($A167,'BC.114+320'!$B$13:$X$489,14,0)/1000</f>
        <v>1.6970000000000001</v>
      </c>
      <c r="I167" s="142">
        <f>VLOOKUP($A167,'BC.114+320'!$B$13:$X$489,15,0)/1000</f>
        <v>-0.30299999999999999</v>
      </c>
      <c r="J167" s="142">
        <f>VLOOKUP($A167,'BC.114+320'!$B$13:$X$489,20,0)/1000</f>
        <v>1.7689999999999999</v>
      </c>
      <c r="K167" s="142">
        <f>VLOOKUP($A167,'BC.114+320'!$B$13:$X$489,21,0)/1000</f>
        <v>-0.23100000000000001</v>
      </c>
      <c r="L167" s="140">
        <f t="shared" si="8"/>
        <v>-105.99999999999999</v>
      </c>
      <c r="M167" s="141">
        <f t="shared" si="9"/>
        <v>-123</v>
      </c>
      <c r="N167" s="140">
        <f t="shared" si="10"/>
        <v>-111.00000000000001</v>
      </c>
      <c r="O167" s="140"/>
    </row>
    <row r="168" spans="1:15">
      <c r="A168" s="76">
        <f>'BC.114+320'!B167</f>
        <v>45197</v>
      </c>
      <c r="B168" s="140">
        <f t="shared" si="11"/>
        <v>154</v>
      </c>
      <c r="C168" s="142">
        <f>'BC.114+320'!M167/1000</f>
        <v>0.67700000000000005</v>
      </c>
      <c r="D168" s="142">
        <f>'BC.114+320'!AA167</f>
        <v>0.89900000000000002</v>
      </c>
      <c r="E168" s="143">
        <f>'BC.114+320'!AB167</f>
        <v>0.73399999999999999</v>
      </c>
      <c r="F168" s="142">
        <f>VLOOKUP($A168,'BC.114+320'!$B$13:$X$489,8,0)/1000</f>
        <v>1.714</v>
      </c>
      <c r="G168" s="142">
        <f>VLOOKUP($A168,'BC.114+320'!$B$13:$X$489,9,0)/1000</f>
        <v>-0.28599999999999998</v>
      </c>
      <c r="H168" s="142">
        <f>VLOOKUP($A168,'BC.114+320'!$B$13:$X$489,14,0)/1000</f>
        <v>1.6970000000000001</v>
      </c>
      <c r="I168" s="142">
        <f>VLOOKUP($A168,'BC.114+320'!$B$13:$X$489,15,0)/1000</f>
        <v>-0.30299999999999999</v>
      </c>
      <c r="J168" s="142">
        <f>VLOOKUP($A168,'BC.114+320'!$B$13:$X$489,20,0)/1000</f>
        <v>1.7689999999999999</v>
      </c>
      <c r="K168" s="142">
        <f>VLOOKUP($A168,'BC.114+320'!$B$13:$X$489,21,0)/1000</f>
        <v>-0.23100000000000001</v>
      </c>
      <c r="L168" s="140">
        <f t="shared" si="8"/>
        <v>-105.99999999999999</v>
      </c>
      <c r="M168" s="141">
        <f t="shared" si="9"/>
        <v>-123</v>
      </c>
      <c r="N168" s="140">
        <f t="shared" si="10"/>
        <v>-111.00000000000001</v>
      </c>
      <c r="O168" s="140"/>
    </row>
    <row r="169" spans="1:15">
      <c r="A169" s="76">
        <f>'BC.114+320'!B168</f>
        <v>45198</v>
      </c>
      <c r="B169" s="140">
        <f t="shared" si="11"/>
        <v>155</v>
      </c>
      <c r="C169" s="142">
        <f>'BC.114+320'!M168/1000</f>
        <v>0.67700000000000005</v>
      </c>
      <c r="D169" s="142">
        <f>'BC.114+320'!AA168</f>
        <v>0.89900000000000002</v>
      </c>
      <c r="E169" s="143">
        <f>'BC.114+320'!AB168</f>
        <v>0.73399999999999999</v>
      </c>
      <c r="F169" s="142">
        <f>VLOOKUP($A169,'BC.114+320'!$B$13:$X$489,8,0)/1000</f>
        <v>1.714</v>
      </c>
      <c r="G169" s="142">
        <f>VLOOKUP($A169,'BC.114+320'!$B$13:$X$489,9,0)/1000</f>
        <v>-0.28599999999999998</v>
      </c>
      <c r="H169" s="142">
        <f>VLOOKUP($A169,'BC.114+320'!$B$13:$X$489,14,0)/1000</f>
        <v>1.6970000000000001</v>
      </c>
      <c r="I169" s="142">
        <f>VLOOKUP($A169,'BC.114+320'!$B$13:$X$489,15,0)/1000</f>
        <v>-0.30299999999999999</v>
      </c>
      <c r="J169" s="142">
        <f>VLOOKUP($A169,'BC.114+320'!$B$13:$X$489,20,0)/1000</f>
        <v>1.7689999999999999</v>
      </c>
      <c r="K169" s="142">
        <f>VLOOKUP($A169,'BC.114+320'!$B$13:$X$489,21,0)/1000</f>
        <v>-0.23100000000000001</v>
      </c>
      <c r="L169" s="140">
        <f t="shared" si="8"/>
        <v>-105.99999999999999</v>
      </c>
      <c r="M169" s="141">
        <f t="shared" si="9"/>
        <v>-123</v>
      </c>
      <c r="N169" s="140">
        <f t="shared" si="10"/>
        <v>-111.00000000000001</v>
      </c>
      <c r="O169" s="140"/>
    </row>
    <row r="170" spans="1:15" ht="15.6" customHeight="1">
      <c r="A170" s="76">
        <f>'BC.114+320'!B169</f>
        <v>45199</v>
      </c>
      <c r="B170" s="140">
        <f t="shared" si="11"/>
        <v>156</v>
      </c>
      <c r="C170" s="142">
        <f>'BC.114+320'!M169/1000</f>
        <v>0.67700000000000005</v>
      </c>
      <c r="D170" s="142">
        <f>'BC.114+320'!AA169</f>
        <v>0.89900000000000002</v>
      </c>
      <c r="E170" s="143">
        <f>'BC.114+320'!AB169</f>
        <v>0.73399999999999999</v>
      </c>
      <c r="F170" s="142">
        <f>VLOOKUP($A170,'BC.114+320'!$B$13:$X$489,8,0)/1000</f>
        <v>1.714</v>
      </c>
      <c r="G170" s="142">
        <f>VLOOKUP($A170,'BC.114+320'!$B$13:$X$489,9,0)/1000</f>
        <v>-0.28599999999999998</v>
      </c>
      <c r="H170" s="142">
        <f>VLOOKUP($A170,'BC.114+320'!$B$13:$X$489,14,0)/1000</f>
        <v>1.6970000000000001</v>
      </c>
      <c r="I170" s="142">
        <f>VLOOKUP($A170,'BC.114+320'!$B$13:$X$489,15,0)/1000</f>
        <v>-0.30299999999999999</v>
      </c>
      <c r="J170" s="142">
        <f>VLOOKUP($A170,'BC.114+320'!$B$13:$X$489,20,0)/1000</f>
        <v>1.7689999999999999</v>
      </c>
      <c r="K170" s="142">
        <f>VLOOKUP($A170,'BC.114+320'!$B$13:$X$489,21,0)/1000</f>
        <v>-0.23100000000000001</v>
      </c>
      <c r="L170" s="140">
        <f t="shared" si="8"/>
        <v>-105.99999999999999</v>
      </c>
      <c r="M170" s="141">
        <f t="shared" si="9"/>
        <v>-123</v>
      </c>
      <c r="N170" s="140">
        <f t="shared" si="10"/>
        <v>-111.00000000000001</v>
      </c>
      <c r="O170" s="140"/>
    </row>
    <row r="171" spans="1:15" ht="15.6" customHeight="1">
      <c r="A171" s="76">
        <f>'BC.114+320'!B170</f>
        <v>45200</v>
      </c>
      <c r="B171" s="140">
        <f t="shared" si="11"/>
        <v>157</v>
      </c>
      <c r="C171" s="142">
        <f>'BC.114+320'!M170/1000</f>
        <v>0.67700000000000005</v>
      </c>
      <c r="D171" s="142">
        <f>'BC.114+320'!AA170</f>
        <v>0.89900000000000002</v>
      </c>
      <c r="E171" s="143">
        <f>'BC.114+320'!AB170</f>
        <v>0.73399999999999999</v>
      </c>
      <c r="F171" s="142">
        <f>VLOOKUP($A171,'BC.114+320'!$B$13:$X$489,8,0)/1000</f>
        <v>1.714</v>
      </c>
      <c r="G171" s="142">
        <f>VLOOKUP($A171,'BC.114+320'!$B$13:$X$489,9,0)/1000</f>
        <v>-0.28599999999999998</v>
      </c>
      <c r="H171" s="142">
        <f>VLOOKUP($A171,'BC.114+320'!$B$13:$X$489,14,0)/1000</f>
        <v>1.6970000000000001</v>
      </c>
      <c r="I171" s="142">
        <f>VLOOKUP($A171,'BC.114+320'!$B$13:$X$489,15,0)/1000</f>
        <v>-0.30299999999999999</v>
      </c>
      <c r="J171" s="142">
        <f>VLOOKUP($A171,'BC.114+320'!$B$13:$X$489,20,0)/1000</f>
        <v>1.7689999999999999</v>
      </c>
      <c r="K171" s="142">
        <f>VLOOKUP($A171,'BC.114+320'!$B$13:$X$489,21,0)/1000</f>
        <v>-0.23100000000000001</v>
      </c>
      <c r="L171" s="140">
        <f t="shared" si="8"/>
        <v>-105.99999999999999</v>
      </c>
      <c r="M171" s="141">
        <f t="shared" si="9"/>
        <v>-123</v>
      </c>
      <c r="N171" s="140">
        <f t="shared" si="10"/>
        <v>-111.00000000000001</v>
      </c>
      <c r="O171" s="140"/>
    </row>
    <row r="172" spans="1:15" ht="15.6" customHeight="1">
      <c r="A172" s="76">
        <f>'BC.114+320'!B171</f>
        <v>45201</v>
      </c>
      <c r="B172" s="140">
        <f t="shared" si="11"/>
        <v>158</v>
      </c>
      <c r="C172" s="142">
        <f>'BC.114+320'!M171/1000</f>
        <v>0.67700000000000005</v>
      </c>
      <c r="D172" s="142">
        <f>'BC.114+320'!AA171</f>
        <v>0.89900000000000002</v>
      </c>
      <c r="E172" s="143">
        <f>'BC.114+320'!AB171</f>
        <v>0.73399999999999999</v>
      </c>
      <c r="F172" s="142">
        <f>VLOOKUP($A172,'BC.114+320'!$B$13:$X$489,8,0)/1000</f>
        <v>1.714</v>
      </c>
      <c r="G172" s="142">
        <f>VLOOKUP($A172,'BC.114+320'!$B$13:$X$489,9,0)/1000</f>
        <v>-0.28599999999999998</v>
      </c>
      <c r="H172" s="142">
        <f>VLOOKUP($A172,'BC.114+320'!$B$13:$X$489,14,0)/1000</f>
        <v>1.6970000000000001</v>
      </c>
      <c r="I172" s="142">
        <f>VLOOKUP($A172,'BC.114+320'!$B$13:$X$489,15,0)/1000</f>
        <v>-0.30299999999999999</v>
      </c>
      <c r="J172" s="142">
        <f>VLOOKUP($A172,'BC.114+320'!$B$13:$X$489,20,0)/1000</f>
        <v>1.7689999999999999</v>
      </c>
      <c r="K172" s="142">
        <f>VLOOKUP($A172,'BC.114+320'!$B$13:$X$489,21,0)/1000</f>
        <v>-0.23100000000000001</v>
      </c>
      <c r="L172" s="140">
        <f t="shared" si="8"/>
        <v>-105.99999999999999</v>
      </c>
      <c r="M172" s="141">
        <f t="shared" si="9"/>
        <v>-123</v>
      </c>
      <c r="N172" s="140">
        <f t="shared" si="10"/>
        <v>-111.00000000000001</v>
      </c>
      <c r="O172" s="140"/>
    </row>
    <row r="173" spans="1:15" ht="15.6" customHeight="1">
      <c r="A173" s="76">
        <f>'BC.114+320'!B172</f>
        <v>45202</v>
      </c>
      <c r="B173" s="140">
        <f t="shared" si="11"/>
        <v>159</v>
      </c>
      <c r="C173" s="142">
        <f>'BC.114+320'!M172/1000</f>
        <v>0.67700000000000005</v>
      </c>
      <c r="D173" s="142">
        <f>'BC.114+320'!AA172</f>
        <v>0.89900000000000002</v>
      </c>
      <c r="E173" s="143">
        <f>'BC.114+320'!AB172</f>
        <v>0.73399999999999999</v>
      </c>
      <c r="F173" s="142">
        <f>VLOOKUP($A173,'BC.114+320'!$B$13:$X$489,8,0)/1000</f>
        <v>1.714</v>
      </c>
      <c r="G173" s="142">
        <f>VLOOKUP($A173,'BC.114+320'!$B$13:$X$489,9,0)/1000</f>
        <v>-0.28599999999999998</v>
      </c>
      <c r="H173" s="142">
        <f>VLOOKUP($A173,'BC.114+320'!$B$13:$X$489,14,0)/1000</f>
        <v>1.6970000000000001</v>
      </c>
      <c r="I173" s="142">
        <f>VLOOKUP($A173,'BC.114+320'!$B$13:$X$489,15,0)/1000</f>
        <v>-0.30299999999999999</v>
      </c>
      <c r="J173" s="142">
        <f>VLOOKUP($A173,'BC.114+320'!$B$13:$X$489,20,0)/1000</f>
        <v>1.7689999999999999</v>
      </c>
      <c r="K173" s="142">
        <f>VLOOKUP($A173,'BC.114+320'!$B$13:$X$489,21,0)/1000</f>
        <v>-0.23100000000000001</v>
      </c>
      <c r="L173" s="140">
        <f t="shared" si="8"/>
        <v>-105.99999999999999</v>
      </c>
      <c r="M173" s="141">
        <f t="shared" si="9"/>
        <v>-123</v>
      </c>
      <c r="N173" s="140">
        <f t="shared" si="10"/>
        <v>-111.00000000000001</v>
      </c>
      <c r="O173" s="140"/>
    </row>
    <row r="174" spans="1:15" ht="15.6" customHeight="1">
      <c r="A174" s="76">
        <f>'BC.114+320'!B173</f>
        <v>45203</v>
      </c>
      <c r="B174" s="140">
        <f t="shared" si="11"/>
        <v>160</v>
      </c>
      <c r="C174" s="142">
        <f>'BC.114+320'!M173/1000</f>
        <v>0.67700000000000005</v>
      </c>
      <c r="D174" s="142">
        <f>'BC.114+320'!AA173</f>
        <v>0.89900000000000002</v>
      </c>
      <c r="E174" s="143">
        <f>'BC.114+320'!AB173</f>
        <v>0.73399999999999999</v>
      </c>
      <c r="F174" s="142">
        <f>VLOOKUP($A174,'BC.114+320'!$B$13:$X$489,8,0)/1000</f>
        <v>1.714</v>
      </c>
      <c r="G174" s="142">
        <f>VLOOKUP($A174,'BC.114+320'!$B$13:$X$489,9,0)/1000</f>
        <v>-0.28599999999999998</v>
      </c>
      <c r="H174" s="142">
        <f>VLOOKUP($A174,'BC.114+320'!$B$13:$X$489,14,0)/1000</f>
        <v>1.6970000000000001</v>
      </c>
      <c r="I174" s="142">
        <f>VLOOKUP($A174,'BC.114+320'!$B$13:$X$489,15,0)/1000</f>
        <v>-0.30299999999999999</v>
      </c>
      <c r="J174" s="142">
        <f>VLOOKUP($A174,'BC.114+320'!$B$13:$X$489,20,0)/1000</f>
        <v>1.7689999999999999</v>
      </c>
      <c r="K174" s="142">
        <f>VLOOKUP($A174,'BC.114+320'!$B$13:$X$489,21,0)/1000</f>
        <v>-0.23100000000000001</v>
      </c>
      <c r="L174" s="140">
        <f t="shared" si="8"/>
        <v>-105.99999999999999</v>
      </c>
      <c r="M174" s="141">
        <f t="shared" si="9"/>
        <v>-123</v>
      </c>
      <c r="N174" s="140">
        <f t="shared" si="10"/>
        <v>-111.00000000000001</v>
      </c>
      <c r="O174" s="140"/>
    </row>
    <row r="175" spans="1:15" ht="15.6" customHeight="1">
      <c r="A175" s="76">
        <f>'BC.114+320'!B174</f>
        <v>45204</v>
      </c>
      <c r="B175" s="140">
        <f t="shared" si="11"/>
        <v>161</v>
      </c>
      <c r="C175" s="142">
        <f>'BC.114+320'!M174/1000</f>
        <v>0.67700000000000005</v>
      </c>
      <c r="D175" s="142">
        <f>'BC.114+320'!AA174</f>
        <v>0.89900000000000002</v>
      </c>
      <c r="E175" s="143">
        <f>'BC.114+320'!AB174</f>
        <v>0.73399999999999999</v>
      </c>
      <c r="F175" s="142">
        <f>VLOOKUP($A175,'BC.114+320'!$B$13:$X$489,8,0)/1000</f>
        <v>1.714</v>
      </c>
      <c r="G175" s="142">
        <f>VLOOKUP($A175,'BC.114+320'!$B$13:$X$489,9,0)/1000</f>
        <v>-0.28599999999999998</v>
      </c>
      <c r="H175" s="142">
        <f>VLOOKUP($A175,'BC.114+320'!$B$13:$X$489,14,0)/1000</f>
        <v>1.6970000000000001</v>
      </c>
      <c r="I175" s="142">
        <f>VLOOKUP($A175,'BC.114+320'!$B$13:$X$489,15,0)/1000</f>
        <v>-0.30299999999999999</v>
      </c>
      <c r="J175" s="142">
        <f>VLOOKUP($A175,'BC.114+320'!$B$13:$X$489,20,0)/1000</f>
        <v>1.7689999999999999</v>
      </c>
      <c r="K175" s="142">
        <f>VLOOKUP($A175,'BC.114+320'!$B$13:$X$489,21,0)/1000</f>
        <v>-0.23100000000000001</v>
      </c>
      <c r="L175" s="140">
        <f t="shared" si="8"/>
        <v>-105.99999999999999</v>
      </c>
      <c r="M175" s="141">
        <f t="shared" si="9"/>
        <v>-123</v>
      </c>
      <c r="N175" s="140">
        <f t="shared" si="10"/>
        <v>-111.00000000000001</v>
      </c>
      <c r="O175" s="140"/>
    </row>
    <row r="176" spans="1:15" ht="15.6" customHeight="1">
      <c r="A176" s="76">
        <f>'BC.114+320'!B175</f>
        <v>45205</v>
      </c>
      <c r="B176" s="140">
        <f t="shared" si="11"/>
        <v>162</v>
      </c>
      <c r="C176" s="142">
        <f>'BC.114+320'!M175/1000</f>
        <v>0.67700000000000005</v>
      </c>
      <c r="D176" s="142">
        <f>'BC.114+320'!AA175</f>
        <v>0.89900000000000002</v>
      </c>
      <c r="E176" s="143">
        <f>'BC.114+320'!AB175</f>
        <v>0.73399999999999999</v>
      </c>
      <c r="F176" s="142">
        <f>VLOOKUP($A176,'BC.114+320'!$B$13:$X$489,8,0)/1000</f>
        <v>1.714</v>
      </c>
      <c r="G176" s="142">
        <f>VLOOKUP($A176,'BC.114+320'!$B$13:$X$489,9,0)/1000</f>
        <v>-0.28599999999999998</v>
      </c>
      <c r="H176" s="142">
        <f>VLOOKUP($A176,'BC.114+320'!$B$13:$X$489,14,0)/1000</f>
        <v>1.6970000000000001</v>
      </c>
      <c r="I176" s="142">
        <f>VLOOKUP($A176,'BC.114+320'!$B$13:$X$489,15,0)/1000</f>
        <v>-0.30299999999999999</v>
      </c>
      <c r="J176" s="142">
        <f>VLOOKUP($A176,'BC.114+320'!$B$13:$X$489,20,0)/1000</f>
        <v>1.7689999999999999</v>
      </c>
      <c r="K176" s="142">
        <f>VLOOKUP($A176,'BC.114+320'!$B$13:$X$489,21,0)/1000</f>
        <v>-0.23100000000000001</v>
      </c>
      <c r="L176" s="140">
        <f t="shared" si="8"/>
        <v>-105.99999999999999</v>
      </c>
      <c r="M176" s="141">
        <f t="shared" si="9"/>
        <v>-123</v>
      </c>
      <c r="N176" s="140">
        <f t="shared" si="10"/>
        <v>-111.00000000000001</v>
      </c>
      <c r="O176" s="140"/>
    </row>
    <row r="177" spans="1:15" ht="15.6" customHeight="1">
      <c r="A177" s="76">
        <f>'BC.114+320'!B176</f>
        <v>45206</v>
      </c>
      <c r="B177" s="140">
        <f t="shared" si="11"/>
        <v>163</v>
      </c>
      <c r="C177" s="142">
        <f>'BC.114+320'!M176/1000</f>
        <v>0.67700000000000005</v>
      </c>
      <c r="D177" s="142">
        <f>'BC.114+320'!AA176</f>
        <v>0.89900000000000002</v>
      </c>
      <c r="E177" s="143">
        <f>'BC.114+320'!AB176</f>
        <v>0.73399999999999999</v>
      </c>
      <c r="F177" s="142">
        <f>VLOOKUP($A177,'BC.114+320'!$B$13:$X$489,8,0)/1000</f>
        <v>1.714</v>
      </c>
      <c r="G177" s="142">
        <f>VLOOKUP($A177,'BC.114+320'!$B$13:$X$489,9,0)/1000</f>
        <v>-0.28599999999999998</v>
      </c>
      <c r="H177" s="142">
        <f>VLOOKUP($A177,'BC.114+320'!$B$13:$X$489,14,0)/1000</f>
        <v>1.6970000000000001</v>
      </c>
      <c r="I177" s="142">
        <f>VLOOKUP($A177,'BC.114+320'!$B$13:$X$489,15,0)/1000</f>
        <v>-0.30299999999999999</v>
      </c>
      <c r="J177" s="142">
        <f>VLOOKUP($A177,'BC.114+320'!$B$13:$X$489,20,0)/1000</f>
        <v>1.7689999999999999</v>
      </c>
      <c r="K177" s="142">
        <f>VLOOKUP($A177,'BC.114+320'!$B$13:$X$489,21,0)/1000</f>
        <v>-0.23100000000000001</v>
      </c>
      <c r="L177" s="140">
        <f t="shared" si="8"/>
        <v>-105.99999999999999</v>
      </c>
      <c r="M177" s="141">
        <f t="shared" si="9"/>
        <v>-123</v>
      </c>
      <c r="N177" s="140">
        <f t="shared" si="10"/>
        <v>-111.00000000000001</v>
      </c>
      <c r="O177" s="140"/>
    </row>
    <row r="178" spans="1:15" ht="15.6" customHeight="1">
      <c r="A178" s="76">
        <f>'BC.114+320'!B177</f>
        <v>45207</v>
      </c>
      <c r="B178" s="140">
        <f t="shared" si="11"/>
        <v>164</v>
      </c>
      <c r="C178" s="142">
        <f>'BC.114+320'!M177/1000</f>
        <v>0.67700000000000005</v>
      </c>
      <c r="D178" s="142">
        <f>'BC.114+320'!AA177</f>
        <v>0.89900000000000002</v>
      </c>
      <c r="E178" s="143">
        <f>'BC.114+320'!AB177</f>
        <v>0.73399999999999999</v>
      </c>
      <c r="F178" s="142">
        <f>VLOOKUP($A178,'BC.114+320'!$B$13:$X$489,8,0)/1000</f>
        <v>1.714</v>
      </c>
      <c r="G178" s="142">
        <f>VLOOKUP($A178,'BC.114+320'!$B$13:$X$489,9,0)/1000</f>
        <v>-0.28599999999999998</v>
      </c>
      <c r="H178" s="142">
        <f>VLOOKUP($A178,'BC.114+320'!$B$13:$X$489,14,0)/1000</f>
        <v>1.6970000000000001</v>
      </c>
      <c r="I178" s="142">
        <f>VLOOKUP($A178,'BC.114+320'!$B$13:$X$489,15,0)/1000</f>
        <v>-0.30299999999999999</v>
      </c>
      <c r="J178" s="142">
        <f>VLOOKUP($A178,'BC.114+320'!$B$13:$X$489,20,0)/1000</f>
        <v>1.7689999999999999</v>
      </c>
      <c r="K178" s="142">
        <f>VLOOKUP($A178,'BC.114+320'!$B$13:$X$489,21,0)/1000</f>
        <v>-0.23100000000000001</v>
      </c>
      <c r="L178" s="140">
        <f t="shared" si="8"/>
        <v>-105.99999999999999</v>
      </c>
      <c r="M178" s="141">
        <f t="shared" si="9"/>
        <v>-123</v>
      </c>
      <c r="N178" s="140">
        <f t="shared" si="10"/>
        <v>-111.00000000000001</v>
      </c>
      <c r="O178" s="140"/>
    </row>
    <row r="179" spans="1:15" ht="15.6" customHeight="1">
      <c r="A179" s="76">
        <f>'BC.114+320'!B178</f>
        <v>45208</v>
      </c>
      <c r="B179" s="140">
        <f t="shared" si="11"/>
        <v>165</v>
      </c>
      <c r="C179" s="142">
        <f>'BC.114+320'!M178/1000</f>
        <v>0.67700000000000005</v>
      </c>
      <c r="D179" s="142">
        <f>'BC.114+320'!AA178</f>
        <v>0.89900000000000002</v>
      </c>
      <c r="E179" s="143">
        <f>'BC.114+320'!AB178</f>
        <v>0.73399999999999999</v>
      </c>
      <c r="F179" s="142">
        <f>VLOOKUP($A179,'BC.114+320'!$B$13:$X$489,8,0)/1000</f>
        <v>1.714</v>
      </c>
      <c r="G179" s="142">
        <f>VLOOKUP($A179,'BC.114+320'!$B$13:$X$489,9,0)/1000</f>
        <v>-0.28599999999999998</v>
      </c>
      <c r="H179" s="142">
        <f>VLOOKUP($A179,'BC.114+320'!$B$13:$X$489,14,0)/1000</f>
        <v>1.6970000000000001</v>
      </c>
      <c r="I179" s="142">
        <f>VLOOKUP($A179,'BC.114+320'!$B$13:$X$489,15,0)/1000</f>
        <v>-0.30299999999999999</v>
      </c>
      <c r="J179" s="142">
        <f>VLOOKUP($A179,'BC.114+320'!$B$13:$X$489,20,0)/1000</f>
        <v>1.7689999999999999</v>
      </c>
      <c r="K179" s="142">
        <f>VLOOKUP($A179,'BC.114+320'!$B$13:$X$489,21,0)/1000</f>
        <v>-0.23100000000000001</v>
      </c>
      <c r="L179" s="140">
        <f t="shared" si="8"/>
        <v>-105.99999999999999</v>
      </c>
      <c r="M179" s="141">
        <f t="shared" si="9"/>
        <v>-123</v>
      </c>
      <c r="N179" s="140">
        <f t="shared" si="10"/>
        <v>-111.00000000000001</v>
      </c>
      <c r="O179" s="140"/>
    </row>
    <row r="180" spans="1:15" ht="15.6" customHeight="1">
      <c r="A180" s="76">
        <f>'BC.114+320'!B179</f>
        <v>45209</v>
      </c>
      <c r="B180" s="140">
        <f t="shared" si="11"/>
        <v>166</v>
      </c>
      <c r="C180" s="142">
        <f>'BC.114+320'!M179/1000</f>
        <v>0.67700000000000005</v>
      </c>
      <c r="D180" s="142">
        <f>'BC.114+320'!AA179</f>
        <v>0.89900000000000002</v>
      </c>
      <c r="E180" s="143">
        <f>'BC.114+320'!AB179</f>
        <v>0.73399999999999999</v>
      </c>
      <c r="F180" s="142">
        <f>VLOOKUP($A180,'BC.114+320'!$B$13:$X$489,8,0)/1000</f>
        <v>1.714</v>
      </c>
      <c r="G180" s="142">
        <f>VLOOKUP($A180,'BC.114+320'!$B$13:$X$489,9,0)/1000</f>
        <v>-0.28599999999999998</v>
      </c>
      <c r="H180" s="142">
        <f>VLOOKUP($A180,'BC.114+320'!$B$13:$X$489,14,0)/1000</f>
        <v>1.6970000000000001</v>
      </c>
      <c r="I180" s="142">
        <f>VLOOKUP($A180,'BC.114+320'!$B$13:$X$489,15,0)/1000</f>
        <v>-0.30299999999999999</v>
      </c>
      <c r="J180" s="142">
        <f>VLOOKUP($A180,'BC.114+320'!$B$13:$X$489,20,0)/1000</f>
        <v>1.7689999999999999</v>
      </c>
      <c r="K180" s="142">
        <f>VLOOKUP($A180,'BC.114+320'!$B$13:$X$489,21,0)/1000</f>
        <v>-0.23100000000000001</v>
      </c>
      <c r="L180" s="140">
        <f t="shared" si="8"/>
        <v>-105.99999999999999</v>
      </c>
      <c r="M180" s="141">
        <f t="shared" si="9"/>
        <v>-123</v>
      </c>
      <c r="N180" s="140">
        <f t="shared" si="10"/>
        <v>-111.00000000000001</v>
      </c>
      <c r="O180" s="140"/>
    </row>
    <row r="181" spans="1:15" ht="15.6" customHeight="1">
      <c r="A181" s="76">
        <f>'BC.114+320'!B180</f>
        <v>45210</v>
      </c>
      <c r="B181" s="140">
        <f t="shared" si="11"/>
        <v>167</v>
      </c>
      <c r="C181" s="142">
        <f>'BC.114+320'!M180/1000</f>
        <v>0.67700000000000005</v>
      </c>
      <c r="D181" s="142">
        <f>'BC.114+320'!AA180</f>
        <v>0.89900000000000002</v>
      </c>
      <c r="E181" s="143">
        <f>'BC.114+320'!AB180</f>
        <v>0.73399999999999999</v>
      </c>
      <c r="F181" s="142">
        <f>VLOOKUP($A181,'BC.114+320'!$B$13:$X$489,8,0)/1000</f>
        <v>1.714</v>
      </c>
      <c r="G181" s="142">
        <f>VLOOKUP($A181,'BC.114+320'!$B$13:$X$489,9,0)/1000</f>
        <v>-0.28599999999999998</v>
      </c>
      <c r="H181" s="142">
        <f>VLOOKUP($A181,'BC.114+320'!$B$13:$X$489,14,0)/1000</f>
        <v>1.6970000000000001</v>
      </c>
      <c r="I181" s="142">
        <f>VLOOKUP($A181,'BC.114+320'!$B$13:$X$489,15,0)/1000</f>
        <v>-0.30299999999999999</v>
      </c>
      <c r="J181" s="142">
        <f>VLOOKUP($A181,'BC.114+320'!$B$13:$X$489,20,0)/1000</f>
        <v>1.7689999999999999</v>
      </c>
      <c r="K181" s="142">
        <f>VLOOKUP($A181,'BC.114+320'!$B$13:$X$489,21,0)/1000</f>
        <v>-0.23100000000000001</v>
      </c>
      <c r="L181" s="140">
        <f t="shared" si="8"/>
        <v>-105.99999999999999</v>
      </c>
      <c r="M181" s="141">
        <f t="shared" si="9"/>
        <v>-123</v>
      </c>
      <c r="N181" s="140">
        <f t="shared" si="10"/>
        <v>-111.00000000000001</v>
      </c>
      <c r="O181" s="140"/>
    </row>
    <row r="182" spans="1:15" ht="15.6" customHeight="1">
      <c r="A182" s="76">
        <f>'BC.114+320'!B181</f>
        <v>45211</v>
      </c>
      <c r="B182" s="140">
        <f t="shared" si="11"/>
        <v>168</v>
      </c>
      <c r="C182" s="142">
        <f>'BC.114+320'!M181/1000</f>
        <v>0.67700000000000005</v>
      </c>
      <c r="D182" s="142">
        <f>'BC.114+320'!AA181</f>
        <v>0.89900000000000002</v>
      </c>
      <c r="E182" s="143">
        <f>'BC.114+320'!AB181</f>
        <v>0.73399999999999999</v>
      </c>
      <c r="F182" s="142">
        <f>VLOOKUP($A182,'BC.114+320'!$B$13:$X$489,8,0)/1000</f>
        <v>1.714</v>
      </c>
      <c r="G182" s="142">
        <f>VLOOKUP($A182,'BC.114+320'!$B$13:$X$489,9,0)/1000</f>
        <v>-0.28599999999999998</v>
      </c>
      <c r="H182" s="142">
        <f>VLOOKUP($A182,'BC.114+320'!$B$13:$X$489,14,0)/1000</f>
        <v>1.6970000000000001</v>
      </c>
      <c r="I182" s="142">
        <f>VLOOKUP($A182,'BC.114+320'!$B$13:$X$489,15,0)/1000</f>
        <v>-0.30299999999999999</v>
      </c>
      <c r="J182" s="142">
        <f>VLOOKUP($A182,'BC.114+320'!$B$13:$X$489,20,0)/1000</f>
        <v>1.7689999999999999</v>
      </c>
      <c r="K182" s="142">
        <f>VLOOKUP($A182,'BC.114+320'!$B$13:$X$489,21,0)/1000</f>
        <v>-0.23100000000000001</v>
      </c>
      <c r="L182" s="140">
        <f t="shared" si="8"/>
        <v>-105.99999999999999</v>
      </c>
      <c r="M182" s="141">
        <f t="shared" si="9"/>
        <v>-123</v>
      </c>
      <c r="N182" s="140">
        <f t="shared" si="10"/>
        <v>-111.00000000000001</v>
      </c>
      <c r="O182" s="140"/>
    </row>
    <row r="183" spans="1:15" ht="15.6" customHeight="1">
      <c r="A183" s="76">
        <f>'BC.114+320'!B182</f>
        <v>45212</v>
      </c>
      <c r="B183" s="140">
        <f t="shared" si="11"/>
        <v>169</v>
      </c>
      <c r="C183" s="142">
        <f>'BC.114+320'!M182/1000</f>
        <v>0.67700000000000005</v>
      </c>
      <c r="D183" s="142">
        <f>'BC.114+320'!AA182</f>
        <v>0.89900000000000002</v>
      </c>
      <c r="E183" s="143">
        <f>'BC.114+320'!AB182</f>
        <v>0.73399999999999999</v>
      </c>
      <c r="F183" s="142">
        <f>VLOOKUP($A183,'BC.114+320'!$B$13:$X$489,8,0)/1000</f>
        <v>1.714</v>
      </c>
      <c r="G183" s="142">
        <f>VLOOKUP($A183,'BC.114+320'!$B$13:$X$489,9,0)/1000</f>
        <v>-0.28599999999999998</v>
      </c>
      <c r="H183" s="142">
        <f>VLOOKUP($A183,'BC.114+320'!$B$13:$X$489,14,0)/1000</f>
        <v>1.6970000000000001</v>
      </c>
      <c r="I183" s="142">
        <f>VLOOKUP($A183,'BC.114+320'!$B$13:$X$489,15,0)/1000</f>
        <v>-0.30299999999999999</v>
      </c>
      <c r="J183" s="142">
        <f>VLOOKUP($A183,'BC.114+320'!$B$13:$X$489,20,0)/1000</f>
        <v>1.7689999999999999</v>
      </c>
      <c r="K183" s="142">
        <f>VLOOKUP($A183,'BC.114+320'!$B$13:$X$489,21,0)/1000</f>
        <v>-0.23100000000000001</v>
      </c>
      <c r="L183" s="140">
        <f t="shared" si="8"/>
        <v>-105.99999999999999</v>
      </c>
      <c r="M183" s="141">
        <f t="shared" si="9"/>
        <v>-123</v>
      </c>
      <c r="N183" s="140">
        <f t="shared" si="10"/>
        <v>-111.00000000000001</v>
      </c>
      <c r="O183" s="140"/>
    </row>
    <row r="184" spans="1:15" ht="15.6" customHeight="1">
      <c r="A184" s="76">
        <f>'BC.114+320'!B183</f>
        <v>45213</v>
      </c>
      <c r="B184" s="140">
        <f t="shared" si="11"/>
        <v>170</v>
      </c>
      <c r="C184" s="142">
        <f>'BC.114+320'!M183/1000</f>
        <v>0.67700000000000005</v>
      </c>
      <c r="D184" s="142">
        <f>'BC.114+320'!AA183</f>
        <v>0.89900000000000002</v>
      </c>
      <c r="E184" s="143">
        <f>'BC.114+320'!AB183</f>
        <v>0.73399999999999999</v>
      </c>
      <c r="F184" s="142">
        <f>VLOOKUP($A184,'BC.114+320'!$B$13:$X$489,8,0)/1000</f>
        <v>1.714</v>
      </c>
      <c r="G184" s="142">
        <f>VLOOKUP($A184,'BC.114+320'!$B$13:$X$489,9,0)/1000</f>
        <v>-0.28599999999999998</v>
      </c>
      <c r="H184" s="142">
        <f>VLOOKUP($A184,'BC.114+320'!$B$13:$X$489,14,0)/1000</f>
        <v>1.6970000000000001</v>
      </c>
      <c r="I184" s="142">
        <f>VLOOKUP($A184,'BC.114+320'!$B$13:$X$489,15,0)/1000</f>
        <v>-0.30299999999999999</v>
      </c>
      <c r="J184" s="142">
        <f>VLOOKUP($A184,'BC.114+320'!$B$13:$X$489,20,0)/1000</f>
        <v>1.7689999999999999</v>
      </c>
      <c r="K184" s="142">
        <f>VLOOKUP($A184,'BC.114+320'!$B$13:$X$489,21,0)/1000</f>
        <v>-0.23100000000000001</v>
      </c>
      <c r="L184" s="140">
        <f t="shared" si="8"/>
        <v>-105.99999999999999</v>
      </c>
      <c r="M184" s="141">
        <f t="shared" si="9"/>
        <v>-123</v>
      </c>
      <c r="N184" s="140">
        <f t="shared" si="10"/>
        <v>-111.00000000000001</v>
      </c>
      <c r="O184" s="140"/>
    </row>
    <row r="185" spans="1:15" ht="15.6" customHeight="1">
      <c r="A185" s="76">
        <f>'BC.114+320'!B184</f>
        <v>45214</v>
      </c>
      <c r="B185" s="140">
        <f t="shared" si="11"/>
        <v>171</v>
      </c>
      <c r="C185" s="142">
        <f>'BC.114+320'!M184/1000</f>
        <v>0.67700000000000005</v>
      </c>
      <c r="D185" s="142">
        <f>'BC.114+320'!AA184</f>
        <v>0.89900000000000002</v>
      </c>
      <c r="E185" s="143">
        <f>'BC.114+320'!AB184</f>
        <v>0.73399999999999999</v>
      </c>
      <c r="F185" s="142">
        <f>VLOOKUP($A185,'BC.114+320'!$B$13:$X$489,8,0)/1000</f>
        <v>1.714</v>
      </c>
      <c r="G185" s="142">
        <f>VLOOKUP($A185,'BC.114+320'!$B$13:$X$489,9,0)/1000</f>
        <v>-0.28599999999999998</v>
      </c>
      <c r="H185" s="142">
        <f>VLOOKUP($A185,'BC.114+320'!$B$13:$X$489,14,0)/1000</f>
        <v>1.6970000000000001</v>
      </c>
      <c r="I185" s="142">
        <f>VLOOKUP($A185,'BC.114+320'!$B$13:$X$489,15,0)/1000</f>
        <v>-0.30299999999999999</v>
      </c>
      <c r="J185" s="142">
        <f>VLOOKUP($A185,'BC.114+320'!$B$13:$X$489,20,0)/1000</f>
        <v>1.7689999999999999</v>
      </c>
      <c r="K185" s="142">
        <f>VLOOKUP($A185,'BC.114+320'!$B$13:$X$489,21,0)/1000</f>
        <v>-0.23100000000000001</v>
      </c>
      <c r="L185" s="140">
        <f t="shared" si="8"/>
        <v>-105.99999999999999</v>
      </c>
      <c r="M185" s="141">
        <f t="shared" si="9"/>
        <v>-123</v>
      </c>
      <c r="N185" s="140">
        <f t="shared" si="10"/>
        <v>-111.00000000000001</v>
      </c>
      <c r="O185" s="140"/>
    </row>
    <row r="186" spans="1:15" ht="15.6" customHeight="1">
      <c r="A186" s="76">
        <f>'BC.114+320'!B185</f>
        <v>45215</v>
      </c>
      <c r="B186" s="140">
        <f t="shared" si="11"/>
        <v>172</v>
      </c>
      <c r="C186" s="142">
        <f>'BC.114+320'!M185/1000</f>
        <v>0.67700000000000005</v>
      </c>
      <c r="D186" s="142">
        <f>'BC.114+320'!AA185</f>
        <v>0.89900000000000002</v>
      </c>
      <c r="E186" s="143">
        <f>'BC.114+320'!AB185</f>
        <v>0.73399999999999999</v>
      </c>
      <c r="F186" s="142">
        <f>VLOOKUP($A186,'BC.114+320'!$B$13:$X$489,8,0)/1000</f>
        <v>1.714</v>
      </c>
      <c r="G186" s="142">
        <f>VLOOKUP($A186,'BC.114+320'!$B$13:$X$489,9,0)/1000</f>
        <v>-0.28599999999999998</v>
      </c>
      <c r="H186" s="142">
        <f>VLOOKUP($A186,'BC.114+320'!$B$13:$X$489,14,0)/1000</f>
        <v>1.6970000000000001</v>
      </c>
      <c r="I186" s="142">
        <f>VLOOKUP($A186,'BC.114+320'!$B$13:$X$489,15,0)/1000</f>
        <v>-0.30299999999999999</v>
      </c>
      <c r="J186" s="142">
        <f>VLOOKUP($A186,'BC.114+320'!$B$13:$X$489,20,0)/1000</f>
        <v>1.7689999999999999</v>
      </c>
      <c r="K186" s="142">
        <f>VLOOKUP($A186,'BC.114+320'!$B$13:$X$489,21,0)/1000</f>
        <v>-0.23100000000000001</v>
      </c>
      <c r="L186" s="140">
        <f t="shared" si="8"/>
        <v>-105.99999999999999</v>
      </c>
      <c r="M186" s="141">
        <f t="shared" si="9"/>
        <v>-123</v>
      </c>
      <c r="N186" s="140">
        <f t="shared" si="10"/>
        <v>-111.00000000000001</v>
      </c>
      <c r="O186" s="140"/>
    </row>
    <row r="187" spans="1:15" ht="15.6" customHeight="1">
      <c r="A187" s="76">
        <f>'BC.114+320'!B186</f>
        <v>45216</v>
      </c>
      <c r="B187" s="140">
        <f t="shared" si="11"/>
        <v>173</v>
      </c>
      <c r="C187" s="142">
        <f>'BC.114+320'!M186/1000</f>
        <v>0.67700000000000005</v>
      </c>
      <c r="D187" s="142">
        <f>'BC.114+320'!AA186</f>
        <v>0.89900000000000002</v>
      </c>
      <c r="E187" s="143">
        <f>'BC.114+320'!AB186</f>
        <v>0.73399999999999999</v>
      </c>
      <c r="F187" s="142">
        <f>VLOOKUP($A187,'BC.114+320'!$B$13:$X$489,8,0)/1000</f>
        <v>1.714</v>
      </c>
      <c r="G187" s="142">
        <f>VLOOKUP($A187,'BC.114+320'!$B$13:$X$489,9,0)/1000</f>
        <v>-0.28599999999999998</v>
      </c>
      <c r="H187" s="142">
        <f>VLOOKUP($A187,'BC.114+320'!$B$13:$X$489,14,0)/1000</f>
        <v>1.6970000000000001</v>
      </c>
      <c r="I187" s="142">
        <f>VLOOKUP($A187,'BC.114+320'!$B$13:$X$489,15,0)/1000</f>
        <v>-0.30299999999999999</v>
      </c>
      <c r="J187" s="142">
        <f>VLOOKUP($A187,'BC.114+320'!$B$13:$X$489,20,0)/1000</f>
        <v>1.7689999999999999</v>
      </c>
      <c r="K187" s="142">
        <f>VLOOKUP($A187,'BC.114+320'!$B$13:$X$489,21,0)/1000</f>
        <v>-0.23100000000000001</v>
      </c>
      <c r="L187" s="140">
        <f t="shared" si="8"/>
        <v>-105.99999999999999</v>
      </c>
      <c r="M187" s="141">
        <f t="shared" si="9"/>
        <v>-123</v>
      </c>
      <c r="N187" s="140">
        <f t="shared" si="10"/>
        <v>-111.00000000000001</v>
      </c>
      <c r="O187" s="140"/>
    </row>
    <row r="188" spans="1:15" ht="15.6" customHeight="1">
      <c r="A188" s="76">
        <f>'BC.114+320'!B187</f>
        <v>45217</v>
      </c>
      <c r="B188" s="140">
        <f t="shared" si="11"/>
        <v>174</v>
      </c>
      <c r="C188" s="142">
        <f>'BC.114+320'!M187/1000</f>
        <v>0.67700000000000005</v>
      </c>
      <c r="D188" s="142">
        <f>'BC.114+320'!AA187</f>
        <v>0.89900000000000002</v>
      </c>
      <c r="E188" s="143">
        <f>'BC.114+320'!AB187</f>
        <v>0.73399999999999999</v>
      </c>
      <c r="F188" s="142">
        <f>VLOOKUP($A188,'BC.114+320'!$B$13:$X$489,8,0)/1000</f>
        <v>1.714</v>
      </c>
      <c r="G188" s="142">
        <f>VLOOKUP($A188,'BC.114+320'!$B$13:$X$489,9,0)/1000</f>
        <v>-0.28599999999999998</v>
      </c>
      <c r="H188" s="142">
        <f>VLOOKUP($A188,'BC.114+320'!$B$13:$X$489,14,0)/1000</f>
        <v>1.6970000000000001</v>
      </c>
      <c r="I188" s="142">
        <f>VLOOKUP($A188,'BC.114+320'!$B$13:$X$489,15,0)/1000</f>
        <v>-0.30299999999999999</v>
      </c>
      <c r="J188" s="142">
        <f>VLOOKUP($A188,'BC.114+320'!$B$13:$X$489,20,0)/1000</f>
        <v>1.7689999999999999</v>
      </c>
      <c r="K188" s="142">
        <f>VLOOKUP($A188,'BC.114+320'!$B$13:$X$489,21,0)/1000</f>
        <v>-0.23100000000000001</v>
      </c>
      <c r="L188" s="140">
        <f t="shared" si="8"/>
        <v>-105.99999999999999</v>
      </c>
      <c r="M188" s="141">
        <f t="shared" si="9"/>
        <v>-123</v>
      </c>
      <c r="N188" s="140">
        <f t="shared" si="10"/>
        <v>-111.00000000000001</v>
      </c>
      <c r="O188" s="140"/>
    </row>
    <row r="189" spans="1:15" ht="15.6" customHeight="1">
      <c r="A189" s="76">
        <f>'BC.114+320'!B188</f>
        <v>45218</v>
      </c>
      <c r="B189" s="140">
        <f t="shared" si="11"/>
        <v>175</v>
      </c>
      <c r="C189" s="142">
        <f>'BC.114+320'!M188/1000</f>
        <v>0.67700000000000005</v>
      </c>
      <c r="D189" s="142">
        <f>'BC.114+320'!AA188</f>
        <v>0.89900000000000002</v>
      </c>
      <c r="E189" s="143">
        <f>'BC.114+320'!AB188</f>
        <v>0.73399999999999999</v>
      </c>
      <c r="F189" s="142">
        <f>VLOOKUP($A189,'BC.114+320'!$B$13:$X$489,8,0)/1000</f>
        <v>1.714</v>
      </c>
      <c r="G189" s="142">
        <f>VLOOKUP($A189,'BC.114+320'!$B$13:$X$489,9,0)/1000</f>
        <v>-0.28599999999999998</v>
      </c>
      <c r="H189" s="142">
        <f>VLOOKUP($A189,'BC.114+320'!$B$13:$X$489,14,0)/1000</f>
        <v>1.6970000000000001</v>
      </c>
      <c r="I189" s="142">
        <f>VLOOKUP($A189,'BC.114+320'!$B$13:$X$489,15,0)/1000</f>
        <v>-0.30299999999999999</v>
      </c>
      <c r="J189" s="142">
        <f>VLOOKUP($A189,'BC.114+320'!$B$13:$X$489,20,0)/1000</f>
        <v>1.7689999999999999</v>
      </c>
      <c r="K189" s="142">
        <f>VLOOKUP($A189,'BC.114+320'!$B$13:$X$489,21,0)/1000</f>
        <v>-0.23100000000000001</v>
      </c>
      <c r="L189" s="140">
        <f t="shared" si="8"/>
        <v>-105.99999999999999</v>
      </c>
      <c r="M189" s="141">
        <f t="shared" si="9"/>
        <v>-123</v>
      </c>
      <c r="N189" s="140">
        <f t="shared" si="10"/>
        <v>-111.00000000000001</v>
      </c>
      <c r="O189" s="140"/>
    </row>
    <row r="190" spans="1:15" ht="15.6" customHeight="1">
      <c r="A190" s="76">
        <f>'BC.114+320'!B189</f>
        <v>45219</v>
      </c>
      <c r="B190" s="140">
        <f t="shared" si="11"/>
        <v>176</v>
      </c>
      <c r="C190" s="142">
        <f>'BC.114+320'!M189/1000</f>
        <v>0.67700000000000005</v>
      </c>
      <c r="D190" s="142">
        <f>'BC.114+320'!AA189</f>
        <v>0.89900000000000002</v>
      </c>
      <c r="E190" s="143">
        <f>'BC.114+320'!AB189</f>
        <v>0.73399999999999999</v>
      </c>
      <c r="F190" s="142">
        <f>VLOOKUP($A190,'BC.114+320'!$B$13:$X$489,8,0)/1000</f>
        <v>1.714</v>
      </c>
      <c r="G190" s="142">
        <f>VLOOKUP($A190,'BC.114+320'!$B$13:$X$489,9,0)/1000</f>
        <v>-0.28599999999999998</v>
      </c>
      <c r="H190" s="142">
        <f>VLOOKUP($A190,'BC.114+320'!$B$13:$X$489,14,0)/1000</f>
        <v>1.6970000000000001</v>
      </c>
      <c r="I190" s="142">
        <f>VLOOKUP($A190,'BC.114+320'!$B$13:$X$489,15,0)/1000</f>
        <v>-0.30299999999999999</v>
      </c>
      <c r="J190" s="142">
        <f>VLOOKUP($A190,'BC.114+320'!$B$13:$X$489,20,0)/1000</f>
        <v>1.7689999999999999</v>
      </c>
      <c r="K190" s="142">
        <f>VLOOKUP($A190,'BC.114+320'!$B$13:$X$489,21,0)/1000</f>
        <v>-0.23100000000000001</v>
      </c>
      <c r="L190" s="140">
        <f t="shared" si="8"/>
        <v>-105.99999999999999</v>
      </c>
      <c r="M190" s="141">
        <f t="shared" si="9"/>
        <v>-123</v>
      </c>
      <c r="N190" s="140">
        <f t="shared" si="10"/>
        <v>-111.00000000000001</v>
      </c>
      <c r="O190" s="140"/>
    </row>
    <row r="191" spans="1:15" ht="15.6" customHeight="1">
      <c r="A191" s="76">
        <f>'BC.114+320'!B190</f>
        <v>45220</v>
      </c>
      <c r="B191" s="140">
        <f t="shared" si="11"/>
        <v>177</v>
      </c>
      <c r="C191" s="142">
        <f>'BC.114+320'!M190/1000</f>
        <v>0.67700000000000005</v>
      </c>
      <c r="D191" s="142">
        <f>'BC.114+320'!AA190</f>
        <v>0.89900000000000002</v>
      </c>
      <c r="E191" s="143">
        <f>'BC.114+320'!AB190</f>
        <v>0.73399999999999999</v>
      </c>
      <c r="F191" s="142">
        <f>VLOOKUP($A191,'BC.114+320'!$B$13:$X$489,8,0)/1000</f>
        <v>1.714</v>
      </c>
      <c r="G191" s="142">
        <f>VLOOKUP($A191,'BC.114+320'!$B$13:$X$489,9,0)/1000</f>
        <v>-0.28599999999999998</v>
      </c>
      <c r="H191" s="142">
        <f>VLOOKUP($A191,'BC.114+320'!$B$13:$X$489,14,0)/1000</f>
        <v>1.6970000000000001</v>
      </c>
      <c r="I191" s="142">
        <f>VLOOKUP($A191,'BC.114+320'!$B$13:$X$489,15,0)/1000</f>
        <v>-0.30299999999999999</v>
      </c>
      <c r="J191" s="142">
        <f>VLOOKUP($A191,'BC.114+320'!$B$13:$X$489,20,0)/1000</f>
        <v>1.7689999999999999</v>
      </c>
      <c r="K191" s="142">
        <f>VLOOKUP($A191,'BC.114+320'!$B$13:$X$489,21,0)/1000</f>
        <v>-0.23100000000000001</v>
      </c>
      <c r="L191" s="140">
        <f t="shared" si="8"/>
        <v>-105.99999999999999</v>
      </c>
      <c r="M191" s="141">
        <f t="shared" si="9"/>
        <v>-123</v>
      </c>
      <c r="N191" s="140">
        <f t="shared" si="10"/>
        <v>-111.00000000000001</v>
      </c>
      <c r="O191" s="140"/>
    </row>
    <row r="192" spans="1:15" ht="15.6" customHeight="1">
      <c r="A192" s="76">
        <f>'BC.114+320'!B191</f>
        <v>45221</v>
      </c>
      <c r="B192" s="140">
        <f t="shared" si="11"/>
        <v>178</v>
      </c>
      <c r="C192" s="142">
        <f>'BC.114+320'!M191/1000</f>
        <v>0.67700000000000005</v>
      </c>
      <c r="D192" s="142">
        <f>'BC.114+320'!AA191</f>
        <v>0.89900000000000002</v>
      </c>
      <c r="E192" s="143">
        <f>'BC.114+320'!AB191</f>
        <v>0.73399999999999999</v>
      </c>
      <c r="F192" s="142">
        <f>VLOOKUP($A192,'BC.114+320'!$B$13:$X$489,8,0)/1000</f>
        <v>1.714</v>
      </c>
      <c r="G192" s="142">
        <f>VLOOKUP($A192,'BC.114+320'!$B$13:$X$489,9,0)/1000</f>
        <v>-0.28599999999999998</v>
      </c>
      <c r="H192" s="142">
        <f>VLOOKUP($A192,'BC.114+320'!$B$13:$X$489,14,0)/1000</f>
        <v>1.6970000000000001</v>
      </c>
      <c r="I192" s="142">
        <f>VLOOKUP($A192,'BC.114+320'!$B$13:$X$489,15,0)/1000</f>
        <v>-0.30299999999999999</v>
      </c>
      <c r="J192" s="142">
        <f>VLOOKUP($A192,'BC.114+320'!$B$13:$X$489,20,0)/1000</f>
        <v>1.7689999999999999</v>
      </c>
      <c r="K192" s="142">
        <f>VLOOKUP($A192,'BC.114+320'!$B$13:$X$489,21,0)/1000</f>
        <v>-0.23100000000000001</v>
      </c>
      <c r="L192" s="140">
        <f t="shared" si="8"/>
        <v>-105.99999999999999</v>
      </c>
      <c r="M192" s="141">
        <f t="shared" si="9"/>
        <v>-123</v>
      </c>
      <c r="N192" s="140">
        <f t="shared" si="10"/>
        <v>-111.00000000000001</v>
      </c>
      <c r="O192" s="140"/>
    </row>
    <row r="193" spans="1:15" ht="15.6" customHeight="1">
      <c r="A193" s="76">
        <f>'BC.114+320'!B192</f>
        <v>45222</v>
      </c>
      <c r="B193" s="140">
        <f t="shared" si="11"/>
        <v>179</v>
      </c>
      <c r="C193" s="142">
        <f>'BC.114+320'!M192/1000</f>
        <v>0.67700000000000005</v>
      </c>
      <c r="D193" s="142">
        <f>'BC.114+320'!AA192</f>
        <v>0.89900000000000002</v>
      </c>
      <c r="E193" s="143">
        <f>'BC.114+320'!AB192</f>
        <v>0.73399999999999999</v>
      </c>
      <c r="F193" s="142">
        <f>VLOOKUP($A193,'BC.114+320'!$B$13:$X$489,8,0)/1000</f>
        <v>1.714</v>
      </c>
      <c r="G193" s="142">
        <f>VLOOKUP($A193,'BC.114+320'!$B$13:$X$489,9,0)/1000</f>
        <v>-0.28599999999999998</v>
      </c>
      <c r="H193" s="142">
        <f>VLOOKUP($A193,'BC.114+320'!$B$13:$X$489,14,0)/1000</f>
        <v>1.6970000000000001</v>
      </c>
      <c r="I193" s="142">
        <f>VLOOKUP($A193,'BC.114+320'!$B$13:$X$489,15,0)/1000</f>
        <v>-0.30299999999999999</v>
      </c>
      <c r="J193" s="142">
        <f>VLOOKUP($A193,'BC.114+320'!$B$13:$X$489,20,0)/1000</f>
        <v>1.7689999999999999</v>
      </c>
      <c r="K193" s="142">
        <f>VLOOKUP($A193,'BC.114+320'!$B$13:$X$489,21,0)/1000</f>
        <v>-0.23100000000000001</v>
      </c>
      <c r="L193" s="140">
        <f t="shared" si="8"/>
        <v>-105.99999999999999</v>
      </c>
      <c r="M193" s="141">
        <f t="shared" si="9"/>
        <v>-123</v>
      </c>
      <c r="N193" s="140">
        <f t="shared" si="10"/>
        <v>-111.00000000000001</v>
      </c>
      <c r="O193" s="140"/>
    </row>
    <row r="194" spans="1:15" ht="15.6" customHeight="1">
      <c r="A194" s="76">
        <f>'BC.114+320'!B193</f>
        <v>45223</v>
      </c>
      <c r="B194" s="140">
        <f t="shared" si="11"/>
        <v>180</v>
      </c>
      <c r="C194" s="142">
        <f>'BC.114+320'!M193/1000</f>
        <v>0.67700000000000005</v>
      </c>
      <c r="D194" s="142">
        <f>'BC.114+320'!AA193</f>
        <v>0.89900000000000002</v>
      </c>
      <c r="E194" s="143">
        <f>'BC.114+320'!AB193</f>
        <v>0.73399999999999999</v>
      </c>
      <c r="F194" s="142">
        <f>VLOOKUP($A194,'BC.114+320'!$B$13:$X$489,8,0)/1000</f>
        <v>1.714</v>
      </c>
      <c r="G194" s="142">
        <f>VLOOKUP($A194,'BC.114+320'!$B$13:$X$489,9,0)/1000</f>
        <v>-0.28599999999999998</v>
      </c>
      <c r="H194" s="142">
        <f>VLOOKUP($A194,'BC.114+320'!$B$13:$X$489,14,0)/1000</f>
        <v>1.6970000000000001</v>
      </c>
      <c r="I194" s="142">
        <f>VLOOKUP($A194,'BC.114+320'!$B$13:$X$489,15,0)/1000</f>
        <v>-0.30299999999999999</v>
      </c>
      <c r="J194" s="142">
        <f>VLOOKUP($A194,'BC.114+320'!$B$13:$X$489,20,0)/1000</f>
        <v>1.7689999999999999</v>
      </c>
      <c r="K194" s="142">
        <f>VLOOKUP($A194,'BC.114+320'!$B$13:$X$489,21,0)/1000</f>
        <v>-0.23100000000000001</v>
      </c>
      <c r="L194" s="140">
        <f t="shared" si="8"/>
        <v>-105.99999999999999</v>
      </c>
      <c r="M194" s="141">
        <f t="shared" si="9"/>
        <v>-123</v>
      </c>
      <c r="N194" s="140">
        <f t="shared" si="10"/>
        <v>-111.00000000000001</v>
      </c>
      <c r="O194" s="140"/>
    </row>
    <row r="195" spans="1:15" ht="15.6" customHeight="1">
      <c r="A195" s="76">
        <f>'BC.114+320'!B194</f>
        <v>45224</v>
      </c>
      <c r="B195" s="140">
        <f t="shared" si="11"/>
        <v>181</v>
      </c>
      <c r="C195" s="142">
        <f>'BC.114+320'!M194/1000</f>
        <v>0.67700000000000005</v>
      </c>
      <c r="D195" s="142">
        <f>'BC.114+320'!AA194</f>
        <v>0.89900000000000002</v>
      </c>
      <c r="E195" s="143">
        <f>'BC.114+320'!AB194</f>
        <v>0.73399999999999999</v>
      </c>
      <c r="F195" s="142">
        <f>VLOOKUP($A195,'BC.114+320'!$B$13:$X$489,8,0)/1000</f>
        <v>1.714</v>
      </c>
      <c r="G195" s="142">
        <f>VLOOKUP($A195,'BC.114+320'!$B$13:$X$489,9,0)/1000</f>
        <v>-0.28599999999999998</v>
      </c>
      <c r="H195" s="142">
        <f>VLOOKUP($A195,'BC.114+320'!$B$13:$X$489,14,0)/1000</f>
        <v>1.6970000000000001</v>
      </c>
      <c r="I195" s="142">
        <f>VLOOKUP($A195,'BC.114+320'!$B$13:$X$489,15,0)/1000</f>
        <v>-0.30299999999999999</v>
      </c>
      <c r="J195" s="142">
        <f>VLOOKUP($A195,'BC.114+320'!$B$13:$X$489,20,0)/1000</f>
        <v>1.7689999999999999</v>
      </c>
      <c r="K195" s="142">
        <f>VLOOKUP($A195,'BC.114+320'!$B$13:$X$489,21,0)/1000</f>
        <v>-0.23100000000000001</v>
      </c>
      <c r="L195" s="140">
        <f t="shared" si="8"/>
        <v>-105.99999999999999</v>
      </c>
      <c r="M195" s="141">
        <f t="shared" si="9"/>
        <v>-123</v>
      </c>
      <c r="N195" s="140">
        <f t="shared" si="10"/>
        <v>-111.00000000000001</v>
      </c>
      <c r="O195" s="140"/>
    </row>
    <row r="196" spans="1:15" ht="15.6" customHeight="1">
      <c r="A196" s="76">
        <f>'BC.114+320'!B195</f>
        <v>45225</v>
      </c>
      <c r="B196" s="140">
        <f t="shared" si="11"/>
        <v>182</v>
      </c>
      <c r="C196" s="142">
        <f>'BC.114+320'!M195/1000</f>
        <v>0.67700000000000005</v>
      </c>
      <c r="D196" s="142">
        <f>'BC.114+320'!AA195</f>
        <v>0.89900000000000002</v>
      </c>
      <c r="E196" s="143">
        <f>'BC.114+320'!AB195</f>
        <v>0.73399999999999999</v>
      </c>
      <c r="F196" s="142">
        <f>VLOOKUP($A196,'BC.114+320'!$B$13:$X$489,8,0)/1000</f>
        <v>1.714</v>
      </c>
      <c r="G196" s="142">
        <f>VLOOKUP($A196,'BC.114+320'!$B$13:$X$489,9,0)/1000</f>
        <v>-0.28599999999999998</v>
      </c>
      <c r="H196" s="142">
        <f>VLOOKUP($A196,'BC.114+320'!$B$13:$X$489,14,0)/1000</f>
        <v>1.6970000000000001</v>
      </c>
      <c r="I196" s="142">
        <f>VLOOKUP($A196,'BC.114+320'!$B$13:$X$489,15,0)/1000</f>
        <v>-0.30299999999999999</v>
      </c>
      <c r="J196" s="142">
        <f>VLOOKUP($A196,'BC.114+320'!$B$13:$X$489,20,0)/1000</f>
        <v>1.7689999999999999</v>
      </c>
      <c r="K196" s="142">
        <f>VLOOKUP($A196,'BC.114+320'!$B$13:$X$489,21,0)/1000</f>
        <v>-0.23100000000000001</v>
      </c>
      <c r="L196" s="140">
        <f t="shared" si="8"/>
        <v>-105.99999999999999</v>
      </c>
      <c r="M196" s="141">
        <f t="shared" si="9"/>
        <v>-123</v>
      </c>
      <c r="N196" s="140">
        <f t="shared" si="10"/>
        <v>-111.00000000000001</v>
      </c>
      <c r="O196" s="140"/>
    </row>
    <row r="197" spans="1:15" ht="15.6" customHeight="1">
      <c r="A197" s="76">
        <f>'BC.114+320'!B196</f>
        <v>45226</v>
      </c>
      <c r="B197" s="140">
        <f t="shared" si="11"/>
        <v>183</v>
      </c>
      <c r="C197" s="142">
        <f>'BC.114+320'!M196/1000</f>
        <v>0.67700000000000005</v>
      </c>
      <c r="D197" s="142">
        <f>'BC.114+320'!AA196</f>
        <v>0.89900000000000002</v>
      </c>
      <c r="E197" s="143">
        <f>'BC.114+320'!AB196</f>
        <v>0.73399999999999999</v>
      </c>
      <c r="F197" s="142">
        <f>VLOOKUP($A197,'BC.114+320'!$B$13:$X$489,8,0)/1000</f>
        <v>1.714</v>
      </c>
      <c r="G197" s="142">
        <f>VLOOKUP($A197,'BC.114+320'!$B$13:$X$489,9,0)/1000</f>
        <v>-0.28599999999999998</v>
      </c>
      <c r="H197" s="142">
        <f>VLOOKUP($A197,'BC.114+320'!$B$13:$X$489,14,0)/1000</f>
        <v>1.6970000000000001</v>
      </c>
      <c r="I197" s="142">
        <f>VLOOKUP($A197,'BC.114+320'!$B$13:$X$489,15,0)/1000</f>
        <v>-0.30299999999999999</v>
      </c>
      <c r="J197" s="142">
        <f>VLOOKUP($A197,'BC.114+320'!$B$13:$X$489,20,0)/1000</f>
        <v>1.7689999999999999</v>
      </c>
      <c r="K197" s="142">
        <f>VLOOKUP($A197,'BC.114+320'!$B$13:$X$489,21,0)/1000</f>
        <v>-0.23100000000000001</v>
      </c>
      <c r="L197" s="140">
        <f t="shared" si="8"/>
        <v>-105.99999999999999</v>
      </c>
      <c r="M197" s="141">
        <f t="shared" si="9"/>
        <v>-123</v>
      </c>
      <c r="N197" s="140">
        <f t="shared" si="10"/>
        <v>-111.00000000000001</v>
      </c>
      <c r="O197" s="140"/>
    </row>
    <row r="198" spans="1:15" ht="15.6" customHeight="1">
      <c r="A198" s="76">
        <f>'BC.114+320'!B197</f>
        <v>45227</v>
      </c>
      <c r="B198" s="140">
        <f t="shared" si="11"/>
        <v>184</v>
      </c>
      <c r="C198" s="142">
        <f>'BC.114+320'!M197/1000</f>
        <v>0.67700000000000005</v>
      </c>
      <c r="D198" s="142">
        <f>'BC.114+320'!AA197</f>
        <v>0.89900000000000002</v>
      </c>
      <c r="E198" s="143">
        <f>'BC.114+320'!AB197</f>
        <v>0.73399999999999999</v>
      </c>
      <c r="F198" s="142">
        <f>VLOOKUP($A198,'BC.114+320'!$B$13:$X$489,8,0)/1000</f>
        <v>1.714</v>
      </c>
      <c r="G198" s="142">
        <f>VLOOKUP($A198,'BC.114+320'!$B$13:$X$489,9,0)/1000</f>
        <v>-0.28599999999999998</v>
      </c>
      <c r="H198" s="142">
        <f>VLOOKUP($A198,'BC.114+320'!$B$13:$X$489,14,0)/1000</f>
        <v>1.6970000000000001</v>
      </c>
      <c r="I198" s="142">
        <f>VLOOKUP($A198,'BC.114+320'!$B$13:$X$489,15,0)/1000</f>
        <v>-0.30299999999999999</v>
      </c>
      <c r="J198" s="142">
        <f>VLOOKUP($A198,'BC.114+320'!$B$13:$X$489,20,0)/1000</f>
        <v>1.7689999999999999</v>
      </c>
      <c r="K198" s="142">
        <f>VLOOKUP($A198,'BC.114+320'!$B$13:$X$489,21,0)/1000</f>
        <v>-0.23100000000000001</v>
      </c>
      <c r="L198" s="140">
        <f t="shared" si="8"/>
        <v>-105.99999999999999</v>
      </c>
      <c r="M198" s="141">
        <f t="shared" si="9"/>
        <v>-123</v>
      </c>
      <c r="N198" s="140">
        <f t="shared" si="10"/>
        <v>-111.00000000000001</v>
      </c>
      <c r="O198" s="140"/>
    </row>
    <row r="199" spans="1:15" ht="15.6" customHeight="1">
      <c r="A199" s="76">
        <f>'BC.114+320'!B198</f>
        <v>45228</v>
      </c>
      <c r="B199" s="140">
        <f t="shared" si="11"/>
        <v>185</v>
      </c>
      <c r="C199" s="142">
        <f>'BC.114+320'!M198/1000</f>
        <v>0.67700000000000005</v>
      </c>
      <c r="D199" s="142">
        <f>'BC.114+320'!AA198</f>
        <v>0.89900000000000002</v>
      </c>
      <c r="E199" s="143">
        <f>'BC.114+320'!AB198</f>
        <v>0.73399999999999999</v>
      </c>
      <c r="F199" s="142">
        <f>VLOOKUP($A199,'BC.114+320'!$B$13:$X$489,8,0)/1000</f>
        <v>1.714</v>
      </c>
      <c r="G199" s="142">
        <f>VLOOKUP($A199,'BC.114+320'!$B$13:$X$489,9,0)/1000</f>
        <v>-0.28599999999999998</v>
      </c>
      <c r="H199" s="142">
        <f>VLOOKUP($A199,'BC.114+320'!$B$13:$X$489,14,0)/1000</f>
        <v>1.6970000000000001</v>
      </c>
      <c r="I199" s="142">
        <f>VLOOKUP($A199,'BC.114+320'!$B$13:$X$489,15,0)/1000</f>
        <v>-0.30299999999999999</v>
      </c>
      <c r="J199" s="142">
        <f>VLOOKUP($A199,'BC.114+320'!$B$13:$X$489,20,0)/1000</f>
        <v>1.7689999999999999</v>
      </c>
      <c r="K199" s="142">
        <f>VLOOKUP($A199,'BC.114+320'!$B$13:$X$489,21,0)/1000</f>
        <v>-0.23100000000000001</v>
      </c>
      <c r="L199" s="140">
        <f t="shared" si="8"/>
        <v>-105.99999999999999</v>
      </c>
      <c r="M199" s="141">
        <f t="shared" si="9"/>
        <v>-123</v>
      </c>
      <c r="N199" s="140">
        <f t="shared" si="10"/>
        <v>-111.00000000000001</v>
      </c>
      <c r="O199" s="140"/>
    </row>
    <row r="200" spans="1:15" ht="15.6" customHeight="1">
      <c r="A200" s="76">
        <f>'BC.114+320'!B199</f>
        <v>45229</v>
      </c>
      <c r="B200" s="140">
        <f t="shared" si="11"/>
        <v>186</v>
      </c>
      <c r="C200" s="142">
        <f>'BC.114+320'!M199/1000</f>
        <v>0.67700000000000005</v>
      </c>
      <c r="D200" s="142">
        <f>'BC.114+320'!AA199</f>
        <v>0.89900000000000002</v>
      </c>
      <c r="E200" s="143">
        <f>'BC.114+320'!AB199</f>
        <v>0.73399999999999999</v>
      </c>
      <c r="F200" s="142">
        <f>VLOOKUP($A200,'BC.114+320'!$B$13:$X$489,8,0)/1000</f>
        <v>1.714</v>
      </c>
      <c r="G200" s="142">
        <f>VLOOKUP($A200,'BC.114+320'!$B$13:$X$489,9,0)/1000</f>
        <v>-0.28599999999999998</v>
      </c>
      <c r="H200" s="142">
        <f>VLOOKUP($A200,'BC.114+320'!$B$13:$X$489,14,0)/1000</f>
        <v>1.6970000000000001</v>
      </c>
      <c r="I200" s="142">
        <f>VLOOKUP($A200,'BC.114+320'!$B$13:$X$489,15,0)/1000</f>
        <v>-0.30299999999999999</v>
      </c>
      <c r="J200" s="142">
        <f>VLOOKUP($A200,'BC.114+320'!$B$13:$X$489,20,0)/1000</f>
        <v>1.7689999999999999</v>
      </c>
      <c r="K200" s="142">
        <f>VLOOKUP($A200,'BC.114+320'!$B$13:$X$489,21,0)/1000</f>
        <v>-0.23100000000000001</v>
      </c>
      <c r="L200" s="140">
        <f t="shared" si="8"/>
        <v>-105.99999999999999</v>
      </c>
      <c r="M200" s="141">
        <f t="shared" si="9"/>
        <v>-123</v>
      </c>
      <c r="N200" s="140">
        <f t="shared" si="10"/>
        <v>-111.00000000000001</v>
      </c>
      <c r="O200" s="140"/>
    </row>
    <row r="201" spans="1:15">
      <c r="A201" s="76">
        <f>'BC.114+320'!B200</f>
        <v>45230</v>
      </c>
      <c r="B201" s="140">
        <f t="shared" si="11"/>
        <v>187</v>
      </c>
      <c r="C201" s="142">
        <f>'BC.114+320'!M200/1000</f>
        <v>0.67700000000000005</v>
      </c>
      <c r="D201" s="142">
        <f>'BC.114+320'!AA200</f>
        <v>0.89900000000000002</v>
      </c>
      <c r="E201" s="143">
        <f>'BC.114+320'!AB200</f>
        <v>0.73399999999999999</v>
      </c>
      <c r="F201" s="142">
        <f>VLOOKUP($A201,'BC.114+320'!$B$13:$X$489,8,0)/1000</f>
        <v>1.714</v>
      </c>
      <c r="G201" s="142">
        <f>VLOOKUP($A201,'BC.114+320'!$B$13:$X$489,9,0)/1000</f>
        <v>-0.28599999999999998</v>
      </c>
      <c r="H201" s="142">
        <f>VLOOKUP($A201,'BC.114+320'!$B$13:$X$489,14,0)/1000</f>
        <v>1.6970000000000001</v>
      </c>
      <c r="I201" s="142">
        <f>VLOOKUP($A201,'BC.114+320'!$B$13:$X$489,15,0)/1000</f>
        <v>-0.30299999999999999</v>
      </c>
      <c r="J201" s="142">
        <f>VLOOKUP($A201,'BC.114+320'!$B$13:$X$489,20,0)/1000</f>
        <v>1.7689999999999999</v>
      </c>
      <c r="K201" s="142">
        <f>VLOOKUP($A201,'BC.114+320'!$B$13:$X$489,21,0)/1000</f>
        <v>-0.23100000000000001</v>
      </c>
      <c r="L201" s="140">
        <f t="shared" si="8"/>
        <v>-105.99999999999999</v>
      </c>
      <c r="M201" s="141">
        <f t="shared" si="9"/>
        <v>-123</v>
      </c>
      <c r="N201" s="140">
        <f t="shared" si="10"/>
        <v>-111.00000000000001</v>
      </c>
      <c r="O201" s="140"/>
    </row>
    <row r="202" spans="1:15">
      <c r="A202" s="76">
        <f>'BC.114+320'!B201</f>
        <v>45231</v>
      </c>
      <c r="B202" s="140">
        <f t="shared" si="11"/>
        <v>188</v>
      </c>
      <c r="C202" s="142">
        <f>'BC.114+320'!M201/1000</f>
        <v>0.67700000000000005</v>
      </c>
      <c r="D202" s="142">
        <f>'BC.114+320'!AA201</f>
        <v>0.89900000000000002</v>
      </c>
      <c r="E202" s="143">
        <f>'BC.114+320'!AB201</f>
        <v>0.73399999999999999</v>
      </c>
      <c r="F202" s="142">
        <f>VLOOKUP($A202,'BC.114+320'!$B$13:$X$489,8,0)/1000</f>
        <v>1.714</v>
      </c>
      <c r="G202" s="142">
        <f>VLOOKUP($A202,'BC.114+320'!$B$13:$X$489,9,0)/1000</f>
        <v>-0.28599999999999998</v>
      </c>
      <c r="H202" s="142">
        <f>VLOOKUP($A202,'BC.114+320'!$B$13:$X$489,14,0)/1000</f>
        <v>1.6970000000000001</v>
      </c>
      <c r="I202" s="142">
        <f>VLOOKUP($A202,'BC.114+320'!$B$13:$X$489,15,0)/1000</f>
        <v>-0.30299999999999999</v>
      </c>
      <c r="J202" s="142">
        <f>VLOOKUP($A202,'BC.114+320'!$B$13:$X$489,20,0)/1000</f>
        <v>1.7689999999999999</v>
      </c>
      <c r="K202" s="142">
        <f>VLOOKUP($A202,'BC.114+320'!$B$13:$X$489,21,0)/1000</f>
        <v>-0.23100000000000001</v>
      </c>
      <c r="L202" s="140">
        <f t="shared" si="8"/>
        <v>-105.99999999999999</v>
      </c>
      <c r="M202" s="141">
        <f t="shared" si="9"/>
        <v>-123</v>
      </c>
      <c r="N202" s="140">
        <f t="shared" si="10"/>
        <v>-111.00000000000001</v>
      </c>
      <c r="O202" s="140"/>
    </row>
    <row r="203" spans="1:15">
      <c r="A203" s="76">
        <f>'BC.114+320'!B202</f>
        <v>45232</v>
      </c>
      <c r="B203" s="140">
        <f t="shared" si="11"/>
        <v>189</v>
      </c>
      <c r="C203" s="142">
        <f>'BC.114+320'!M202/1000</f>
        <v>0.67700000000000005</v>
      </c>
      <c r="D203" s="142">
        <f>'BC.114+320'!AA202</f>
        <v>0.89900000000000002</v>
      </c>
      <c r="E203" s="143">
        <f>'BC.114+320'!AB202</f>
        <v>0.73399999999999999</v>
      </c>
      <c r="F203" s="142">
        <f>VLOOKUP($A203,'BC.114+320'!$B$13:$X$489,8,0)/1000</f>
        <v>1.714</v>
      </c>
      <c r="G203" s="142">
        <f>VLOOKUP($A203,'BC.114+320'!$B$13:$X$489,9,0)/1000</f>
        <v>-0.28599999999999998</v>
      </c>
      <c r="H203" s="142">
        <f>VLOOKUP($A203,'BC.114+320'!$B$13:$X$489,14,0)/1000</f>
        <v>1.6970000000000001</v>
      </c>
      <c r="I203" s="142">
        <f>VLOOKUP($A203,'BC.114+320'!$B$13:$X$489,15,0)/1000</f>
        <v>-0.30299999999999999</v>
      </c>
      <c r="J203" s="142">
        <f>VLOOKUP($A203,'BC.114+320'!$B$13:$X$489,20,0)/1000</f>
        <v>1.7689999999999999</v>
      </c>
      <c r="K203" s="142">
        <f>VLOOKUP($A203,'BC.114+320'!$B$13:$X$489,21,0)/1000</f>
        <v>-0.23100000000000001</v>
      </c>
      <c r="L203" s="140">
        <f t="shared" si="8"/>
        <v>-105.99999999999999</v>
      </c>
      <c r="M203" s="141">
        <f t="shared" si="9"/>
        <v>-123</v>
      </c>
      <c r="N203" s="140">
        <f t="shared" si="10"/>
        <v>-111.00000000000001</v>
      </c>
      <c r="O203" s="140"/>
    </row>
    <row r="204" spans="1:15">
      <c r="A204" s="76">
        <f>'BC.114+320'!B203</f>
        <v>45233</v>
      </c>
      <c r="B204" s="140">
        <f t="shared" si="11"/>
        <v>190</v>
      </c>
      <c r="C204" s="142">
        <f>'BC.114+320'!M203/1000</f>
        <v>0.67700000000000005</v>
      </c>
      <c r="D204" s="142">
        <f>'BC.114+320'!AA203</f>
        <v>0.89900000000000002</v>
      </c>
      <c r="E204" s="143">
        <f>'BC.114+320'!AB203</f>
        <v>0.73399999999999999</v>
      </c>
      <c r="F204" s="142">
        <f>VLOOKUP($A204,'BC.114+320'!$B$13:$X$489,8,0)/1000</f>
        <v>1.714</v>
      </c>
      <c r="G204" s="142">
        <f>VLOOKUP($A204,'BC.114+320'!$B$13:$X$489,9,0)/1000</f>
        <v>-0.28599999999999998</v>
      </c>
      <c r="H204" s="142">
        <f>VLOOKUP($A204,'BC.114+320'!$B$13:$X$489,14,0)/1000</f>
        <v>1.6970000000000001</v>
      </c>
      <c r="I204" s="142">
        <f>VLOOKUP($A204,'BC.114+320'!$B$13:$X$489,15,0)/1000</f>
        <v>-0.30299999999999999</v>
      </c>
      <c r="J204" s="142">
        <f>VLOOKUP($A204,'BC.114+320'!$B$13:$X$489,20,0)/1000</f>
        <v>1.7689999999999999</v>
      </c>
      <c r="K204" s="142">
        <f>VLOOKUP($A204,'BC.114+320'!$B$13:$X$489,21,0)/1000</f>
        <v>-0.23100000000000001</v>
      </c>
      <c r="L204" s="140">
        <f t="shared" si="8"/>
        <v>-105.99999999999999</v>
      </c>
      <c r="M204" s="141">
        <f t="shared" si="9"/>
        <v>-123</v>
      </c>
      <c r="N204" s="140">
        <f t="shared" si="10"/>
        <v>-111.00000000000001</v>
      </c>
      <c r="O204" s="140"/>
    </row>
    <row r="205" spans="1:15">
      <c r="A205" s="76">
        <f>'BC.114+320'!B204</f>
        <v>45234</v>
      </c>
      <c r="B205" s="140">
        <f t="shared" si="11"/>
        <v>191</v>
      </c>
      <c r="C205" s="142">
        <f>'BC.114+320'!M204/1000</f>
        <v>0.67700000000000005</v>
      </c>
      <c r="D205" s="142">
        <f>'BC.114+320'!AA204</f>
        <v>0.89900000000000002</v>
      </c>
      <c r="E205" s="143">
        <f>'BC.114+320'!AB204</f>
        <v>0.73399999999999999</v>
      </c>
      <c r="F205" s="142">
        <f>VLOOKUP($A205,'BC.114+320'!$B$13:$X$489,8,0)/1000</f>
        <v>1.714</v>
      </c>
      <c r="G205" s="142">
        <f>VLOOKUP($A205,'BC.114+320'!$B$13:$X$489,9,0)/1000</f>
        <v>-0.28599999999999998</v>
      </c>
      <c r="H205" s="142">
        <f>VLOOKUP($A205,'BC.114+320'!$B$13:$X$489,14,0)/1000</f>
        <v>1.6970000000000001</v>
      </c>
      <c r="I205" s="142">
        <f>VLOOKUP($A205,'BC.114+320'!$B$13:$X$489,15,0)/1000</f>
        <v>-0.30299999999999999</v>
      </c>
      <c r="J205" s="142">
        <f>VLOOKUP($A205,'BC.114+320'!$B$13:$X$489,20,0)/1000</f>
        <v>1.7689999999999999</v>
      </c>
      <c r="K205" s="142">
        <f>VLOOKUP($A205,'BC.114+320'!$B$13:$X$489,21,0)/1000</f>
        <v>-0.23100000000000001</v>
      </c>
      <c r="L205" s="140">
        <f t="shared" si="8"/>
        <v>-105.99999999999999</v>
      </c>
      <c r="M205" s="141">
        <f t="shared" si="9"/>
        <v>-123</v>
      </c>
      <c r="N205" s="140">
        <f t="shared" si="10"/>
        <v>-111.00000000000001</v>
      </c>
      <c r="O205" s="140"/>
    </row>
    <row r="206" spans="1:15">
      <c r="A206" s="76">
        <f>'BC.114+320'!B205</f>
        <v>45235</v>
      </c>
      <c r="B206" s="140">
        <f t="shared" si="11"/>
        <v>192</v>
      </c>
      <c r="C206" s="142">
        <f>'BC.114+320'!M205/1000</f>
        <v>0.67700000000000005</v>
      </c>
      <c r="D206" s="142">
        <f>'BC.114+320'!AA205</f>
        <v>0.89900000000000002</v>
      </c>
      <c r="E206" s="143">
        <f>'BC.114+320'!AB205</f>
        <v>0.73399999999999999</v>
      </c>
      <c r="F206" s="142">
        <f>VLOOKUP($A206,'BC.114+320'!$B$13:$X$489,8,0)/1000</f>
        <v>1.714</v>
      </c>
      <c r="G206" s="142">
        <f>VLOOKUP($A206,'BC.114+320'!$B$13:$X$489,9,0)/1000</f>
        <v>-0.28599999999999998</v>
      </c>
      <c r="H206" s="142">
        <f>VLOOKUP($A206,'BC.114+320'!$B$13:$X$489,14,0)/1000</f>
        <v>1.6970000000000001</v>
      </c>
      <c r="I206" s="142">
        <f>VLOOKUP($A206,'BC.114+320'!$B$13:$X$489,15,0)/1000</f>
        <v>-0.30299999999999999</v>
      </c>
      <c r="J206" s="142">
        <f>VLOOKUP($A206,'BC.114+320'!$B$13:$X$489,20,0)/1000</f>
        <v>1.7689999999999999</v>
      </c>
      <c r="K206" s="142">
        <f>VLOOKUP($A206,'BC.114+320'!$B$13:$X$489,21,0)/1000</f>
        <v>-0.23100000000000001</v>
      </c>
      <c r="L206" s="140">
        <f t="shared" ref="L206:L269" si="12">(G206-$G$14)*1000</f>
        <v>-105.99999999999999</v>
      </c>
      <c r="M206" s="141">
        <f t="shared" ref="M206:M269" si="13">(I206-$I$14)*1000</f>
        <v>-123</v>
      </c>
      <c r="N206" s="140">
        <f t="shared" si="10"/>
        <v>-111.00000000000001</v>
      </c>
      <c r="O206" s="140"/>
    </row>
    <row r="207" spans="1:15">
      <c r="A207" s="76">
        <f>'BC.114+320'!B206</f>
        <v>45236</v>
      </c>
      <c r="B207" s="140">
        <f t="shared" si="11"/>
        <v>193</v>
      </c>
      <c r="C207" s="142">
        <f>'BC.114+320'!M206/1000</f>
        <v>0.67700000000000005</v>
      </c>
      <c r="D207" s="142">
        <f>'BC.114+320'!AA206</f>
        <v>0.89900000000000002</v>
      </c>
      <c r="E207" s="143">
        <f>'BC.114+320'!AB206</f>
        <v>0.73399999999999999</v>
      </c>
      <c r="F207" s="142">
        <f>VLOOKUP($A207,'BC.114+320'!$B$13:$X$489,8,0)/1000</f>
        <v>1.714</v>
      </c>
      <c r="G207" s="142">
        <f>VLOOKUP($A207,'BC.114+320'!$B$13:$X$489,9,0)/1000</f>
        <v>-0.28599999999999998</v>
      </c>
      <c r="H207" s="142">
        <f>VLOOKUP($A207,'BC.114+320'!$B$13:$X$489,14,0)/1000</f>
        <v>1.6970000000000001</v>
      </c>
      <c r="I207" s="142">
        <f>VLOOKUP($A207,'BC.114+320'!$B$13:$X$489,15,0)/1000</f>
        <v>-0.30299999999999999</v>
      </c>
      <c r="J207" s="142">
        <f>VLOOKUP($A207,'BC.114+320'!$B$13:$X$489,20,0)/1000</f>
        <v>1.7689999999999999</v>
      </c>
      <c r="K207" s="142">
        <f>VLOOKUP($A207,'BC.114+320'!$B$13:$X$489,21,0)/1000</f>
        <v>-0.23100000000000001</v>
      </c>
      <c r="L207" s="140">
        <f t="shared" si="12"/>
        <v>-105.99999999999999</v>
      </c>
      <c r="M207" s="141">
        <f t="shared" si="13"/>
        <v>-123</v>
      </c>
      <c r="N207" s="140">
        <f t="shared" ref="N207:N270" si="14">(K207-$K$14)*1000</f>
        <v>-111.00000000000001</v>
      </c>
      <c r="O207" s="140"/>
    </row>
    <row r="208" spans="1:15">
      <c r="A208" s="76">
        <f>'BC.114+320'!B207</f>
        <v>45237</v>
      </c>
      <c r="B208" s="140">
        <f t="shared" ref="B208:B271" si="15">+B207+1</f>
        <v>194</v>
      </c>
      <c r="C208" s="142">
        <f>'BC.114+320'!M207/1000</f>
        <v>0.67700000000000005</v>
      </c>
      <c r="D208" s="142">
        <f>'BC.114+320'!AA207</f>
        <v>0.89900000000000002</v>
      </c>
      <c r="E208" s="143">
        <f>'BC.114+320'!AB207</f>
        <v>0.73399999999999999</v>
      </c>
      <c r="F208" s="142">
        <f>VLOOKUP($A208,'BC.114+320'!$B$13:$X$489,8,0)/1000</f>
        <v>1.714</v>
      </c>
      <c r="G208" s="142">
        <f>VLOOKUP($A208,'BC.114+320'!$B$13:$X$489,9,0)/1000</f>
        <v>-0.28599999999999998</v>
      </c>
      <c r="H208" s="142">
        <f>VLOOKUP($A208,'BC.114+320'!$B$13:$X$489,14,0)/1000</f>
        <v>1.6970000000000001</v>
      </c>
      <c r="I208" s="142">
        <f>VLOOKUP($A208,'BC.114+320'!$B$13:$X$489,15,0)/1000</f>
        <v>-0.30299999999999999</v>
      </c>
      <c r="J208" s="142">
        <f>VLOOKUP($A208,'BC.114+320'!$B$13:$X$489,20,0)/1000</f>
        <v>1.7689999999999999</v>
      </c>
      <c r="K208" s="142">
        <f>VLOOKUP($A208,'BC.114+320'!$B$13:$X$489,21,0)/1000</f>
        <v>-0.23100000000000001</v>
      </c>
      <c r="L208" s="140">
        <f t="shared" si="12"/>
        <v>-105.99999999999999</v>
      </c>
      <c r="M208" s="141">
        <f t="shared" si="13"/>
        <v>-123</v>
      </c>
      <c r="N208" s="140">
        <f t="shared" si="14"/>
        <v>-111.00000000000001</v>
      </c>
      <c r="O208" s="140"/>
    </row>
    <row r="209" spans="1:15">
      <c r="A209" s="76">
        <f>'BC.114+320'!B208</f>
        <v>45238</v>
      </c>
      <c r="B209" s="140">
        <f t="shared" si="15"/>
        <v>195</v>
      </c>
      <c r="C209" s="142">
        <f>'BC.114+320'!M208/1000</f>
        <v>0.67700000000000005</v>
      </c>
      <c r="D209" s="142">
        <f>'BC.114+320'!AA208</f>
        <v>0.89900000000000002</v>
      </c>
      <c r="E209" s="143">
        <f>'BC.114+320'!AB208</f>
        <v>0.73399999999999999</v>
      </c>
      <c r="F209" s="142">
        <f>VLOOKUP($A209,'BC.114+320'!$B$13:$X$489,8,0)/1000</f>
        <v>1.714</v>
      </c>
      <c r="G209" s="142">
        <f>VLOOKUP($A209,'BC.114+320'!$B$13:$X$489,9,0)/1000</f>
        <v>-0.28599999999999998</v>
      </c>
      <c r="H209" s="142">
        <f>VLOOKUP($A209,'BC.114+320'!$B$13:$X$489,14,0)/1000</f>
        <v>1.6970000000000001</v>
      </c>
      <c r="I209" s="142">
        <f>VLOOKUP($A209,'BC.114+320'!$B$13:$X$489,15,0)/1000</f>
        <v>-0.30299999999999999</v>
      </c>
      <c r="J209" s="142">
        <f>VLOOKUP($A209,'BC.114+320'!$B$13:$X$489,20,0)/1000</f>
        <v>1.7689999999999999</v>
      </c>
      <c r="K209" s="142">
        <f>VLOOKUP($A209,'BC.114+320'!$B$13:$X$489,21,0)/1000</f>
        <v>-0.23100000000000001</v>
      </c>
      <c r="L209" s="140">
        <f t="shared" si="12"/>
        <v>-105.99999999999999</v>
      </c>
      <c r="M209" s="141">
        <f t="shared" si="13"/>
        <v>-123</v>
      </c>
      <c r="N209" s="140">
        <f t="shared" si="14"/>
        <v>-111.00000000000001</v>
      </c>
      <c r="O209" s="140"/>
    </row>
    <row r="210" spans="1:15">
      <c r="A210" s="76">
        <f>'BC.114+320'!B209</f>
        <v>45239</v>
      </c>
      <c r="B210" s="140">
        <f t="shared" si="15"/>
        <v>196</v>
      </c>
      <c r="C210" s="142">
        <f>'BC.114+320'!M209/1000</f>
        <v>0.67700000000000005</v>
      </c>
      <c r="D210" s="142">
        <f>'BC.114+320'!AA209</f>
        <v>0.89900000000000002</v>
      </c>
      <c r="E210" s="143">
        <f>'BC.114+320'!AB209</f>
        <v>0.73399999999999999</v>
      </c>
      <c r="F210" s="142">
        <f>VLOOKUP($A210,'BC.114+320'!$B$13:$X$489,8,0)/1000</f>
        <v>1.714</v>
      </c>
      <c r="G210" s="142">
        <f>VLOOKUP($A210,'BC.114+320'!$B$13:$X$489,9,0)/1000</f>
        <v>-0.28599999999999998</v>
      </c>
      <c r="H210" s="142">
        <f>VLOOKUP($A210,'BC.114+320'!$B$13:$X$489,14,0)/1000</f>
        <v>1.6970000000000001</v>
      </c>
      <c r="I210" s="142">
        <f>VLOOKUP($A210,'BC.114+320'!$B$13:$X$489,15,0)/1000</f>
        <v>-0.30299999999999999</v>
      </c>
      <c r="J210" s="142">
        <f>VLOOKUP($A210,'BC.114+320'!$B$13:$X$489,20,0)/1000</f>
        <v>1.7689999999999999</v>
      </c>
      <c r="K210" s="142">
        <f>VLOOKUP($A210,'BC.114+320'!$B$13:$X$489,21,0)/1000</f>
        <v>-0.23100000000000001</v>
      </c>
      <c r="L210" s="140">
        <f t="shared" si="12"/>
        <v>-105.99999999999999</v>
      </c>
      <c r="M210" s="141">
        <f t="shared" si="13"/>
        <v>-123</v>
      </c>
      <c r="N210" s="140">
        <f t="shared" si="14"/>
        <v>-111.00000000000001</v>
      </c>
      <c r="O210" s="140"/>
    </row>
    <row r="211" spans="1:15">
      <c r="A211" s="76">
        <f>'BC.114+320'!B210</f>
        <v>45240</v>
      </c>
      <c r="B211" s="140">
        <f t="shared" si="15"/>
        <v>197</v>
      </c>
      <c r="C211" s="142">
        <f>'BC.114+320'!M210/1000</f>
        <v>0.67700000000000005</v>
      </c>
      <c r="D211" s="142">
        <f>'BC.114+320'!AA210</f>
        <v>0.89900000000000002</v>
      </c>
      <c r="E211" s="143">
        <f>'BC.114+320'!AB210</f>
        <v>0.73399999999999999</v>
      </c>
      <c r="F211" s="142">
        <f>VLOOKUP($A211,'BC.114+320'!$B$13:$X$489,8,0)/1000</f>
        <v>1.714</v>
      </c>
      <c r="G211" s="142">
        <f>VLOOKUP($A211,'BC.114+320'!$B$13:$X$489,9,0)/1000</f>
        <v>-0.28599999999999998</v>
      </c>
      <c r="H211" s="142">
        <f>VLOOKUP($A211,'BC.114+320'!$B$13:$X$489,14,0)/1000</f>
        <v>1.6970000000000001</v>
      </c>
      <c r="I211" s="142">
        <f>VLOOKUP($A211,'BC.114+320'!$B$13:$X$489,15,0)/1000</f>
        <v>-0.30299999999999999</v>
      </c>
      <c r="J211" s="142">
        <f>VLOOKUP($A211,'BC.114+320'!$B$13:$X$489,20,0)/1000</f>
        <v>1.7689999999999999</v>
      </c>
      <c r="K211" s="142">
        <f>VLOOKUP($A211,'BC.114+320'!$B$13:$X$489,21,0)/1000</f>
        <v>-0.23100000000000001</v>
      </c>
      <c r="L211" s="140">
        <f t="shared" si="12"/>
        <v>-105.99999999999999</v>
      </c>
      <c r="M211" s="141">
        <f t="shared" si="13"/>
        <v>-123</v>
      </c>
      <c r="N211" s="140">
        <f t="shared" si="14"/>
        <v>-111.00000000000001</v>
      </c>
      <c r="O211" s="140"/>
    </row>
    <row r="212" spans="1:15">
      <c r="A212" s="76">
        <f>'BC.114+320'!B211</f>
        <v>45241</v>
      </c>
      <c r="B212" s="140">
        <f t="shared" si="15"/>
        <v>198</v>
      </c>
      <c r="C212" s="142">
        <f>'BC.114+320'!M211/1000</f>
        <v>0.67700000000000005</v>
      </c>
      <c r="D212" s="142">
        <f>'BC.114+320'!AA211</f>
        <v>0.89900000000000002</v>
      </c>
      <c r="E212" s="143">
        <f>'BC.114+320'!AB211</f>
        <v>0.73399999999999999</v>
      </c>
      <c r="F212" s="142">
        <f>VLOOKUP($A212,'BC.114+320'!$B$13:$X$489,8,0)/1000</f>
        <v>1.714</v>
      </c>
      <c r="G212" s="142">
        <f>VLOOKUP($A212,'BC.114+320'!$B$13:$X$489,9,0)/1000</f>
        <v>-0.28599999999999998</v>
      </c>
      <c r="H212" s="142">
        <f>VLOOKUP($A212,'BC.114+320'!$B$13:$X$489,14,0)/1000</f>
        <v>1.6970000000000001</v>
      </c>
      <c r="I212" s="142">
        <f>VLOOKUP($A212,'BC.114+320'!$B$13:$X$489,15,0)/1000</f>
        <v>-0.30299999999999999</v>
      </c>
      <c r="J212" s="142">
        <f>VLOOKUP($A212,'BC.114+320'!$B$13:$X$489,20,0)/1000</f>
        <v>1.7689999999999999</v>
      </c>
      <c r="K212" s="142">
        <f>VLOOKUP($A212,'BC.114+320'!$B$13:$X$489,21,0)/1000</f>
        <v>-0.23100000000000001</v>
      </c>
      <c r="L212" s="140">
        <f t="shared" si="12"/>
        <v>-105.99999999999999</v>
      </c>
      <c r="M212" s="141">
        <f t="shared" si="13"/>
        <v>-123</v>
      </c>
      <c r="N212" s="140">
        <f t="shared" si="14"/>
        <v>-111.00000000000001</v>
      </c>
      <c r="O212" s="140"/>
    </row>
    <row r="213" spans="1:15">
      <c r="A213" s="76">
        <f>'BC.114+320'!B212</f>
        <v>45242</v>
      </c>
      <c r="B213" s="140">
        <f t="shared" si="15"/>
        <v>199</v>
      </c>
      <c r="C213" s="142">
        <f>'BC.114+320'!M212/1000</f>
        <v>0.67700000000000005</v>
      </c>
      <c r="D213" s="142">
        <f>'BC.114+320'!AA212</f>
        <v>0.89900000000000002</v>
      </c>
      <c r="E213" s="143">
        <f>'BC.114+320'!AB212</f>
        <v>0.73399999999999999</v>
      </c>
      <c r="F213" s="142">
        <f>VLOOKUP($A213,'BC.114+320'!$B$13:$X$489,8,0)/1000</f>
        <v>1.714</v>
      </c>
      <c r="G213" s="142">
        <f>VLOOKUP($A213,'BC.114+320'!$B$13:$X$489,9,0)/1000</f>
        <v>-0.28599999999999998</v>
      </c>
      <c r="H213" s="142">
        <f>VLOOKUP($A213,'BC.114+320'!$B$13:$X$489,14,0)/1000</f>
        <v>1.6970000000000001</v>
      </c>
      <c r="I213" s="142">
        <f>VLOOKUP($A213,'BC.114+320'!$B$13:$X$489,15,0)/1000</f>
        <v>-0.30299999999999999</v>
      </c>
      <c r="J213" s="142">
        <f>VLOOKUP($A213,'BC.114+320'!$B$13:$X$489,20,0)/1000</f>
        <v>1.7689999999999999</v>
      </c>
      <c r="K213" s="142">
        <f>VLOOKUP($A213,'BC.114+320'!$B$13:$X$489,21,0)/1000</f>
        <v>-0.23100000000000001</v>
      </c>
      <c r="L213" s="140">
        <f t="shared" si="12"/>
        <v>-105.99999999999999</v>
      </c>
      <c r="M213" s="141">
        <f t="shared" si="13"/>
        <v>-123</v>
      </c>
      <c r="N213" s="140">
        <f t="shared" si="14"/>
        <v>-111.00000000000001</v>
      </c>
      <c r="O213" s="140"/>
    </row>
    <row r="214" spans="1:15">
      <c r="A214" s="76">
        <f>'BC.114+320'!B213</f>
        <v>45243</v>
      </c>
      <c r="B214" s="140">
        <f t="shared" si="15"/>
        <v>200</v>
      </c>
      <c r="C214" s="142">
        <f>'BC.114+320'!M213/1000</f>
        <v>0.67700000000000005</v>
      </c>
      <c r="D214" s="142">
        <f>'BC.114+320'!AA213</f>
        <v>0.89900000000000002</v>
      </c>
      <c r="E214" s="143">
        <f>'BC.114+320'!AB213</f>
        <v>0.73399999999999999</v>
      </c>
      <c r="F214" s="142">
        <f>VLOOKUP($A214,'BC.114+320'!$B$13:$X$489,8,0)/1000</f>
        <v>1.714</v>
      </c>
      <c r="G214" s="142">
        <f>VLOOKUP($A214,'BC.114+320'!$B$13:$X$489,9,0)/1000</f>
        <v>-0.28599999999999998</v>
      </c>
      <c r="H214" s="142">
        <f>VLOOKUP($A214,'BC.114+320'!$B$13:$X$489,14,0)/1000</f>
        <v>1.6970000000000001</v>
      </c>
      <c r="I214" s="142">
        <f>VLOOKUP($A214,'BC.114+320'!$B$13:$X$489,15,0)/1000</f>
        <v>-0.30299999999999999</v>
      </c>
      <c r="J214" s="142">
        <f>VLOOKUP($A214,'BC.114+320'!$B$13:$X$489,20,0)/1000</f>
        <v>1.7689999999999999</v>
      </c>
      <c r="K214" s="142">
        <f>VLOOKUP($A214,'BC.114+320'!$B$13:$X$489,21,0)/1000</f>
        <v>-0.23100000000000001</v>
      </c>
      <c r="L214" s="140">
        <f t="shared" si="12"/>
        <v>-105.99999999999999</v>
      </c>
      <c r="M214" s="141">
        <f t="shared" si="13"/>
        <v>-123</v>
      </c>
      <c r="N214" s="140">
        <f t="shared" si="14"/>
        <v>-111.00000000000001</v>
      </c>
      <c r="O214" s="140"/>
    </row>
    <row r="215" spans="1:15">
      <c r="A215" s="76">
        <f>'BC.114+320'!B214</f>
        <v>45244</v>
      </c>
      <c r="B215" s="140">
        <f t="shared" si="15"/>
        <v>201</v>
      </c>
      <c r="C215" s="142">
        <f>'BC.114+320'!M214/1000</f>
        <v>0.67700000000000005</v>
      </c>
      <c r="D215" s="142">
        <f>'BC.114+320'!AA214</f>
        <v>0.89900000000000002</v>
      </c>
      <c r="E215" s="143">
        <f>'BC.114+320'!AB214</f>
        <v>0.73399999999999999</v>
      </c>
      <c r="F215" s="142">
        <f>VLOOKUP($A215,'BC.114+320'!$B$13:$X$489,8,0)/1000</f>
        <v>1.714</v>
      </c>
      <c r="G215" s="142">
        <f>VLOOKUP($A215,'BC.114+320'!$B$13:$X$489,9,0)/1000</f>
        <v>-0.28599999999999998</v>
      </c>
      <c r="H215" s="142">
        <f>VLOOKUP($A215,'BC.114+320'!$B$13:$X$489,14,0)/1000</f>
        <v>1.6970000000000001</v>
      </c>
      <c r="I215" s="142">
        <f>VLOOKUP($A215,'BC.114+320'!$B$13:$X$489,15,0)/1000</f>
        <v>-0.30299999999999999</v>
      </c>
      <c r="J215" s="142">
        <f>VLOOKUP($A215,'BC.114+320'!$B$13:$X$489,20,0)/1000</f>
        <v>1.7689999999999999</v>
      </c>
      <c r="K215" s="142">
        <f>VLOOKUP($A215,'BC.114+320'!$B$13:$X$489,21,0)/1000</f>
        <v>-0.23100000000000001</v>
      </c>
      <c r="L215" s="140">
        <f t="shared" si="12"/>
        <v>-105.99999999999999</v>
      </c>
      <c r="M215" s="141">
        <f t="shared" si="13"/>
        <v>-123</v>
      </c>
      <c r="N215" s="140">
        <f t="shared" si="14"/>
        <v>-111.00000000000001</v>
      </c>
      <c r="O215" s="140"/>
    </row>
    <row r="216" spans="1:15">
      <c r="A216" s="76">
        <f>'BC.114+320'!B215</f>
        <v>45245</v>
      </c>
      <c r="B216" s="140">
        <f t="shared" si="15"/>
        <v>202</v>
      </c>
      <c r="C216" s="142">
        <f>'BC.114+320'!M215/1000</f>
        <v>0.67700000000000005</v>
      </c>
      <c r="D216" s="142">
        <f>'BC.114+320'!AA215</f>
        <v>0.89900000000000002</v>
      </c>
      <c r="E216" s="143">
        <f>'BC.114+320'!AB215</f>
        <v>0.73399999999999999</v>
      </c>
      <c r="F216" s="142">
        <f>VLOOKUP($A216,'BC.114+320'!$B$13:$X$489,8,0)/1000</f>
        <v>1.714</v>
      </c>
      <c r="G216" s="142">
        <f>VLOOKUP($A216,'BC.114+320'!$B$13:$X$489,9,0)/1000</f>
        <v>-0.28599999999999998</v>
      </c>
      <c r="H216" s="142">
        <f>VLOOKUP($A216,'BC.114+320'!$B$13:$X$489,14,0)/1000</f>
        <v>1.6970000000000001</v>
      </c>
      <c r="I216" s="142">
        <f>VLOOKUP($A216,'BC.114+320'!$B$13:$X$489,15,0)/1000</f>
        <v>-0.30299999999999999</v>
      </c>
      <c r="J216" s="142">
        <f>VLOOKUP($A216,'BC.114+320'!$B$13:$X$489,20,0)/1000</f>
        <v>1.7689999999999999</v>
      </c>
      <c r="K216" s="142">
        <f>VLOOKUP($A216,'BC.114+320'!$B$13:$X$489,21,0)/1000</f>
        <v>-0.23100000000000001</v>
      </c>
      <c r="L216" s="140">
        <f t="shared" si="12"/>
        <v>-105.99999999999999</v>
      </c>
      <c r="M216" s="141">
        <f t="shared" si="13"/>
        <v>-123</v>
      </c>
      <c r="N216" s="140">
        <f t="shared" si="14"/>
        <v>-111.00000000000001</v>
      </c>
      <c r="O216" s="140"/>
    </row>
    <row r="217" spans="1:15">
      <c r="A217" s="76">
        <f>'BC.114+320'!B216</f>
        <v>45246</v>
      </c>
      <c r="B217" s="140">
        <f t="shared" si="15"/>
        <v>203</v>
      </c>
      <c r="C217" s="142">
        <f>'BC.114+320'!M216/1000</f>
        <v>0.67700000000000005</v>
      </c>
      <c r="D217" s="142">
        <f>'BC.114+320'!AA216</f>
        <v>0.89900000000000002</v>
      </c>
      <c r="E217" s="143">
        <f>'BC.114+320'!AB216</f>
        <v>0.73399999999999999</v>
      </c>
      <c r="F217" s="142">
        <f>VLOOKUP($A217,'BC.114+320'!$B$13:$X$489,8,0)/1000</f>
        <v>1.714</v>
      </c>
      <c r="G217" s="142">
        <f>VLOOKUP($A217,'BC.114+320'!$B$13:$X$489,9,0)/1000</f>
        <v>-0.28599999999999998</v>
      </c>
      <c r="H217" s="142">
        <f>VLOOKUP($A217,'BC.114+320'!$B$13:$X$489,14,0)/1000</f>
        <v>1.6970000000000001</v>
      </c>
      <c r="I217" s="142">
        <f>VLOOKUP($A217,'BC.114+320'!$B$13:$X$489,15,0)/1000</f>
        <v>-0.30299999999999999</v>
      </c>
      <c r="J217" s="142">
        <f>VLOOKUP($A217,'BC.114+320'!$B$13:$X$489,20,0)/1000</f>
        <v>1.7689999999999999</v>
      </c>
      <c r="K217" s="142">
        <f>VLOOKUP($A217,'BC.114+320'!$B$13:$X$489,21,0)/1000</f>
        <v>-0.23100000000000001</v>
      </c>
      <c r="L217" s="140">
        <f t="shared" si="12"/>
        <v>-105.99999999999999</v>
      </c>
      <c r="M217" s="141">
        <f t="shared" si="13"/>
        <v>-123</v>
      </c>
      <c r="N217" s="140">
        <f t="shared" si="14"/>
        <v>-111.00000000000001</v>
      </c>
      <c r="O217" s="140"/>
    </row>
    <row r="218" spans="1:15">
      <c r="A218" s="76">
        <f>'BC.114+320'!B217</f>
        <v>45247</v>
      </c>
      <c r="B218" s="140">
        <f t="shared" si="15"/>
        <v>204</v>
      </c>
      <c r="C218" s="142">
        <f>'BC.114+320'!M217/1000</f>
        <v>0.67700000000000005</v>
      </c>
      <c r="D218" s="142">
        <f>'BC.114+320'!AA217</f>
        <v>0.89900000000000002</v>
      </c>
      <c r="E218" s="143">
        <f>'BC.114+320'!AB217</f>
        <v>0.73399999999999999</v>
      </c>
      <c r="F218" s="142">
        <f>VLOOKUP($A218,'BC.114+320'!$B$13:$X$489,8,0)/1000</f>
        <v>1.714</v>
      </c>
      <c r="G218" s="142">
        <f>VLOOKUP($A218,'BC.114+320'!$B$13:$X$489,9,0)/1000</f>
        <v>-0.28599999999999998</v>
      </c>
      <c r="H218" s="142">
        <f>VLOOKUP($A218,'BC.114+320'!$B$13:$X$489,14,0)/1000</f>
        <v>1.6970000000000001</v>
      </c>
      <c r="I218" s="142">
        <f>VLOOKUP($A218,'BC.114+320'!$B$13:$X$489,15,0)/1000</f>
        <v>-0.30299999999999999</v>
      </c>
      <c r="J218" s="142">
        <f>VLOOKUP($A218,'BC.114+320'!$B$13:$X$489,20,0)/1000</f>
        <v>1.7689999999999999</v>
      </c>
      <c r="K218" s="142">
        <f>VLOOKUP($A218,'BC.114+320'!$B$13:$X$489,21,0)/1000</f>
        <v>-0.23100000000000001</v>
      </c>
      <c r="L218" s="140">
        <f t="shared" si="12"/>
        <v>-105.99999999999999</v>
      </c>
      <c r="M218" s="141">
        <f t="shared" si="13"/>
        <v>-123</v>
      </c>
      <c r="N218" s="140">
        <f t="shared" si="14"/>
        <v>-111.00000000000001</v>
      </c>
      <c r="O218" s="140"/>
    </row>
    <row r="219" spans="1:15">
      <c r="A219" s="76">
        <f>'BC.114+320'!B218</f>
        <v>45248</v>
      </c>
      <c r="B219" s="140">
        <f t="shared" si="15"/>
        <v>205</v>
      </c>
      <c r="C219" s="142">
        <f>'BC.114+320'!M218/1000</f>
        <v>0.67700000000000005</v>
      </c>
      <c r="D219" s="142">
        <f>'BC.114+320'!AA218</f>
        <v>0.89900000000000002</v>
      </c>
      <c r="E219" s="143">
        <f>'BC.114+320'!AB218</f>
        <v>0.73399999999999999</v>
      </c>
      <c r="F219" s="142">
        <f>VLOOKUP($A219,'BC.114+320'!$B$13:$X$489,8,0)/1000</f>
        <v>1.714</v>
      </c>
      <c r="G219" s="142">
        <f>VLOOKUP($A219,'BC.114+320'!$B$13:$X$489,9,0)/1000</f>
        <v>-0.28599999999999998</v>
      </c>
      <c r="H219" s="142">
        <f>VLOOKUP($A219,'BC.114+320'!$B$13:$X$489,14,0)/1000</f>
        <v>1.6970000000000001</v>
      </c>
      <c r="I219" s="142">
        <f>VLOOKUP($A219,'BC.114+320'!$B$13:$X$489,15,0)/1000</f>
        <v>-0.30299999999999999</v>
      </c>
      <c r="J219" s="142">
        <f>VLOOKUP($A219,'BC.114+320'!$B$13:$X$489,20,0)/1000</f>
        <v>1.7689999999999999</v>
      </c>
      <c r="K219" s="142">
        <f>VLOOKUP($A219,'BC.114+320'!$B$13:$X$489,21,0)/1000</f>
        <v>-0.23100000000000001</v>
      </c>
      <c r="L219" s="140">
        <f t="shared" si="12"/>
        <v>-105.99999999999999</v>
      </c>
      <c r="M219" s="141">
        <f t="shared" si="13"/>
        <v>-123</v>
      </c>
      <c r="N219" s="140">
        <f t="shared" si="14"/>
        <v>-111.00000000000001</v>
      </c>
      <c r="O219" s="140"/>
    </row>
    <row r="220" spans="1:15">
      <c r="A220" s="76">
        <f>'BC.114+320'!B219</f>
        <v>45249</v>
      </c>
      <c r="B220" s="140">
        <f t="shared" si="15"/>
        <v>206</v>
      </c>
      <c r="C220" s="142">
        <f>'BC.114+320'!M219/1000</f>
        <v>0.67700000000000005</v>
      </c>
      <c r="D220" s="142">
        <f>'BC.114+320'!AA219</f>
        <v>0.89900000000000002</v>
      </c>
      <c r="E220" s="143">
        <f>'BC.114+320'!AB219</f>
        <v>0.73399999999999999</v>
      </c>
      <c r="F220" s="142">
        <f>VLOOKUP($A220,'BC.114+320'!$B$13:$X$489,8,0)/1000</f>
        <v>1.714</v>
      </c>
      <c r="G220" s="142">
        <f>VLOOKUP($A220,'BC.114+320'!$B$13:$X$489,9,0)/1000</f>
        <v>-0.28599999999999998</v>
      </c>
      <c r="H220" s="142">
        <f>VLOOKUP($A220,'BC.114+320'!$B$13:$X$489,14,0)/1000</f>
        <v>1.6970000000000001</v>
      </c>
      <c r="I220" s="142">
        <f>VLOOKUP($A220,'BC.114+320'!$B$13:$X$489,15,0)/1000</f>
        <v>-0.30299999999999999</v>
      </c>
      <c r="J220" s="142">
        <f>VLOOKUP($A220,'BC.114+320'!$B$13:$X$489,20,0)/1000</f>
        <v>1.7689999999999999</v>
      </c>
      <c r="K220" s="142">
        <f>VLOOKUP($A220,'BC.114+320'!$B$13:$X$489,21,0)/1000</f>
        <v>-0.23100000000000001</v>
      </c>
      <c r="L220" s="140">
        <f t="shared" si="12"/>
        <v>-105.99999999999999</v>
      </c>
      <c r="M220" s="141">
        <f t="shared" si="13"/>
        <v>-123</v>
      </c>
      <c r="N220" s="140">
        <f t="shared" si="14"/>
        <v>-111.00000000000001</v>
      </c>
      <c r="O220" s="140"/>
    </row>
    <row r="221" spans="1:15">
      <c r="A221" s="76">
        <f>'BC.114+320'!B220</f>
        <v>45250</v>
      </c>
      <c r="B221" s="140">
        <f t="shared" si="15"/>
        <v>207</v>
      </c>
      <c r="C221" s="142">
        <f>'BC.114+320'!M220/1000</f>
        <v>0.67700000000000005</v>
      </c>
      <c r="D221" s="142">
        <f>'BC.114+320'!AA220</f>
        <v>0.89900000000000002</v>
      </c>
      <c r="E221" s="143">
        <f>'BC.114+320'!AB220</f>
        <v>0.73399999999999999</v>
      </c>
      <c r="F221" s="142">
        <f>VLOOKUP($A221,'BC.114+320'!$B$13:$X$489,8,0)/1000</f>
        <v>1.714</v>
      </c>
      <c r="G221" s="142">
        <f>VLOOKUP($A221,'BC.114+320'!$B$13:$X$489,9,0)/1000</f>
        <v>-0.28599999999999998</v>
      </c>
      <c r="H221" s="142">
        <f>VLOOKUP($A221,'BC.114+320'!$B$13:$X$489,14,0)/1000</f>
        <v>1.6970000000000001</v>
      </c>
      <c r="I221" s="142">
        <f>VLOOKUP($A221,'BC.114+320'!$B$13:$X$489,15,0)/1000</f>
        <v>-0.30299999999999999</v>
      </c>
      <c r="J221" s="142">
        <f>VLOOKUP($A221,'BC.114+320'!$B$13:$X$489,20,0)/1000</f>
        <v>1.7689999999999999</v>
      </c>
      <c r="K221" s="142">
        <f>VLOOKUP($A221,'BC.114+320'!$B$13:$X$489,21,0)/1000</f>
        <v>-0.23100000000000001</v>
      </c>
      <c r="L221" s="140">
        <f t="shared" si="12"/>
        <v>-105.99999999999999</v>
      </c>
      <c r="M221" s="141">
        <f t="shared" si="13"/>
        <v>-123</v>
      </c>
      <c r="N221" s="140">
        <f t="shared" si="14"/>
        <v>-111.00000000000001</v>
      </c>
      <c r="O221" s="140"/>
    </row>
    <row r="222" spans="1:15">
      <c r="A222" s="76">
        <f>'BC.114+320'!B221</f>
        <v>45251</v>
      </c>
      <c r="B222" s="140">
        <f t="shared" si="15"/>
        <v>208</v>
      </c>
      <c r="C222" s="142">
        <f>'BC.114+320'!M221/1000</f>
        <v>0.67700000000000005</v>
      </c>
      <c r="D222" s="142">
        <f>'BC.114+320'!AA221</f>
        <v>0.89900000000000002</v>
      </c>
      <c r="E222" s="143">
        <f>'BC.114+320'!AB221</f>
        <v>0.73399999999999999</v>
      </c>
      <c r="F222" s="142">
        <f>VLOOKUP($A222,'BC.114+320'!$B$13:$X$489,8,0)/1000</f>
        <v>1.714</v>
      </c>
      <c r="G222" s="142">
        <f>VLOOKUP($A222,'BC.114+320'!$B$13:$X$489,9,0)/1000</f>
        <v>-0.28599999999999998</v>
      </c>
      <c r="H222" s="142">
        <f>VLOOKUP($A222,'BC.114+320'!$B$13:$X$489,14,0)/1000</f>
        <v>1.6970000000000001</v>
      </c>
      <c r="I222" s="142">
        <f>VLOOKUP($A222,'BC.114+320'!$B$13:$X$489,15,0)/1000</f>
        <v>-0.30299999999999999</v>
      </c>
      <c r="J222" s="142">
        <f>VLOOKUP($A222,'BC.114+320'!$B$13:$X$489,20,0)/1000</f>
        <v>1.7689999999999999</v>
      </c>
      <c r="K222" s="142">
        <f>VLOOKUP($A222,'BC.114+320'!$B$13:$X$489,21,0)/1000</f>
        <v>-0.23100000000000001</v>
      </c>
      <c r="L222" s="140">
        <f t="shared" si="12"/>
        <v>-105.99999999999999</v>
      </c>
      <c r="M222" s="141">
        <f t="shared" si="13"/>
        <v>-123</v>
      </c>
      <c r="N222" s="140">
        <f t="shared" si="14"/>
        <v>-111.00000000000001</v>
      </c>
      <c r="O222" s="140"/>
    </row>
    <row r="223" spans="1:15">
      <c r="A223" s="76">
        <f>'BC.114+320'!B222</f>
        <v>45252</v>
      </c>
      <c r="B223" s="140">
        <f t="shared" si="15"/>
        <v>209</v>
      </c>
      <c r="C223" s="142">
        <f>'BC.114+320'!M222/1000</f>
        <v>0.67700000000000005</v>
      </c>
      <c r="D223" s="142">
        <f>'BC.114+320'!AA222</f>
        <v>0.89900000000000002</v>
      </c>
      <c r="E223" s="143">
        <f>'BC.114+320'!AB222</f>
        <v>0.73399999999999999</v>
      </c>
      <c r="F223" s="142">
        <f>VLOOKUP($A223,'BC.114+320'!$B$13:$X$489,8,0)/1000</f>
        <v>1.714</v>
      </c>
      <c r="G223" s="142">
        <f>VLOOKUP($A223,'BC.114+320'!$B$13:$X$489,9,0)/1000</f>
        <v>-0.28599999999999998</v>
      </c>
      <c r="H223" s="142">
        <f>VLOOKUP($A223,'BC.114+320'!$B$13:$X$489,14,0)/1000</f>
        <v>1.6970000000000001</v>
      </c>
      <c r="I223" s="142">
        <f>VLOOKUP($A223,'BC.114+320'!$B$13:$X$489,15,0)/1000</f>
        <v>-0.30299999999999999</v>
      </c>
      <c r="J223" s="142">
        <f>VLOOKUP($A223,'BC.114+320'!$B$13:$X$489,20,0)/1000</f>
        <v>1.7689999999999999</v>
      </c>
      <c r="K223" s="142">
        <f>VLOOKUP($A223,'BC.114+320'!$B$13:$X$489,21,0)/1000</f>
        <v>-0.23100000000000001</v>
      </c>
      <c r="L223" s="140">
        <f t="shared" si="12"/>
        <v>-105.99999999999999</v>
      </c>
      <c r="M223" s="141">
        <f t="shared" si="13"/>
        <v>-123</v>
      </c>
      <c r="N223" s="140">
        <f t="shared" si="14"/>
        <v>-111.00000000000001</v>
      </c>
      <c r="O223" s="140"/>
    </row>
    <row r="224" spans="1:15">
      <c r="A224" s="76">
        <f>'BC.114+320'!B223</f>
        <v>45253</v>
      </c>
      <c r="B224" s="140">
        <f t="shared" si="15"/>
        <v>210</v>
      </c>
      <c r="C224" s="142">
        <f>'BC.114+320'!M223/1000</f>
        <v>0.67700000000000005</v>
      </c>
      <c r="D224" s="142">
        <f>'BC.114+320'!AA223</f>
        <v>0.89900000000000002</v>
      </c>
      <c r="E224" s="143">
        <f>'BC.114+320'!AB223</f>
        <v>0.73399999999999999</v>
      </c>
      <c r="F224" s="142">
        <f>VLOOKUP($A224,'BC.114+320'!$B$13:$X$489,8,0)/1000</f>
        <v>1.714</v>
      </c>
      <c r="G224" s="142">
        <f>VLOOKUP($A224,'BC.114+320'!$B$13:$X$489,9,0)/1000</f>
        <v>-0.28599999999999998</v>
      </c>
      <c r="H224" s="142">
        <f>VLOOKUP($A224,'BC.114+320'!$B$13:$X$489,14,0)/1000</f>
        <v>1.6970000000000001</v>
      </c>
      <c r="I224" s="142">
        <f>VLOOKUP($A224,'BC.114+320'!$B$13:$X$489,15,0)/1000</f>
        <v>-0.30299999999999999</v>
      </c>
      <c r="J224" s="142">
        <f>VLOOKUP($A224,'BC.114+320'!$B$13:$X$489,20,0)/1000</f>
        <v>1.7689999999999999</v>
      </c>
      <c r="K224" s="142">
        <f>VLOOKUP($A224,'BC.114+320'!$B$13:$X$489,21,0)/1000</f>
        <v>-0.23100000000000001</v>
      </c>
      <c r="L224" s="140">
        <f t="shared" si="12"/>
        <v>-105.99999999999999</v>
      </c>
      <c r="M224" s="141">
        <f t="shared" si="13"/>
        <v>-123</v>
      </c>
      <c r="N224" s="140">
        <f t="shared" si="14"/>
        <v>-111.00000000000001</v>
      </c>
      <c r="O224" s="140"/>
    </row>
    <row r="225" spans="1:15">
      <c r="A225" s="76">
        <f>'BC.114+320'!B224</f>
        <v>45254</v>
      </c>
      <c r="B225" s="140">
        <f t="shared" si="15"/>
        <v>211</v>
      </c>
      <c r="C225" s="142">
        <f>'BC.114+320'!M224/1000</f>
        <v>0.67700000000000005</v>
      </c>
      <c r="D225" s="142">
        <f>'BC.114+320'!AA224</f>
        <v>0.89900000000000002</v>
      </c>
      <c r="E225" s="143">
        <f>'BC.114+320'!AB224</f>
        <v>0.73399999999999999</v>
      </c>
      <c r="F225" s="142">
        <f>VLOOKUP($A225,'BC.114+320'!$B$13:$X$489,8,0)/1000</f>
        <v>1.714</v>
      </c>
      <c r="G225" s="142">
        <f>VLOOKUP($A225,'BC.114+320'!$B$13:$X$489,9,0)/1000</f>
        <v>-0.28599999999999998</v>
      </c>
      <c r="H225" s="142">
        <f>VLOOKUP($A225,'BC.114+320'!$B$13:$X$489,14,0)/1000</f>
        <v>1.6970000000000001</v>
      </c>
      <c r="I225" s="142">
        <f>VLOOKUP($A225,'BC.114+320'!$B$13:$X$489,15,0)/1000</f>
        <v>-0.30299999999999999</v>
      </c>
      <c r="J225" s="142">
        <f>VLOOKUP($A225,'BC.114+320'!$B$13:$X$489,20,0)/1000</f>
        <v>1.7689999999999999</v>
      </c>
      <c r="K225" s="142">
        <f>VLOOKUP($A225,'BC.114+320'!$B$13:$X$489,21,0)/1000</f>
        <v>-0.23100000000000001</v>
      </c>
      <c r="L225" s="140">
        <f t="shared" si="12"/>
        <v>-105.99999999999999</v>
      </c>
      <c r="M225" s="141">
        <f t="shared" si="13"/>
        <v>-123</v>
      </c>
      <c r="N225" s="140">
        <f t="shared" si="14"/>
        <v>-111.00000000000001</v>
      </c>
      <c r="O225" s="140"/>
    </row>
    <row r="226" spans="1:15">
      <c r="A226" s="76">
        <f>'BC.114+320'!B225</f>
        <v>45255</v>
      </c>
      <c r="B226" s="140">
        <f t="shared" si="15"/>
        <v>212</v>
      </c>
      <c r="C226" s="142">
        <f>'BC.114+320'!M225/1000</f>
        <v>0.67700000000000005</v>
      </c>
      <c r="D226" s="142">
        <f>'BC.114+320'!AA225</f>
        <v>0.89900000000000002</v>
      </c>
      <c r="E226" s="143">
        <f>'BC.114+320'!AB225</f>
        <v>0.73399999999999999</v>
      </c>
      <c r="F226" s="142">
        <f>VLOOKUP($A226,'BC.114+320'!$B$13:$X$489,8,0)/1000</f>
        <v>1.714</v>
      </c>
      <c r="G226" s="142">
        <f>VLOOKUP($A226,'BC.114+320'!$B$13:$X$489,9,0)/1000</f>
        <v>-0.28599999999999998</v>
      </c>
      <c r="H226" s="142">
        <f>VLOOKUP($A226,'BC.114+320'!$B$13:$X$489,14,0)/1000</f>
        <v>1.6970000000000001</v>
      </c>
      <c r="I226" s="142">
        <f>VLOOKUP($A226,'BC.114+320'!$B$13:$X$489,15,0)/1000</f>
        <v>-0.30299999999999999</v>
      </c>
      <c r="J226" s="142">
        <f>VLOOKUP($A226,'BC.114+320'!$B$13:$X$489,20,0)/1000</f>
        <v>1.7689999999999999</v>
      </c>
      <c r="K226" s="142">
        <f>VLOOKUP($A226,'BC.114+320'!$B$13:$X$489,21,0)/1000</f>
        <v>-0.23100000000000001</v>
      </c>
      <c r="L226" s="140">
        <f t="shared" si="12"/>
        <v>-105.99999999999999</v>
      </c>
      <c r="M226" s="141">
        <f t="shared" si="13"/>
        <v>-123</v>
      </c>
      <c r="N226" s="140">
        <f t="shared" si="14"/>
        <v>-111.00000000000001</v>
      </c>
      <c r="O226" s="140"/>
    </row>
    <row r="227" spans="1:15">
      <c r="A227" s="76">
        <f>'BC.114+320'!B226</f>
        <v>45256</v>
      </c>
      <c r="B227" s="140">
        <f t="shared" si="15"/>
        <v>213</v>
      </c>
      <c r="C227" s="142">
        <f>'BC.114+320'!M226/1000</f>
        <v>0.67700000000000005</v>
      </c>
      <c r="D227" s="142">
        <f>'BC.114+320'!AA226</f>
        <v>0.89900000000000002</v>
      </c>
      <c r="E227" s="143">
        <f>'BC.114+320'!AB226</f>
        <v>0.73399999999999999</v>
      </c>
      <c r="F227" s="142">
        <f>VLOOKUP($A227,'BC.114+320'!$B$13:$X$489,8,0)/1000</f>
        <v>1.714</v>
      </c>
      <c r="G227" s="142">
        <f>VLOOKUP($A227,'BC.114+320'!$B$13:$X$489,9,0)/1000</f>
        <v>-0.28599999999999998</v>
      </c>
      <c r="H227" s="142">
        <f>VLOOKUP($A227,'BC.114+320'!$B$13:$X$489,14,0)/1000</f>
        <v>1.6970000000000001</v>
      </c>
      <c r="I227" s="142">
        <f>VLOOKUP($A227,'BC.114+320'!$B$13:$X$489,15,0)/1000</f>
        <v>-0.30299999999999999</v>
      </c>
      <c r="J227" s="142">
        <f>VLOOKUP($A227,'BC.114+320'!$B$13:$X$489,20,0)/1000</f>
        <v>1.7689999999999999</v>
      </c>
      <c r="K227" s="142">
        <f>VLOOKUP($A227,'BC.114+320'!$B$13:$X$489,21,0)/1000</f>
        <v>-0.23100000000000001</v>
      </c>
      <c r="L227" s="140">
        <f t="shared" si="12"/>
        <v>-105.99999999999999</v>
      </c>
      <c r="M227" s="141">
        <f t="shared" si="13"/>
        <v>-123</v>
      </c>
      <c r="N227" s="140">
        <f t="shared" si="14"/>
        <v>-111.00000000000001</v>
      </c>
      <c r="O227" s="140"/>
    </row>
    <row r="228" spans="1:15">
      <c r="A228" s="76">
        <f>'BC.114+320'!B227</f>
        <v>45257</v>
      </c>
      <c r="B228" s="140">
        <f t="shared" si="15"/>
        <v>214</v>
      </c>
      <c r="C228" s="142">
        <f>'BC.114+320'!M227/1000</f>
        <v>0.67700000000000005</v>
      </c>
      <c r="D228" s="142">
        <f>'BC.114+320'!AA227</f>
        <v>0.89900000000000002</v>
      </c>
      <c r="E228" s="143">
        <f>'BC.114+320'!AB227</f>
        <v>0.73399999999999999</v>
      </c>
      <c r="F228" s="142">
        <f>VLOOKUP($A228,'BC.114+320'!$B$13:$X$489,8,0)/1000</f>
        <v>1.714</v>
      </c>
      <c r="G228" s="142">
        <f>VLOOKUP($A228,'BC.114+320'!$B$13:$X$489,9,0)/1000</f>
        <v>-0.28599999999999998</v>
      </c>
      <c r="H228" s="142">
        <f>VLOOKUP($A228,'BC.114+320'!$B$13:$X$489,14,0)/1000</f>
        <v>1.6970000000000001</v>
      </c>
      <c r="I228" s="142">
        <f>VLOOKUP($A228,'BC.114+320'!$B$13:$X$489,15,0)/1000</f>
        <v>-0.30299999999999999</v>
      </c>
      <c r="J228" s="142">
        <f>VLOOKUP($A228,'BC.114+320'!$B$13:$X$489,20,0)/1000</f>
        <v>1.7689999999999999</v>
      </c>
      <c r="K228" s="142">
        <f>VLOOKUP($A228,'BC.114+320'!$B$13:$X$489,21,0)/1000</f>
        <v>-0.23100000000000001</v>
      </c>
      <c r="L228" s="140">
        <f t="shared" si="12"/>
        <v>-105.99999999999999</v>
      </c>
      <c r="M228" s="141">
        <f t="shared" si="13"/>
        <v>-123</v>
      </c>
      <c r="N228" s="140">
        <f t="shared" si="14"/>
        <v>-111.00000000000001</v>
      </c>
      <c r="O228" s="140"/>
    </row>
    <row r="229" spans="1:15">
      <c r="A229" s="76">
        <f>'BC.114+320'!B228</f>
        <v>45258</v>
      </c>
      <c r="B229" s="140">
        <f t="shared" si="15"/>
        <v>215</v>
      </c>
      <c r="C229" s="142">
        <f>'BC.114+320'!M228/1000</f>
        <v>0.67700000000000005</v>
      </c>
      <c r="D229" s="142">
        <f>'BC.114+320'!AA228</f>
        <v>0.89900000000000002</v>
      </c>
      <c r="E229" s="143">
        <f>'BC.114+320'!AB228</f>
        <v>0.73399999999999999</v>
      </c>
      <c r="F229" s="142">
        <f>VLOOKUP($A229,'BC.114+320'!$B$13:$X$489,8,0)/1000</f>
        <v>1.714</v>
      </c>
      <c r="G229" s="142">
        <f>VLOOKUP($A229,'BC.114+320'!$B$13:$X$489,9,0)/1000</f>
        <v>-0.28599999999999998</v>
      </c>
      <c r="H229" s="142">
        <f>VLOOKUP($A229,'BC.114+320'!$B$13:$X$489,14,0)/1000</f>
        <v>1.6970000000000001</v>
      </c>
      <c r="I229" s="142">
        <f>VLOOKUP($A229,'BC.114+320'!$B$13:$X$489,15,0)/1000</f>
        <v>-0.30299999999999999</v>
      </c>
      <c r="J229" s="142">
        <f>VLOOKUP($A229,'BC.114+320'!$B$13:$X$489,20,0)/1000</f>
        <v>1.7689999999999999</v>
      </c>
      <c r="K229" s="142">
        <f>VLOOKUP($A229,'BC.114+320'!$B$13:$X$489,21,0)/1000</f>
        <v>-0.23100000000000001</v>
      </c>
      <c r="L229" s="140">
        <f t="shared" si="12"/>
        <v>-105.99999999999999</v>
      </c>
      <c r="M229" s="141">
        <f t="shared" si="13"/>
        <v>-123</v>
      </c>
      <c r="N229" s="140">
        <f t="shared" si="14"/>
        <v>-111.00000000000001</v>
      </c>
      <c r="O229" s="140"/>
    </row>
    <row r="230" spans="1:15">
      <c r="A230" s="76">
        <f>'BC.114+320'!B229</f>
        <v>45259</v>
      </c>
      <c r="B230" s="140">
        <f t="shared" si="15"/>
        <v>216</v>
      </c>
      <c r="C230" s="142">
        <f>'BC.114+320'!M229/1000</f>
        <v>0.67700000000000005</v>
      </c>
      <c r="D230" s="142">
        <f>'BC.114+320'!AA229</f>
        <v>0.89900000000000002</v>
      </c>
      <c r="E230" s="143">
        <f>'BC.114+320'!AB229</f>
        <v>0.73399999999999999</v>
      </c>
      <c r="F230" s="142">
        <f>VLOOKUP($A230,'BC.114+320'!$B$13:$X$489,8,0)/1000</f>
        <v>1.714</v>
      </c>
      <c r="G230" s="142">
        <f>VLOOKUP($A230,'BC.114+320'!$B$13:$X$489,9,0)/1000</f>
        <v>-0.28599999999999998</v>
      </c>
      <c r="H230" s="142">
        <f>VLOOKUP($A230,'BC.114+320'!$B$13:$X$489,14,0)/1000</f>
        <v>1.6970000000000001</v>
      </c>
      <c r="I230" s="142">
        <f>VLOOKUP($A230,'BC.114+320'!$B$13:$X$489,15,0)/1000</f>
        <v>-0.30299999999999999</v>
      </c>
      <c r="J230" s="142">
        <f>VLOOKUP($A230,'BC.114+320'!$B$13:$X$489,20,0)/1000</f>
        <v>1.7689999999999999</v>
      </c>
      <c r="K230" s="142">
        <f>VLOOKUP($A230,'BC.114+320'!$B$13:$X$489,21,0)/1000</f>
        <v>-0.23100000000000001</v>
      </c>
      <c r="L230" s="140">
        <f t="shared" si="12"/>
        <v>-105.99999999999999</v>
      </c>
      <c r="M230" s="141">
        <f t="shared" si="13"/>
        <v>-123</v>
      </c>
      <c r="N230" s="140">
        <f t="shared" si="14"/>
        <v>-111.00000000000001</v>
      </c>
      <c r="O230" s="140"/>
    </row>
    <row r="231" spans="1:15">
      <c r="A231" s="76">
        <f>'BC.114+320'!B230</f>
        <v>45260</v>
      </c>
      <c r="B231" s="140">
        <f t="shared" si="15"/>
        <v>217</v>
      </c>
      <c r="C231" s="142">
        <f>'BC.114+320'!M230/1000</f>
        <v>0.67700000000000005</v>
      </c>
      <c r="D231" s="142">
        <f>'BC.114+320'!AA230</f>
        <v>0.89900000000000002</v>
      </c>
      <c r="E231" s="143">
        <f>'BC.114+320'!AB230</f>
        <v>0.73399999999999999</v>
      </c>
      <c r="F231" s="142">
        <f>VLOOKUP($A231,'BC.114+320'!$B$13:$X$489,8,0)/1000</f>
        <v>1.714</v>
      </c>
      <c r="G231" s="142">
        <f>VLOOKUP($A231,'BC.114+320'!$B$13:$X$489,9,0)/1000</f>
        <v>-0.28599999999999998</v>
      </c>
      <c r="H231" s="142">
        <f>VLOOKUP($A231,'BC.114+320'!$B$13:$X$489,14,0)/1000</f>
        <v>1.6970000000000001</v>
      </c>
      <c r="I231" s="142">
        <f>VLOOKUP($A231,'BC.114+320'!$B$13:$X$489,15,0)/1000</f>
        <v>-0.30299999999999999</v>
      </c>
      <c r="J231" s="142">
        <f>VLOOKUP($A231,'BC.114+320'!$B$13:$X$489,20,0)/1000</f>
        <v>1.7689999999999999</v>
      </c>
      <c r="K231" s="142">
        <f>VLOOKUP($A231,'BC.114+320'!$B$13:$X$489,21,0)/1000</f>
        <v>-0.23100000000000001</v>
      </c>
      <c r="L231" s="140">
        <f t="shared" si="12"/>
        <v>-105.99999999999999</v>
      </c>
      <c r="M231" s="141">
        <f t="shared" si="13"/>
        <v>-123</v>
      </c>
      <c r="N231" s="140">
        <f t="shared" si="14"/>
        <v>-111.00000000000001</v>
      </c>
      <c r="O231" s="140"/>
    </row>
    <row r="232" spans="1:15">
      <c r="A232" s="76">
        <f>'BC.114+320'!B231</f>
        <v>45261</v>
      </c>
      <c r="B232" s="140">
        <f t="shared" si="15"/>
        <v>218</v>
      </c>
      <c r="C232" s="142">
        <f>'BC.114+320'!M231/1000</f>
        <v>0.67700000000000005</v>
      </c>
      <c r="D232" s="142">
        <f>'BC.114+320'!AA231</f>
        <v>0.89900000000000002</v>
      </c>
      <c r="E232" s="143">
        <f>'BC.114+320'!AB231</f>
        <v>0.73399999999999999</v>
      </c>
      <c r="F232" s="142">
        <f>VLOOKUP($A232,'BC.114+320'!$B$13:$X$489,8,0)/1000</f>
        <v>1.714</v>
      </c>
      <c r="G232" s="142">
        <f>VLOOKUP($A232,'BC.114+320'!$B$13:$X$489,9,0)/1000</f>
        <v>-0.28599999999999998</v>
      </c>
      <c r="H232" s="142">
        <f>VLOOKUP($A232,'BC.114+320'!$B$13:$X$489,14,0)/1000</f>
        <v>1.6970000000000001</v>
      </c>
      <c r="I232" s="142">
        <f>VLOOKUP($A232,'BC.114+320'!$B$13:$X$489,15,0)/1000</f>
        <v>-0.30299999999999999</v>
      </c>
      <c r="J232" s="142">
        <f>VLOOKUP($A232,'BC.114+320'!$B$13:$X$489,20,0)/1000</f>
        <v>1.7689999999999999</v>
      </c>
      <c r="K232" s="142">
        <f>VLOOKUP($A232,'BC.114+320'!$B$13:$X$489,21,0)/1000</f>
        <v>-0.23100000000000001</v>
      </c>
      <c r="L232" s="140">
        <f t="shared" si="12"/>
        <v>-105.99999999999999</v>
      </c>
      <c r="M232" s="141">
        <f t="shared" si="13"/>
        <v>-123</v>
      </c>
      <c r="N232" s="140">
        <f t="shared" si="14"/>
        <v>-111.00000000000001</v>
      </c>
      <c r="O232" s="140"/>
    </row>
    <row r="233" spans="1:15">
      <c r="A233" s="76">
        <f>'BC.114+320'!B232</f>
        <v>45262</v>
      </c>
      <c r="B233" s="140">
        <f t="shared" si="15"/>
        <v>219</v>
      </c>
      <c r="C233" s="142">
        <f>'BC.114+320'!M232/1000</f>
        <v>0.67700000000000005</v>
      </c>
      <c r="D233" s="142">
        <f>'BC.114+320'!AA232</f>
        <v>0.89900000000000002</v>
      </c>
      <c r="E233" s="143">
        <f>'BC.114+320'!AB232</f>
        <v>0.73399999999999999</v>
      </c>
      <c r="F233" s="142">
        <f>VLOOKUP($A233,'BC.114+320'!$B$13:$X$489,8,0)/1000</f>
        <v>1.714</v>
      </c>
      <c r="G233" s="142">
        <f>VLOOKUP($A233,'BC.114+320'!$B$13:$X$489,9,0)/1000</f>
        <v>-0.28599999999999998</v>
      </c>
      <c r="H233" s="142">
        <f>VLOOKUP($A233,'BC.114+320'!$B$13:$X$489,14,0)/1000</f>
        <v>1.6970000000000001</v>
      </c>
      <c r="I233" s="142">
        <f>VLOOKUP($A233,'BC.114+320'!$B$13:$X$489,15,0)/1000</f>
        <v>-0.30299999999999999</v>
      </c>
      <c r="J233" s="142">
        <f>VLOOKUP($A233,'BC.114+320'!$B$13:$X$489,20,0)/1000</f>
        <v>1.7689999999999999</v>
      </c>
      <c r="K233" s="142">
        <f>VLOOKUP($A233,'BC.114+320'!$B$13:$X$489,21,0)/1000</f>
        <v>-0.23100000000000001</v>
      </c>
      <c r="L233" s="140">
        <f t="shared" si="12"/>
        <v>-105.99999999999999</v>
      </c>
      <c r="M233" s="141">
        <f t="shared" si="13"/>
        <v>-123</v>
      </c>
      <c r="N233" s="140">
        <f t="shared" si="14"/>
        <v>-111.00000000000001</v>
      </c>
      <c r="O233" s="140"/>
    </row>
    <row r="234" spans="1:15">
      <c r="A234" s="76">
        <f>'BC.114+320'!B233</f>
        <v>45263</v>
      </c>
      <c r="B234" s="140">
        <f t="shared" si="15"/>
        <v>220</v>
      </c>
      <c r="C234" s="142">
        <f>'BC.114+320'!M233/1000</f>
        <v>0.67700000000000005</v>
      </c>
      <c r="D234" s="142">
        <f>'BC.114+320'!AA233</f>
        <v>0.89900000000000002</v>
      </c>
      <c r="E234" s="143">
        <f>'BC.114+320'!AB233</f>
        <v>0.73399999999999999</v>
      </c>
      <c r="F234" s="142">
        <f>VLOOKUP($A234,'BC.114+320'!$B$13:$X$489,8,0)/1000</f>
        <v>1.714</v>
      </c>
      <c r="G234" s="142">
        <f>VLOOKUP($A234,'BC.114+320'!$B$13:$X$489,9,0)/1000</f>
        <v>-0.28599999999999998</v>
      </c>
      <c r="H234" s="142">
        <f>VLOOKUP($A234,'BC.114+320'!$B$13:$X$489,14,0)/1000</f>
        <v>1.6970000000000001</v>
      </c>
      <c r="I234" s="142">
        <f>VLOOKUP($A234,'BC.114+320'!$B$13:$X$489,15,0)/1000</f>
        <v>-0.30299999999999999</v>
      </c>
      <c r="J234" s="142">
        <f>VLOOKUP($A234,'BC.114+320'!$B$13:$X$489,20,0)/1000</f>
        <v>1.7689999999999999</v>
      </c>
      <c r="K234" s="142">
        <f>VLOOKUP($A234,'BC.114+320'!$B$13:$X$489,21,0)/1000</f>
        <v>-0.23100000000000001</v>
      </c>
      <c r="L234" s="140">
        <f t="shared" si="12"/>
        <v>-105.99999999999999</v>
      </c>
      <c r="M234" s="141">
        <f t="shared" si="13"/>
        <v>-123</v>
      </c>
      <c r="N234" s="140">
        <f t="shared" si="14"/>
        <v>-111.00000000000001</v>
      </c>
      <c r="O234" s="140"/>
    </row>
    <row r="235" spans="1:15">
      <c r="A235" s="76">
        <f>'BC.114+320'!B234</f>
        <v>45264</v>
      </c>
      <c r="B235" s="140">
        <f t="shared" si="15"/>
        <v>221</v>
      </c>
      <c r="C235" s="142">
        <f>'BC.114+320'!M234/1000</f>
        <v>0.67700000000000005</v>
      </c>
      <c r="D235" s="142">
        <f>'BC.114+320'!AA234</f>
        <v>0.89900000000000002</v>
      </c>
      <c r="E235" s="143">
        <f>'BC.114+320'!AB234</f>
        <v>0.73399999999999999</v>
      </c>
      <c r="F235" s="142">
        <f>VLOOKUP($A235,'BC.114+320'!$B$13:$X$489,8,0)/1000</f>
        <v>1.714</v>
      </c>
      <c r="G235" s="142">
        <f>VLOOKUP($A235,'BC.114+320'!$B$13:$X$489,9,0)/1000</f>
        <v>-0.28599999999999998</v>
      </c>
      <c r="H235" s="142">
        <f>VLOOKUP($A235,'BC.114+320'!$B$13:$X$489,14,0)/1000</f>
        <v>1.6970000000000001</v>
      </c>
      <c r="I235" s="142">
        <f>VLOOKUP($A235,'BC.114+320'!$B$13:$X$489,15,0)/1000</f>
        <v>-0.30299999999999999</v>
      </c>
      <c r="J235" s="142">
        <f>VLOOKUP($A235,'BC.114+320'!$B$13:$X$489,20,0)/1000</f>
        <v>1.7689999999999999</v>
      </c>
      <c r="K235" s="142">
        <f>VLOOKUP($A235,'BC.114+320'!$B$13:$X$489,21,0)/1000</f>
        <v>-0.23100000000000001</v>
      </c>
      <c r="L235" s="140">
        <f t="shared" si="12"/>
        <v>-105.99999999999999</v>
      </c>
      <c r="M235" s="141">
        <f t="shared" si="13"/>
        <v>-123</v>
      </c>
      <c r="N235" s="140">
        <f t="shared" si="14"/>
        <v>-111.00000000000001</v>
      </c>
      <c r="O235" s="140"/>
    </row>
    <row r="236" spans="1:15">
      <c r="A236" s="76">
        <f>'BC.114+320'!B235</f>
        <v>45265</v>
      </c>
      <c r="B236" s="140">
        <f t="shared" si="15"/>
        <v>222</v>
      </c>
      <c r="C236" s="142">
        <f>'BC.114+320'!M235/1000</f>
        <v>0.67700000000000005</v>
      </c>
      <c r="D236" s="142">
        <f>'BC.114+320'!AA235</f>
        <v>0.89900000000000002</v>
      </c>
      <c r="E236" s="143">
        <f>'BC.114+320'!AB235</f>
        <v>0.73399999999999999</v>
      </c>
      <c r="F236" s="142">
        <f>VLOOKUP($A236,'BC.114+320'!$B$13:$X$489,8,0)/1000</f>
        <v>1.714</v>
      </c>
      <c r="G236" s="142">
        <f>VLOOKUP($A236,'BC.114+320'!$B$13:$X$489,9,0)/1000</f>
        <v>-0.28599999999999998</v>
      </c>
      <c r="H236" s="142">
        <f>VLOOKUP($A236,'BC.114+320'!$B$13:$X$489,14,0)/1000</f>
        <v>1.6970000000000001</v>
      </c>
      <c r="I236" s="142">
        <f>VLOOKUP($A236,'BC.114+320'!$B$13:$X$489,15,0)/1000</f>
        <v>-0.30299999999999999</v>
      </c>
      <c r="J236" s="142">
        <f>VLOOKUP($A236,'BC.114+320'!$B$13:$X$489,20,0)/1000</f>
        <v>1.7689999999999999</v>
      </c>
      <c r="K236" s="142">
        <f>VLOOKUP($A236,'BC.114+320'!$B$13:$X$489,21,0)/1000</f>
        <v>-0.23100000000000001</v>
      </c>
      <c r="L236" s="140">
        <f t="shared" si="12"/>
        <v>-105.99999999999999</v>
      </c>
      <c r="M236" s="141">
        <f t="shared" si="13"/>
        <v>-123</v>
      </c>
      <c r="N236" s="140">
        <f t="shared" si="14"/>
        <v>-111.00000000000001</v>
      </c>
      <c r="O236" s="140"/>
    </row>
    <row r="237" spans="1:15">
      <c r="A237" s="76">
        <f>'BC.114+320'!B236</f>
        <v>45266</v>
      </c>
      <c r="B237" s="140">
        <f t="shared" si="15"/>
        <v>223</v>
      </c>
      <c r="C237" s="142">
        <f>'BC.114+320'!M236/1000</f>
        <v>0.67700000000000005</v>
      </c>
      <c r="D237" s="142">
        <f>'BC.114+320'!AA236</f>
        <v>0.89900000000000002</v>
      </c>
      <c r="E237" s="143">
        <f>'BC.114+320'!AB236</f>
        <v>0.73399999999999999</v>
      </c>
      <c r="F237" s="142">
        <f>VLOOKUP($A237,'BC.114+320'!$B$13:$X$489,8,0)/1000</f>
        <v>1.714</v>
      </c>
      <c r="G237" s="142">
        <f>VLOOKUP($A237,'BC.114+320'!$B$13:$X$489,9,0)/1000</f>
        <v>-0.28599999999999998</v>
      </c>
      <c r="H237" s="142">
        <f>VLOOKUP($A237,'BC.114+320'!$B$13:$X$489,14,0)/1000</f>
        <v>1.6970000000000001</v>
      </c>
      <c r="I237" s="142">
        <f>VLOOKUP($A237,'BC.114+320'!$B$13:$X$489,15,0)/1000</f>
        <v>-0.30299999999999999</v>
      </c>
      <c r="J237" s="142">
        <f>VLOOKUP($A237,'BC.114+320'!$B$13:$X$489,20,0)/1000</f>
        <v>1.7689999999999999</v>
      </c>
      <c r="K237" s="142">
        <f>VLOOKUP($A237,'BC.114+320'!$B$13:$X$489,21,0)/1000</f>
        <v>-0.23100000000000001</v>
      </c>
      <c r="L237" s="140">
        <f t="shared" si="12"/>
        <v>-105.99999999999999</v>
      </c>
      <c r="M237" s="141">
        <f t="shared" si="13"/>
        <v>-123</v>
      </c>
      <c r="N237" s="140">
        <f t="shared" si="14"/>
        <v>-111.00000000000001</v>
      </c>
      <c r="O237" s="140"/>
    </row>
    <row r="238" spans="1:15">
      <c r="A238" s="76">
        <f>'BC.114+320'!B237</f>
        <v>45267</v>
      </c>
      <c r="B238" s="140">
        <f t="shared" si="15"/>
        <v>224</v>
      </c>
      <c r="C238" s="142">
        <f>'BC.114+320'!M237/1000</f>
        <v>0.67700000000000005</v>
      </c>
      <c r="D238" s="142">
        <f>'BC.114+320'!AA237</f>
        <v>0.89900000000000002</v>
      </c>
      <c r="E238" s="143">
        <f>'BC.114+320'!AB237</f>
        <v>0.73399999999999999</v>
      </c>
      <c r="F238" s="142">
        <f>VLOOKUP($A238,'BC.114+320'!$B$13:$X$489,8,0)/1000</f>
        <v>1.714</v>
      </c>
      <c r="G238" s="142">
        <f>VLOOKUP($A238,'BC.114+320'!$B$13:$X$489,9,0)/1000</f>
        <v>-0.28599999999999998</v>
      </c>
      <c r="H238" s="142">
        <f>VLOOKUP($A238,'BC.114+320'!$B$13:$X$489,14,0)/1000</f>
        <v>1.6970000000000001</v>
      </c>
      <c r="I238" s="142">
        <f>VLOOKUP($A238,'BC.114+320'!$B$13:$X$489,15,0)/1000</f>
        <v>-0.30299999999999999</v>
      </c>
      <c r="J238" s="142">
        <f>VLOOKUP($A238,'BC.114+320'!$B$13:$X$489,20,0)/1000</f>
        <v>1.7689999999999999</v>
      </c>
      <c r="K238" s="142">
        <f>VLOOKUP($A238,'BC.114+320'!$B$13:$X$489,21,0)/1000</f>
        <v>-0.23100000000000001</v>
      </c>
      <c r="L238" s="140">
        <f t="shared" si="12"/>
        <v>-105.99999999999999</v>
      </c>
      <c r="M238" s="141">
        <f t="shared" si="13"/>
        <v>-123</v>
      </c>
      <c r="N238" s="140">
        <f t="shared" si="14"/>
        <v>-111.00000000000001</v>
      </c>
      <c r="O238" s="140"/>
    </row>
    <row r="239" spans="1:15">
      <c r="A239" s="76">
        <f>'BC.114+320'!B238</f>
        <v>45268</v>
      </c>
      <c r="B239" s="140">
        <f t="shared" si="15"/>
        <v>225</v>
      </c>
      <c r="C239" s="142">
        <f>'BC.114+320'!M238/1000</f>
        <v>0.67700000000000005</v>
      </c>
      <c r="D239" s="142">
        <f>'BC.114+320'!AA238</f>
        <v>0.89900000000000002</v>
      </c>
      <c r="E239" s="143">
        <f>'BC.114+320'!AB238</f>
        <v>0.73399999999999999</v>
      </c>
      <c r="F239" s="142">
        <f>VLOOKUP($A239,'BC.114+320'!$B$13:$X$489,8,0)/1000</f>
        <v>1.714</v>
      </c>
      <c r="G239" s="142">
        <f>VLOOKUP($A239,'BC.114+320'!$B$13:$X$489,9,0)/1000</f>
        <v>-0.28599999999999998</v>
      </c>
      <c r="H239" s="142">
        <f>VLOOKUP($A239,'BC.114+320'!$B$13:$X$489,14,0)/1000</f>
        <v>1.6970000000000001</v>
      </c>
      <c r="I239" s="142">
        <f>VLOOKUP($A239,'BC.114+320'!$B$13:$X$489,15,0)/1000</f>
        <v>-0.30299999999999999</v>
      </c>
      <c r="J239" s="142">
        <f>VLOOKUP($A239,'BC.114+320'!$B$13:$X$489,20,0)/1000</f>
        <v>1.7689999999999999</v>
      </c>
      <c r="K239" s="142">
        <f>VLOOKUP($A239,'BC.114+320'!$B$13:$X$489,21,0)/1000</f>
        <v>-0.23100000000000001</v>
      </c>
      <c r="L239" s="140">
        <f t="shared" si="12"/>
        <v>-105.99999999999999</v>
      </c>
      <c r="M239" s="141">
        <f t="shared" si="13"/>
        <v>-123</v>
      </c>
      <c r="N239" s="140">
        <f t="shared" si="14"/>
        <v>-111.00000000000001</v>
      </c>
      <c r="O239" s="140"/>
    </row>
    <row r="240" spans="1:15">
      <c r="A240" s="76">
        <f>'BC.114+320'!B239</f>
        <v>45269</v>
      </c>
      <c r="B240" s="140">
        <f t="shared" si="15"/>
        <v>226</v>
      </c>
      <c r="C240" s="142">
        <f>'BC.114+320'!M239/1000</f>
        <v>0.67700000000000005</v>
      </c>
      <c r="D240" s="142">
        <f>'BC.114+320'!AA239</f>
        <v>0.89900000000000002</v>
      </c>
      <c r="E240" s="143">
        <f>'BC.114+320'!AB239</f>
        <v>0.73399999999999999</v>
      </c>
      <c r="F240" s="142">
        <f>VLOOKUP($A240,'BC.114+320'!$B$13:$X$489,8,0)/1000</f>
        <v>1.714</v>
      </c>
      <c r="G240" s="142">
        <f>VLOOKUP($A240,'BC.114+320'!$B$13:$X$489,9,0)/1000</f>
        <v>-0.28599999999999998</v>
      </c>
      <c r="H240" s="142">
        <f>VLOOKUP($A240,'BC.114+320'!$B$13:$X$489,14,0)/1000</f>
        <v>1.6970000000000001</v>
      </c>
      <c r="I240" s="142">
        <f>VLOOKUP($A240,'BC.114+320'!$B$13:$X$489,15,0)/1000</f>
        <v>-0.30299999999999999</v>
      </c>
      <c r="J240" s="142">
        <f>VLOOKUP($A240,'BC.114+320'!$B$13:$X$489,20,0)/1000</f>
        <v>1.7689999999999999</v>
      </c>
      <c r="K240" s="142">
        <f>VLOOKUP($A240,'BC.114+320'!$B$13:$X$489,21,0)/1000</f>
        <v>-0.23100000000000001</v>
      </c>
      <c r="L240" s="140">
        <f t="shared" si="12"/>
        <v>-105.99999999999999</v>
      </c>
      <c r="M240" s="141">
        <f t="shared" si="13"/>
        <v>-123</v>
      </c>
      <c r="N240" s="140">
        <f t="shared" si="14"/>
        <v>-111.00000000000001</v>
      </c>
      <c r="O240" s="140"/>
    </row>
    <row r="241" spans="1:15">
      <c r="A241" s="76">
        <f>'BC.114+320'!B240</f>
        <v>45270</v>
      </c>
      <c r="B241" s="140">
        <f t="shared" si="15"/>
        <v>227</v>
      </c>
      <c r="C241" s="142">
        <f>'BC.114+320'!M240/1000</f>
        <v>0.67700000000000005</v>
      </c>
      <c r="D241" s="142">
        <f>'BC.114+320'!AA240</f>
        <v>0.89900000000000002</v>
      </c>
      <c r="E241" s="143">
        <f>'BC.114+320'!AB240</f>
        <v>0.73399999999999999</v>
      </c>
      <c r="F241" s="142">
        <f>VLOOKUP($A241,'BC.114+320'!$B$13:$X$489,8,0)/1000</f>
        <v>1.714</v>
      </c>
      <c r="G241" s="142">
        <f>VLOOKUP($A241,'BC.114+320'!$B$13:$X$489,9,0)/1000</f>
        <v>-0.28599999999999998</v>
      </c>
      <c r="H241" s="142">
        <f>VLOOKUP($A241,'BC.114+320'!$B$13:$X$489,14,0)/1000</f>
        <v>1.6970000000000001</v>
      </c>
      <c r="I241" s="142">
        <f>VLOOKUP($A241,'BC.114+320'!$B$13:$X$489,15,0)/1000</f>
        <v>-0.30299999999999999</v>
      </c>
      <c r="J241" s="142">
        <f>VLOOKUP($A241,'BC.114+320'!$B$13:$X$489,20,0)/1000</f>
        <v>1.7689999999999999</v>
      </c>
      <c r="K241" s="142">
        <f>VLOOKUP($A241,'BC.114+320'!$B$13:$X$489,21,0)/1000</f>
        <v>-0.23100000000000001</v>
      </c>
      <c r="L241" s="140">
        <f t="shared" si="12"/>
        <v>-105.99999999999999</v>
      </c>
      <c r="M241" s="141">
        <f t="shared" si="13"/>
        <v>-123</v>
      </c>
      <c r="N241" s="140">
        <f t="shared" si="14"/>
        <v>-111.00000000000001</v>
      </c>
      <c r="O241" s="140"/>
    </row>
    <row r="242" spans="1:15">
      <c r="A242" s="76">
        <f>'BC.114+320'!B241</f>
        <v>45271</v>
      </c>
      <c r="B242" s="140">
        <f t="shared" si="15"/>
        <v>228</v>
      </c>
      <c r="C242" s="142">
        <f>'BC.114+320'!M241/1000</f>
        <v>0.67700000000000005</v>
      </c>
      <c r="D242" s="142">
        <f>'BC.114+320'!AA241</f>
        <v>0.89900000000000002</v>
      </c>
      <c r="E242" s="143">
        <f>'BC.114+320'!AB241</f>
        <v>0.73399999999999999</v>
      </c>
      <c r="F242" s="142">
        <f>VLOOKUP($A242,'BC.114+320'!$B$13:$X$489,8,0)/1000</f>
        <v>1.714</v>
      </c>
      <c r="G242" s="142">
        <f>VLOOKUP($A242,'BC.114+320'!$B$13:$X$489,9,0)/1000</f>
        <v>-0.28599999999999998</v>
      </c>
      <c r="H242" s="142">
        <f>VLOOKUP($A242,'BC.114+320'!$B$13:$X$489,14,0)/1000</f>
        <v>1.6970000000000001</v>
      </c>
      <c r="I242" s="142">
        <f>VLOOKUP($A242,'BC.114+320'!$B$13:$X$489,15,0)/1000</f>
        <v>-0.30299999999999999</v>
      </c>
      <c r="J242" s="142">
        <f>VLOOKUP($A242,'BC.114+320'!$B$13:$X$489,20,0)/1000</f>
        <v>1.7689999999999999</v>
      </c>
      <c r="K242" s="142">
        <f>VLOOKUP($A242,'BC.114+320'!$B$13:$X$489,21,0)/1000</f>
        <v>-0.23100000000000001</v>
      </c>
      <c r="L242" s="140">
        <f t="shared" si="12"/>
        <v>-105.99999999999999</v>
      </c>
      <c r="M242" s="141">
        <f t="shared" si="13"/>
        <v>-123</v>
      </c>
      <c r="N242" s="140">
        <f t="shared" si="14"/>
        <v>-111.00000000000001</v>
      </c>
      <c r="O242" s="140"/>
    </row>
    <row r="243" spans="1:15">
      <c r="A243" s="76">
        <f>'BC.114+320'!B242</f>
        <v>45272</v>
      </c>
      <c r="B243" s="140">
        <f t="shared" si="15"/>
        <v>229</v>
      </c>
      <c r="C243" s="142">
        <f>'BC.114+320'!M242/1000</f>
        <v>0.67700000000000005</v>
      </c>
      <c r="D243" s="142">
        <f>'BC.114+320'!AA242</f>
        <v>0.89900000000000002</v>
      </c>
      <c r="E243" s="143">
        <f>'BC.114+320'!AB242</f>
        <v>0.73399999999999999</v>
      </c>
      <c r="F243" s="142">
        <f>VLOOKUP($A243,'BC.114+320'!$B$13:$X$489,8,0)/1000</f>
        <v>1.714</v>
      </c>
      <c r="G243" s="142">
        <f>VLOOKUP($A243,'BC.114+320'!$B$13:$X$489,9,0)/1000</f>
        <v>-0.28599999999999998</v>
      </c>
      <c r="H243" s="142">
        <f>VLOOKUP($A243,'BC.114+320'!$B$13:$X$489,14,0)/1000</f>
        <v>1.6970000000000001</v>
      </c>
      <c r="I243" s="142">
        <f>VLOOKUP($A243,'BC.114+320'!$B$13:$X$489,15,0)/1000</f>
        <v>-0.30299999999999999</v>
      </c>
      <c r="J243" s="142">
        <f>VLOOKUP($A243,'BC.114+320'!$B$13:$X$489,20,0)/1000</f>
        <v>1.7689999999999999</v>
      </c>
      <c r="K243" s="142">
        <f>VLOOKUP($A243,'BC.114+320'!$B$13:$X$489,21,0)/1000</f>
        <v>-0.23100000000000001</v>
      </c>
      <c r="L243" s="140">
        <f t="shared" si="12"/>
        <v>-105.99999999999999</v>
      </c>
      <c r="M243" s="141">
        <f t="shared" si="13"/>
        <v>-123</v>
      </c>
      <c r="N243" s="140">
        <f t="shared" si="14"/>
        <v>-111.00000000000001</v>
      </c>
      <c r="O243" s="140"/>
    </row>
    <row r="244" spans="1:15">
      <c r="A244" s="76">
        <f>'BC.114+320'!B243</f>
        <v>45273</v>
      </c>
      <c r="B244" s="140">
        <f t="shared" si="15"/>
        <v>230</v>
      </c>
      <c r="C244" s="142">
        <f>'BC.114+320'!M243/1000</f>
        <v>0.67700000000000005</v>
      </c>
      <c r="D244" s="142">
        <f>'BC.114+320'!AA243</f>
        <v>0.89900000000000002</v>
      </c>
      <c r="E244" s="143">
        <f>'BC.114+320'!AB243</f>
        <v>0.73399999999999999</v>
      </c>
      <c r="F244" s="142">
        <f>VLOOKUP($A244,'BC.114+320'!$B$13:$X$489,8,0)/1000</f>
        <v>1.714</v>
      </c>
      <c r="G244" s="142">
        <f>VLOOKUP($A244,'BC.114+320'!$B$13:$X$489,9,0)/1000</f>
        <v>-0.28599999999999998</v>
      </c>
      <c r="H244" s="142">
        <f>VLOOKUP($A244,'BC.114+320'!$B$13:$X$489,14,0)/1000</f>
        <v>1.6970000000000001</v>
      </c>
      <c r="I244" s="142">
        <f>VLOOKUP($A244,'BC.114+320'!$B$13:$X$489,15,0)/1000</f>
        <v>-0.30299999999999999</v>
      </c>
      <c r="J244" s="142">
        <f>VLOOKUP($A244,'BC.114+320'!$B$13:$X$489,20,0)/1000</f>
        <v>1.7689999999999999</v>
      </c>
      <c r="K244" s="142">
        <f>VLOOKUP($A244,'BC.114+320'!$B$13:$X$489,21,0)/1000</f>
        <v>-0.23100000000000001</v>
      </c>
      <c r="L244" s="140">
        <f t="shared" si="12"/>
        <v>-105.99999999999999</v>
      </c>
      <c r="M244" s="141">
        <f t="shared" si="13"/>
        <v>-123</v>
      </c>
      <c r="N244" s="140">
        <f t="shared" si="14"/>
        <v>-111.00000000000001</v>
      </c>
      <c r="O244" s="140"/>
    </row>
    <row r="245" spans="1:15">
      <c r="A245" s="76">
        <f>'BC.114+320'!B244</f>
        <v>45274</v>
      </c>
      <c r="B245" s="140">
        <f t="shared" si="15"/>
        <v>231</v>
      </c>
      <c r="C245" s="142">
        <f>'BC.114+320'!M244/1000</f>
        <v>0.67700000000000005</v>
      </c>
      <c r="D245" s="142">
        <f>'BC.114+320'!AA244</f>
        <v>0.89900000000000002</v>
      </c>
      <c r="E245" s="143">
        <f>'BC.114+320'!AB244</f>
        <v>0.73399999999999999</v>
      </c>
      <c r="F245" s="142">
        <f>VLOOKUP($A245,'BC.114+320'!$B$13:$X$489,8,0)/1000</f>
        <v>1.714</v>
      </c>
      <c r="G245" s="142">
        <f>VLOOKUP($A245,'BC.114+320'!$B$13:$X$489,9,0)/1000</f>
        <v>-0.28599999999999998</v>
      </c>
      <c r="H245" s="142">
        <f>VLOOKUP($A245,'BC.114+320'!$B$13:$X$489,14,0)/1000</f>
        <v>1.6970000000000001</v>
      </c>
      <c r="I245" s="142">
        <f>VLOOKUP($A245,'BC.114+320'!$B$13:$X$489,15,0)/1000</f>
        <v>-0.30299999999999999</v>
      </c>
      <c r="J245" s="142">
        <f>VLOOKUP($A245,'BC.114+320'!$B$13:$X$489,20,0)/1000</f>
        <v>1.7689999999999999</v>
      </c>
      <c r="K245" s="142">
        <f>VLOOKUP($A245,'BC.114+320'!$B$13:$X$489,21,0)/1000</f>
        <v>-0.23100000000000001</v>
      </c>
      <c r="L245" s="140">
        <f t="shared" si="12"/>
        <v>-105.99999999999999</v>
      </c>
      <c r="M245" s="141">
        <f t="shared" si="13"/>
        <v>-123</v>
      </c>
      <c r="N245" s="140">
        <f t="shared" si="14"/>
        <v>-111.00000000000001</v>
      </c>
      <c r="O245" s="140"/>
    </row>
    <row r="246" spans="1:15">
      <c r="A246" s="76">
        <f>'BC.114+320'!B245</f>
        <v>45275</v>
      </c>
      <c r="B246" s="140">
        <f t="shared" si="15"/>
        <v>232</v>
      </c>
      <c r="C246" s="142">
        <f>'BC.114+320'!M245/1000</f>
        <v>0.67700000000000005</v>
      </c>
      <c r="D246" s="142">
        <f>'BC.114+320'!AA245</f>
        <v>0.89900000000000002</v>
      </c>
      <c r="E246" s="143">
        <f>'BC.114+320'!AB245</f>
        <v>0.73399999999999999</v>
      </c>
      <c r="F246" s="142">
        <f>VLOOKUP($A246,'BC.114+320'!$B$13:$X$489,8,0)/1000</f>
        <v>1.714</v>
      </c>
      <c r="G246" s="142">
        <f>VLOOKUP($A246,'BC.114+320'!$B$13:$X$489,9,0)/1000</f>
        <v>-0.28599999999999998</v>
      </c>
      <c r="H246" s="142">
        <f>VLOOKUP($A246,'BC.114+320'!$B$13:$X$489,14,0)/1000</f>
        <v>1.6970000000000001</v>
      </c>
      <c r="I246" s="142">
        <f>VLOOKUP($A246,'BC.114+320'!$B$13:$X$489,15,0)/1000</f>
        <v>-0.30299999999999999</v>
      </c>
      <c r="J246" s="142">
        <f>VLOOKUP($A246,'BC.114+320'!$B$13:$X$489,20,0)/1000</f>
        <v>1.7689999999999999</v>
      </c>
      <c r="K246" s="142">
        <f>VLOOKUP($A246,'BC.114+320'!$B$13:$X$489,21,0)/1000</f>
        <v>-0.23100000000000001</v>
      </c>
      <c r="L246" s="140">
        <f t="shared" si="12"/>
        <v>-105.99999999999999</v>
      </c>
      <c r="M246" s="141">
        <f t="shared" si="13"/>
        <v>-123</v>
      </c>
      <c r="N246" s="140">
        <f t="shared" si="14"/>
        <v>-111.00000000000001</v>
      </c>
      <c r="O246" s="140"/>
    </row>
    <row r="247" spans="1:15">
      <c r="A247" s="76">
        <f>'BC.114+320'!B246</f>
        <v>45276</v>
      </c>
      <c r="B247" s="140">
        <f t="shared" si="15"/>
        <v>233</v>
      </c>
      <c r="C247" s="142">
        <f>'BC.114+320'!M246/1000</f>
        <v>0.67700000000000005</v>
      </c>
      <c r="D247" s="142">
        <f>'BC.114+320'!AA246</f>
        <v>0.89900000000000002</v>
      </c>
      <c r="E247" s="143">
        <f>'BC.114+320'!AB246</f>
        <v>0.73399999999999999</v>
      </c>
      <c r="F247" s="142">
        <f>VLOOKUP($A247,'BC.114+320'!$B$13:$X$489,8,0)/1000</f>
        <v>1.714</v>
      </c>
      <c r="G247" s="142">
        <f>VLOOKUP($A247,'BC.114+320'!$B$13:$X$489,9,0)/1000</f>
        <v>-0.28599999999999998</v>
      </c>
      <c r="H247" s="142">
        <f>VLOOKUP($A247,'BC.114+320'!$B$13:$X$489,14,0)/1000</f>
        <v>1.6970000000000001</v>
      </c>
      <c r="I247" s="142">
        <f>VLOOKUP($A247,'BC.114+320'!$B$13:$X$489,15,0)/1000</f>
        <v>-0.30299999999999999</v>
      </c>
      <c r="J247" s="142">
        <f>VLOOKUP($A247,'BC.114+320'!$B$13:$X$489,20,0)/1000</f>
        <v>1.7689999999999999</v>
      </c>
      <c r="K247" s="142">
        <f>VLOOKUP($A247,'BC.114+320'!$B$13:$X$489,21,0)/1000</f>
        <v>-0.23100000000000001</v>
      </c>
      <c r="L247" s="140">
        <f t="shared" si="12"/>
        <v>-105.99999999999999</v>
      </c>
      <c r="M247" s="141">
        <f t="shared" si="13"/>
        <v>-123</v>
      </c>
      <c r="N247" s="140">
        <f t="shared" si="14"/>
        <v>-111.00000000000001</v>
      </c>
      <c r="O247" s="140"/>
    </row>
    <row r="248" spans="1:15">
      <c r="A248" s="76">
        <f>'BC.114+320'!B247</f>
        <v>45277</v>
      </c>
      <c r="B248" s="140">
        <f t="shared" si="15"/>
        <v>234</v>
      </c>
      <c r="C248" s="142">
        <f>'BC.114+320'!M247/1000</f>
        <v>0.67700000000000005</v>
      </c>
      <c r="D248" s="142">
        <f>'BC.114+320'!AA247</f>
        <v>0.89900000000000002</v>
      </c>
      <c r="E248" s="143">
        <f>'BC.114+320'!AB247</f>
        <v>0.73399999999999999</v>
      </c>
      <c r="F248" s="142">
        <f>VLOOKUP($A248,'BC.114+320'!$B$13:$X$489,8,0)/1000</f>
        <v>1.714</v>
      </c>
      <c r="G248" s="142">
        <f>VLOOKUP($A248,'BC.114+320'!$B$13:$X$489,9,0)/1000</f>
        <v>-0.28599999999999998</v>
      </c>
      <c r="H248" s="142">
        <f>VLOOKUP($A248,'BC.114+320'!$B$13:$X$489,14,0)/1000</f>
        <v>1.6970000000000001</v>
      </c>
      <c r="I248" s="142">
        <f>VLOOKUP($A248,'BC.114+320'!$B$13:$X$489,15,0)/1000</f>
        <v>-0.30299999999999999</v>
      </c>
      <c r="J248" s="142">
        <f>VLOOKUP($A248,'BC.114+320'!$B$13:$X$489,20,0)/1000</f>
        <v>1.7689999999999999</v>
      </c>
      <c r="K248" s="142">
        <f>VLOOKUP($A248,'BC.114+320'!$B$13:$X$489,21,0)/1000</f>
        <v>-0.23100000000000001</v>
      </c>
      <c r="L248" s="140">
        <f t="shared" si="12"/>
        <v>-105.99999999999999</v>
      </c>
      <c r="M248" s="141">
        <f t="shared" si="13"/>
        <v>-123</v>
      </c>
      <c r="N248" s="140">
        <f t="shared" si="14"/>
        <v>-111.00000000000001</v>
      </c>
      <c r="O248" s="140"/>
    </row>
    <row r="249" spans="1:15">
      <c r="A249" s="76">
        <f>'BC.114+320'!B248</f>
        <v>45278</v>
      </c>
      <c r="B249" s="140">
        <f t="shared" si="15"/>
        <v>235</v>
      </c>
      <c r="C249" s="142">
        <f>'BC.114+320'!M248/1000</f>
        <v>0.67700000000000005</v>
      </c>
      <c r="D249" s="142">
        <f>'BC.114+320'!AA248</f>
        <v>0.89900000000000002</v>
      </c>
      <c r="E249" s="143">
        <f>'BC.114+320'!AB248</f>
        <v>0.73399999999999999</v>
      </c>
      <c r="F249" s="142">
        <f>VLOOKUP($A249,'BC.114+320'!$B$13:$X$489,8,0)/1000</f>
        <v>1.714</v>
      </c>
      <c r="G249" s="142">
        <f>VLOOKUP($A249,'BC.114+320'!$B$13:$X$489,9,0)/1000</f>
        <v>-0.28599999999999998</v>
      </c>
      <c r="H249" s="142">
        <f>VLOOKUP($A249,'BC.114+320'!$B$13:$X$489,14,0)/1000</f>
        <v>1.6970000000000001</v>
      </c>
      <c r="I249" s="142">
        <f>VLOOKUP($A249,'BC.114+320'!$B$13:$X$489,15,0)/1000</f>
        <v>-0.30299999999999999</v>
      </c>
      <c r="J249" s="142">
        <f>VLOOKUP($A249,'BC.114+320'!$B$13:$X$489,20,0)/1000</f>
        <v>1.7689999999999999</v>
      </c>
      <c r="K249" s="142">
        <f>VLOOKUP($A249,'BC.114+320'!$B$13:$X$489,21,0)/1000</f>
        <v>-0.23100000000000001</v>
      </c>
      <c r="L249" s="140">
        <f t="shared" si="12"/>
        <v>-105.99999999999999</v>
      </c>
      <c r="M249" s="141">
        <f t="shared" si="13"/>
        <v>-123</v>
      </c>
      <c r="N249" s="140">
        <f t="shared" si="14"/>
        <v>-111.00000000000001</v>
      </c>
      <c r="O249" s="140"/>
    </row>
    <row r="250" spans="1:15">
      <c r="A250" s="76">
        <f>'BC.114+320'!B249</f>
        <v>45279</v>
      </c>
      <c r="B250" s="140">
        <f t="shared" si="15"/>
        <v>236</v>
      </c>
      <c r="C250" s="142">
        <f>'BC.114+320'!M249/1000</f>
        <v>0.67700000000000005</v>
      </c>
      <c r="D250" s="142">
        <f>'BC.114+320'!AA249</f>
        <v>0.89900000000000002</v>
      </c>
      <c r="E250" s="143">
        <f>'BC.114+320'!AB249</f>
        <v>0.73399999999999999</v>
      </c>
      <c r="F250" s="142">
        <f>VLOOKUP($A250,'BC.114+320'!$B$13:$X$489,8,0)/1000</f>
        <v>1.714</v>
      </c>
      <c r="G250" s="142">
        <f>VLOOKUP($A250,'BC.114+320'!$B$13:$X$489,9,0)/1000</f>
        <v>-0.28599999999999998</v>
      </c>
      <c r="H250" s="142">
        <f>VLOOKUP($A250,'BC.114+320'!$B$13:$X$489,14,0)/1000</f>
        <v>1.6970000000000001</v>
      </c>
      <c r="I250" s="142">
        <f>VLOOKUP($A250,'BC.114+320'!$B$13:$X$489,15,0)/1000</f>
        <v>-0.30299999999999999</v>
      </c>
      <c r="J250" s="142">
        <f>VLOOKUP($A250,'BC.114+320'!$B$13:$X$489,20,0)/1000</f>
        <v>1.7689999999999999</v>
      </c>
      <c r="K250" s="142">
        <f>VLOOKUP($A250,'BC.114+320'!$B$13:$X$489,21,0)/1000</f>
        <v>-0.23100000000000001</v>
      </c>
      <c r="L250" s="140">
        <f t="shared" si="12"/>
        <v>-105.99999999999999</v>
      </c>
      <c r="M250" s="141">
        <f t="shared" si="13"/>
        <v>-123</v>
      </c>
      <c r="N250" s="140">
        <f t="shared" si="14"/>
        <v>-111.00000000000001</v>
      </c>
      <c r="O250" s="140"/>
    </row>
    <row r="251" spans="1:15">
      <c r="A251" s="76">
        <f>'BC.114+320'!B250</f>
        <v>45280</v>
      </c>
      <c r="B251" s="140">
        <f t="shared" si="15"/>
        <v>237</v>
      </c>
      <c r="C251" s="142">
        <f>'BC.114+320'!M250/1000</f>
        <v>0.67700000000000005</v>
      </c>
      <c r="D251" s="142">
        <f>'BC.114+320'!AA250</f>
        <v>0.89900000000000002</v>
      </c>
      <c r="E251" s="143">
        <f>'BC.114+320'!AB250</f>
        <v>0.73399999999999999</v>
      </c>
      <c r="F251" s="142">
        <f>VLOOKUP($A251,'BC.114+320'!$B$13:$X$489,8,0)/1000</f>
        <v>1.714</v>
      </c>
      <c r="G251" s="142">
        <f>VLOOKUP($A251,'BC.114+320'!$B$13:$X$489,9,0)/1000</f>
        <v>-0.28599999999999998</v>
      </c>
      <c r="H251" s="142">
        <f>VLOOKUP($A251,'BC.114+320'!$B$13:$X$489,14,0)/1000</f>
        <v>1.6970000000000001</v>
      </c>
      <c r="I251" s="142">
        <f>VLOOKUP($A251,'BC.114+320'!$B$13:$X$489,15,0)/1000</f>
        <v>-0.30299999999999999</v>
      </c>
      <c r="J251" s="142">
        <f>VLOOKUP($A251,'BC.114+320'!$B$13:$X$489,20,0)/1000</f>
        <v>1.7689999999999999</v>
      </c>
      <c r="K251" s="142">
        <f>VLOOKUP($A251,'BC.114+320'!$B$13:$X$489,21,0)/1000</f>
        <v>-0.23100000000000001</v>
      </c>
      <c r="L251" s="140">
        <f t="shared" si="12"/>
        <v>-105.99999999999999</v>
      </c>
      <c r="M251" s="141">
        <f t="shared" si="13"/>
        <v>-123</v>
      </c>
      <c r="N251" s="140">
        <f t="shared" si="14"/>
        <v>-111.00000000000001</v>
      </c>
      <c r="O251" s="140"/>
    </row>
    <row r="252" spans="1:15">
      <c r="A252" s="76">
        <f>'BC.114+320'!B251</f>
        <v>45281</v>
      </c>
      <c r="B252" s="140">
        <f t="shared" si="15"/>
        <v>238</v>
      </c>
      <c r="C252" s="142">
        <f>'BC.114+320'!M251/1000</f>
        <v>0.67700000000000005</v>
      </c>
      <c r="D252" s="142">
        <f>'BC.114+320'!AA251</f>
        <v>0.89900000000000002</v>
      </c>
      <c r="E252" s="143">
        <f>'BC.114+320'!AB251</f>
        <v>0.73399999999999999</v>
      </c>
      <c r="F252" s="142">
        <f>VLOOKUP($A252,'BC.114+320'!$B$13:$X$489,8,0)/1000</f>
        <v>1.714</v>
      </c>
      <c r="G252" s="142">
        <f>VLOOKUP($A252,'BC.114+320'!$B$13:$X$489,9,0)/1000</f>
        <v>-0.28599999999999998</v>
      </c>
      <c r="H252" s="142">
        <f>VLOOKUP($A252,'BC.114+320'!$B$13:$X$489,14,0)/1000</f>
        <v>1.6970000000000001</v>
      </c>
      <c r="I252" s="142">
        <f>VLOOKUP($A252,'BC.114+320'!$B$13:$X$489,15,0)/1000</f>
        <v>-0.30299999999999999</v>
      </c>
      <c r="J252" s="142">
        <f>VLOOKUP($A252,'BC.114+320'!$B$13:$X$489,20,0)/1000</f>
        <v>1.7689999999999999</v>
      </c>
      <c r="K252" s="142">
        <f>VLOOKUP($A252,'BC.114+320'!$B$13:$X$489,21,0)/1000</f>
        <v>-0.23100000000000001</v>
      </c>
      <c r="L252" s="140">
        <f t="shared" si="12"/>
        <v>-105.99999999999999</v>
      </c>
      <c r="M252" s="141">
        <f t="shared" si="13"/>
        <v>-123</v>
      </c>
      <c r="N252" s="140">
        <f t="shared" si="14"/>
        <v>-111.00000000000001</v>
      </c>
      <c r="O252" s="140"/>
    </row>
    <row r="253" spans="1:15">
      <c r="A253" s="76">
        <f>'BC.114+320'!B252</f>
        <v>45282</v>
      </c>
      <c r="B253" s="140">
        <f t="shared" si="15"/>
        <v>239</v>
      </c>
      <c r="C253" s="142">
        <f>'BC.114+320'!M252/1000</f>
        <v>0.67700000000000005</v>
      </c>
      <c r="D253" s="142">
        <f>'BC.114+320'!AA252</f>
        <v>0.89900000000000002</v>
      </c>
      <c r="E253" s="143">
        <f>'BC.114+320'!AB252</f>
        <v>0.73399999999999999</v>
      </c>
      <c r="F253" s="142">
        <f>VLOOKUP($A253,'BC.114+320'!$B$13:$X$489,8,0)/1000</f>
        <v>1.714</v>
      </c>
      <c r="G253" s="142">
        <f>VLOOKUP($A253,'BC.114+320'!$B$13:$X$489,9,0)/1000</f>
        <v>-0.28599999999999998</v>
      </c>
      <c r="H253" s="142">
        <f>VLOOKUP($A253,'BC.114+320'!$B$13:$X$489,14,0)/1000</f>
        <v>1.6970000000000001</v>
      </c>
      <c r="I253" s="142">
        <f>VLOOKUP($A253,'BC.114+320'!$B$13:$X$489,15,0)/1000</f>
        <v>-0.30299999999999999</v>
      </c>
      <c r="J253" s="142">
        <f>VLOOKUP($A253,'BC.114+320'!$B$13:$X$489,20,0)/1000</f>
        <v>1.7689999999999999</v>
      </c>
      <c r="K253" s="142">
        <f>VLOOKUP($A253,'BC.114+320'!$B$13:$X$489,21,0)/1000</f>
        <v>-0.23100000000000001</v>
      </c>
      <c r="L253" s="140">
        <f t="shared" si="12"/>
        <v>-105.99999999999999</v>
      </c>
      <c r="M253" s="141">
        <f t="shared" si="13"/>
        <v>-123</v>
      </c>
      <c r="N253" s="140">
        <f t="shared" si="14"/>
        <v>-111.00000000000001</v>
      </c>
      <c r="O253" s="140"/>
    </row>
    <row r="254" spans="1:15">
      <c r="A254" s="76">
        <f>'BC.114+320'!B253</f>
        <v>45283</v>
      </c>
      <c r="B254" s="140">
        <f t="shared" si="15"/>
        <v>240</v>
      </c>
      <c r="C254" s="142">
        <f>'BC.114+320'!M253/1000</f>
        <v>0.67700000000000005</v>
      </c>
      <c r="D254" s="142">
        <f>'BC.114+320'!AA253</f>
        <v>0.89900000000000002</v>
      </c>
      <c r="E254" s="143">
        <f>'BC.114+320'!AB253</f>
        <v>0.73399999999999999</v>
      </c>
      <c r="F254" s="142">
        <f>VLOOKUP($A254,'BC.114+320'!$B$13:$X$489,8,0)/1000</f>
        <v>1.714</v>
      </c>
      <c r="G254" s="142">
        <f>VLOOKUP($A254,'BC.114+320'!$B$13:$X$489,9,0)/1000</f>
        <v>-0.28599999999999998</v>
      </c>
      <c r="H254" s="142">
        <f>VLOOKUP($A254,'BC.114+320'!$B$13:$X$489,14,0)/1000</f>
        <v>1.6970000000000001</v>
      </c>
      <c r="I254" s="142">
        <f>VLOOKUP($A254,'BC.114+320'!$B$13:$X$489,15,0)/1000</f>
        <v>-0.30299999999999999</v>
      </c>
      <c r="J254" s="142">
        <f>VLOOKUP($A254,'BC.114+320'!$B$13:$X$489,20,0)/1000</f>
        <v>1.7689999999999999</v>
      </c>
      <c r="K254" s="142">
        <f>VLOOKUP($A254,'BC.114+320'!$B$13:$X$489,21,0)/1000</f>
        <v>-0.23100000000000001</v>
      </c>
      <c r="L254" s="140">
        <f t="shared" si="12"/>
        <v>-105.99999999999999</v>
      </c>
      <c r="M254" s="141">
        <f t="shared" si="13"/>
        <v>-123</v>
      </c>
      <c r="N254" s="140">
        <f t="shared" si="14"/>
        <v>-111.00000000000001</v>
      </c>
      <c r="O254" s="140"/>
    </row>
    <row r="255" spans="1:15">
      <c r="A255" s="76">
        <f>'BC.114+320'!B254</f>
        <v>45284</v>
      </c>
      <c r="B255" s="140">
        <f t="shared" si="15"/>
        <v>241</v>
      </c>
      <c r="C255" s="142">
        <f>'BC.114+320'!M254/1000</f>
        <v>0.67700000000000005</v>
      </c>
      <c r="D255" s="142">
        <f>'BC.114+320'!AA254</f>
        <v>0.89900000000000002</v>
      </c>
      <c r="E255" s="143">
        <f>'BC.114+320'!AB254</f>
        <v>0.73399999999999999</v>
      </c>
      <c r="F255" s="142">
        <f>VLOOKUP($A255,'BC.114+320'!$B$13:$X$489,8,0)/1000</f>
        <v>1.714</v>
      </c>
      <c r="G255" s="142">
        <f>VLOOKUP($A255,'BC.114+320'!$B$13:$X$489,9,0)/1000</f>
        <v>-0.28599999999999998</v>
      </c>
      <c r="H255" s="142">
        <f>VLOOKUP($A255,'BC.114+320'!$B$13:$X$489,14,0)/1000</f>
        <v>1.6970000000000001</v>
      </c>
      <c r="I255" s="142">
        <f>VLOOKUP($A255,'BC.114+320'!$B$13:$X$489,15,0)/1000</f>
        <v>-0.30299999999999999</v>
      </c>
      <c r="J255" s="142">
        <f>VLOOKUP($A255,'BC.114+320'!$B$13:$X$489,20,0)/1000</f>
        <v>1.7689999999999999</v>
      </c>
      <c r="K255" s="142">
        <f>VLOOKUP($A255,'BC.114+320'!$B$13:$X$489,21,0)/1000</f>
        <v>-0.23100000000000001</v>
      </c>
      <c r="L255" s="140">
        <f t="shared" si="12"/>
        <v>-105.99999999999999</v>
      </c>
      <c r="M255" s="141">
        <f t="shared" si="13"/>
        <v>-123</v>
      </c>
      <c r="N255" s="140">
        <f t="shared" si="14"/>
        <v>-111.00000000000001</v>
      </c>
      <c r="O255" s="140"/>
    </row>
    <row r="256" spans="1:15">
      <c r="A256" s="76">
        <f>'BC.114+320'!B255</f>
        <v>45285</v>
      </c>
      <c r="B256" s="140">
        <f t="shared" si="15"/>
        <v>242</v>
      </c>
      <c r="C256" s="142">
        <f>'BC.114+320'!M255/1000</f>
        <v>0.67700000000000005</v>
      </c>
      <c r="D256" s="142">
        <f>'BC.114+320'!AA255</f>
        <v>0.89900000000000002</v>
      </c>
      <c r="E256" s="143">
        <f>'BC.114+320'!AB255</f>
        <v>0.73399999999999999</v>
      </c>
      <c r="F256" s="142">
        <f>VLOOKUP($A256,'BC.114+320'!$B$13:$X$489,8,0)/1000</f>
        <v>1.714</v>
      </c>
      <c r="G256" s="142">
        <f>VLOOKUP($A256,'BC.114+320'!$B$13:$X$489,9,0)/1000</f>
        <v>-0.28599999999999998</v>
      </c>
      <c r="H256" s="142">
        <f>VLOOKUP($A256,'BC.114+320'!$B$13:$X$489,14,0)/1000</f>
        <v>1.6970000000000001</v>
      </c>
      <c r="I256" s="142">
        <f>VLOOKUP($A256,'BC.114+320'!$B$13:$X$489,15,0)/1000</f>
        <v>-0.30299999999999999</v>
      </c>
      <c r="J256" s="142">
        <f>VLOOKUP($A256,'BC.114+320'!$B$13:$X$489,20,0)/1000</f>
        <v>1.7689999999999999</v>
      </c>
      <c r="K256" s="142">
        <f>VLOOKUP($A256,'BC.114+320'!$B$13:$X$489,21,0)/1000</f>
        <v>-0.23100000000000001</v>
      </c>
      <c r="L256" s="140">
        <f t="shared" si="12"/>
        <v>-105.99999999999999</v>
      </c>
      <c r="M256" s="141">
        <f t="shared" si="13"/>
        <v>-123</v>
      </c>
      <c r="N256" s="140">
        <f t="shared" si="14"/>
        <v>-111.00000000000001</v>
      </c>
      <c r="O256" s="140"/>
    </row>
    <row r="257" spans="1:15">
      <c r="A257" s="76">
        <f>'BC.114+320'!B256</f>
        <v>45286</v>
      </c>
      <c r="B257" s="140">
        <f t="shared" si="15"/>
        <v>243</v>
      </c>
      <c r="C257" s="142">
        <f>'BC.114+320'!M256/1000</f>
        <v>0.67700000000000005</v>
      </c>
      <c r="D257" s="142">
        <f>'BC.114+320'!AA256</f>
        <v>0.89900000000000002</v>
      </c>
      <c r="E257" s="143">
        <f>'BC.114+320'!AB256</f>
        <v>0.73399999999999999</v>
      </c>
      <c r="F257" s="142">
        <f>VLOOKUP($A257,'BC.114+320'!$B$13:$X$489,8,0)/1000</f>
        <v>1.714</v>
      </c>
      <c r="G257" s="142">
        <f>VLOOKUP($A257,'BC.114+320'!$B$13:$X$489,9,0)/1000</f>
        <v>-0.28599999999999998</v>
      </c>
      <c r="H257" s="142">
        <f>VLOOKUP($A257,'BC.114+320'!$B$13:$X$489,14,0)/1000</f>
        <v>1.6970000000000001</v>
      </c>
      <c r="I257" s="142">
        <f>VLOOKUP($A257,'BC.114+320'!$B$13:$X$489,15,0)/1000</f>
        <v>-0.30299999999999999</v>
      </c>
      <c r="J257" s="142">
        <f>VLOOKUP($A257,'BC.114+320'!$B$13:$X$489,20,0)/1000</f>
        <v>1.7689999999999999</v>
      </c>
      <c r="K257" s="142">
        <f>VLOOKUP($A257,'BC.114+320'!$B$13:$X$489,21,0)/1000</f>
        <v>-0.23100000000000001</v>
      </c>
      <c r="L257" s="140">
        <f t="shared" si="12"/>
        <v>-105.99999999999999</v>
      </c>
      <c r="M257" s="141">
        <f t="shared" si="13"/>
        <v>-123</v>
      </c>
      <c r="N257" s="140">
        <f t="shared" si="14"/>
        <v>-111.00000000000001</v>
      </c>
      <c r="O257" s="140"/>
    </row>
    <row r="258" spans="1:15">
      <c r="A258" s="76">
        <f>'BC.114+320'!B257</f>
        <v>45287</v>
      </c>
      <c r="B258" s="140">
        <f t="shared" si="15"/>
        <v>244</v>
      </c>
      <c r="C258" s="142">
        <f>'BC.114+320'!M257/1000</f>
        <v>0.67700000000000005</v>
      </c>
      <c r="D258" s="142">
        <f>'BC.114+320'!AA257</f>
        <v>0.89900000000000002</v>
      </c>
      <c r="E258" s="143">
        <f>'BC.114+320'!AB257</f>
        <v>0.73399999999999999</v>
      </c>
      <c r="F258" s="142">
        <f>VLOOKUP($A258,'BC.114+320'!$B$13:$X$489,8,0)/1000</f>
        <v>1.714</v>
      </c>
      <c r="G258" s="142">
        <f>VLOOKUP($A258,'BC.114+320'!$B$13:$X$489,9,0)/1000</f>
        <v>-0.28599999999999998</v>
      </c>
      <c r="H258" s="142">
        <f>VLOOKUP($A258,'BC.114+320'!$B$13:$X$489,14,0)/1000</f>
        <v>1.6970000000000001</v>
      </c>
      <c r="I258" s="142">
        <f>VLOOKUP($A258,'BC.114+320'!$B$13:$X$489,15,0)/1000</f>
        <v>-0.30299999999999999</v>
      </c>
      <c r="J258" s="142">
        <f>VLOOKUP($A258,'BC.114+320'!$B$13:$X$489,20,0)/1000</f>
        <v>1.7689999999999999</v>
      </c>
      <c r="K258" s="142">
        <f>VLOOKUP($A258,'BC.114+320'!$B$13:$X$489,21,0)/1000</f>
        <v>-0.23100000000000001</v>
      </c>
      <c r="L258" s="140">
        <f t="shared" si="12"/>
        <v>-105.99999999999999</v>
      </c>
      <c r="M258" s="141">
        <f t="shared" si="13"/>
        <v>-123</v>
      </c>
      <c r="N258" s="140">
        <f t="shared" si="14"/>
        <v>-111.00000000000001</v>
      </c>
      <c r="O258" s="140"/>
    </row>
    <row r="259" spans="1:15">
      <c r="A259" s="76">
        <f>'BC.114+320'!B258</f>
        <v>45288</v>
      </c>
      <c r="B259" s="140">
        <f t="shared" si="15"/>
        <v>245</v>
      </c>
      <c r="C259" s="142">
        <f>'BC.114+320'!M258/1000</f>
        <v>0.67700000000000005</v>
      </c>
      <c r="D259" s="142">
        <f>'BC.114+320'!AA258</f>
        <v>0.89900000000000002</v>
      </c>
      <c r="E259" s="143">
        <f>'BC.114+320'!AB258</f>
        <v>0.73399999999999999</v>
      </c>
      <c r="F259" s="142">
        <f>VLOOKUP($A259,'BC.114+320'!$B$13:$X$489,8,0)/1000</f>
        <v>1.714</v>
      </c>
      <c r="G259" s="142">
        <f>VLOOKUP($A259,'BC.114+320'!$B$13:$X$489,9,0)/1000</f>
        <v>-0.28599999999999998</v>
      </c>
      <c r="H259" s="142">
        <f>VLOOKUP($A259,'BC.114+320'!$B$13:$X$489,14,0)/1000</f>
        <v>1.6970000000000001</v>
      </c>
      <c r="I259" s="142">
        <f>VLOOKUP($A259,'BC.114+320'!$B$13:$X$489,15,0)/1000</f>
        <v>-0.30299999999999999</v>
      </c>
      <c r="J259" s="142">
        <f>VLOOKUP($A259,'BC.114+320'!$B$13:$X$489,20,0)/1000</f>
        <v>1.7689999999999999</v>
      </c>
      <c r="K259" s="142">
        <f>VLOOKUP($A259,'BC.114+320'!$B$13:$X$489,21,0)/1000</f>
        <v>-0.23100000000000001</v>
      </c>
      <c r="L259" s="140">
        <f t="shared" si="12"/>
        <v>-105.99999999999999</v>
      </c>
      <c r="M259" s="141">
        <f t="shared" si="13"/>
        <v>-123</v>
      </c>
      <c r="N259" s="140">
        <f t="shared" si="14"/>
        <v>-111.00000000000001</v>
      </c>
      <c r="O259" s="140"/>
    </row>
    <row r="260" spans="1:15">
      <c r="A260" s="76">
        <f>'BC.114+320'!B259</f>
        <v>45289</v>
      </c>
      <c r="B260" s="140">
        <f t="shared" si="15"/>
        <v>246</v>
      </c>
      <c r="C260" s="142">
        <f>'BC.114+320'!M259/1000</f>
        <v>0.67700000000000005</v>
      </c>
      <c r="D260" s="142">
        <f>'BC.114+320'!AA259</f>
        <v>0.89900000000000002</v>
      </c>
      <c r="E260" s="143">
        <f>'BC.114+320'!AB259</f>
        <v>0.73399999999999999</v>
      </c>
      <c r="F260" s="142">
        <f>VLOOKUP($A260,'BC.114+320'!$B$13:$X$489,8,0)/1000</f>
        <v>1.714</v>
      </c>
      <c r="G260" s="142">
        <f>VLOOKUP($A260,'BC.114+320'!$B$13:$X$489,9,0)/1000</f>
        <v>-0.28599999999999998</v>
      </c>
      <c r="H260" s="142">
        <f>VLOOKUP($A260,'BC.114+320'!$B$13:$X$489,14,0)/1000</f>
        <v>1.6970000000000001</v>
      </c>
      <c r="I260" s="142">
        <f>VLOOKUP($A260,'BC.114+320'!$B$13:$X$489,15,0)/1000</f>
        <v>-0.30299999999999999</v>
      </c>
      <c r="J260" s="142">
        <f>VLOOKUP($A260,'BC.114+320'!$B$13:$X$489,20,0)/1000</f>
        <v>1.7689999999999999</v>
      </c>
      <c r="K260" s="142">
        <f>VLOOKUP($A260,'BC.114+320'!$B$13:$X$489,21,0)/1000</f>
        <v>-0.23100000000000001</v>
      </c>
      <c r="L260" s="140">
        <f t="shared" si="12"/>
        <v>-105.99999999999999</v>
      </c>
      <c r="M260" s="141">
        <f t="shared" si="13"/>
        <v>-123</v>
      </c>
      <c r="N260" s="140">
        <f t="shared" si="14"/>
        <v>-111.00000000000001</v>
      </c>
      <c r="O260" s="140"/>
    </row>
    <row r="261" spans="1:15">
      <c r="A261" s="76">
        <f>'BC.114+320'!B260</f>
        <v>45290</v>
      </c>
      <c r="B261" s="140">
        <f t="shared" si="15"/>
        <v>247</v>
      </c>
      <c r="C261" s="142">
        <f>'BC.114+320'!M260/1000</f>
        <v>0.67700000000000005</v>
      </c>
      <c r="D261" s="142">
        <f>'BC.114+320'!AA260</f>
        <v>0.89900000000000002</v>
      </c>
      <c r="E261" s="143">
        <f>'BC.114+320'!AB260</f>
        <v>0.73399999999999999</v>
      </c>
      <c r="F261" s="142">
        <f>VLOOKUP($A261,'BC.114+320'!$B$13:$X$489,8,0)/1000</f>
        <v>1.714</v>
      </c>
      <c r="G261" s="142">
        <f>VLOOKUP($A261,'BC.114+320'!$B$13:$X$489,9,0)/1000</f>
        <v>-0.28599999999999998</v>
      </c>
      <c r="H261" s="142">
        <f>VLOOKUP($A261,'BC.114+320'!$B$13:$X$489,14,0)/1000</f>
        <v>1.6970000000000001</v>
      </c>
      <c r="I261" s="142">
        <f>VLOOKUP($A261,'BC.114+320'!$B$13:$X$489,15,0)/1000</f>
        <v>-0.30299999999999999</v>
      </c>
      <c r="J261" s="142">
        <f>VLOOKUP($A261,'BC.114+320'!$B$13:$X$489,20,0)/1000</f>
        <v>1.7689999999999999</v>
      </c>
      <c r="K261" s="142">
        <f>VLOOKUP($A261,'BC.114+320'!$B$13:$X$489,21,0)/1000</f>
        <v>-0.23100000000000001</v>
      </c>
      <c r="L261" s="140">
        <f t="shared" si="12"/>
        <v>-105.99999999999999</v>
      </c>
      <c r="M261" s="141">
        <f t="shared" si="13"/>
        <v>-123</v>
      </c>
      <c r="N261" s="140">
        <f t="shared" si="14"/>
        <v>-111.00000000000001</v>
      </c>
      <c r="O261" s="140"/>
    </row>
    <row r="262" spans="1:15">
      <c r="A262" s="76">
        <f>'BC.114+320'!B261</f>
        <v>45291</v>
      </c>
      <c r="B262" s="140">
        <f t="shared" si="15"/>
        <v>248</v>
      </c>
      <c r="C262" s="142">
        <f>'BC.114+320'!M261/1000</f>
        <v>0.67700000000000005</v>
      </c>
      <c r="D262" s="142">
        <f>'BC.114+320'!AA261</f>
        <v>0.89900000000000002</v>
      </c>
      <c r="E262" s="143">
        <f>'BC.114+320'!AB261</f>
        <v>0.73399999999999999</v>
      </c>
      <c r="F262" s="142">
        <f>VLOOKUP($A262,'BC.114+320'!$B$13:$X$489,8,0)/1000</f>
        <v>1.714</v>
      </c>
      <c r="G262" s="142">
        <f>VLOOKUP($A262,'BC.114+320'!$B$13:$X$489,9,0)/1000</f>
        <v>-0.28599999999999998</v>
      </c>
      <c r="H262" s="142">
        <f>VLOOKUP($A262,'BC.114+320'!$B$13:$X$489,14,0)/1000</f>
        <v>1.6970000000000001</v>
      </c>
      <c r="I262" s="142">
        <f>VLOOKUP($A262,'BC.114+320'!$B$13:$X$489,15,0)/1000</f>
        <v>-0.30299999999999999</v>
      </c>
      <c r="J262" s="142">
        <f>VLOOKUP($A262,'BC.114+320'!$B$13:$X$489,20,0)/1000</f>
        <v>1.7689999999999999</v>
      </c>
      <c r="K262" s="142">
        <f>VLOOKUP($A262,'BC.114+320'!$B$13:$X$489,21,0)/1000</f>
        <v>-0.23100000000000001</v>
      </c>
      <c r="L262" s="140">
        <f t="shared" si="12"/>
        <v>-105.99999999999999</v>
      </c>
      <c r="M262" s="141">
        <f t="shared" si="13"/>
        <v>-123</v>
      </c>
      <c r="N262" s="140">
        <f t="shared" si="14"/>
        <v>-111.00000000000001</v>
      </c>
      <c r="O262" s="140"/>
    </row>
    <row r="263" spans="1:15">
      <c r="A263" s="76">
        <f>'BC.114+320'!B262</f>
        <v>45292</v>
      </c>
      <c r="B263" s="140">
        <f t="shared" si="15"/>
        <v>249</v>
      </c>
      <c r="C263" s="142">
        <f>'BC.114+320'!M262/1000</f>
        <v>0.67700000000000005</v>
      </c>
      <c r="D263" s="142">
        <f>'BC.114+320'!AA262</f>
        <v>0.89900000000000002</v>
      </c>
      <c r="E263" s="143">
        <f>'BC.114+320'!AB262</f>
        <v>0.73399999999999999</v>
      </c>
      <c r="F263" s="142">
        <f>VLOOKUP($A263,'BC.114+320'!$B$13:$X$489,8,0)/1000</f>
        <v>1.714</v>
      </c>
      <c r="G263" s="142">
        <f>VLOOKUP($A263,'BC.114+320'!$B$13:$X$489,9,0)/1000</f>
        <v>-0.28599999999999998</v>
      </c>
      <c r="H263" s="142">
        <f>VLOOKUP($A263,'BC.114+320'!$B$13:$X$489,14,0)/1000</f>
        <v>1.6970000000000001</v>
      </c>
      <c r="I263" s="142">
        <f>VLOOKUP($A263,'BC.114+320'!$B$13:$X$489,15,0)/1000</f>
        <v>-0.30299999999999999</v>
      </c>
      <c r="J263" s="142">
        <f>VLOOKUP($A263,'BC.114+320'!$B$13:$X$489,20,0)/1000</f>
        <v>1.7689999999999999</v>
      </c>
      <c r="K263" s="142">
        <f>VLOOKUP($A263,'BC.114+320'!$B$13:$X$489,21,0)/1000</f>
        <v>-0.23100000000000001</v>
      </c>
      <c r="L263" s="140">
        <f t="shared" si="12"/>
        <v>-105.99999999999999</v>
      </c>
      <c r="M263" s="141">
        <f t="shared" si="13"/>
        <v>-123</v>
      </c>
      <c r="N263" s="140">
        <f t="shared" si="14"/>
        <v>-111.00000000000001</v>
      </c>
      <c r="O263" s="140"/>
    </row>
    <row r="264" spans="1:15">
      <c r="A264" s="76">
        <f>'BC.114+320'!B263</f>
        <v>45293</v>
      </c>
      <c r="B264" s="140">
        <f t="shared" si="15"/>
        <v>250</v>
      </c>
      <c r="C264" s="142">
        <f>'BC.114+320'!M263/1000</f>
        <v>0.67700000000000005</v>
      </c>
      <c r="D264" s="142">
        <f>'BC.114+320'!AA263</f>
        <v>0.89900000000000002</v>
      </c>
      <c r="E264" s="143">
        <f>'BC.114+320'!AB263</f>
        <v>0.73399999999999999</v>
      </c>
      <c r="F264" s="142">
        <f>VLOOKUP($A264,'BC.114+320'!$B$13:$X$489,8,0)/1000</f>
        <v>1.714</v>
      </c>
      <c r="G264" s="142">
        <f>VLOOKUP($A264,'BC.114+320'!$B$13:$X$489,9,0)/1000</f>
        <v>-0.28599999999999998</v>
      </c>
      <c r="H264" s="142">
        <f>VLOOKUP($A264,'BC.114+320'!$B$13:$X$489,14,0)/1000</f>
        <v>1.6970000000000001</v>
      </c>
      <c r="I264" s="142">
        <f>VLOOKUP($A264,'BC.114+320'!$B$13:$X$489,15,0)/1000</f>
        <v>-0.30299999999999999</v>
      </c>
      <c r="J264" s="142">
        <f>VLOOKUP($A264,'BC.114+320'!$B$13:$X$489,20,0)/1000</f>
        <v>1.7689999999999999</v>
      </c>
      <c r="K264" s="142">
        <f>VLOOKUP($A264,'BC.114+320'!$B$13:$X$489,21,0)/1000</f>
        <v>-0.23100000000000001</v>
      </c>
      <c r="L264" s="140">
        <f t="shared" si="12"/>
        <v>-105.99999999999999</v>
      </c>
      <c r="M264" s="141">
        <f t="shared" si="13"/>
        <v>-123</v>
      </c>
      <c r="N264" s="140">
        <f t="shared" si="14"/>
        <v>-111.00000000000001</v>
      </c>
      <c r="O264" s="140"/>
    </row>
    <row r="265" spans="1:15">
      <c r="A265" s="76">
        <f>'BC.114+320'!B264</f>
        <v>45294</v>
      </c>
      <c r="B265" s="140">
        <f t="shared" si="15"/>
        <v>251</v>
      </c>
      <c r="C265" s="142">
        <f>'BC.114+320'!M264/1000</f>
        <v>0.67700000000000005</v>
      </c>
      <c r="D265" s="142">
        <f>'BC.114+320'!AA264</f>
        <v>0.89900000000000002</v>
      </c>
      <c r="E265" s="143">
        <f>'BC.114+320'!AB264</f>
        <v>0.73399999999999999</v>
      </c>
      <c r="F265" s="142">
        <f>VLOOKUP($A265,'BC.114+320'!$B$13:$X$489,8,0)/1000</f>
        <v>1.714</v>
      </c>
      <c r="G265" s="142">
        <f>VLOOKUP($A265,'BC.114+320'!$B$13:$X$489,9,0)/1000</f>
        <v>-0.28599999999999998</v>
      </c>
      <c r="H265" s="142">
        <f>VLOOKUP($A265,'BC.114+320'!$B$13:$X$489,14,0)/1000</f>
        <v>1.6970000000000001</v>
      </c>
      <c r="I265" s="142">
        <f>VLOOKUP($A265,'BC.114+320'!$B$13:$X$489,15,0)/1000</f>
        <v>-0.30299999999999999</v>
      </c>
      <c r="J265" s="142">
        <f>VLOOKUP($A265,'BC.114+320'!$B$13:$X$489,20,0)/1000</f>
        <v>1.7689999999999999</v>
      </c>
      <c r="K265" s="142">
        <f>VLOOKUP($A265,'BC.114+320'!$B$13:$X$489,21,0)/1000</f>
        <v>-0.23100000000000001</v>
      </c>
      <c r="L265" s="140">
        <f t="shared" si="12"/>
        <v>-105.99999999999999</v>
      </c>
      <c r="M265" s="141">
        <f t="shared" si="13"/>
        <v>-123</v>
      </c>
      <c r="N265" s="140">
        <f t="shared" si="14"/>
        <v>-111.00000000000001</v>
      </c>
      <c r="O265" s="140"/>
    </row>
    <row r="266" spans="1:15">
      <c r="A266" s="76">
        <f>'BC.114+320'!B265</f>
        <v>45295</v>
      </c>
      <c r="B266" s="140">
        <f t="shared" si="15"/>
        <v>252</v>
      </c>
      <c r="C266" s="142">
        <f>'BC.114+320'!M265/1000</f>
        <v>0.67700000000000005</v>
      </c>
      <c r="D266" s="142">
        <f>'BC.114+320'!AA265</f>
        <v>0.89900000000000002</v>
      </c>
      <c r="E266" s="143">
        <f>'BC.114+320'!AB265</f>
        <v>0.73399999999999999</v>
      </c>
      <c r="F266" s="142">
        <f>VLOOKUP($A266,'BC.114+320'!$B$13:$X$489,8,0)/1000</f>
        <v>1.714</v>
      </c>
      <c r="G266" s="142">
        <f>VLOOKUP($A266,'BC.114+320'!$B$13:$X$489,9,0)/1000</f>
        <v>-0.28599999999999998</v>
      </c>
      <c r="H266" s="142">
        <f>VLOOKUP($A266,'BC.114+320'!$B$13:$X$489,14,0)/1000</f>
        <v>1.6970000000000001</v>
      </c>
      <c r="I266" s="142">
        <f>VLOOKUP($A266,'BC.114+320'!$B$13:$X$489,15,0)/1000</f>
        <v>-0.30299999999999999</v>
      </c>
      <c r="J266" s="142">
        <f>VLOOKUP($A266,'BC.114+320'!$B$13:$X$489,20,0)/1000</f>
        <v>1.7689999999999999</v>
      </c>
      <c r="K266" s="142">
        <f>VLOOKUP($A266,'BC.114+320'!$B$13:$X$489,21,0)/1000</f>
        <v>-0.23100000000000001</v>
      </c>
      <c r="L266" s="140">
        <f t="shared" si="12"/>
        <v>-105.99999999999999</v>
      </c>
      <c r="M266" s="141">
        <f t="shared" si="13"/>
        <v>-123</v>
      </c>
      <c r="N266" s="140">
        <f t="shared" si="14"/>
        <v>-111.00000000000001</v>
      </c>
      <c r="O266" s="140"/>
    </row>
    <row r="267" spans="1:15">
      <c r="A267" s="76">
        <f>'BC.114+320'!B266</f>
        <v>45296</v>
      </c>
      <c r="B267" s="140">
        <f t="shared" si="15"/>
        <v>253</v>
      </c>
      <c r="C267" s="142">
        <f>'BC.114+320'!M266/1000</f>
        <v>0.67700000000000005</v>
      </c>
      <c r="D267" s="142">
        <f>'BC.114+320'!AA266</f>
        <v>0.89900000000000002</v>
      </c>
      <c r="E267" s="143">
        <f>'BC.114+320'!AB266</f>
        <v>0.73399999999999999</v>
      </c>
      <c r="F267" s="142">
        <f>VLOOKUP($A267,'BC.114+320'!$B$13:$X$489,8,0)/1000</f>
        <v>1.714</v>
      </c>
      <c r="G267" s="142">
        <f>VLOOKUP($A267,'BC.114+320'!$B$13:$X$489,9,0)/1000</f>
        <v>-0.28599999999999998</v>
      </c>
      <c r="H267" s="142">
        <f>VLOOKUP($A267,'BC.114+320'!$B$13:$X$489,14,0)/1000</f>
        <v>1.6970000000000001</v>
      </c>
      <c r="I267" s="142">
        <f>VLOOKUP($A267,'BC.114+320'!$B$13:$X$489,15,0)/1000</f>
        <v>-0.30299999999999999</v>
      </c>
      <c r="J267" s="142">
        <f>VLOOKUP($A267,'BC.114+320'!$B$13:$X$489,20,0)/1000</f>
        <v>1.7689999999999999</v>
      </c>
      <c r="K267" s="142">
        <f>VLOOKUP($A267,'BC.114+320'!$B$13:$X$489,21,0)/1000</f>
        <v>-0.23100000000000001</v>
      </c>
      <c r="L267" s="140">
        <f t="shared" si="12"/>
        <v>-105.99999999999999</v>
      </c>
      <c r="M267" s="141">
        <f t="shared" si="13"/>
        <v>-123</v>
      </c>
      <c r="N267" s="140">
        <f t="shared" si="14"/>
        <v>-111.00000000000001</v>
      </c>
      <c r="O267" s="140"/>
    </row>
    <row r="268" spans="1:15">
      <c r="A268" s="76">
        <f>'BC.114+320'!B267</f>
        <v>45297</v>
      </c>
      <c r="B268" s="140">
        <f t="shared" si="15"/>
        <v>254</v>
      </c>
      <c r="C268" s="142">
        <f>'BC.114+320'!M267/1000</f>
        <v>0.67700000000000005</v>
      </c>
      <c r="D268" s="142">
        <f>'BC.114+320'!AA267</f>
        <v>0.89900000000000002</v>
      </c>
      <c r="E268" s="143">
        <f>'BC.114+320'!AB267</f>
        <v>0.73399999999999999</v>
      </c>
      <c r="F268" s="142">
        <f>VLOOKUP($A268,'BC.114+320'!$B$13:$X$489,8,0)/1000</f>
        <v>1.714</v>
      </c>
      <c r="G268" s="142">
        <f>VLOOKUP($A268,'BC.114+320'!$B$13:$X$489,9,0)/1000</f>
        <v>-0.28599999999999998</v>
      </c>
      <c r="H268" s="142">
        <f>VLOOKUP($A268,'BC.114+320'!$B$13:$X$489,14,0)/1000</f>
        <v>1.6970000000000001</v>
      </c>
      <c r="I268" s="142">
        <f>VLOOKUP($A268,'BC.114+320'!$B$13:$X$489,15,0)/1000</f>
        <v>-0.30299999999999999</v>
      </c>
      <c r="J268" s="142">
        <f>VLOOKUP($A268,'BC.114+320'!$B$13:$X$489,20,0)/1000</f>
        <v>1.7689999999999999</v>
      </c>
      <c r="K268" s="142">
        <f>VLOOKUP($A268,'BC.114+320'!$B$13:$X$489,21,0)/1000</f>
        <v>-0.23100000000000001</v>
      </c>
      <c r="L268" s="140">
        <f t="shared" si="12"/>
        <v>-105.99999999999999</v>
      </c>
      <c r="M268" s="141">
        <f t="shared" si="13"/>
        <v>-123</v>
      </c>
      <c r="N268" s="140">
        <f t="shared" si="14"/>
        <v>-111.00000000000001</v>
      </c>
      <c r="O268" s="140"/>
    </row>
    <row r="269" spans="1:15">
      <c r="A269" s="76">
        <f>'BC.114+320'!B268</f>
        <v>45298</v>
      </c>
      <c r="B269" s="140">
        <f t="shared" si="15"/>
        <v>255</v>
      </c>
      <c r="C269" s="142">
        <f>'BC.114+320'!M268/1000</f>
        <v>0.67700000000000005</v>
      </c>
      <c r="D269" s="142">
        <f>'BC.114+320'!AA268</f>
        <v>0.89900000000000002</v>
      </c>
      <c r="E269" s="143">
        <f>'BC.114+320'!AB268</f>
        <v>0.73399999999999999</v>
      </c>
      <c r="F269" s="142">
        <f>VLOOKUP($A269,'BC.114+320'!$B$13:$X$489,8,0)/1000</f>
        <v>1.714</v>
      </c>
      <c r="G269" s="142">
        <f>VLOOKUP($A269,'BC.114+320'!$B$13:$X$489,9,0)/1000</f>
        <v>-0.28599999999999998</v>
      </c>
      <c r="H269" s="142">
        <f>VLOOKUP($A269,'BC.114+320'!$B$13:$X$489,14,0)/1000</f>
        <v>1.6970000000000001</v>
      </c>
      <c r="I269" s="142">
        <f>VLOOKUP($A269,'BC.114+320'!$B$13:$X$489,15,0)/1000</f>
        <v>-0.30299999999999999</v>
      </c>
      <c r="J269" s="142">
        <f>VLOOKUP($A269,'BC.114+320'!$B$13:$X$489,20,0)/1000</f>
        <v>1.7689999999999999</v>
      </c>
      <c r="K269" s="142">
        <f>VLOOKUP($A269,'BC.114+320'!$B$13:$X$489,21,0)/1000</f>
        <v>-0.23100000000000001</v>
      </c>
      <c r="L269" s="140">
        <f t="shared" si="12"/>
        <v>-105.99999999999999</v>
      </c>
      <c r="M269" s="141">
        <f t="shared" si="13"/>
        <v>-123</v>
      </c>
      <c r="N269" s="140">
        <f t="shared" si="14"/>
        <v>-111.00000000000001</v>
      </c>
      <c r="O269" s="140"/>
    </row>
    <row r="270" spans="1:15">
      <c r="A270" s="76">
        <f>'BC.114+320'!B269</f>
        <v>45299</v>
      </c>
      <c r="B270" s="140">
        <f t="shared" si="15"/>
        <v>256</v>
      </c>
      <c r="C270" s="142">
        <f>'BC.114+320'!M269/1000</f>
        <v>0.67700000000000005</v>
      </c>
      <c r="D270" s="142">
        <f>'BC.114+320'!AA269</f>
        <v>0.89900000000000002</v>
      </c>
      <c r="E270" s="143">
        <f>'BC.114+320'!AB269</f>
        <v>0.73399999999999999</v>
      </c>
      <c r="F270" s="142">
        <f>VLOOKUP($A270,'BC.114+320'!$B$13:$X$489,8,0)/1000</f>
        <v>1.714</v>
      </c>
      <c r="G270" s="142">
        <f>VLOOKUP($A270,'BC.114+320'!$B$13:$X$489,9,0)/1000</f>
        <v>-0.28599999999999998</v>
      </c>
      <c r="H270" s="142">
        <f>VLOOKUP($A270,'BC.114+320'!$B$13:$X$489,14,0)/1000</f>
        <v>1.6970000000000001</v>
      </c>
      <c r="I270" s="142">
        <f>VLOOKUP($A270,'BC.114+320'!$B$13:$X$489,15,0)/1000</f>
        <v>-0.30299999999999999</v>
      </c>
      <c r="J270" s="142">
        <f>VLOOKUP($A270,'BC.114+320'!$B$13:$X$489,20,0)/1000</f>
        <v>1.7689999999999999</v>
      </c>
      <c r="K270" s="142">
        <f>VLOOKUP($A270,'BC.114+320'!$B$13:$X$489,21,0)/1000</f>
        <v>-0.23100000000000001</v>
      </c>
      <c r="L270" s="140">
        <f t="shared" ref="L270:L333" si="16">(G270-$G$14)*1000</f>
        <v>-105.99999999999999</v>
      </c>
      <c r="M270" s="141">
        <f t="shared" ref="M270:M333" si="17">(I270-$I$14)*1000</f>
        <v>-123</v>
      </c>
      <c r="N270" s="140">
        <f t="shared" si="14"/>
        <v>-111.00000000000001</v>
      </c>
      <c r="O270" s="140"/>
    </row>
    <row r="271" spans="1:15">
      <c r="A271" s="76">
        <f>'BC.114+320'!B270</f>
        <v>45300</v>
      </c>
      <c r="B271" s="140">
        <f t="shared" si="15"/>
        <v>257</v>
      </c>
      <c r="C271" s="142">
        <f>'BC.114+320'!M270/1000</f>
        <v>0.67700000000000005</v>
      </c>
      <c r="D271" s="142">
        <f>'BC.114+320'!AA270</f>
        <v>0.89900000000000002</v>
      </c>
      <c r="E271" s="143">
        <f>'BC.114+320'!AB270</f>
        <v>0.73399999999999999</v>
      </c>
      <c r="F271" s="142">
        <f>VLOOKUP($A271,'BC.114+320'!$B$13:$X$489,8,0)/1000</f>
        <v>1.714</v>
      </c>
      <c r="G271" s="142">
        <f>VLOOKUP($A271,'BC.114+320'!$B$13:$X$489,9,0)/1000</f>
        <v>-0.28599999999999998</v>
      </c>
      <c r="H271" s="142">
        <f>VLOOKUP($A271,'BC.114+320'!$B$13:$X$489,14,0)/1000</f>
        <v>1.6970000000000001</v>
      </c>
      <c r="I271" s="142">
        <f>VLOOKUP($A271,'BC.114+320'!$B$13:$X$489,15,0)/1000</f>
        <v>-0.30299999999999999</v>
      </c>
      <c r="J271" s="142">
        <f>VLOOKUP($A271,'BC.114+320'!$B$13:$X$489,20,0)/1000</f>
        <v>1.7689999999999999</v>
      </c>
      <c r="K271" s="142">
        <f>VLOOKUP($A271,'BC.114+320'!$B$13:$X$489,21,0)/1000</f>
        <v>-0.23100000000000001</v>
      </c>
      <c r="L271" s="140">
        <f t="shared" si="16"/>
        <v>-105.99999999999999</v>
      </c>
      <c r="M271" s="141">
        <f t="shared" si="17"/>
        <v>-123</v>
      </c>
      <c r="N271" s="140">
        <f t="shared" ref="N271:N334" si="18">(K271-$K$14)*1000</f>
        <v>-111.00000000000001</v>
      </c>
      <c r="O271" s="140"/>
    </row>
    <row r="272" spans="1:15">
      <c r="A272" s="76">
        <f>'BC.114+320'!B271</f>
        <v>45301</v>
      </c>
      <c r="B272" s="140">
        <f t="shared" ref="B272:B335" si="19">+B271+1</f>
        <v>258</v>
      </c>
      <c r="C272" s="142">
        <f>'BC.114+320'!M271/1000</f>
        <v>0.67700000000000005</v>
      </c>
      <c r="D272" s="142">
        <f>'BC.114+320'!AA271</f>
        <v>0.89900000000000002</v>
      </c>
      <c r="E272" s="143">
        <f>'BC.114+320'!AB271</f>
        <v>0.73399999999999999</v>
      </c>
      <c r="F272" s="142">
        <f>VLOOKUP($A272,'BC.114+320'!$B$13:$X$489,8,0)/1000</f>
        <v>1.714</v>
      </c>
      <c r="G272" s="142">
        <f>VLOOKUP($A272,'BC.114+320'!$B$13:$X$489,9,0)/1000</f>
        <v>-0.28599999999999998</v>
      </c>
      <c r="H272" s="142">
        <f>VLOOKUP($A272,'BC.114+320'!$B$13:$X$489,14,0)/1000</f>
        <v>1.6970000000000001</v>
      </c>
      <c r="I272" s="142">
        <f>VLOOKUP($A272,'BC.114+320'!$B$13:$X$489,15,0)/1000</f>
        <v>-0.30299999999999999</v>
      </c>
      <c r="J272" s="142">
        <f>VLOOKUP($A272,'BC.114+320'!$B$13:$X$489,20,0)/1000</f>
        <v>1.7689999999999999</v>
      </c>
      <c r="K272" s="142">
        <f>VLOOKUP($A272,'BC.114+320'!$B$13:$X$489,21,0)/1000</f>
        <v>-0.23100000000000001</v>
      </c>
      <c r="L272" s="140">
        <f t="shared" si="16"/>
        <v>-105.99999999999999</v>
      </c>
      <c r="M272" s="141">
        <f t="shared" si="17"/>
        <v>-123</v>
      </c>
      <c r="N272" s="140">
        <f t="shared" si="18"/>
        <v>-111.00000000000001</v>
      </c>
      <c r="O272" s="140"/>
    </row>
    <row r="273" spans="1:15">
      <c r="A273" s="76">
        <f>'BC.114+320'!B272</f>
        <v>45302</v>
      </c>
      <c r="B273" s="140">
        <f t="shared" si="19"/>
        <v>259</v>
      </c>
      <c r="C273" s="142">
        <f>'BC.114+320'!M272/1000</f>
        <v>0.67700000000000005</v>
      </c>
      <c r="D273" s="142">
        <f>'BC.114+320'!AA272</f>
        <v>0.89900000000000002</v>
      </c>
      <c r="E273" s="143">
        <f>'BC.114+320'!AB272</f>
        <v>0.73399999999999999</v>
      </c>
      <c r="F273" s="142">
        <f>VLOOKUP($A273,'BC.114+320'!$B$13:$X$489,8,0)/1000</f>
        <v>1.714</v>
      </c>
      <c r="G273" s="142">
        <f>VLOOKUP($A273,'BC.114+320'!$B$13:$X$489,9,0)/1000</f>
        <v>-0.28599999999999998</v>
      </c>
      <c r="H273" s="142">
        <f>VLOOKUP($A273,'BC.114+320'!$B$13:$X$489,14,0)/1000</f>
        <v>1.6970000000000001</v>
      </c>
      <c r="I273" s="142">
        <f>VLOOKUP($A273,'BC.114+320'!$B$13:$X$489,15,0)/1000</f>
        <v>-0.30299999999999999</v>
      </c>
      <c r="J273" s="142">
        <f>VLOOKUP($A273,'BC.114+320'!$B$13:$X$489,20,0)/1000</f>
        <v>1.7689999999999999</v>
      </c>
      <c r="K273" s="142">
        <f>VLOOKUP($A273,'BC.114+320'!$B$13:$X$489,21,0)/1000</f>
        <v>-0.23100000000000001</v>
      </c>
      <c r="L273" s="140">
        <f t="shared" si="16"/>
        <v>-105.99999999999999</v>
      </c>
      <c r="M273" s="141">
        <f t="shared" si="17"/>
        <v>-123</v>
      </c>
      <c r="N273" s="140">
        <f t="shared" si="18"/>
        <v>-111.00000000000001</v>
      </c>
      <c r="O273" s="140"/>
    </row>
    <row r="274" spans="1:15">
      <c r="A274" s="76">
        <f>'BC.114+320'!B273</f>
        <v>45303</v>
      </c>
      <c r="B274" s="140">
        <f t="shared" si="19"/>
        <v>260</v>
      </c>
      <c r="C274" s="142">
        <f>'BC.114+320'!M273/1000</f>
        <v>0.67700000000000005</v>
      </c>
      <c r="D274" s="142">
        <f>'BC.114+320'!AA273</f>
        <v>0.89900000000000002</v>
      </c>
      <c r="E274" s="143">
        <f>'BC.114+320'!AB273</f>
        <v>0.73399999999999999</v>
      </c>
      <c r="F274" s="142">
        <f>VLOOKUP($A274,'BC.114+320'!$B$13:$X$489,8,0)/1000</f>
        <v>1.714</v>
      </c>
      <c r="G274" s="142">
        <f>VLOOKUP($A274,'BC.114+320'!$B$13:$X$489,9,0)/1000</f>
        <v>-0.28599999999999998</v>
      </c>
      <c r="H274" s="142">
        <f>VLOOKUP($A274,'BC.114+320'!$B$13:$X$489,14,0)/1000</f>
        <v>1.6970000000000001</v>
      </c>
      <c r="I274" s="142">
        <f>VLOOKUP($A274,'BC.114+320'!$B$13:$X$489,15,0)/1000</f>
        <v>-0.30299999999999999</v>
      </c>
      <c r="J274" s="142">
        <f>VLOOKUP($A274,'BC.114+320'!$B$13:$X$489,20,0)/1000</f>
        <v>1.7689999999999999</v>
      </c>
      <c r="K274" s="142">
        <f>VLOOKUP($A274,'BC.114+320'!$B$13:$X$489,21,0)/1000</f>
        <v>-0.23100000000000001</v>
      </c>
      <c r="L274" s="140">
        <f t="shared" si="16"/>
        <v>-105.99999999999999</v>
      </c>
      <c r="M274" s="141">
        <f t="shared" si="17"/>
        <v>-123</v>
      </c>
      <c r="N274" s="140">
        <f t="shared" si="18"/>
        <v>-111.00000000000001</v>
      </c>
      <c r="O274" s="140"/>
    </row>
    <row r="275" spans="1:15">
      <c r="A275" s="76">
        <f>'BC.114+320'!B274</f>
        <v>45304</v>
      </c>
      <c r="B275" s="140">
        <f t="shared" si="19"/>
        <v>261</v>
      </c>
      <c r="C275" s="142">
        <f>'BC.114+320'!M274/1000</f>
        <v>0.67700000000000005</v>
      </c>
      <c r="D275" s="142">
        <f>'BC.114+320'!AA274</f>
        <v>0.89900000000000002</v>
      </c>
      <c r="E275" s="143">
        <f>'BC.114+320'!AB274</f>
        <v>0.73399999999999999</v>
      </c>
      <c r="F275" s="142">
        <f>VLOOKUP($A275,'BC.114+320'!$B$13:$X$489,8,0)/1000</f>
        <v>1.714</v>
      </c>
      <c r="G275" s="142">
        <f>VLOOKUP($A275,'BC.114+320'!$B$13:$X$489,9,0)/1000</f>
        <v>-0.28599999999999998</v>
      </c>
      <c r="H275" s="142">
        <f>VLOOKUP($A275,'BC.114+320'!$B$13:$X$489,14,0)/1000</f>
        <v>1.6970000000000001</v>
      </c>
      <c r="I275" s="142">
        <f>VLOOKUP($A275,'BC.114+320'!$B$13:$X$489,15,0)/1000</f>
        <v>-0.30299999999999999</v>
      </c>
      <c r="J275" s="142">
        <f>VLOOKUP($A275,'BC.114+320'!$B$13:$X$489,20,0)/1000</f>
        <v>1.7689999999999999</v>
      </c>
      <c r="K275" s="142">
        <f>VLOOKUP($A275,'BC.114+320'!$B$13:$X$489,21,0)/1000</f>
        <v>-0.23100000000000001</v>
      </c>
      <c r="L275" s="140">
        <f t="shared" si="16"/>
        <v>-105.99999999999999</v>
      </c>
      <c r="M275" s="141">
        <f t="shared" si="17"/>
        <v>-123</v>
      </c>
      <c r="N275" s="140">
        <f t="shared" si="18"/>
        <v>-111.00000000000001</v>
      </c>
      <c r="O275" s="140"/>
    </row>
    <row r="276" spans="1:15">
      <c r="A276" s="76">
        <f>'BC.114+320'!B275</f>
        <v>45305</v>
      </c>
      <c r="B276" s="140">
        <f t="shared" si="19"/>
        <v>262</v>
      </c>
      <c r="C276" s="142">
        <f>'BC.114+320'!M275/1000</f>
        <v>0.67700000000000005</v>
      </c>
      <c r="D276" s="142">
        <f>'BC.114+320'!AA275</f>
        <v>0.89900000000000002</v>
      </c>
      <c r="E276" s="143">
        <f>'BC.114+320'!AB275</f>
        <v>0.73399999999999999</v>
      </c>
      <c r="F276" s="142">
        <f>VLOOKUP($A276,'BC.114+320'!$B$13:$X$489,8,0)/1000</f>
        <v>1.714</v>
      </c>
      <c r="G276" s="142">
        <f>VLOOKUP($A276,'BC.114+320'!$B$13:$X$489,9,0)/1000</f>
        <v>-0.28599999999999998</v>
      </c>
      <c r="H276" s="142">
        <f>VLOOKUP($A276,'BC.114+320'!$B$13:$X$489,14,0)/1000</f>
        <v>1.6970000000000001</v>
      </c>
      <c r="I276" s="142">
        <f>VLOOKUP($A276,'BC.114+320'!$B$13:$X$489,15,0)/1000</f>
        <v>-0.30299999999999999</v>
      </c>
      <c r="J276" s="142">
        <f>VLOOKUP($A276,'BC.114+320'!$B$13:$X$489,20,0)/1000</f>
        <v>1.7689999999999999</v>
      </c>
      <c r="K276" s="142">
        <f>VLOOKUP($A276,'BC.114+320'!$B$13:$X$489,21,0)/1000</f>
        <v>-0.23100000000000001</v>
      </c>
      <c r="L276" s="140">
        <f t="shared" si="16"/>
        <v>-105.99999999999999</v>
      </c>
      <c r="M276" s="141">
        <f t="shared" si="17"/>
        <v>-123</v>
      </c>
      <c r="N276" s="140">
        <f t="shared" si="18"/>
        <v>-111.00000000000001</v>
      </c>
      <c r="O276" s="140"/>
    </row>
    <row r="277" spans="1:15">
      <c r="A277" s="76">
        <f>'BC.114+320'!B276</f>
        <v>45306</v>
      </c>
      <c r="B277" s="140">
        <f t="shared" si="19"/>
        <v>263</v>
      </c>
      <c r="C277" s="142">
        <f>'BC.114+320'!M276/1000</f>
        <v>0.67700000000000005</v>
      </c>
      <c r="D277" s="142">
        <f>'BC.114+320'!AA276</f>
        <v>0.89900000000000002</v>
      </c>
      <c r="E277" s="143">
        <f>'BC.114+320'!AB276</f>
        <v>0.73399999999999999</v>
      </c>
      <c r="F277" s="142">
        <f>VLOOKUP($A277,'BC.114+320'!$B$13:$X$489,8,0)/1000</f>
        <v>1.714</v>
      </c>
      <c r="G277" s="142">
        <f>VLOOKUP($A277,'BC.114+320'!$B$13:$X$489,9,0)/1000</f>
        <v>-0.28599999999999998</v>
      </c>
      <c r="H277" s="142">
        <f>VLOOKUP($A277,'BC.114+320'!$B$13:$X$489,14,0)/1000</f>
        <v>1.6970000000000001</v>
      </c>
      <c r="I277" s="142">
        <f>VLOOKUP($A277,'BC.114+320'!$B$13:$X$489,15,0)/1000</f>
        <v>-0.30299999999999999</v>
      </c>
      <c r="J277" s="142">
        <f>VLOOKUP($A277,'BC.114+320'!$B$13:$X$489,20,0)/1000</f>
        <v>1.7689999999999999</v>
      </c>
      <c r="K277" s="142">
        <f>VLOOKUP($A277,'BC.114+320'!$B$13:$X$489,21,0)/1000</f>
        <v>-0.23100000000000001</v>
      </c>
      <c r="L277" s="140">
        <f t="shared" si="16"/>
        <v>-105.99999999999999</v>
      </c>
      <c r="M277" s="141">
        <f t="shared" si="17"/>
        <v>-123</v>
      </c>
      <c r="N277" s="140">
        <f t="shared" si="18"/>
        <v>-111.00000000000001</v>
      </c>
      <c r="O277" s="140"/>
    </row>
    <row r="278" spans="1:15">
      <c r="A278" s="76">
        <f>'BC.114+320'!B277</f>
        <v>45307</v>
      </c>
      <c r="B278" s="140">
        <f t="shared" si="19"/>
        <v>264</v>
      </c>
      <c r="C278" s="142">
        <f>'BC.114+320'!M277/1000</f>
        <v>0.67700000000000005</v>
      </c>
      <c r="D278" s="142">
        <f>'BC.114+320'!AA277</f>
        <v>0.89900000000000002</v>
      </c>
      <c r="E278" s="143">
        <f>'BC.114+320'!AB277</f>
        <v>0.73399999999999999</v>
      </c>
      <c r="F278" s="142">
        <f>VLOOKUP($A278,'BC.114+320'!$B$13:$X$489,8,0)/1000</f>
        <v>1.714</v>
      </c>
      <c r="G278" s="142">
        <f>VLOOKUP($A278,'BC.114+320'!$B$13:$X$489,9,0)/1000</f>
        <v>-0.28599999999999998</v>
      </c>
      <c r="H278" s="142">
        <f>VLOOKUP($A278,'BC.114+320'!$B$13:$X$489,14,0)/1000</f>
        <v>1.6970000000000001</v>
      </c>
      <c r="I278" s="142">
        <f>VLOOKUP($A278,'BC.114+320'!$B$13:$X$489,15,0)/1000</f>
        <v>-0.30299999999999999</v>
      </c>
      <c r="J278" s="142">
        <f>VLOOKUP($A278,'BC.114+320'!$B$13:$X$489,20,0)/1000</f>
        <v>1.7689999999999999</v>
      </c>
      <c r="K278" s="142">
        <f>VLOOKUP($A278,'BC.114+320'!$B$13:$X$489,21,0)/1000</f>
        <v>-0.23100000000000001</v>
      </c>
      <c r="L278" s="140">
        <f t="shared" si="16"/>
        <v>-105.99999999999999</v>
      </c>
      <c r="M278" s="141">
        <f t="shared" si="17"/>
        <v>-123</v>
      </c>
      <c r="N278" s="140">
        <f t="shared" si="18"/>
        <v>-111.00000000000001</v>
      </c>
      <c r="O278" s="140"/>
    </row>
    <row r="279" spans="1:15">
      <c r="A279" s="76">
        <f>'BC.114+320'!B278</f>
        <v>45308</v>
      </c>
      <c r="B279" s="140">
        <f t="shared" si="19"/>
        <v>265</v>
      </c>
      <c r="C279" s="142">
        <f>'BC.114+320'!M278/1000</f>
        <v>0.67700000000000005</v>
      </c>
      <c r="D279" s="142">
        <f>'BC.114+320'!AA278</f>
        <v>0.89900000000000002</v>
      </c>
      <c r="E279" s="143">
        <f>'BC.114+320'!AB278</f>
        <v>0.73399999999999999</v>
      </c>
      <c r="F279" s="142">
        <f>VLOOKUP($A279,'BC.114+320'!$B$13:$X$489,8,0)/1000</f>
        <v>1.714</v>
      </c>
      <c r="G279" s="142">
        <f>VLOOKUP($A279,'BC.114+320'!$B$13:$X$489,9,0)/1000</f>
        <v>-0.28599999999999998</v>
      </c>
      <c r="H279" s="142">
        <f>VLOOKUP($A279,'BC.114+320'!$B$13:$X$489,14,0)/1000</f>
        <v>1.6970000000000001</v>
      </c>
      <c r="I279" s="142">
        <f>VLOOKUP($A279,'BC.114+320'!$B$13:$X$489,15,0)/1000</f>
        <v>-0.30299999999999999</v>
      </c>
      <c r="J279" s="142">
        <f>VLOOKUP($A279,'BC.114+320'!$B$13:$X$489,20,0)/1000</f>
        <v>1.7689999999999999</v>
      </c>
      <c r="K279" s="142">
        <f>VLOOKUP($A279,'BC.114+320'!$B$13:$X$489,21,0)/1000</f>
        <v>-0.23100000000000001</v>
      </c>
      <c r="L279" s="140">
        <f t="shared" si="16"/>
        <v>-105.99999999999999</v>
      </c>
      <c r="M279" s="141">
        <f t="shared" si="17"/>
        <v>-123</v>
      </c>
      <c r="N279" s="140">
        <f t="shared" si="18"/>
        <v>-111.00000000000001</v>
      </c>
      <c r="O279" s="140"/>
    </row>
    <row r="280" spans="1:15">
      <c r="A280" s="76">
        <f>'BC.114+320'!B279</f>
        <v>45309</v>
      </c>
      <c r="B280" s="140">
        <f t="shared" si="19"/>
        <v>266</v>
      </c>
      <c r="C280" s="142">
        <f>'BC.114+320'!M279/1000</f>
        <v>0.67700000000000005</v>
      </c>
      <c r="D280" s="142">
        <f>'BC.114+320'!AA279</f>
        <v>0.89900000000000002</v>
      </c>
      <c r="E280" s="143">
        <f>'BC.114+320'!AB279</f>
        <v>0.73399999999999999</v>
      </c>
      <c r="F280" s="142">
        <f>VLOOKUP($A280,'BC.114+320'!$B$13:$X$489,8,0)/1000</f>
        <v>1.714</v>
      </c>
      <c r="G280" s="142">
        <f>VLOOKUP($A280,'BC.114+320'!$B$13:$X$489,9,0)/1000</f>
        <v>-0.28599999999999998</v>
      </c>
      <c r="H280" s="142">
        <f>VLOOKUP($A280,'BC.114+320'!$B$13:$X$489,14,0)/1000</f>
        <v>1.6970000000000001</v>
      </c>
      <c r="I280" s="142">
        <f>VLOOKUP($A280,'BC.114+320'!$B$13:$X$489,15,0)/1000</f>
        <v>-0.30299999999999999</v>
      </c>
      <c r="J280" s="142">
        <f>VLOOKUP($A280,'BC.114+320'!$B$13:$X$489,20,0)/1000</f>
        <v>1.7689999999999999</v>
      </c>
      <c r="K280" s="142">
        <f>VLOOKUP($A280,'BC.114+320'!$B$13:$X$489,21,0)/1000</f>
        <v>-0.23100000000000001</v>
      </c>
      <c r="L280" s="140">
        <f t="shared" si="16"/>
        <v>-105.99999999999999</v>
      </c>
      <c r="M280" s="141">
        <f t="shared" si="17"/>
        <v>-123</v>
      </c>
      <c r="N280" s="140">
        <f t="shared" si="18"/>
        <v>-111.00000000000001</v>
      </c>
      <c r="O280" s="140"/>
    </row>
    <row r="281" spans="1:15">
      <c r="A281" s="76">
        <f>'BC.114+320'!B280</f>
        <v>45310</v>
      </c>
      <c r="B281" s="140">
        <f t="shared" si="19"/>
        <v>267</v>
      </c>
      <c r="C281" s="142">
        <f>'BC.114+320'!M280/1000</f>
        <v>0.67700000000000005</v>
      </c>
      <c r="D281" s="142">
        <f>'BC.114+320'!AA280</f>
        <v>0.89900000000000002</v>
      </c>
      <c r="E281" s="143">
        <f>'BC.114+320'!AB280</f>
        <v>0.73399999999999999</v>
      </c>
      <c r="F281" s="142">
        <f>VLOOKUP($A281,'BC.114+320'!$B$13:$X$489,8,0)/1000</f>
        <v>1.714</v>
      </c>
      <c r="G281" s="142">
        <f>VLOOKUP($A281,'BC.114+320'!$B$13:$X$489,9,0)/1000</f>
        <v>-0.28599999999999998</v>
      </c>
      <c r="H281" s="142">
        <f>VLOOKUP($A281,'BC.114+320'!$B$13:$X$489,14,0)/1000</f>
        <v>1.6970000000000001</v>
      </c>
      <c r="I281" s="142">
        <f>VLOOKUP($A281,'BC.114+320'!$B$13:$X$489,15,0)/1000</f>
        <v>-0.30299999999999999</v>
      </c>
      <c r="J281" s="142">
        <f>VLOOKUP($A281,'BC.114+320'!$B$13:$X$489,20,0)/1000</f>
        <v>1.7689999999999999</v>
      </c>
      <c r="K281" s="142">
        <f>VLOOKUP($A281,'BC.114+320'!$B$13:$X$489,21,0)/1000</f>
        <v>-0.23100000000000001</v>
      </c>
      <c r="L281" s="140">
        <f t="shared" si="16"/>
        <v>-105.99999999999999</v>
      </c>
      <c r="M281" s="141">
        <f t="shared" si="17"/>
        <v>-123</v>
      </c>
      <c r="N281" s="140">
        <f t="shared" si="18"/>
        <v>-111.00000000000001</v>
      </c>
      <c r="O281" s="140"/>
    </row>
    <row r="282" spans="1:15">
      <c r="A282" s="76">
        <f>'BC.114+320'!B281</f>
        <v>45311</v>
      </c>
      <c r="B282" s="140">
        <f t="shared" si="19"/>
        <v>268</v>
      </c>
      <c r="C282" s="142">
        <f>'BC.114+320'!M281/1000</f>
        <v>0.67700000000000005</v>
      </c>
      <c r="D282" s="142">
        <f>'BC.114+320'!AA281</f>
        <v>0.89900000000000002</v>
      </c>
      <c r="E282" s="143">
        <f>'BC.114+320'!AB281</f>
        <v>0.73399999999999999</v>
      </c>
      <c r="F282" s="142">
        <f>VLOOKUP($A282,'BC.114+320'!$B$13:$X$489,8,0)/1000</f>
        <v>1.714</v>
      </c>
      <c r="G282" s="142">
        <f>VLOOKUP($A282,'BC.114+320'!$B$13:$X$489,9,0)/1000</f>
        <v>-0.28599999999999998</v>
      </c>
      <c r="H282" s="142">
        <f>VLOOKUP($A282,'BC.114+320'!$B$13:$X$489,14,0)/1000</f>
        <v>1.6970000000000001</v>
      </c>
      <c r="I282" s="142">
        <f>VLOOKUP($A282,'BC.114+320'!$B$13:$X$489,15,0)/1000</f>
        <v>-0.30299999999999999</v>
      </c>
      <c r="J282" s="142">
        <f>VLOOKUP($A282,'BC.114+320'!$B$13:$X$489,20,0)/1000</f>
        <v>1.7689999999999999</v>
      </c>
      <c r="K282" s="142">
        <f>VLOOKUP($A282,'BC.114+320'!$B$13:$X$489,21,0)/1000</f>
        <v>-0.23100000000000001</v>
      </c>
      <c r="L282" s="140">
        <f t="shared" si="16"/>
        <v>-105.99999999999999</v>
      </c>
      <c r="M282" s="141">
        <f t="shared" si="17"/>
        <v>-123</v>
      </c>
      <c r="N282" s="140">
        <f t="shared" si="18"/>
        <v>-111.00000000000001</v>
      </c>
      <c r="O282" s="140"/>
    </row>
    <row r="283" spans="1:15">
      <c r="A283" s="76">
        <f>'BC.114+320'!B282</f>
        <v>45312</v>
      </c>
      <c r="B283" s="140">
        <f t="shared" si="19"/>
        <v>269</v>
      </c>
      <c r="C283" s="142">
        <f>'BC.114+320'!M282/1000</f>
        <v>0.67700000000000005</v>
      </c>
      <c r="D283" s="142">
        <f>'BC.114+320'!AA282</f>
        <v>0.89900000000000002</v>
      </c>
      <c r="E283" s="143">
        <f>'BC.114+320'!AB282</f>
        <v>0.73399999999999999</v>
      </c>
      <c r="F283" s="142">
        <f>VLOOKUP($A283,'BC.114+320'!$B$13:$X$489,8,0)/1000</f>
        <v>1.714</v>
      </c>
      <c r="G283" s="142">
        <f>VLOOKUP($A283,'BC.114+320'!$B$13:$X$489,9,0)/1000</f>
        <v>-0.28599999999999998</v>
      </c>
      <c r="H283" s="142">
        <f>VLOOKUP($A283,'BC.114+320'!$B$13:$X$489,14,0)/1000</f>
        <v>1.6970000000000001</v>
      </c>
      <c r="I283" s="142">
        <f>VLOOKUP($A283,'BC.114+320'!$B$13:$X$489,15,0)/1000</f>
        <v>-0.30299999999999999</v>
      </c>
      <c r="J283" s="142">
        <f>VLOOKUP($A283,'BC.114+320'!$B$13:$X$489,20,0)/1000</f>
        <v>1.7689999999999999</v>
      </c>
      <c r="K283" s="142">
        <f>VLOOKUP($A283,'BC.114+320'!$B$13:$X$489,21,0)/1000</f>
        <v>-0.23100000000000001</v>
      </c>
      <c r="L283" s="140">
        <f t="shared" si="16"/>
        <v>-105.99999999999999</v>
      </c>
      <c r="M283" s="141">
        <f t="shared" si="17"/>
        <v>-123</v>
      </c>
      <c r="N283" s="140">
        <f t="shared" si="18"/>
        <v>-111.00000000000001</v>
      </c>
      <c r="O283" s="140"/>
    </row>
    <row r="284" spans="1:15">
      <c r="A284" s="76">
        <f>'BC.114+320'!B283</f>
        <v>45313</v>
      </c>
      <c r="B284" s="140">
        <f t="shared" si="19"/>
        <v>270</v>
      </c>
      <c r="C284" s="142">
        <f>'BC.114+320'!M283/1000</f>
        <v>0.67700000000000005</v>
      </c>
      <c r="D284" s="142">
        <f>'BC.114+320'!AA283</f>
        <v>0.89900000000000002</v>
      </c>
      <c r="E284" s="143">
        <f>'BC.114+320'!AB283</f>
        <v>0.73399999999999999</v>
      </c>
      <c r="F284" s="142">
        <f>VLOOKUP($A284,'BC.114+320'!$B$13:$X$489,8,0)/1000</f>
        <v>1.714</v>
      </c>
      <c r="G284" s="142">
        <f>VLOOKUP($A284,'BC.114+320'!$B$13:$X$489,9,0)/1000</f>
        <v>-0.28599999999999998</v>
      </c>
      <c r="H284" s="142">
        <f>VLOOKUP($A284,'BC.114+320'!$B$13:$X$489,14,0)/1000</f>
        <v>1.6970000000000001</v>
      </c>
      <c r="I284" s="142">
        <f>VLOOKUP($A284,'BC.114+320'!$B$13:$X$489,15,0)/1000</f>
        <v>-0.30299999999999999</v>
      </c>
      <c r="J284" s="142">
        <f>VLOOKUP($A284,'BC.114+320'!$B$13:$X$489,20,0)/1000</f>
        <v>1.7689999999999999</v>
      </c>
      <c r="K284" s="142">
        <f>VLOOKUP($A284,'BC.114+320'!$B$13:$X$489,21,0)/1000</f>
        <v>-0.23100000000000001</v>
      </c>
      <c r="L284" s="140">
        <f t="shared" si="16"/>
        <v>-105.99999999999999</v>
      </c>
      <c r="M284" s="141">
        <f t="shared" si="17"/>
        <v>-123</v>
      </c>
      <c r="N284" s="140">
        <f t="shared" si="18"/>
        <v>-111.00000000000001</v>
      </c>
      <c r="O284" s="140"/>
    </row>
    <row r="285" spans="1:15">
      <c r="A285" s="76">
        <f>'BC.114+320'!B284</f>
        <v>45314</v>
      </c>
      <c r="B285" s="140">
        <f t="shared" si="19"/>
        <v>271</v>
      </c>
      <c r="C285" s="142">
        <f>'BC.114+320'!M284/1000</f>
        <v>0.67700000000000005</v>
      </c>
      <c r="D285" s="142">
        <f>'BC.114+320'!AA284</f>
        <v>0.89900000000000002</v>
      </c>
      <c r="E285" s="143">
        <f>'BC.114+320'!AB284</f>
        <v>0.73399999999999999</v>
      </c>
      <c r="F285" s="142">
        <f>VLOOKUP($A285,'BC.114+320'!$B$13:$X$489,8,0)/1000</f>
        <v>1.714</v>
      </c>
      <c r="G285" s="142">
        <f>VLOOKUP($A285,'BC.114+320'!$B$13:$X$489,9,0)/1000</f>
        <v>-0.28599999999999998</v>
      </c>
      <c r="H285" s="142">
        <f>VLOOKUP($A285,'BC.114+320'!$B$13:$X$489,14,0)/1000</f>
        <v>1.6970000000000001</v>
      </c>
      <c r="I285" s="142">
        <f>VLOOKUP($A285,'BC.114+320'!$B$13:$X$489,15,0)/1000</f>
        <v>-0.30299999999999999</v>
      </c>
      <c r="J285" s="142">
        <f>VLOOKUP($A285,'BC.114+320'!$B$13:$X$489,20,0)/1000</f>
        <v>1.7689999999999999</v>
      </c>
      <c r="K285" s="142">
        <f>VLOOKUP($A285,'BC.114+320'!$B$13:$X$489,21,0)/1000</f>
        <v>-0.23100000000000001</v>
      </c>
      <c r="L285" s="140">
        <f t="shared" si="16"/>
        <v>-105.99999999999999</v>
      </c>
      <c r="M285" s="141">
        <f t="shared" si="17"/>
        <v>-123</v>
      </c>
      <c r="N285" s="140">
        <f t="shared" si="18"/>
        <v>-111.00000000000001</v>
      </c>
      <c r="O285" s="140"/>
    </row>
    <row r="286" spans="1:15">
      <c r="A286" s="76">
        <f>'BC.114+320'!B285</f>
        <v>45315</v>
      </c>
      <c r="B286" s="140">
        <f t="shared" si="19"/>
        <v>272</v>
      </c>
      <c r="C286" s="142">
        <f>'BC.114+320'!M285/1000</f>
        <v>0.67700000000000005</v>
      </c>
      <c r="D286" s="142">
        <f>'BC.114+320'!AA285</f>
        <v>0.89900000000000002</v>
      </c>
      <c r="E286" s="143">
        <f>'BC.114+320'!AB285</f>
        <v>0.73399999999999999</v>
      </c>
      <c r="F286" s="142">
        <f>VLOOKUP($A286,'BC.114+320'!$B$13:$X$489,8,0)/1000</f>
        <v>1.714</v>
      </c>
      <c r="G286" s="142">
        <f>VLOOKUP($A286,'BC.114+320'!$B$13:$X$489,9,0)/1000</f>
        <v>-0.28599999999999998</v>
      </c>
      <c r="H286" s="142">
        <f>VLOOKUP($A286,'BC.114+320'!$B$13:$X$489,14,0)/1000</f>
        <v>1.6970000000000001</v>
      </c>
      <c r="I286" s="142">
        <f>VLOOKUP($A286,'BC.114+320'!$B$13:$X$489,15,0)/1000</f>
        <v>-0.30299999999999999</v>
      </c>
      <c r="J286" s="142">
        <f>VLOOKUP($A286,'BC.114+320'!$B$13:$X$489,20,0)/1000</f>
        <v>1.7689999999999999</v>
      </c>
      <c r="K286" s="142">
        <f>VLOOKUP($A286,'BC.114+320'!$B$13:$X$489,21,0)/1000</f>
        <v>-0.23100000000000001</v>
      </c>
      <c r="L286" s="140">
        <f t="shared" si="16"/>
        <v>-105.99999999999999</v>
      </c>
      <c r="M286" s="141">
        <f t="shared" si="17"/>
        <v>-123</v>
      </c>
      <c r="N286" s="140">
        <f t="shared" si="18"/>
        <v>-111.00000000000001</v>
      </c>
      <c r="O286" s="140"/>
    </row>
    <row r="287" spans="1:15">
      <c r="A287" s="76">
        <f>'BC.114+320'!B286</f>
        <v>45316</v>
      </c>
      <c r="B287" s="140">
        <f t="shared" si="19"/>
        <v>273</v>
      </c>
      <c r="C287" s="142">
        <f>'BC.114+320'!M286/1000</f>
        <v>0.67700000000000005</v>
      </c>
      <c r="D287" s="142">
        <f>'BC.114+320'!AA286</f>
        <v>0.89900000000000002</v>
      </c>
      <c r="E287" s="143">
        <f>'BC.114+320'!AB286</f>
        <v>0.73399999999999999</v>
      </c>
      <c r="F287" s="142">
        <f>VLOOKUP($A287,'BC.114+320'!$B$13:$X$489,8,0)/1000</f>
        <v>1.714</v>
      </c>
      <c r="G287" s="142">
        <f>VLOOKUP($A287,'BC.114+320'!$B$13:$X$489,9,0)/1000</f>
        <v>-0.28599999999999998</v>
      </c>
      <c r="H287" s="142">
        <f>VLOOKUP($A287,'BC.114+320'!$B$13:$X$489,14,0)/1000</f>
        <v>1.6970000000000001</v>
      </c>
      <c r="I287" s="142">
        <f>VLOOKUP($A287,'BC.114+320'!$B$13:$X$489,15,0)/1000</f>
        <v>-0.30299999999999999</v>
      </c>
      <c r="J287" s="142">
        <f>VLOOKUP($A287,'BC.114+320'!$B$13:$X$489,20,0)/1000</f>
        <v>1.7689999999999999</v>
      </c>
      <c r="K287" s="142">
        <f>VLOOKUP($A287,'BC.114+320'!$B$13:$X$489,21,0)/1000</f>
        <v>-0.23100000000000001</v>
      </c>
      <c r="L287" s="140">
        <f t="shared" si="16"/>
        <v>-105.99999999999999</v>
      </c>
      <c r="M287" s="141">
        <f t="shared" si="17"/>
        <v>-123</v>
      </c>
      <c r="N287" s="140">
        <f t="shared" si="18"/>
        <v>-111.00000000000001</v>
      </c>
      <c r="O287" s="140"/>
    </row>
    <row r="288" spans="1:15">
      <c r="A288" s="76">
        <f>'BC.114+320'!B287</f>
        <v>45317</v>
      </c>
      <c r="B288" s="140">
        <f t="shared" si="19"/>
        <v>274</v>
      </c>
      <c r="C288" s="142">
        <f>'BC.114+320'!M287/1000</f>
        <v>0.67700000000000005</v>
      </c>
      <c r="D288" s="142">
        <f>'BC.114+320'!AA287</f>
        <v>0.89900000000000002</v>
      </c>
      <c r="E288" s="143">
        <f>'BC.114+320'!AB287</f>
        <v>0.73399999999999999</v>
      </c>
      <c r="F288" s="142">
        <f>VLOOKUP($A288,'BC.114+320'!$B$13:$X$489,8,0)/1000</f>
        <v>1.714</v>
      </c>
      <c r="G288" s="142">
        <f>VLOOKUP($A288,'BC.114+320'!$B$13:$X$489,9,0)/1000</f>
        <v>-0.28599999999999998</v>
      </c>
      <c r="H288" s="142">
        <f>VLOOKUP($A288,'BC.114+320'!$B$13:$X$489,14,0)/1000</f>
        <v>1.6970000000000001</v>
      </c>
      <c r="I288" s="142">
        <f>VLOOKUP($A288,'BC.114+320'!$B$13:$X$489,15,0)/1000</f>
        <v>-0.30299999999999999</v>
      </c>
      <c r="J288" s="142">
        <f>VLOOKUP($A288,'BC.114+320'!$B$13:$X$489,20,0)/1000</f>
        <v>1.7689999999999999</v>
      </c>
      <c r="K288" s="142">
        <f>VLOOKUP($A288,'BC.114+320'!$B$13:$X$489,21,0)/1000</f>
        <v>-0.23100000000000001</v>
      </c>
      <c r="L288" s="140">
        <f t="shared" si="16"/>
        <v>-105.99999999999999</v>
      </c>
      <c r="M288" s="141">
        <f t="shared" si="17"/>
        <v>-123</v>
      </c>
      <c r="N288" s="140">
        <f t="shared" si="18"/>
        <v>-111.00000000000001</v>
      </c>
      <c r="O288" s="140"/>
    </row>
    <row r="289" spans="1:15">
      <c r="A289" s="76">
        <f>'BC.114+320'!B288</f>
        <v>45318</v>
      </c>
      <c r="B289" s="140">
        <f t="shared" si="19"/>
        <v>275</v>
      </c>
      <c r="C289" s="142">
        <f>'BC.114+320'!M288/1000</f>
        <v>0.67700000000000005</v>
      </c>
      <c r="D289" s="142">
        <f>'BC.114+320'!AA288</f>
        <v>0.89900000000000002</v>
      </c>
      <c r="E289" s="143">
        <f>'BC.114+320'!AB288</f>
        <v>0.73399999999999999</v>
      </c>
      <c r="F289" s="142">
        <f>VLOOKUP($A289,'BC.114+320'!$B$13:$X$489,8,0)/1000</f>
        <v>1.714</v>
      </c>
      <c r="G289" s="142">
        <f>VLOOKUP($A289,'BC.114+320'!$B$13:$X$489,9,0)/1000</f>
        <v>-0.28599999999999998</v>
      </c>
      <c r="H289" s="142">
        <f>VLOOKUP($A289,'BC.114+320'!$B$13:$X$489,14,0)/1000</f>
        <v>1.6970000000000001</v>
      </c>
      <c r="I289" s="142">
        <f>VLOOKUP($A289,'BC.114+320'!$B$13:$X$489,15,0)/1000</f>
        <v>-0.30299999999999999</v>
      </c>
      <c r="J289" s="142">
        <f>VLOOKUP($A289,'BC.114+320'!$B$13:$X$489,20,0)/1000</f>
        <v>1.7689999999999999</v>
      </c>
      <c r="K289" s="142">
        <f>VLOOKUP($A289,'BC.114+320'!$B$13:$X$489,21,0)/1000</f>
        <v>-0.23100000000000001</v>
      </c>
      <c r="L289" s="140">
        <f t="shared" si="16"/>
        <v>-105.99999999999999</v>
      </c>
      <c r="M289" s="141">
        <f t="shared" si="17"/>
        <v>-123</v>
      </c>
      <c r="N289" s="140">
        <f t="shared" si="18"/>
        <v>-111.00000000000001</v>
      </c>
      <c r="O289" s="140"/>
    </row>
    <row r="290" spans="1:15">
      <c r="A290" s="76">
        <f>'BC.114+320'!B289</f>
        <v>45319</v>
      </c>
      <c r="B290" s="140">
        <f t="shared" si="19"/>
        <v>276</v>
      </c>
      <c r="C290" s="142">
        <f>'BC.114+320'!M289/1000</f>
        <v>0.67700000000000005</v>
      </c>
      <c r="D290" s="142">
        <f>'BC.114+320'!AA289</f>
        <v>0.89900000000000002</v>
      </c>
      <c r="E290" s="143">
        <f>'BC.114+320'!AB289</f>
        <v>0.73399999999999999</v>
      </c>
      <c r="F290" s="142">
        <f>VLOOKUP($A290,'BC.114+320'!$B$13:$X$489,8,0)/1000</f>
        <v>1.714</v>
      </c>
      <c r="G290" s="142">
        <f>VLOOKUP($A290,'BC.114+320'!$B$13:$X$489,9,0)/1000</f>
        <v>-0.28599999999999998</v>
      </c>
      <c r="H290" s="142">
        <f>VLOOKUP($A290,'BC.114+320'!$B$13:$X$489,14,0)/1000</f>
        <v>1.6970000000000001</v>
      </c>
      <c r="I290" s="142">
        <f>VLOOKUP($A290,'BC.114+320'!$B$13:$X$489,15,0)/1000</f>
        <v>-0.30299999999999999</v>
      </c>
      <c r="J290" s="142">
        <f>VLOOKUP($A290,'BC.114+320'!$B$13:$X$489,20,0)/1000</f>
        <v>1.7689999999999999</v>
      </c>
      <c r="K290" s="142">
        <f>VLOOKUP($A290,'BC.114+320'!$B$13:$X$489,21,0)/1000</f>
        <v>-0.23100000000000001</v>
      </c>
      <c r="L290" s="140">
        <f t="shared" si="16"/>
        <v>-105.99999999999999</v>
      </c>
      <c r="M290" s="141">
        <f t="shared" si="17"/>
        <v>-123</v>
      </c>
      <c r="N290" s="140">
        <f t="shared" si="18"/>
        <v>-111.00000000000001</v>
      </c>
      <c r="O290" s="140"/>
    </row>
    <row r="291" spans="1:15">
      <c r="A291" s="76">
        <f>'BC.114+320'!B290</f>
        <v>45320</v>
      </c>
      <c r="B291" s="140">
        <f t="shared" si="19"/>
        <v>277</v>
      </c>
      <c r="C291" s="142">
        <f>'BC.114+320'!M290/1000</f>
        <v>0.67700000000000005</v>
      </c>
      <c r="D291" s="142">
        <f>'BC.114+320'!AA290</f>
        <v>0.89900000000000002</v>
      </c>
      <c r="E291" s="143">
        <f>'BC.114+320'!AB290</f>
        <v>0.73399999999999999</v>
      </c>
      <c r="F291" s="142">
        <f>VLOOKUP($A291,'BC.114+320'!$B$13:$X$489,8,0)/1000</f>
        <v>1.714</v>
      </c>
      <c r="G291" s="142">
        <f>VLOOKUP($A291,'BC.114+320'!$B$13:$X$489,9,0)/1000</f>
        <v>-0.28599999999999998</v>
      </c>
      <c r="H291" s="142">
        <f>VLOOKUP($A291,'BC.114+320'!$B$13:$X$489,14,0)/1000</f>
        <v>1.6970000000000001</v>
      </c>
      <c r="I291" s="142">
        <f>VLOOKUP($A291,'BC.114+320'!$B$13:$X$489,15,0)/1000</f>
        <v>-0.30299999999999999</v>
      </c>
      <c r="J291" s="142">
        <f>VLOOKUP($A291,'BC.114+320'!$B$13:$X$489,20,0)/1000</f>
        <v>1.7689999999999999</v>
      </c>
      <c r="K291" s="142">
        <f>VLOOKUP($A291,'BC.114+320'!$B$13:$X$489,21,0)/1000</f>
        <v>-0.23100000000000001</v>
      </c>
      <c r="L291" s="140">
        <f t="shared" si="16"/>
        <v>-105.99999999999999</v>
      </c>
      <c r="M291" s="141">
        <f t="shared" si="17"/>
        <v>-123</v>
      </c>
      <c r="N291" s="140">
        <f t="shared" si="18"/>
        <v>-111.00000000000001</v>
      </c>
      <c r="O291" s="140"/>
    </row>
    <row r="292" spans="1:15">
      <c r="A292" s="76">
        <f>'BC.114+320'!B291</f>
        <v>45321</v>
      </c>
      <c r="B292" s="140">
        <f t="shared" si="19"/>
        <v>278</v>
      </c>
      <c r="C292" s="142">
        <f>'BC.114+320'!M291/1000</f>
        <v>0.67700000000000005</v>
      </c>
      <c r="D292" s="142">
        <f>'BC.114+320'!AA291</f>
        <v>0.89900000000000002</v>
      </c>
      <c r="E292" s="143">
        <f>'BC.114+320'!AB291</f>
        <v>0.73399999999999999</v>
      </c>
      <c r="F292" s="142">
        <f>VLOOKUP($A292,'BC.114+320'!$B$13:$X$489,8,0)/1000</f>
        <v>1.714</v>
      </c>
      <c r="G292" s="142">
        <f>VLOOKUP($A292,'BC.114+320'!$B$13:$X$489,9,0)/1000</f>
        <v>-0.28599999999999998</v>
      </c>
      <c r="H292" s="142">
        <f>VLOOKUP($A292,'BC.114+320'!$B$13:$X$489,14,0)/1000</f>
        <v>1.6970000000000001</v>
      </c>
      <c r="I292" s="142">
        <f>VLOOKUP($A292,'BC.114+320'!$B$13:$X$489,15,0)/1000</f>
        <v>-0.30299999999999999</v>
      </c>
      <c r="J292" s="142">
        <f>VLOOKUP($A292,'BC.114+320'!$B$13:$X$489,20,0)/1000</f>
        <v>1.7689999999999999</v>
      </c>
      <c r="K292" s="142">
        <f>VLOOKUP($A292,'BC.114+320'!$B$13:$X$489,21,0)/1000</f>
        <v>-0.23100000000000001</v>
      </c>
      <c r="L292" s="140">
        <f t="shared" si="16"/>
        <v>-105.99999999999999</v>
      </c>
      <c r="M292" s="141">
        <f t="shared" si="17"/>
        <v>-123</v>
      </c>
      <c r="N292" s="140">
        <f t="shared" si="18"/>
        <v>-111.00000000000001</v>
      </c>
      <c r="O292" s="140"/>
    </row>
    <row r="293" spans="1:15">
      <c r="A293" s="76">
        <f>'BC.114+320'!B292</f>
        <v>45322</v>
      </c>
      <c r="B293" s="140">
        <f t="shared" si="19"/>
        <v>279</v>
      </c>
      <c r="C293" s="142">
        <f>'BC.114+320'!M292/1000</f>
        <v>0.67700000000000005</v>
      </c>
      <c r="D293" s="142">
        <f>'BC.114+320'!AA292</f>
        <v>0.89900000000000002</v>
      </c>
      <c r="E293" s="143">
        <f>'BC.114+320'!AB292</f>
        <v>0.73399999999999999</v>
      </c>
      <c r="F293" s="142">
        <f>VLOOKUP($A293,'BC.114+320'!$B$13:$X$489,8,0)/1000</f>
        <v>1.714</v>
      </c>
      <c r="G293" s="142">
        <f>VLOOKUP($A293,'BC.114+320'!$B$13:$X$489,9,0)/1000</f>
        <v>-0.28599999999999998</v>
      </c>
      <c r="H293" s="142">
        <f>VLOOKUP($A293,'BC.114+320'!$B$13:$X$489,14,0)/1000</f>
        <v>1.6970000000000001</v>
      </c>
      <c r="I293" s="142">
        <f>VLOOKUP($A293,'BC.114+320'!$B$13:$X$489,15,0)/1000</f>
        <v>-0.30299999999999999</v>
      </c>
      <c r="J293" s="142">
        <f>VLOOKUP($A293,'BC.114+320'!$B$13:$X$489,20,0)/1000</f>
        <v>1.7689999999999999</v>
      </c>
      <c r="K293" s="142">
        <f>VLOOKUP($A293,'BC.114+320'!$B$13:$X$489,21,0)/1000</f>
        <v>-0.23100000000000001</v>
      </c>
      <c r="L293" s="140">
        <f t="shared" si="16"/>
        <v>-105.99999999999999</v>
      </c>
      <c r="M293" s="141">
        <f t="shared" si="17"/>
        <v>-123</v>
      </c>
      <c r="N293" s="140">
        <f t="shared" si="18"/>
        <v>-111.00000000000001</v>
      </c>
      <c r="O293" s="140"/>
    </row>
    <row r="294" spans="1:15">
      <c r="A294" s="76">
        <f>'BC.114+320'!B293</f>
        <v>45323</v>
      </c>
      <c r="B294" s="140">
        <f t="shared" si="19"/>
        <v>280</v>
      </c>
      <c r="C294" s="142">
        <f>'BC.114+320'!M293/1000</f>
        <v>0.67700000000000005</v>
      </c>
      <c r="D294" s="142">
        <f>'BC.114+320'!AA293</f>
        <v>0.89900000000000002</v>
      </c>
      <c r="E294" s="143">
        <f>'BC.114+320'!AB293</f>
        <v>0.73399999999999999</v>
      </c>
      <c r="F294" s="142">
        <f>VLOOKUP($A294,'BC.114+320'!$B$13:$X$489,8,0)/1000</f>
        <v>1.714</v>
      </c>
      <c r="G294" s="142">
        <f>VLOOKUP($A294,'BC.114+320'!$B$13:$X$489,9,0)/1000</f>
        <v>-0.28599999999999998</v>
      </c>
      <c r="H294" s="142">
        <f>VLOOKUP($A294,'BC.114+320'!$B$13:$X$489,14,0)/1000</f>
        <v>1.6970000000000001</v>
      </c>
      <c r="I294" s="142">
        <f>VLOOKUP($A294,'BC.114+320'!$B$13:$X$489,15,0)/1000</f>
        <v>-0.30299999999999999</v>
      </c>
      <c r="J294" s="142">
        <f>VLOOKUP($A294,'BC.114+320'!$B$13:$X$489,20,0)/1000</f>
        <v>1.7689999999999999</v>
      </c>
      <c r="K294" s="142">
        <f>VLOOKUP($A294,'BC.114+320'!$B$13:$X$489,21,0)/1000</f>
        <v>-0.23100000000000001</v>
      </c>
      <c r="L294" s="140">
        <f t="shared" si="16"/>
        <v>-105.99999999999999</v>
      </c>
      <c r="M294" s="141">
        <f t="shared" si="17"/>
        <v>-123</v>
      </c>
      <c r="N294" s="140">
        <f t="shared" si="18"/>
        <v>-111.00000000000001</v>
      </c>
      <c r="O294" s="140"/>
    </row>
    <row r="295" spans="1:15">
      <c r="A295" s="76">
        <f>'BC.114+320'!B294</f>
        <v>45324</v>
      </c>
      <c r="B295" s="140">
        <f t="shared" si="19"/>
        <v>281</v>
      </c>
      <c r="C295" s="142">
        <f>'BC.114+320'!M294/1000</f>
        <v>0.67700000000000005</v>
      </c>
      <c r="D295" s="142">
        <f>'BC.114+320'!AA294</f>
        <v>0.89900000000000002</v>
      </c>
      <c r="E295" s="143">
        <f>'BC.114+320'!AB294</f>
        <v>0.73399999999999999</v>
      </c>
      <c r="F295" s="142">
        <f>VLOOKUP($A295,'BC.114+320'!$B$13:$X$489,8,0)/1000</f>
        <v>1.714</v>
      </c>
      <c r="G295" s="142">
        <f>VLOOKUP($A295,'BC.114+320'!$B$13:$X$489,9,0)/1000</f>
        <v>-0.28599999999999998</v>
      </c>
      <c r="H295" s="142">
        <f>VLOOKUP($A295,'BC.114+320'!$B$13:$X$489,14,0)/1000</f>
        <v>1.6970000000000001</v>
      </c>
      <c r="I295" s="142">
        <f>VLOOKUP($A295,'BC.114+320'!$B$13:$X$489,15,0)/1000</f>
        <v>-0.30299999999999999</v>
      </c>
      <c r="J295" s="142">
        <f>VLOOKUP($A295,'BC.114+320'!$B$13:$X$489,20,0)/1000</f>
        <v>1.7689999999999999</v>
      </c>
      <c r="K295" s="142">
        <f>VLOOKUP($A295,'BC.114+320'!$B$13:$X$489,21,0)/1000</f>
        <v>-0.23100000000000001</v>
      </c>
      <c r="L295" s="140">
        <f t="shared" si="16"/>
        <v>-105.99999999999999</v>
      </c>
      <c r="M295" s="141">
        <f t="shared" si="17"/>
        <v>-123</v>
      </c>
      <c r="N295" s="140">
        <f t="shared" si="18"/>
        <v>-111.00000000000001</v>
      </c>
      <c r="O295" s="140"/>
    </row>
    <row r="296" spans="1:15">
      <c r="A296" s="76">
        <f>'BC.114+320'!B295</f>
        <v>45325</v>
      </c>
      <c r="B296" s="140">
        <f t="shared" si="19"/>
        <v>282</v>
      </c>
      <c r="C296" s="142">
        <f>'BC.114+320'!M295/1000</f>
        <v>0.67700000000000005</v>
      </c>
      <c r="D296" s="142">
        <f>'BC.114+320'!AA295</f>
        <v>0.89900000000000002</v>
      </c>
      <c r="E296" s="143">
        <f>'BC.114+320'!AB295</f>
        <v>0.73399999999999999</v>
      </c>
      <c r="F296" s="142">
        <f>VLOOKUP($A296,'BC.114+320'!$B$13:$X$489,8,0)/1000</f>
        <v>1.714</v>
      </c>
      <c r="G296" s="142">
        <f>VLOOKUP($A296,'BC.114+320'!$B$13:$X$489,9,0)/1000</f>
        <v>-0.28599999999999998</v>
      </c>
      <c r="H296" s="142">
        <f>VLOOKUP($A296,'BC.114+320'!$B$13:$X$489,14,0)/1000</f>
        <v>1.6970000000000001</v>
      </c>
      <c r="I296" s="142">
        <f>VLOOKUP($A296,'BC.114+320'!$B$13:$X$489,15,0)/1000</f>
        <v>-0.30299999999999999</v>
      </c>
      <c r="J296" s="142">
        <f>VLOOKUP($A296,'BC.114+320'!$B$13:$X$489,20,0)/1000</f>
        <v>1.7689999999999999</v>
      </c>
      <c r="K296" s="142">
        <f>VLOOKUP($A296,'BC.114+320'!$B$13:$X$489,21,0)/1000</f>
        <v>-0.23100000000000001</v>
      </c>
      <c r="L296" s="140">
        <f t="shared" si="16"/>
        <v>-105.99999999999999</v>
      </c>
      <c r="M296" s="141">
        <f t="shared" si="17"/>
        <v>-123</v>
      </c>
      <c r="N296" s="140">
        <f t="shared" si="18"/>
        <v>-111.00000000000001</v>
      </c>
      <c r="O296" s="140"/>
    </row>
    <row r="297" spans="1:15">
      <c r="A297" s="76">
        <f>'BC.114+320'!B296</f>
        <v>45326</v>
      </c>
      <c r="B297" s="140">
        <f t="shared" si="19"/>
        <v>283</v>
      </c>
      <c r="C297" s="142">
        <f>'BC.114+320'!M296/1000</f>
        <v>0.67700000000000005</v>
      </c>
      <c r="D297" s="142">
        <f>'BC.114+320'!AA296</f>
        <v>0.89900000000000002</v>
      </c>
      <c r="E297" s="143">
        <f>'BC.114+320'!AB296</f>
        <v>0.73399999999999999</v>
      </c>
      <c r="F297" s="142">
        <f>VLOOKUP($A297,'BC.114+320'!$B$13:$X$489,8,0)/1000</f>
        <v>1.714</v>
      </c>
      <c r="G297" s="142">
        <f>VLOOKUP($A297,'BC.114+320'!$B$13:$X$489,9,0)/1000</f>
        <v>-0.28599999999999998</v>
      </c>
      <c r="H297" s="142">
        <f>VLOOKUP($A297,'BC.114+320'!$B$13:$X$489,14,0)/1000</f>
        <v>1.6970000000000001</v>
      </c>
      <c r="I297" s="142">
        <f>VLOOKUP($A297,'BC.114+320'!$B$13:$X$489,15,0)/1000</f>
        <v>-0.30299999999999999</v>
      </c>
      <c r="J297" s="142">
        <f>VLOOKUP($A297,'BC.114+320'!$B$13:$X$489,20,0)/1000</f>
        <v>1.7689999999999999</v>
      </c>
      <c r="K297" s="142">
        <f>VLOOKUP($A297,'BC.114+320'!$B$13:$X$489,21,0)/1000</f>
        <v>-0.23100000000000001</v>
      </c>
      <c r="L297" s="140">
        <f t="shared" si="16"/>
        <v>-105.99999999999999</v>
      </c>
      <c r="M297" s="141">
        <f t="shared" si="17"/>
        <v>-123</v>
      </c>
      <c r="N297" s="140">
        <f t="shared" si="18"/>
        <v>-111.00000000000001</v>
      </c>
      <c r="O297" s="140"/>
    </row>
    <row r="298" spans="1:15">
      <c r="A298" s="76">
        <f>'BC.114+320'!B297</f>
        <v>45327</v>
      </c>
      <c r="B298" s="140">
        <f t="shared" si="19"/>
        <v>284</v>
      </c>
      <c r="C298" s="142">
        <f>'BC.114+320'!M297/1000</f>
        <v>0.67700000000000005</v>
      </c>
      <c r="D298" s="142">
        <f>'BC.114+320'!AA297</f>
        <v>0.89900000000000002</v>
      </c>
      <c r="E298" s="143">
        <f>'BC.114+320'!AB297</f>
        <v>0.73399999999999999</v>
      </c>
      <c r="F298" s="142">
        <f>VLOOKUP($A298,'BC.114+320'!$B$13:$X$489,8,0)/1000</f>
        <v>1.714</v>
      </c>
      <c r="G298" s="142">
        <f>VLOOKUP($A298,'BC.114+320'!$B$13:$X$489,9,0)/1000</f>
        <v>-0.28599999999999998</v>
      </c>
      <c r="H298" s="142">
        <f>VLOOKUP($A298,'BC.114+320'!$B$13:$X$489,14,0)/1000</f>
        <v>1.6970000000000001</v>
      </c>
      <c r="I298" s="142">
        <f>VLOOKUP($A298,'BC.114+320'!$B$13:$X$489,15,0)/1000</f>
        <v>-0.30299999999999999</v>
      </c>
      <c r="J298" s="142">
        <f>VLOOKUP($A298,'BC.114+320'!$B$13:$X$489,20,0)/1000</f>
        <v>1.7689999999999999</v>
      </c>
      <c r="K298" s="142">
        <f>VLOOKUP($A298,'BC.114+320'!$B$13:$X$489,21,0)/1000</f>
        <v>-0.23100000000000001</v>
      </c>
      <c r="L298" s="140">
        <f t="shared" si="16"/>
        <v>-105.99999999999999</v>
      </c>
      <c r="M298" s="141">
        <f t="shared" si="17"/>
        <v>-123</v>
      </c>
      <c r="N298" s="140">
        <f t="shared" si="18"/>
        <v>-111.00000000000001</v>
      </c>
      <c r="O298" s="140"/>
    </row>
    <row r="299" spans="1:15">
      <c r="A299" s="76">
        <f>'BC.114+320'!B298</f>
        <v>45328</v>
      </c>
      <c r="B299" s="140">
        <f t="shared" si="19"/>
        <v>285</v>
      </c>
      <c r="C299" s="142">
        <f>'BC.114+320'!M298/1000</f>
        <v>0.67700000000000005</v>
      </c>
      <c r="D299" s="142">
        <f>'BC.114+320'!AA298</f>
        <v>0.89900000000000002</v>
      </c>
      <c r="E299" s="143">
        <f>'BC.114+320'!AB298</f>
        <v>0.73399999999999999</v>
      </c>
      <c r="F299" s="142">
        <f>VLOOKUP($A299,'BC.114+320'!$B$13:$X$489,8,0)/1000</f>
        <v>1.714</v>
      </c>
      <c r="G299" s="142">
        <f>VLOOKUP($A299,'BC.114+320'!$B$13:$X$489,9,0)/1000</f>
        <v>-0.28599999999999998</v>
      </c>
      <c r="H299" s="142">
        <f>VLOOKUP($A299,'BC.114+320'!$B$13:$X$489,14,0)/1000</f>
        <v>1.6970000000000001</v>
      </c>
      <c r="I299" s="142">
        <f>VLOOKUP($A299,'BC.114+320'!$B$13:$X$489,15,0)/1000</f>
        <v>-0.30299999999999999</v>
      </c>
      <c r="J299" s="142">
        <f>VLOOKUP($A299,'BC.114+320'!$B$13:$X$489,20,0)/1000</f>
        <v>1.7689999999999999</v>
      </c>
      <c r="K299" s="142">
        <f>VLOOKUP($A299,'BC.114+320'!$B$13:$X$489,21,0)/1000</f>
        <v>-0.23100000000000001</v>
      </c>
      <c r="L299" s="140">
        <f t="shared" si="16"/>
        <v>-105.99999999999999</v>
      </c>
      <c r="M299" s="141">
        <f t="shared" si="17"/>
        <v>-123</v>
      </c>
      <c r="N299" s="140">
        <f t="shared" si="18"/>
        <v>-111.00000000000001</v>
      </c>
      <c r="O299" s="140"/>
    </row>
    <row r="300" spans="1:15">
      <c r="A300" s="76">
        <f>'BC.114+320'!B299</f>
        <v>45329</v>
      </c>
      <c r="B300" s="140">
        <f t="shared" si="19"/>
        <v>286</v>
      </c>
      <c r="C300" s="142">
        <f>'BC.114+320'!M299/1000</f>
        <v>0.67700000000000005</v>
      </c>
      <c r="D300" s="142">
        <f>'BC.114+320'!AA299</f>
        <v>0.89900000000000002</v>
      </c>
      <c r="E300" s="143">
        <f>'BC.114+320'!AB299</f>
        <v>0.73399999999999999</v>
      </c>
      <c r="F300" s="142">
        <f>VLOOKUP($A300,'BC.114+320'!$B$13:$X$489,8,0)/1000</f>
        <v>1.714</v>
      </c>
      <c r="G300" s="142">
        <f>VLOOKUP($A300,'BC.114+320'!$B$13:$X$489,9,0)/1000</f>
        <v>-0.28599999999999998</v>
      </c>
      <c r="H300" s="142">
        <f>VLOOKUP($A300,'BC.114+320'!$B$13:$X$489,14,0)/1000</f>
        <v>1.6970000000000001</v>
      </c>
      <c r="I300" s="142">
        <f>VLOOKUP($A300,'BC.114+320'!$B$13:$X$489,15,0)/1000</f>
        <v>-0.30299999999999999</v>
      </c>
      <c r="J300" s="142">
        <f>VLOOKUP($A300,'BC.114+320'!$B$13:$X$489,20,0)/1000</f>
        <v>1.7689999999999999</v>
      </c>
      <c r="K300" s="142">
        <f>VLOOKUP($A300,'BC.114+320'!$B$13:$X$489,21,0)/1000</f>
        <v>-0.23100000000000001</v>
      </c>
      <c r="L300" s="140">
        <f t="shared" si="16"/>
        <v>-105.99999999999999</v>
      </c>
      <c r="M300" s="141">
        <f t="shared" si="17"/>
        <v>-123</v>
      </c>
      <c r="N300" s="140">
        <f t="shared" si="18"/>
        <v>-111.00000000000001</v>
      </c>
      <c r="O300" s="140"/>
    </row>
    <row r="301" spans="1:15">
      <c r="A301" s="76">
        <f>'BC.114+320'!B300</f>
        <v>45330</v>
      </c>
      <c r="B301" s="140">
        <f t="shared" si="19"/>
        <v>287</v>
      </c>
      <c r="C301" s="142">
        <f>'BC.114+320'!M300/1000</f>
        <v>0.67700000000000005</v>
      </c>
      <c r="D301" s="142">
        <f>'BC.114+320'!AA300</f>
        <v>0.89900000000000002</v>
      </c>
      <c r="E301" s="143">
        <f>'BC.114+320'!AB300</f>
        <v>0.73399999999999999</v>
      </c>
      <c r="F301" s="142">
        <f>VLOOKUP($A301,'BC.114+320'!$B$13:$X$489,8,0)/1000</f>
        <v>1.714</v>
      </c>
      <c r="G301" s="142">
        <f>VLOOKUP($A301,'BC.114+320'!$B$13:$X$489,9,0)/1000</f>
        <v>-0.28599999999999998</v>
      </c>
      <c r="H301" s="142">
        <f>VLOOKUP($A301,'BC.114+320'!$B$13:$X$489,14,0)/1000</f>
        <v>1.6970000000000001</v>
      </c>
      <c r="I301" s="142">
        <f>VLOOKUP($A301,'BC.114+320'!$B$13:$X$489,15,0)/1000</f>
        <v>-0.30299999999999999</v>
      </c>
      <c r="J301" s="142">
        <f>VLOOKUP($A301,'BC.114+320'!$B$13:$X$489,20,0)/1000</f>
        <v>1.7689999999999999</v>
      </c>
      <c r="K301" s="142">
        <f>VLOOKUP($A301,'BC.114+320'!$B$13:$X$489,21,0)/1000</f>
        <v>-0.23100000000000001</v>
      </c>
      <c r="L301" s="140">
        <f t="shared" si="16"/>
        <v>-105.99999999999999</v>
      </c>
      <c r="M301" s="141">
        <f t="shared" si="17"/>
        <v>-123</v>
      </c>
      <c r="N301" s="140">
        <f t="shared" si="18"/>
        <v>-111.00000000000001</v>
      </c>
      <c r="O301" s="140"/>
    </row>
    <row r="302" spans="1:15">
      <c r="A302" s="76">
        <f>'BC.114+320'!B301</f>
        <v>45331</v>
      </c>
      <c r="B302" s="140">
        <f t="shared" si="19"/>
        <v>288</v>
      </c>
      <c r="C302" s="142">
        <f>'BC.114+320'!M301/1000</f>
        <v>0.67700000000000005</v>
      </c>
      <c r="D302" s="142">
        <f>'BC.114+320'!AA301</f>
        <v>0.89900000000000002</v>
      </c>
      <c r="E302" s="143">
        <f>'BC.114+320'!AB301</f>
        <v>0.73399999999999999</v>
      </c>
      <c r="F302" s="142">
        <f>VLOOKUP($A302,'BC.114+320'!$B$13:$X$489,8,0)/1000</f>
        <v>1.714</v>
      </c>
      <c r="G302" s="142">
        <f>VLOOKUP($A302,'BC.114+320'!$B$13:$X$489,9,0)/1000</f>
        <v>-0.28599999999999998</v>
      </c>
      <c r="H302" s="142">
        <f>VLOOKUP($A302,'BC.114+320'!$B$13:$X$489,14,0)/1000</f>
        <v>1.6970000000000001</v>
      </c>
      <c r="I302" s="142">
        <f>VLOOKUP($A302,'BC.114+320'!$B$13:$X$489,15,0)/1000</f>
        <v>-0.30299999999999999</v>
      </c>
      <c r="J302" s="142">
        <f>VLOOKUP($A302,'BC.114+320'!$B$13:$X$489,20,0)/1000</f>
        <v>1.7689999999999999</v>
      </c>
      <c r="K302" s="142">
        <f>VLOOKUP($A302,'BC.114+320'!$B$13:$X$489,21,0)/1000</f>
        <v>-0.23100000000000001</v>
      </c>
      <c r="L302" s="140">
        <f t="shared" si="16"/>
        <v>-105.99999999999999</v>
      </c>
      <c r="M302" s="141">
        <f t="shared" si="17"/>
        <v>-123</v>
      </c>
      <c r="N302" s="140">
        <f t="shared" si="18"/>
        <v>-111.00000000000001</v>
      </c>
      <c r="O302" s="140"/>
    </row>
    <row r="303" spans="1:15">
      <c r="A303" s="76">
        <f>'BC.114+320'!B302</f>
        <v>45332</v>
      </c>
      <c r="B303" s="140">
        <f t="shared" si="19"/>
        <v>289</v>
      </c>
      <c r="C303" s="142">
        <f>'BC.114+320'!M302/1000</f>
        <v>0.67700000000000005</v>
      </c>
      <c r="D303" s="142">
        <f>'BC.114+320'!AA302</f>
        <v>0.89900000000000002</v>
      </c>
      <c r="E303" s="143">
        <f>'BC.114+320'!AB302</f>
        <v>0.73399999999999999</v>
      </c>
      <c r="F303" s="142">
        <f>VLOOKUP($A303,'BC.114+320'!$B$13:$X$489,8,0)/1000</f>
        <v>1.714</v>
      </c>
      <c r="G303" s="142">
        <f>VLOOKUP($A303,'BC.114+320'!$B$13:$X$489,9,0)/1000</f>
        <v>-0.28599999999999998</v>
      </c>
      <c r="H303" s="142">
        <f>VLOOKUP($A303,'BC.114+320'!$B$13:$X$489,14,0)/1000</f>
        <v>1.6970000000000001</v>
      </c>
      <c r="I303" s="142">
        <f>VLOOKUP($A303,'BC.114+320'!$B$13:$X$489,15,0)/1000</f>
        <v>-0.30299999999999999</v>
      </c>
      <c r="J303" s="142">
        <f>VLOOKUP($A303,'BC.114+320'!$B$13:$X$489,20,0)/1000</f>
        <v>1.7689999999999999</v>
      </c>
      <c r="K303" s="142">
        <f>VLOOKUP($A303,'BC.114+320'!$B$13:$X$489,21,0)/1000</f>
        <v>-0.23100000000000001</v>
      </c>
      <c r="L303" s="140">
        <f t="shared" si="16"/>
        <v>-105.99999999999999</v>
      </c>
      <c r="M303" s="141">
        <f t="shared" si="17"/>
        <v>-123</v>
      </c>
      <c r="N303" s="140">
        <f t="shared" si="18"/>
        <v>-111.00000000000001</v>
      </c>
      <c r="O303" s="140"/>
    </row>
    <row r="304" spans="1:15">
      <c r="A304" s="76">
        <f>'BC.114+320'!B303</f>
        <v>45333</v>
      </c>
      <c r="B304" s="140">
        <f t="shared" si="19"/>
        <v>290</v>
      </c>
      <c r="C304" s="142">
        <f>'BC.114+320'!M303/1000</f>
        <v>0.67700000000000005</v>
      </c>
      <c r="D304" s="142">
        <f>'BC.114+320'!AA303</f>
        <v>0.89900000000000002</v>
      </c>
      <c r="E304" s="143">
        <f>'BC.114+320'!AB303</f>
        <v>0.73399999999999999</v>
      </c>
      <c r="F304" s="142">
        <f>VLOOKUP($A304,'BC.114+320'!$B$13:$X$489,8,0)/1000</f>
        <v>1.714</v>
      </c>
      <c r="G304" s="142">
        <f>VLOOKUP($A304,'BC.114+320'!$B$13:$X$489,9,0)/1000</f>
        <v>-0.28599999999999998</v>
      </c>
      <c r="H304" s="142">
        <f>VLOOKUP($A304,'BC.114+320'!$B$13:$X$489,14,0)/1000</f>
        <v>1.6970000000000001</v>
      </c>
      <c r="I304" s="142">
        <f>VLOOKUP($A304,'BC.114+320'!$B$13:$X$489,15,0)/1000</f>
        <v>-0.30299999999999999</v>
      </c>
      <c r="J304" s="142">
        <f>VLOOKUP($A304,'BC.114+320'!$B$13:$X$489,20,0)/1000</f>
        <v>1.7689999999999999</v>
      </c>
      <c r="K304" s="142">
        <f>VLOOKUP($A304,'BC.114+320'!$B$13:$X$489,21,0)/1000</f>
        <v>-0.23100000000000001</v>
      </c>
      <c r="L304" s="140">
        <f t="shared" si="16"/>
        <v>-105.99999999999999</v>
      </c>
      <c r="M304" s="141">
        <f t="shared" si="17"/>
        <v>-123</v>
      </c>
      <c r="N304" s="140">
        <f t="shared" si="18"/>
        <v>-111.00000000000001</v>
      </c>
      <c r="O304" s="140"/>
    </row>
    <row r="305" spans="1:15">
      <c r="A305" s="76">
        <f>'BC.114+320'!B304</f>
        <v>45334</v>
      </c>
      <c r="B305" s="140">
        <f t="shared" si="19"/>
        <v>291</v>
      </c>
      <c r="C305" s="142">
        <f>'BC.114+320'!M304/1000</f>
        <v>0.67700000000000005</v>
      </c>
      <c r="D305" s="142">
        <f>'BC.114+320'!AA304</f>
        <v>0.89900000000000002</v>
      </c>
      <c r="E305" s="143">
        <f>'BC.114+320'!AB304</f>
        <v>0.73399999999999999</v>
      </c>
      <c r="F305" s="142">
        <f>VLOOKUP($A305,'BC.114+320'!$B$13:$X$489,8,0)/1000</f>
        <v>1.714</v>
      </c>
      <c r="G305" s="142">
        <f>VLOOKUP($A305,'BC.114+320'!$B$13:$X$489,9,0)/1000</f>
        <v>-0.28599999999999998</v>
      </c>
      <c r="H305" s="142">
        <f>VLOOKUP($A305,'BC.114+320'!$B$13:$X$489,14,0)/1000</f>
        <v>1.6970000000000001</v>
      </c>
      <c r="I305" s="142">
        <f>VLOOKUP($A305,'BC.114+320'!$B$13:$X$489,15,0)/1000</f>
        <v>-0.30299999999999999</v>
      </c>
      <c r="J305" s="142">
        <f>VLOOKUP($A305,'BC.114+320'!$B$13:$X$489,20,0)/1000</f>
        <v>1.7689999999999999</v>
      </c>
      <c r="K305" s="142">
        <f>VLOOKUP($A305,'BC.114+320'!$B$13:$X$489,21,0)/1000</f>
        <v>-0.23100000000000001</v>
      </c>
      <c r="L305" s="140">
        <f t="shared" si="16"/>
        <v>-105.99999999999999</v>
      </c>
      <c r="M305" s="141">
        <f t="shared" si="17"/>
        <v>-123</v>
      </c>
      <c r="N305" s="140">
        <f t="shared" si="18"/>
        <v>-111.00000000000001</v>
      </c>
      <c r="O305" s="140"/>
    </row>
    <row r="306" spans="1:15">
      <c r="A306" s="76">
        <f>'BC.114+320'!B305</f>
        <v>45335</v>
      </c>
      <c r="B306" s="140">
        <f t="shared" si="19"/>
        <v>292</v>
      </c>
      <c r="C306" s="142">
        <f>'BC.114+320'!M305/1000</f>
        <v>0.67700000000000005</v>
      </c>
      <c r="D306" s="142">
        <f>'BC.114+320'!AA305</f>
        <v>0.89900000000000002</v>
      </c>
      <c r="E306" s="143">
        <f>'BC.114+320'!AB305</f>
        <v>0.73399999999999999</v>
      </c>
      <c r="F306" s="142">
        <f>VLOOKUP($A306,'BC.114+320'!$B$13:$X$489,8,0)/1000</f>
        <v>1.714</v>
      </c>
      <c r="G306" s="142">
        <f>VLOOKUP($A306,'BC.114+320'!$B$13:$X$489,9,0)/1000</f>
        <v>-0.28599999999999998</v>
      </c>
      <c r="H306" s="142">
        <f>VLOOKUP($A306,'BC.114+320'!$B$13:$X$489,14,0)/1000</f>
        <v>1.6970000000000001</v>
      </c>
      <c r="I306" s="142">
        <f>VLOOKUP($A306,'BC.114+320'!$B$13:$X$489,15,0)/1000</f>
        <v>-0.30299999999999999</v>
      </c>
      <c r="J306" s="142">
        <f>VLOOKUP($A306,'BC.114+320'!$B$13:$X$489,20,0)/1000</f>
        <v>1.7689999999999999</v>
      </c>
      <c r="K306" s="142">
        <f>VLOOKUP($A306,'BC.114+320'!$B$13:$X$489,21,0)/1000</f>
        <v>-0.23100000000000001</v>
      </c>
      <c r="L306" s="140">
        <f t="shared" si="16"/>
        <v>-105.99999999999999</v>
      </c>
      <c r="M306" s="141">
        <f t="shared" si="17"/>
        <v>-123</v>
      </c>
      <c r="N306" s="140">
        <f t="shared" si="18"/>
        <v>-111.00000000000001</v>
      </c>
      <c r="O306" s="140"/>
    </row>
    <row r="307" spans="1:15">
      <c r="A307" s="76">
        <f>'BC.114+320'!B306</f>
        <v>45336</v>
      </c>
      <c r="B307" s="140">
        <f t="shared" si="19"/>
        <v>293</v>
      </c>
      <c r="C307" s="142">
        <f>'BC.114+320'!M306/1000</f>
        <v>0.67700000000000005</v>
      </c>
      <c r="D307" s="142">
        <f>'BC.114+320'!AA306</f>
        <v>0.89900000000000002</v>
      </c>
      <c r="E307" s="143">
        <f>'BC.114+320'!AB306</f>
        <v>0.73399999999999999</v>
      </c>
      <c r="F307" s="142">
        <f>VLOOKUP($A307,'BC.114+320'!$B$13:$X$489,8,0)/1000</f>
        <v>1.714</v>
      </c>
      <c r="G307" s="142">
        <f>VLOOKUP($A307,'BC.114+320'!$B$13:$X$489,9,0)/1000</f>
        <v>-0.28599999999999998</v>
      </c>
      <c r="H307" s="142">
        <f>VLOOKUP($A307,'BC.114+320'!$B$13:$X$489,14,0)/1000</f>
        <v>1.6970000000000001</v>
      </c>
      <c r="I307" s="142">
        <f>VLOOKUP($A307,'BC.114+320'!$B$13:$X$489,15,0)/1000</f>
        <v>-0.30299999999999999</v>
      </c>
      <c r="J307" s="142">
        <f>VLOOKUP($A307,'BC.114+320'!$B$13:$X$489,20,0)/1000</f>
        <v>1.7689999999999999</v>
      </c>
      <c r="K307" s="142">
        <f>VLOOKUP($A307,'BC.114+320'!$B$13:$X$489,21,0)/1000</f>
        <v>-0.23100000000000001</v>
      </c>
      <c r="L307" s="140">
        <f t="shared" si="16"/>
        <v>-105.99999999999999</v>
      </c>
      <c r="M307" s="141">
        <f t="shared" si="17"/>
        <v>-123</v>
      </c>
      <c r="N307" s="140">
        <f t="shared" si="18"/>
        <v>-111.00000000000001</v>
      </c>
      <c r="O307" s="140"/>
    </row>
    <row r="308" spans="1:15">
      <c r="A308" s="76">
        <f>'BC.114+320'!B307</f>
        <v>45337</v>
      </c>
      <c r="B308" s="140">
        <f t="shared" si="19"/>
        <v>294</v>
      </c>
      <c r="C308" s="142">
        <f>'BC.114+320'!M307/1000</f>
        <v>0.67700000000000005</v>
      </c>
      <c r="D308" s="142">
        <f>'BC.114+320'!AA307</f>
        <v>0.89900000000000002</v>
      </c>
      <c r="E308" s="143">
        <f>'BC.114+320'!AB307</f>
        <v>0.73399999999999999</v>
      </c>
      <c r="F308" s="142">
        <f>VLOOKUP($A308,'BC.114+320'!$B$13:$X$489,8,0)/1000</f>
        <v>1.714</v>
      </c>
      <c r="G308" s="142">
        <f>VLOOKUP($A308,'BC.114+320'!$B$13:$X$489,9,0)/1000</f>
        <v>-0.28599999999999998</v>
      </c>
      <c r="H308" s="142">
        <f>VLOOKUP($A308,'BC.114+320'!$B$13:$X$489,14,0)/1000</f>
        <v>1.6970000000000001</v>
      </c>
      <c r="I308" s="142">
        <f>VLOOKUP($A308,'BC.114+320'!$B$13:$X$489,15,0)/1000</f>
        <v>-0.30299999999999999</v>
      </c>
      <c r="J308" s="142">
        <f>VLOOKUP($A308,'BC.114+320'!$B$13:$X$489,20,0)/1000</f>
        <v>1.7689999999999999</v>
      </c>
      <c r="K308" s="142">
        <f>VLOOKUP($A308,'BC.114+320'!$B$13:$X$489,21,0)/1000</f>
        <v>-0.23100000000000001</v>
      </c>
      <c r="L308" s="140">
        <f t="shared" si="16"/>
        <v>-105.99999999999999</v>
      </c>
      <c r="M308" s="141">
        <f t="shared" si="17"/>
        <v>-123</v>
      </c>
      <c r="N308" s="140">
        <f t="shared" si="18"/>
        <v>-111.00000000000001</v>
      </c>
      <c r="O308" s="140"/>
    </row>
    <row r="309" spans="1:15">
      <c r="A309" s="76">
        <f>'BC.114+320'!B308</f>
        <v>45338</v>
      </c>
      <c r="B309" s="140">
        <f t="shared" si="19"/>
        <v>295</v>
      </c>
      <c r="C309" s="142">
        <f>'BC.114+320'!M308/1000</f>
        <v>0.67700000000000005</v>
      </c>
      <c r="D309" s="142">
        <f>'BC.114+320'!AA308</f>
        <v>0.89900000000000002</v>
      </c>
      <c r="E309" s="143">
        <f>'BC.114+320'!AB308</f>
        <v>0.73399999999999999</v>
      </c>
      <c r="F309" s="142">
        <f>VLOOKUP($A309,'BC.114+320'!$B$13:$X$489,8,0)/1000</f>
        <v>1.714</v>
      </c>
      <c r="G309" s="142">
        <f>VLOOKUP($A309,'BC.114+320'!$B$13:$X$489,9,0)/1000</f>
        <v>-0.28599999999999998</v>
      </c>
      <c r="H309" s="142">
        <f>VLOOKUP($A309,'BC.114+320'!$B$13:$X$489,14,0)/1000</f>
        <v>1.6970000000000001</v>
      </c>
      <c r="I309" s="142">
        <f>VLOOKUP($A309,'BC.114+320'!$B$13:$X$489,15,0)/1000</f>
        <v>-0.30299999999999999</v>
      </c>
      <c r="J309" s="142">
        <f>VLOOKUP($A309,'BC.114+320'!$B$13:$X$489,20,0)/1000</f>
        <v>1.7689999999999999</v>
      </c>
      <c r="K309" s="142">
        <f>VLOOKUP($A309,'BC.114+320'!$B$13:$X$489,21,0)/1000</f>
        <v>-0.23100000000000001</v>
      </c>
      <c r="L309" s="140">
        <f t="shared" si="16"/>
        <v>-105.99999999999999</v>
      </c>
      <c r="M309" s="141">
        <f t="shared" si="17"/>
        <v>-123</v>
      </c>
      <c r="N309" s="140">
        <f t="shared" si="18"/>
        <v>-111.00000000000001</v>
      </c>
      <c r="O309" s="140"/>
    </row>
    <row r="310" spans="1:15">
      <c r="A310" s="76">
        <f>'BC.114+320'!B309</f>
        <v>45339</v>
      </c>
      <c r="B310" s="140">
        <f t="shared" si="19"/>
        <v>296</v>
      </c>
      <c r="C310" s="142">
        <f>'BC.114+320'!M309/1000</f>
        <v>0.67700000000000005</v>
      </c>
      <c r="D310" s="142">
        <f>'BC.114+320'!AA309</f>
        <v>0.89900000000000002</v>
      </c>
      <c r="E310" s="143">
        <f>'BC.114+320'!AB309</f>
        <v>0.73399999999999999</v>
      </c>
      <c r="F310" s="142">
        <f>VLOOKUP($A310,'BC.114+320'!$B$13:$X$489,8,0)/1000</f>
        <v>1.714</v>
      </c>
      <c r="G310" s="142">
        <f>VLOOKUP($A310,'BC.114+320'!$B$13:$X$489,9,0)/1000</f>
        <v>-0.28599999999999998</v>
      </c>
      <c r="H310" s="142">
        <f>VLOOKUP($A310,'BC.114+320'!$B$13:$X$489,14,0)/1000</f>
        <v>1.6970000000000001</v>
      </c>
      <c r="I310" s="142">
        <f>VLOOKUP($A310,'BC.114+320'!$B$13:$X$489,15,0)/1000</f>
        <v>-0.30299999999999999</v>
      </c>
      <c r="J310" s="142">
        <f>VLOOKUP($A310,'BC.114+320'!$B$13:$X$489,20,0)/1000</f>
        <v>1.7689999999999999</v>
      </c>
      <c r="K310" s="142">
        <f>VLOOKUP($A310,'BC.114+320'!$B$13:$X$489,21,0)/1000</f>
        <v>-0.23100000000000001</v>
      </c>
      <c r="L310" s="140">
        <f t="shared" si="16"/>
        <v>-105.99999999999999</v>
      </c>
      <c r="M310" s="141">
        <f t="shared" si="17"/>
        <v>-123</v>
      </c>
      <c r="N310" s="140">
        <f t="shared" si="18"/>
        <v>-111.00000000000001</v>
      </c>
      <c r="O310" s="140"/>
    </row>
    <row r="311" spans="1:15">
      <c r="A311" s="76">
        <f>'BC.114+320'!B310</f>
        <v>45340</v>
      </c>
      <c r="B311" s="140">
        <f t="shared" si="19"/>
        <v>297</v>
      </c>
      <c r="C311" s="142">
        <f>'BC.114+320'!M310/1000</f>
        <v>0.67700000000000005</v>
      </c>
      <c r="D311" s="142">
        <f>'BC.114+320'!AA310</f>
        <v>0.89900000000000002</v>
      </c>
      <c r="E311" s="143">
        <f>'BC.114+320'!AB310</f>
        <v>0.73399999999999999</v>
      </c>
      <c r="F311" s="142">
        <f>VLOOKUP($A311,'BC.114+320'!$B$13:$X$489,8,0)/1000</f>
        <v>1.714</v>
      </c>
      <c r="G311" s="142">
        <f>VLOOKUP($A311,'BC.114+320'!$B$13:$X$489,9,0)/1000</f>
        <v>-0.28599999999999998</v>
      </c>
      <c r="H311" s="142">
        <f>VLOOKUP($A311,'BC.114+320'!$B$13:$X$489,14,0)/1000</f>
        <v>1.6970000000000001</v>
      </c>
      <c r="I311" s="142">
        <f>VLOOKUP($A311,'BC.114+320'!$B$13:$X$489,15,0)/1000</f>
        <v>-0.30299999999999999</v>
      </c>
      <c r="J311" s="142">
        <f>VLOOKUP($A311,'BC.114+320'!$B$13:$X$489,20,0)/1000</f>
        <v>1.7689999999999999</v>
      </c>
      <c r="K311" s="142">
        <f>VLOOKUP($A311,'BC.114+320'!$B$13:$X$489,21,0)/1000</f>
        <v>-0.23100000000000001</v>
      </c>
      <c r="L311" s="140">
        <f t="shared" si="16"/>
        <v>-105.99999999999999</v>
      </c>
      <c r="M311" s="141">
        <f t="shared" si="17"/>
        <v>-123</v>
      </c>
      <c r="N311" s="140">
        <f t="shared" si="18"/>
        <v>-111.00000000000001</v>
      </c>
      <c r="O311" s="140"/>
    </row>
    <row r="312" spans="1:15">
      <c r="A312" s="76">
        <f>'BC.114+320'!B311</f>
        <v>45341</v>
      </c>
      <c r="B312" s="140">
        <f t="shared" si="19"/>
        <v>298</v>
      </c>
      <c r="C312" s="142">
        <f>'BC.114+320'!M311/1000</f>
        <v>0.67700000000000005</v>
      </c>
      <c r="D312" s="142">
        <f>'BC.114+320'!AA311</f>
        <v>0.89900000000000002</v>
      </c>
      <c r="E312" s="143">
        <f>'BC.114+320'!AB311</f>
        <v>0.73399999999999999</v>
      </c>
      <c r="F312" s="142">
        <f>VLOOKUP($A312,'BC.114+320'!$B$13:$X$489,8,0)/1000</f>
        <v>1.714</v>
      </c>
      <c r="G312" s="142">
        <f>VLOOKUP($A312,'BC.114+320'!$B$13:$X$489,9,0)/1000</f>
        <v>-0.28599999999999998</v>
      </c>
      <c r="H312" s="142">
        <f>VLOOKUP($A312,'BC.114+320'!$B$13:$X$489,14,0)/1000</f>
        <v>1.6970000000000001</v>
      </c>
      <c r="I312" s="142">
        <f>VLOOKUP($A312,'BC.114+320'!$B$13:$X$489,15,0)/1000</f>
        <v>-0.30299999999999999</v>
      </c>
      <c r="J312" s="142">
        <f>VLOOKUP($A312,'BC.114+320'!$B$13:$X$489,20,0)/1000</f>
        <v>1.7689999999999999</v>
      </c>
      <c r="K312" s="142">
        <f>VLOOKUP($A312,'BC.114+320'!$B$13:$X$489,21,0)/1000</f>
        <v>-0.23100000000000001</v>
      </c>
      <c r="L312" s="140">
        <f t="shared" si="16"/>
        <v>-105.99999999999999</v>
      </c>
      <c r="M312" s="141">
        <f t="shared" si="17"/>
        <v>-123</v>
      </c>
      <c r="N312" s="140">
        <f t="shared" si="18"/>
        <v>-111.00000000000001</v>
      </c>
      <c r="O312" s="140"/>
    </row>
    <row r="313" spans="1:15">
      <c r="A313" s="76">
        <f>'BC.114+320'!B312</f>
        <v>45342</v>
      </c>
      <c r="B313" s="140">
        <f t="shared" si="19"/>
        <v>299</v>
      </c>
      <c r="C313" s="142">
        <f>'BC.114+320'!M312/1000</f>
        <v>0.67700000000000005</v>
      </c>
      <c r="D313" s="142">
        <f>'BC.114+320'!AA312</f>
        <v>0.89900000000000002</v>
      </c>
      <c r="E313" s="143">
        <f>'BC.114+320'!AB312</f>
        <v>0.73399999999999999</v>
      </c>
      <c r="F313" s="142">
        <f>VLOOKUP($A313,'BC.114+320'!$B$13:$X$489,8,0)/1000</f>
        <v>1.714</v>
      </c>
      <c r="G313" s="142">
        <f>VLOOKUP($A313,'BC.114+320'!$B$13:$X$489,9,0)/1000</f>
        <v>-0.28599999999999998</v>
      </c>
      <c r="H313" s="142">
        <f>VLOOKUP($A313,'BC.114+320'!$B$13:$X$489,14,0)/1000</f>
        <v>1.6970000000000001</v>
      </c>
      <c r="I313" s="142">
        <f>VLOOKUP($A313,'BC.114+320'!$B$13:$X$489,15,0)/1000</f>
        <v>-0.30299999999999999</v>
      </c>
      <c r="J313" s="142">
        <f>VLOOKUP($A313,'BC.114+320'!$B$13:$X$489,20,0)/1000</f>
        <v>1.7689999999999999</v>
      </c>
      <c r="K313" s="142">
        <f>VLOOKUP($A313,'BC.114+320'!$B$13:$X$489,21,0)/1000</f>
        <v>-0.23100000000000001</v>
      </c>
      <c r="L313" s="140">
        <f t="shared" si="16"/>
        <v>-105.99999999999999</v>
      </c>
      <c r="M313" s="141">
        <f t="shared" si="17"/>
        <v>-123</v>
      </c>
      <c r="N313" s="140">
        <f t="shared" si="18"/>
        <v>-111.00000000000001</v>
      </c>
      <c r="O313" s="140"/>
    </row>
    <row r="314" spans="1:15">
      <c r="A314" s="76">
        <f>'BC.114+320'!B313</f>
        <v>45343</v>
      </c>
      <c r="B314" s="140">
        <f t="shared" si="19"/>
        <v>300</v>
      </c>
      <c r="C314" s="142">
        <f>'BC.114+320'!M313/1000</f>
        <v>0.67700000000000005</v>
      </c>
      <c r="D314" s="142">
        <f>'BC.114+320'!AA313</f>
        <v>0.89900000000000002</v>
      </c>
      <c r="E314" s="143">
        <f>'BC.114+320'!AB313</f>
        <v>0.73399999999999999</v>
      </c>
      <c r="F314" s="142">
        <f>VLOOKUP($A314,'BC.114+320'!$B$13:$X$489,8,0)/1000</f>
        <v>1.714</v>
      </c>
      <c r="G314" s="142">
        <f>VLOOKUP($A314,'BC.114+320'!$B$13:$X$489,9,0)/1000</f>
        <v>-0.28599999999999998</v>
      </c>
      <c r="H314" s="142">
        <f>VLOOKUP($A314,'BC.114+320'!$B$13:$X$489,14,0)/1000</f>
        <v>1.6970000000000001</v>
      </c>
      <c r="I314" s="142">
        <f>VLOOKUP($A314,'BC.114+320'!$B$13:$X$489,15,0)/1000</f>
        <v>-0.30299999999999999</v>
      </c>
      <c r="J314" s="142">
        <f>VLOOKUP($A314,'BC.114+320'!$B$13:$X$489,20,0)/1000</f>
        <v>1.7689999999999999</v>
      </c>
      <c r="K314" s="142">
        <f>VLOOKUP($A314,'BC.114+320'!$B$13:$X$489,21,0)/1000</f>
        <v>-0.23100000000000001</v>
      </c>
      <c r="L314" s="140">
        <f t="shared" si="16"/>
        <v>-105.99999999999999</v>
      </c>
      <c r="M314" s="141">
        <f t="shared" si="17"/>
        <v>-123</v>
      </c>
      <c r="N314" s="140">
        <f t="shared" si="18"/>
        <v>-111.00000000000001</v>
      </c>
      <c r="O314" s="140"/>
    </row>
    <row r="315" spans="1:15">
      <c r="A315" s="76">
        <f>'BC.114+320'!B314</f>
        <v>45344</v>
      </c>
      <c r="B315" s="140">
        <f t="shared" si="19"/>
        <v>301</v>
      </c>
      <c r="C315" s="142">
        <f>'BC.114+320'!M314/1000</f>
        <v>0.67700000000000005</v>
      </c>
      <c r="D315" s="142">
        <f>'BC.114+320'!AA314</f>
        <v>0.89900000000000002</v>
      </c>
      <c r="E315" s="143">
        <f>'BC.114+320'!AB314</f>
        <v>0.73399999999999999</v>
      </c>
      <c r="F315" s="142">
        <f>VLOOKUP($A315,'BC.114+320'!$B$13:$X$489,8,0)/1000</f>
        <v>1.714</v>
      </c>
      <c r="G315" s="142">
        <f>VLOOKUP($A315,'BC.114+320'!$B$13:$X$489,9,0)/1000</f>
        <v>-0.28599999999999998</v>
      </c>
      <c r="H315" s="142">
        <f>VLOOKUP($A315,'BC.114+320'!$B$13:$X$489,14,0)/1000</f>
        <v>1.6970000000000001</v>
      </c>
      <c r="I315" s="142">
        <f>VLOOKUP($A315,'BC.114+320'!$B$13:$X$489,15,0)/1000</f>
        <v>-0.30299999999999999</v>
      </c>
      <c r="J315" s="142">
        <f>VLOOKUP($A315,'BC.114+320'!$B$13:$X$489,20,0)/1000</f>
        <v>1.7689999999999999</v>
      </c>
      <c r="K315" s="142">
        <f>VLOOKUP($A315,'BC.114+320'!$B$13:$X$489,21,0)/1000</f>
        <v>-0.23100000000000001</v>
      </c>
      <c r="L315" s="140">
        <f t="shared" si="16"/>
        <v>-105.99999999999999</v>
      </c>
      <c r="M315" s="141">
        <f t="shared" si="17"/>
        <v>-123</v>
      </c>
      <c r="N315" s="140">
        <f t="shared" si="18"/>
        <v>-111.00000000000001</v>
      </c>
      <c r="O315" s="140"/>
    </row>
    <row r="316" spans="1:15">
      <c r="A316" s="76">
        <f>'BC.114+320'!B315</f>
        <v>45345</v>
      </c>
      <c r="B316" s="140">
        <f t="shared" si="19"/>
        <v>302</v>
      </c>
      <c r="C316" s="142">
        <f>'BC.114+320'!M315/1000</f>
        <v>0.67700000000000005</v>
      </c>
      <c r="D316" s="142">
        <f>'BC.114+320'!AA315</f>
        <v>0.89900000000000002</v>
      </c>
      <c r="E316" s="143">
        <f>'BC.114+320'!AB315</f>
        <v>0.73399999999999999</v>
      </c>
      <c r="F316" s="142">
        <f>VLOOKUP($A316,'BC.114+320'!$B$13:$X$489,8,0)/1000</f>
        <v>1.714</v>
      </c>
      <c r="G316" s="142">
        <f>VLOOKUP($A316,'BC.114+320'!$B$13:$X$489,9,0)/1000</f>
        <v>-0.28599999999999998</v>
      </c>
      <c r="H316" s="142">
        <f>VLOOKUP($A316,'BC.114+320'!$B$13:$X$489,14,0)/1000</f>
        <v>1.6970000000000001</v>
      </c>
      <c r="I316" s="142">
        <f>VLOOKUP($A316,'BC.114+320'!$B$13:$X$489,15,0)/1000</f>
        <v>-0.30299999999999999</v>
      </c>
      <c r="J316" s="142">
        <f>VLOOKUP($A316,'BC.114+320'!$B$13:$X$489,20,0)/1000</f>
        <v>1.7689999999999999</v>
      </c>
      <c r="K316" s="142">
        <f>VLOOKUP($A316,'BC.114+320'!$B$13:$X$489,21,0)/1000</f>
        <v>-0.23100000000000001</v>
      </c>
      <c r="L316" s="140">
        <f t="shared" si="16"/>
        <v>-105.99999999999999</v>
      </c>
      <c r="M316" s="141">
        <f t="shared" si="17"/>
        <v>-123</v>
      </c>
      <c r="N316" s="140">
        <f t="shared" si="18"/>
        <v>-111.00000000000001</v>
      </c>
      <c r="O316" s="140"/>
    </row>
    <row r="317" spans="1:15">
      <c r="A317" s="76">
        <f>'BC.114+320'!B316</f>
        <v>45346</v>
      </c>
      <c r="B317" s="140">
        <f t="shared" si="19"/>
        <v>303</v>
      </c>
      <c r="C317" s="142">
        <f>'BC.114+320'!M316/1000</f>
        <v>0.67700000000000005</v>
      </c>
      <c r="D317" s="142">
        <f>'BC.114+320'!AA316</f>
        <v>0.89900000000000002</v>
      </c>
      <c r="E317" s="143">
        <f>'BC.114+320'!AB316</f>
        <v>0.73399999999999999</v>
      </c>
      <c r="F317" s="142">
        <f>VLOOKUP($A317,'BC.114+320'!$B$13:$X$489,8,0)/1000</f>
        <v>1.714</v>
      </c>
      <c r="G317" s="142">
        <f>VLOOKUP($A317,'BC.114+320'!$B$13:$X$489,9,0)/1000</f>
        <v>-0.28599999999999998</v>
      </c>
      <c r="H317" s="142">
        <f>VLOOKUP($A317,'BC.114+320'!$B$13:$X$489,14,0)/1000</f>
        <v>1.6970000000000001</v>
      </c>
      <c r="I317" s="142">
        <f>VLOOKUP($A317,'BC.114+320'!$B$13:$X$489,15,0)/1000</f>
        <v>-0.30299999999999999</v>
      </c>
      <c r="J317" s="142">
        <f>VLOOKUP($A317,'BC.114+320'!$B$13:$X$489,20,0)/1000</f>
        <v>1.7689999999999999</v>
      </c>
      <c r="K317" s="142">
        <f>VLOOKUP($A317,'BC.114+320'!$B$13:$X$489,21,0)/1000</f>
        <v>-0.23100000000000001</v>
      </c>
      <c r="L317" s="140">
        <f t="shared" si="16"/>
        <v>-105.99999999999999</v>
      </c>
      <c r="M317" s="141">
        <f t="shared" si="17"/>
        <v>-123</v>
      </c>
      <c r="N317" s="140">
        <f t="shared" si="18"/>
        <v>-111.00000000000001</v>
      </c>
      <c r="O317" s="140"/>
    </row>
    <row r="318" spans="1:15">
      <c r="A318" s="76">
        <f>'BC.114+320'!B317</f>
        <v>45347</v>
      </c>
      <c r="B318" s="140">
        <f t="shared" si="19"/>
        <v>304</v>
      </c>
      <c r="C318" s="142">
        <f>'BC.114+320'!M317/1000</f>
        <v>0.67700000000000005</v>
      </c>
      <c r="D318" s="142">
        <f>'BC.114+320'!AA317</f>
        <v>0.89900000000000002</v>
      </c>
      <c r="E318" s="143">
        <f>'BC.114+320'!AB317</f>
        <v>0.73399999999999999</v>
      </c>
      <c r="F318" s="142">
        <f>VLOOKUP($A318,'BC.114+320'!$B$13:$X$489,8,0)/1000</f>
        <v>1.714</v>
      </c>
      <c r="G318" s="142">
        <f>VLOOKUP($A318,'BC.114+320'!$B$13:$X$489,9,0)/1000</f>
        <v>-0.28599999999999998</v>
      </c>
      <c r="H318" s="142">
        <f>VLOOKUP($A318,'BC.114+320'!$B$13:$X$489,14,0)/1000</f>
        <v>1.6970000000000001</v>
      </c>
      <c r="I318" s="142">
        <f>VLOOKUP($A318,'BC.114+320'!$B$13:$X$489,15,0)/1000</f>
        <v>-0.30299999999999999</v>
      </c>
      <c r="J318" s="142">
        <f>VLOOKUP($A318,'BC.114+320'!$B$13:$X$489,20,0)/1000</f>
        <v>1.7689999999999999</v>
      </c>
      <c r="K318" s="142">
        <f>VLOOKUP($A318,'BC.114+320'!$B$13:$X$489,21,0)/1000</f>
        <v>-0.23100000000000001</v>
      </c>
      <c r="L318" s="140">
        <f t="shared" si="16"/>
        <v>-105.99999999999999</v>
      </c>
      <c r="M318" s="141">
        <f t="shared" si="17"/>
        <v>-123</v>
      </c>
      <c r="N318" s="140">
        <f t="shared" si="18"/>
        <v>-111.00000000000001</v>
      </c>
      <c r="O318" s="140"/>
    </row>
    <row r="319" spans="1:15">
      <c r="A319" s="76">
        <f>'BC.114+320'!B318</f>
        <v>45348</v>
      </c>
      <c r="B319" s="140">
        <f t="shared" si="19"/>
        <v>305</v>
      </c>
      <c r="C319" s="142">
        <f>'BC.114+320'!M318/1000</f>
        <v>0.67700000000000005</v>
      </c>
      <c r="D319" s="142">
        <f>'BC.114+320'!AA318</f>
        <v>0.89900000000000002</v>
      </c>
      <c r="E319" s="143">
        <f>'BC.114+320'!AB318</f>
        <v>0.73399999999999999</v>
      </c>
      <c r="F319" s="142">
        <f>VLOOKUP($A319,'BC.114+320'!$B$13:$X$489,8,0)/1000</f>
        <v>1.714</v>
      </c>
      <c r="G319" s="142">
        <f>VLOOKUP($A319,'BC.114+320'!$B$13:$X$489,9,0)/1000</f>
        <v>-0.28599999999999998</v>
      </c>
      <c r="H319" s="142">
        <f>VLOOKUP($A319,'BC.114+320'!$B$13:$X$489,14,0)/1000</f>
        <v>1.6970000000000001</v>
      </c>
      <c r="I319" s="142">
        <f>VLOOKUP($A319,'BC.114+320'!$B$13:$X$489,15,0)/1000</f>
        <v>-0.30299999999999999</v>
      </c>
      <c r="J319" s="142">
        <f>VLOOKUP($A319,'BC.114+320'!$B$13:$X$489,20,0)/1000</f>
        <v>1.7689999999999999</v>
      </c>
      <c r="K319" s="142">
        <f>VLOOKUP($A319,'BC.114+320'!$B$13:$X$489,21,0)/1000</f>
        <v>-0.23100000000000001</v>
      </c>
      <c r="L319" s="140">
        <f t="shared" si="16"/>
        <v>-105.99999999999999</v>
      </c>
      <c r="M319" s="141">
        <f t="shared" si="17"/>
        <v>-123</v>
      </c>
      <c r="N319" s="140">
        <f t="shared" si="18"/>
        <v>-111.00000000000001</v>
      </c>
      <c r="O319" s="140"/>
    </row>
    <row r="320" spans="1:15">
      <c r="A320" s="76">
        <f>'BC.114+320'!B319</f>
        <v>45349</v>
      </c>
      <c r="B320" s="140">
        <f t="shared" si="19"/>
        <v>306</v>
      </c>
      <c r="C320" s="142">
        <f>'BC.114+320'!M319/1000</f>
        <v>0.67700000000000005</v>
      </c>
      <c r="D320" s="142">
        <f>'BC.114+320'!AA319</f>
        <v>0.89900000000000002</v>
      </c>
      <c r="E320" s="143">
        <f>'BC.114+320'!AB319</f>
        <v>0.73399999999999999</v>
      </c>
      <c r="F320" s="142">
        <f>VLOOKUP($A320,'BC.114+320'!$B$13:$X$489,8,0)/1000</f>
        <v>1.714</v>
      </c>
      <c r="G320" s="142">
        <f>VLOOKUP($A320,'BC.114+320'!$B$13:$X$489,9,0)/1000</f>
        <v>-0.28599999999999998</v>
      </c>
      <c r="H320" s="142">
        <f>VLOOKUP($A320,'BC.114+320'!$B$13:$X$489,14,0)/1000</f>
        <v>1.6970000000000001</v>
      </c>
      <c r="I320" s="142">
        <f>VLOOKUP($A320,'BC.114+320'!$B$13:$X$489,15,0)/1000</f>
        <v>-0.30299999999999999</v>
      </c>
      <c r="J320" s="142">
        <f>VLOOKUP($A320,'BC.114+320'!$B$13:$X$489,20,0)/1000</f>
        <v>1.7689999999999999</v>
      </c>
      <c r="K320" s="142">
        <f>VLOOKUP($A320,'BC.114+320'!$B$13:$X$489,21,0)/1000</f>
        <v>-0.23100000000000001</v>
      </c>
      <c r="L320" s="140">
        <f t="shared" si="16"/>
        <v>-105.99999999999999</v>
      </c>
      <c r="M320" s="141">
        <f t="shared" si="17"/>
        <v>-123</v>
      </c>
      <c r="N320" s="140">
        <f t="shared" si="18"/>
        <v>-111.00000000000001</v>
      </c>
      <c r="O320" s="140"/>
    </row>
    <row r="321" spans="1:15">
      <c r="A321" s="76">
        <f>'BC.114+320'!B320</f>
        <v>45350</v>
      </c>
      <c r="B321" s="140">
        <f t="shared" si="19"/>
        <v>307</v>
      </c>
      <c r="C321" s="142">
        <f>'BC.114+320'!M320/1000</f>
        <v>0.67700000000000005</v>
      </c>
      <c r="D321" s="142">
        <f>'BC.114+320'!AA320</f>
        <v>0.89900000000000002</v>
      </c>
      <c r="E321" s="143">
        <f>'BC.114+320'!AB320</f>
        <v>0.73399999999999999</v>
      </c>
      <c r="F321" s="142">
        <f>VLOOKUP($A321,'BC.114+320'!$B$13:$X$489,8,0)/1000</f>
        <v>1.714</v>
      </c>
      <c r="G321" s="142">
        <f>VLOOKUP($A321,'BC.114+320'!$B$13:$X$489,9,0)/1000</f>
        <v>-0.28599999999999998</v>
      </c>
      <c r="H321" s="142">
        <f>VLOOKUP($A321,'BC.114+320'!$B$13:$X$489,14,0)/1000</f>
        <v>1.6970000000000001</v>
      </c>
      <c r="I321" s="142">
        <f>VLOOKUP($A321,'BC.114+320'!$B$13:$X$489,15,0)/1000</f>
        <v>-0.30299999999999999</v>
      </c>
      <c r="J321" s="142">
        <f>VLOOKUP($A321,'BC.114+320'!$B$13:$X$489,20,0)/1000</f>
        <v>1.7689999999999999</v>
      </c>
      <c r="K321" s="142">
        <f>VLOOKUP($A321,'BC.114+320'!$B$13:$X$489,21,0)/1000</f>
        <v>-0.23100000000000001</v>
      </c>
      <c r="L321" s="140">
        <f t="shared" si="16"/>
        <v>-105.99999999999999</v>
      </c>
      <c r="M321" s="141">
        <f t="shared" si="17"/>
        <v>-123</v>
      </c>
      <c r="N321" s="140">
        <f t="shared" si="18"/>
        <v>-111.00000000000001</v>
      </c>
      <c r="O321" s="140"/>
    </row>
    <row r="322" spans="1:15">
      <c r="A322" s="76">
        <f>'BC.114+320'!B321</f>
        <v>45351</v>
      </c>
      <c r="B322" s="140">
        <f t="shared" si="19"/>
        <v>308</v>
      </c>
      <c r="C322" s="142">
        <f>'BC.114+320'!M321/1000</f>
        <v>0.67700000000000005</v>
      </c>
      <c r="D322" s="142">
        <f>'BC.114+320'!AA321</f>
        <v>0.89900000000000002</v>
      </c>
      <c r="E322" s="143">
        <f>'BC.114+320'!AB321</f>
        <v>0.73399999999999999</v>
      </c>
      <c r="F322" s="142">
        <f>VLOOKUP($A322,'BC.114+320'!$B$13:$X$489,8,0)/1000</f>
        <v>1.714</v>
      </c>
      <c r="G322" s="142">
        <f>VLOOKUP($A322,'BC.114+320'!$B$13:$X$489,9,0)/1000</f>
        <v>-0.28599999999999998</v>
      </c>
      <c r="H322" s="142">
        <f>VLOOKUP($A322,'BC.114+320'!$B$13:$X$489,14,0)/1000</f>
        <v>1.6970000000000001</v>
      </c>
      <c r="I322" s="142">
        <f>VLOOKUP($A322,'BC.114+320'!$B$13:$X$489,15,0)/1000</f>
        <v>-0.30299999999999999</v>
      </c>
      <c r="J322" s="142">
        <f>VLOOKUP($A322,'BC.114+320'!$B$13:$X$489,20,0)/1000</f>
        <v>1.7689999999999999</v>
      </c>
      <c r="K322" s="142">
        <f>VLOOKUP($A322,'BC.114+320'!$B$13:$X$489,21,0)/1000</f>
        <v>-0.23100000000000001</v>
      </c>
      <c r="L322" s="140">
        <f t="shared" si="16"/>
        <v>-105.99999999999999</v>
      </c>
      <c r="M322" s="141">
        <f t="shared" si="17"/>
        <v>-123</v>
      </c>
      <c r="N322" s="140">
        <f t="shared" si="18"/>
        <v>-111.00000000000001</v>
      </c>
      <c r="O322" s="140"/>
    </row>
    <row r="323" spans="1:15">
      <c r="A323" s="76">
        <f>'BC.114+320'!B322</f>
        <v>45352</v>
      </c>
      <c r="B323" s="140">
        <f t="shared" si="19"/>
        <v>309</v>
      </c>
      <c r="C323" s="142">
        <f>'BC.114+320'!M322/1000</f>
        <v>0.67700000000000005</v>
      </c>
      <c r="D323" s="142">
        <f>'BC.114+320'!AA322</f>
        <v>0.89900000000000002</v>
      </c>
      <c r="E323" s="143">
        <f>'BC.114+320'!AB322</f>
        <v>0.73399999999999999</v>
      </c>
      <c r="F323" s="142">
        <f>VLOOKUP($A323,'BC.114+320'!$B$13:$X$489,8,0)/1000</f>
        <v>1.714</v>
      </c>
      <c r="G323" s="142">
        <f>VLOOKUP($A323,'BC.114+320'!$B$13:$X$489,9,0)/1000</f>
        <v>-0.28599999999999998</v>
      </c>
      <c r="H323" s="142">
        <f>VLOOKUP($A323,'BC.114+320'!$B$13:$X$489,14,0)/1000</f>
        <v>1.6970000000000001</v>
      </c>
      <c r="I323" s="142">
        <f>VLOOKUP($A323,'BC.114+320'!$B$13:$X$489,15,0)/1000</f>
        <v>-0.30299999999999999</v>
      </c>
      <c r="J323" s="142">
        <f>VLOOKUP($A323,'BC.114+320'!$B$13:$X$489,20,0)/1000</f>
        <v>1.7689999999999999</v>
      </c>
      <c r="K323" s="142">
        <f>VLOOKUP($A323,'BC.114+320'!$B$13:$X$489,21,0)/1000</f>
        <v>-0.23100000000000001</v>
      </c>
      <c r="L323" s="140">
        <f t="shared" si="16"/>
        <v>-105.99999999999999</v>
      </c>
      <c r="M323" s="141">
        <f t="shared" si="17"/>
        <v>-123</v>
      </c>
      <c r="N323" s="140">
        <f t="shared" si="18"/>
        <v>-111.00000000000001</v>
      </c>
      <c r="O323" s="140"/>
    </row>
    <row r="324" spans="1:15">
      <c r="A324" s="76">
        <f>'BC.114+320'!B323</f>
        <v>45353</v>
      </c>
      <c r="B324" s="140">
        <f t="shared" si="19"/>
        <v>310</v>
      </c>
      <c r="C324" s="142">
        <f>'BC.114+320'!M323/1000</f>
        <v>0.67700000000000005</v>
      </c>
      <c r="D324" s="142">
        <f>'BC.114+320'!AA323</f>
        <v>0.89900000000000002</v>
      </c>
      <c r="E324" s="143">
        <f>'BC.114+320'!AB323</f>
        <v>0.73399999999999999</v>
      </c>
      <c r="F324" s="142">
        <f>VLOOKUP($A324,'BC.114+320'!$B$13:$X$489,8,0)/1000</f>
        <v>1.714</v>
      </c>
      <c r="G324" s="142">
        <f>VLOOKUP($A324,'BC.114+320'!$B$13:$X$489,9,0)/1000</f>
        <v>-0.28599999999999998</v>
      </c>
      <c r="H324" s="142">
        <f>VLOOKUP($A324,'BC.114+320'!$B$13:$X$489,14,0)/1000</f>
        <v>1.6970000000000001</v>
      </c>
      <c r="I324" s="142">
        <f>VLOOKUP($A324,'BC.114+320'!$B$13:$X$489,15,0)/1000</f>
        <v>-0.30299999999999999</v>
      </c>
      <c r="J324" s="142">
        <f>VLOOKUP($A324,'BC.114+320'!$B$13:$X$489,20,0)/1000</f>
        <v>1.7689999999999999</v>
      </c>
      <c r="K324" s="142">
        <f>VLOOKUP($A324,'BC.114+320'!$B$13:$X$489,21,0)/1000</f>
        <v>-0.23100000000000001</v>
      </c>
      <c r="L324" s="140">
        <f t="shared" si="16"/>
        <v>-105.99999999999999</v>
      </c>
      <c r="M324" s="141">
        <f t="shared" si="17"/>
        <v>-123</v>
      </c>
      <c r="N324" s="140">
        <f t="shared" si="18"/>
        <v>-111.00000000000001</v>
      </c>
      <c r="O324" s="140"/>
    </row>
    <row r="325" spans="1:15">
      <c r="A325" s="76">
        <f>'BC.114+320'!B324</f>
        <v>45354</v>
      </c>
      <c r="B325" s="140">
        <f t="shared" si="19"/>
        <v>311</v>
      </c>
      <c r="C325" s="142">
        <f>'BC.114+320'!M324/1000</f>
        <v>0.67700000000000005</v>
      </c>
      <c r="D325" s="142">
        <f>'BC.114+320'!AA324</f>
        <v>0.89900000000000002</v>
      </c>
      <c r="E325" s="143">
        <f>'BC.114+320'!AB324</f>
        <v>0.73399999999999999</v>
      </c>
      <c r="F325" s="142">
        <f>VLOOKUP($A325,'BC.114+320'!$B$13:$X$489,8,0)/1000</f>
        <v>1.714</v>
      </c>
      <c r="G325" s="142">
        <f>VLOOKUP($A325,'BC.114+320'!$B$13:$X$489,9,0)/1000</f>
        <v>-0.28599999999999998</v>
      </c>
      <c r="H325" s="142">
        <f>VLOOKUP($A325,'BC.114+320'!$B$13:$X$489,14,0)/1000</f>
        <v>1.6970000000000001</v>
      </c>
      <c r="I325" s="142">
        <f>VLOOKUP($A325,'BC.114+320'!$B$13:$X$489,15,0)/1000</f>
        <v>-0.30299999999999999</v>
      </c>
      <c r="J325" s="142">
        <f>VLOOKUP($A325,'BC.114+320'!$B$13:$X$489,20,0)/1000</f>
        <v>1.7689999999999999</v>
      </c>
      <c r="K325" s="142">
        <f>VLOOKUP($A325,'BC.114+320'!$B$13:$X$489,21,0)/1000</f>
        <v>-0.23100000000000001</v>
      </c>
      <c r="L325" s="140">
        <f t="shared" si="16"/>
        <v>-105.99999999999999</v>
      </c>
      <c r="M325" s="141">
        <f t="shared" si="17"/>
        <v>-123</v>
      </c>
      <c r="N325" s="140">
        <f t="shared" si="18"/>
        <v>-111.00000000000001</v>
      </c>
      <c r="O325" s="140"/>
    </row>
    <row r="326" spans="1:15">
      <c r="A326" s="76">
        <f>'BC.114+320'!B325</f>
        <v>45355</v>
      </c>
      <c r="B326" s="140">
        <f t="shared" si="19"/>
        <v>312</v>
      </c>
      <c r="C326" s="142">
        <f>'BC.114+320'!M325/1000</f>
        <v>0.67700000000000005</v>
      </c>
      <c r="D326" s="142">
        <f>'BC.114+320'!AA325</f>
        <v>0.89900000000000002</v>
      </c>
      <c r="E326" s="143">
        <f>'BC.114+320'!AB325</f>
        <v>0.73399999999999999</v>
      </c>
      <c r="F326" s="142">
        <f>VLOOKUP($A326,'BC.114+320'!$B$13:$X$489,8,0)/1000</f>
        <v>1.714</v>
      </c>
      <c r="G326" s="142">
        <f>VLOOKUP($A326,'BC.114+320'!$B$13:$X$489,9,0)/1000</f>
        <v>-0.28599999999999998</v>
      </c>
      <c r="H326" s="142">
        <f>VLOOKUP($A326,'BC.114+320'!$B$13:$X$489,14,0)/1000</f>
        <v>1.6970000000000001</v>
      </c>
      <c r="I326" s="142">
        <f>VLOOKUP($A326,'BC.114+320'!$B$13:$X$489,15,0)/1000</f>
        <v>-0.30299999999999999</v>
      </c>
      <c r="J326" s="142">
        <f>VLOOKUP($A326,'BC.114+320'!$B$13:$X$489,20,0)/1000</f>
        <v>1.7689999999999999</v>
      </c>
      <c r="K326" s="142">
        <f>VLOOKUP($A326,'BC.114+320'!$B$13:$X$489,21,0)/1000</f>
        <v>-0.23100000000000001</v>
      </c>
      <c r="L326" s="140">
        <f t="shared" si="16"/>
        <v>-105.99999999999999</v>
      </c>
      <c r="M326" s="141">
        <f t="shared" si="17"/>
        <v>-123</v>
      </c>
      <c r="N326" s="140">
        <f t="shared" si="18"/>
        <v>-111.00000000000001</v>
      </c>
      <c r="O326" s="140"/>
    </row>
    <row r="327" spans="1:15">
      <c r="A327" s="76">
        <f>'BC.114+320'!B326</f>
        <v>45356</v>
      </c>
      <c r="B327" s="140">
        <f t="shared" si="19"/>
        <v>313</v>
      </c>
      <c r="C327" s="142">
        <f>'BC.114+320'!M326/1000</f>
        <v>0.67700000000000005</v>
      </c>
      <c r="D327" s="142">
        <f>'BC.114+320'!AA326</f>
        <v>0.89900000000000002</v>
      </c>
      <c r="E327" s="143">
        <f>'BC.114+320'!AB326</f>
        <v>0.73399999999999999</v>
      </c>
      <c r="F327" s="142">
        <f>VLOOKUP($A327,'BC.114+320'!$B$13:$X$489,8,0)/1000</f>
        <v>1.714</v>
      </c>
      <c r="G327" s="142">
        <f>VLOOKUP($A327,'BC.114+320'!$B$13:$X$489,9,0)/1000</f>
        <v>-0.28599999999999998</v>
      </c>
      <c r="H327" s="142">
        <f>VLOOKUP($A327,'BC.114+320'!$B$13:$X$489,14,0)/1000</f>
        <v>1.6970000000000001</v>
      </c>
      <c r="I327" s="142">
        <f>VLOOKUP($A327,'BC.114+320'!$B$13:$X$489,15,0)/1000</f>
        <v>-0.30299999999999999</v>
      </c>
      <c r="J327" s="142">
        <f>VLOOKUP($A327,'BC.114+320'!$B$13:$X$489,20,0)/1000</f>
        <v>1.7689999999999999</v>
      </c>
      <c r="K327" s="142">
        <f>VLOOKUP($A327,'BC.114+320'!$B$13:$X$489,21,0)/1000</f>
        <v>-0.23100000000000001</v>
      </c>
      <c r="L327" s="140">
        <f t="shared" si="16"/>
        <v>-105.99999999999999</v>
      </c>
      <c r="M327" s="141">
        <f t="shared" si="17"/>
        <v>-123</v>
      </c>
      <c r="N327" s="140">
        <f t="shared" si="18"/>
        <v>-111.00000000000001</v>
      </c>
      <c r="O327" s="140"/>
    </row>
    <row r="328" spans="1:15">
      <c r="A328" s="76">
        <f>'BC.114+320'!B327</f>
        <v>45357</v>
      </c>
      <c r="B328" s="140">
        <f t="shared" si="19"/>
        <v>314</v>
      </c>
      <c r="C328" s="142">
        <f>'BC.114+320'!M327/1000</f>
        <v>0.67700000000000005</v>
      </c>
      <c r="D328" s="142">
        <f>'BC.114+320'!AA327</f>
        <v>0.89900000000000002</v>
      </c>
      <c r="E328" s="143">
        <f>'BC.114+320'!AB327</f>
        <v>0.73399999999999999</v>
      </c>
      <c r="F328" s="142">
        <f>VLOOKUP($A328,'BC.114+320'!$B$13:$X$489,8,0)/1000</f>
        <v>1.714</v>
      </c>
      <c r="G328" s="142">
        <f>VLOOKUP($A328,'BC.114+320'!$B$13:$X$489,9,0)/1000</f>
        <v>-0.28599999999999998</v>
      </c>
      <c r="H328" s="142">
        <f>VLOOKUP($A328,'BC.114+320'!$B$13:$X$489,14,0)/1000</f>
        <v>1.6970000000000001</v>
      </c>
      <c r="I328" s="142">
        <f>VLOOKUP($A328,'BC.114+320'!$B$13:$X$489,15,0)/1000</f>
        <v>-0.30299999999999999</v>
      </c>
      <c r="J328" s="142">
        <f>VLOOKUP($A328,'BC.114+320'!$B$13:$X$489,20,0)/1000</f>
        <v>1.7689999999999999</v>
      </c>
      <c r="K328" s="142">
        <f>VLOOKUP($A328,'BC.114+320'!$B$13:$X$489,21,0)/1000</f>
        <v>-0.23100000000000001</v>
      </c>
      <c r="L328" s="140">
        <f t="shared" si="16"/>
        <v>-105.99999999999999</v>
      </c>
      <c r="M328" s="141">
        <f t="shared" si="17"/>
        <v>-123</v>
      </c>
      <c r="N328" s="140">
        <f t="shared" si="18"/>
        <v>-111.00000000000001</v>
      </c>
      <c r="O328" s="140"/>
    </row>
    <row r="329" spans="1:15">
      <c r="A329" s="76">
        <f>'BC.114+320'!B328</f>
        <v>45358</v>
      </c>
      <c r="B329" s="140">
        <f t="shared" si="19"/>
        <v>315</v>
      </c>
      <c r="C329" s="142">
        <f>'BC.114+320'!M328/1000</f>
        <v>0.67700000000000005</v>
      </c>
      <c r="D329" s="142">
        <f>'BC.114+320'!AA328</f>
        <v>0.89900000000000002</v>
      </c>
      <c r="E329" s="143">
        <f>'BC.114+320'!AB328</f>
        <v>0.73399999999999999</v>
      </c>
      <c r="F329" s="142">
        <f>VLOOKUP($A329,'BC.114+320'!$B$13:$X$489,8,0)/1000</f>
        <v>1.714</v>
      </c>
      <c r="G329" s="142">
        <f>VLOOKUP($A329,'BC.114+320'!$B$13:$X$489,9,0)/1000</f>
        <v>-0.28599999999999998</v>
      </c>
      <c r="H329" s="142">
        <f>VLOOKUP($A329,'BC.114+320'!$B$13:$X$489,14,0)/1000</f>
        <v>1.6970000000000001</v>
      </c>
      <c r="I329" s="142">
        <f>VLOOKUP($A329,'BC.114+320'!$B$13:$X$489,15,0)/1000</f>
        <v>-0.30299999999999999</v>
      </c>
      <c r="J329" s="142">
        <f>VLOOKUP($A329,'BC.114+320'!$B$13:$X$489,20,0)/1000</f>
        <v>1.7689999999999999</v>
      </c>
      <c r="K329" s="142">
        <f>VLOOKUP($A329,'BC.114+320'!$B$13:$X$489,21,0)/1000</f>
        <v>-0.23100000000000001</v>
      </c>
      <c r="L329" s="140">
        <f t="shared" si="16"/>
        <v>-105.99999999999999</v>
      </c>
      <c r="M329" s="141">
        <f t="shared" si="17"/>
        <v>-123</v>
      </c>
      <c r="N329" s="140">
        <f t="shared" si="18"/>
        <v>-111.00000000000001</v>
      </c>
      <c r="O329" s="140"/>
    </row>
    <row r="330" spans="1:15">
      <c r="A330" s="76">
        <f>'BC.114+320'!B329</f>
        <v>45359</v>
      </c>
      <c r="B330" s="140">
        <f t="shared" si="19"/>
        <v>316</v>
      </c>
      <c r="C330" s="142">
        <f>'BC.114+320'!M329/1000</f>
        <v>0.67700000000000005</v>
      </c>
      <c r="D330" s="142">
        <f>'BC.114+320'!AA329</f>
        <v>0.89900000000000002</v>
      </c>
      <c r="E330" s="143">
        <f>'BC.114+320'!AB329</f>
        <v>0.73399999999999999</v>
      </c>
      <c r="F330" s="142">
        <f>VLOOKUP($A330,'BC.114+320'!$B$13:$X$489,8,0)/1000</f>
        <v>1.714</v>
      </c>
      <c r="G330" s="142">
        <f>VLOOKUP($A330,'BC.114+320'!$B$13:$X$489,9,0)/1000</f>
        <v>-0.28599999999999998</v>
      </c>
      <c r="H330" s="142">
        <f>VLOOKUP($A330,'BC.114+320'!$B$13:$X$489,14,0)/1000</f>
        <v>1.6970000000000001</v>
      </c>
      <c r="I330" s="142">
        <f>VLOOKUP($A330,'BC.114+320'!$B$13:$X$489,15,0)/1000</f>
        <v>-0.30299999999999999</v>
      </c>
      <c r="J330" s="142">
        <f>VLOOKUP($A330,'BC.114+320'!$B$13:$X$489,20,0)/1000</f>
        <v>1.7689999999999999</v>
      </c>
      <c r="K330" s="142">
        <f>VLOOKUP($A330,'BC.114+320'!$B$13:$X$489,21,0)/1000</f>
        <v>-0.23100000000000001</v>
      </c>
      <c r="L330" s="140">
        <f t="shared" si="16"/>
        <v>-105.99999999999999</v>
      </c>
      <c r="M330" s="141">
        <f t="shared" si="17"/>
        <v>-123</v>
      </c>
      <c r="N330" s="140">
        <f t="shared" si="18"/>
        <v>-111.00000000000001</v>
      </c>
      <c r="O330" s="140"/>
    </row>
    <row r="331" spans="1:15">
      <c r="A331" s="76">
        <f>'BC.114+320'!B330</f>
        <v>45360</v>
      </c>
      <c r="B331" s="140">
        <f t="shared" si="19"/>
        <v>317</v>
      </c>
      <c r="C331" s="142">
        <f>'BC.114+320'!M330/1000</f>
        <v>0.67700000000000005</v>
      </c>
      <c r="D331" s="142">
        <f>'BC.114+320'!AA330</f>
        <v>0.89900000000000002</v>
      </c>
      <c r="E331" s="143">
        <f>'BC.114+320'!AB330</f>
        <v>0.73399999999999999</v>
      </c>
      <c r="F331" s="142">
        <f>VLOOKUP($A331,'BC.114+320'!$B$13:$X$489,8,0)/1000</f>
        <v>1.714</v>
      </c>
      <c r="G331" s="142">
        <f>VLOOKUP($A331,'BC.114+320'!$B$13:$X$489,9,0)/1000</f>
        <v>-0.28599999999999998</v>
      </c>
      <c r="H331" s="142">
        <f>VLOOKUP($A331,'BC.114+320'!$B$13:$X$489,14,0)/1000</f>
        <v>1.6970000000000001</v>
      </c>
      <c r="I331" s="142">
        <f>VLOOKUP($A331,'BC.114+320'!$B$13:$X$489,15,0)/1000</f>
        <v>-0.30299999999999999</v>
      </c>
      <c r="J331" s="142">
        <f>VLOOKUP($A331,'BC.114+320'!$B$13:$X$489,20,0)/1000</f>
        <v>1.7689999999999999</v>
      </c>
      <c r="K331" s="142">
        <f>VLOOKUP($A331,'BC.114+320'!$B$13:$X$489,21,0)/1000</f>
        <v>-0.23100000000000001</v>
      </c>
      <c r="L331" s="140">
        <f t="shared" si="16"/>
        <v>-105.99999999999999</v>
      </c>
      <c r="M331" s="141">
        <f t="shared" si="17"/>
        <v>-123</v>
      </c>
      <c r="N331" s="140">
        <f t="shared" si="18"/>
        <v>-111.00000000000001</v>
      </c>
      <c r="O331" s="140"/>
    </row>
    <row r="332" spans="1:15">
      <c r="A332" s="76">
        <f>'BC.114+320'!B331</f>
        <v>45361</v>
      </c>
      <c r="B332" s="140">
        <f t="shared" si="19"/>
        <v>318</v>
      </c>
      <c r="C332" s="142">
        <f>'BC.114+320'!M331/1000</f>
        <v>0.67700000000000005</v>
      </c>
      <c r="D332" s="142">
        <f>'BC.114+320'!AA331</f>
        <v>0.89900000000000002</v>
      </c>
      <c r="E332" s="143">
        <f>'BC.114+320'!AB331</f>
        <v>0.73399999999999999</v>
      </c>
      <c r="F332" s="142">
        <f>VLOOKUP($A332,'BC.114+320'!$B$13:$X$489,8,0)/1000</f>
        <v>1.714</v>
      </c>
      <c r="G332" s="142">
        <f>VLOOKUP($A332,'BC.114+320'!$B$13:$X$489,9,0)/1000</f>
        <v>-0.28599999999999998</v>
      </c>
      <c r="H332" s="142">
        <f>VLOOKUP($A332,'BC.114+320'!$B$13:$X$489,14,0)/1000</f>
        <v>1.6970000000000001</v>
      </c>
      <c r="I332" s="142">
        <f>VLOOKUP($A332,'BC.114+320'!$B$13:$X$489,15,0)/1000</f>
        <v>-0.30299999999999999</v>
      </c>
      <c r="J332" s="142">
        <f>VLOOKUP($A332,'BC.114+320'!$B$13:$X$489,20,0)/1000</f>
        <v>1.7689999999999999</v>
      </c>
      <c r="K332" s="142">
        <f>VLOOKUP($A332,'BC.114+320'!$B$13:$X$489,21,0)/1000</f>
        <v>-0.23100000000000001</v>
      </c>
      <c r="L332" s="140">
        <f t="shared" si="16"/>
        <v>-105.99999999999999</v>
      </c>
      <c r="M332" s="141">
        <f t="shared" si="17"/>
        <v>-123</v>
      </c>
      <c r="N332" s="140">
        <f t="shared" si="18"/>
        <v>-111.00000000000001</v>
      </c>
      <c r="O332" s="140"/>
    </row>
    <row r="333" spans="1:15">
      <c r="A333" s="76">
        <f>'BC.114+320'!B332</f>
        <v>45362</v>
      </c>
      <c r="B333" s="140">
        <f t="shared" si="19"/>
        <v>319</v>
      </c>
      <c r="C333" s="142">
        <f>'BC.114+320'!M332/1000</f>
        <v>0.67700000000000005</v>
      </c>
      <c r="D333" s="142">
        <f>'BC.114+320'!AA332</f>
        <v>0.89900000000000002</v>
      </c>
      <c r="E333" s="143">
        <f>'BC.114+320'!AB332</f>
        <v>0.73399999999999999</v>
      </c>
      <c r="F333" s="142">
        <f>VLOOKUP($A333,'BC.114+320'!$B$13:$X$489,8,0)/1000</f>
        <v>1.714</v>
      </c>
      <c r="G333" s="142">
        <f>VLOOKUP($A333,'BC.114+320'!$B$13:$X$489,9,0)/1000</f>
        <v>-0.28599999999999998</v>
      </c>
      <c r="H333" s="142">
        <f>VLOOKUP($A333,'BC.114+320'!$B$13:$X$489,14,0)/1000</f>
        <v>1.6970000000000001</v>
      </c>
      <c r="I333" s="142">
        <f>VLOOKUP($A333,'BC.114+320'!$B$13:$X$489,15,0)/1000</f>
        <v>-0.30299999999999999</v>
      </c>
      <c r="J333" s="142">
        <f>VLOOKUP($A333,'BC.114+320'!$B$13:$X$489,20,0)/1000</f>
        <v>1.7689999999999999</v>
      </c>
      <c r="K333" s="142">
        <f>VLOOKUP($A333,'BC.114+320'!$B$13:$X$489,21,0)/1000</f>
        <v>-0.23100000000000001</v>
      </c>
      <c r="L333" s="140">
        <f t="shared" si="16"/>
        <v>-105.99999999999999</v>
      </c>
      <c r="M333" s="141">
        <f t="shared" si="17"/>
        <v>-123</v>
      </c>
      <c r="N333" s="140">
        <f t="shared" si="18"/>
        <v>-111.00000000000001</v>
      </c>
      <c r="O333" s="140"/>
    </row>
    <row r="334" spans="1:15">
      <c r="A334" s="76">
        <f>'BC.114+320'!B333</f>
        <v>45363</v>
      </c>
      <c r="B334" s="140">
        <f t="shared" si="19"/>
        <v>320</v>
      </c>
      <c r="C334" s="142">
        <f>'BC.114+320'!M333/1000</f>
        <v>0.67700000000000005</v>
      </c>
      <c r="D334" s="142">
        <f>'BC.114+320'!AA333</f>
        <v>0.89900000000000002</v>
      </c>
      <c r="E334" s="143">
        <f>'BC.114+320'!AB333</f>
        <v>0.73399999999999999</v>
      </c>
      <c r="F334" s="142">
        <f>VLOOKUP($A334,'BC.114+320'!$B$13:$X$489,8,0)/1000</f>
        <v>1.714</v>
      </c>
      <c r="G334" s="142">
        <f>VLOOKUP($A334,'BC.114+320'!$B$13:$X$489,9,0)/1000</f>
        <v>-0.28599999999999998</v>
      </c>
      <c r="H334" s="142">
        <f>VLOOKUP($A334,'BC.114+320'!$B$13:$X$489,14,0)/1000</f>
        <v>1.6970000000000001</v>
      </c>
      <c r="I334" s="142">
        <f>VLOOKUP($A334,'BC.114+320'!$B$13:$X$489,15,0)/1000</f>
        <v>-0.30299999999999999</v>
      </c>
      <c r="J334" s="142">
        <f>VLOOKUP($A334,'BC.114+320'!$B$13:$X$489,20,0)/1000</f>
        <v>1.7689999999999999</v>
      </c>
      <c r="K334" s="142">
        <f>VLOOKUP($A334,'BC.114+320'!$B$13:$X$489,21,0)/1000</f>
        <v>-0.23100000000000001</v>
      </c>
      <c r="L334" s="140">
        <f t="shared" ref="L334:L397" si="20">(G334-$G$14)*1000</f>
        <v>-105.99999999999999</v>
      </c>
      <c r="M334" s="141">
        <f t="shared" ref="M334:M397" si="21">(I334-$I$14)*1000</f>
        <v>-123</v>
      </c>
      <c r="N334" s="140">
        <f t="shared" si="18"/>
        <v>-111.00000000000001</v>
      </c>
      <c r="O334" s="140"/>
    </row>
    <row r="335" spans="1:15">
      <c r="A335" s="76">
        <f>'BC.114+320'!B334</f>
        <v>45364</v>
      </c>
      <c r="B335" s="140">
        <f t="shared" si="19"/>
        <v>321</v>
      </c>
      <c r="C335" s="142">
        <f>'BC.114+320'!M334/1000</f>
        <v>0.67700000000000005</v>
      </c>
      <c r="D335" s="142">
        <f>'BC.114+320'!AA334</f>
        <v>0.89900000000000002</v>
      </c>
      <c r="E335" s="143">
        <f>'BC.114+320'!AB334</f>
        <v>0.73399999999999999</v>
      </c>
      <c r="F335" s="142">
        <f>VLOOKUP($A335,'BC.114+320'!$B$13:$X$489,8,0)/1000</f>
        <v>1.714</v>
      </c>
      <c r="G335" s="142">
        <f>VLOOKUP($A335,'BC.114+320'!$B$13:$X$489,9,0)/1000</f>
        <v>-0.28599999999999998</v>
      </c>
      <c r="H335" s="142">
        <f>VLOOKUP($A335,'BC.114+320'!$B$13:$X$489,14,0)/1000</f>
        <v>1.6970000000000001</v>
      </c>
      <c r="I335" s="142">
        <f>VLOOKUP($A335,'BC.114+320'!$B$13:$X$489,15,0)/1000</f>
        <v>-0.30299999999999999</v>
      </c>
      <c r="J335" s="142">
        <f>VLOOKUP($A335,'BC.114+320'!$B$13:$X$489,20,0)/1000</f>
        <v>1.7689999999999999</v>
      </c>
      <c r="K335" s="142">
        <f>VLOOKUP($A335,'BC.114+320'!$B$13:$X$489,21,0)/1000</f>
        <v>-0.23100000000000001</v>
      </c>
      <c r="L335" s="140">
        <f t="shared" si="20"/>
        <v>-105.99999999999999</v>
      </c>
      <c r="M335" s="141">
        <f t="shared" si="21"/>
        <v>-123</v>
      </c>
      <c r="N335" s="140">
        <f t="shared" ref="N335:N398" si="22">(K335-$K$14)*1000</f>
        <v>-111.00000000000001</v>
      </c>
      <c r="O335" s="140"/>
    </row>
    <row r="336" spans="1:15">
      <c r="A336" s="76">
        <f>'BC.114+320'!B335</f>
        <v>45365</v>
      </c>
      <c r="B336" s="140">
        <f t="shared" ref="B336:B399" si="23">+B335+1</f>
        <v>322</v>
      </c>
      <c r="C336" s="142">
        <f>'BC.114+320'!M335/1000</f>
        <v>0.67700000000000005</v>
      </c>
      <c r="D336" s="142">
        <f>'BC.114+320'!AA335</f>
        <v>0.89900000000000002</v>
      </c>
      <c r="E336" s="143">
        <f>'BC.114+320'!AB335</f>
        <v>0.73399999999999999</v>
      </c>
      <c r="F336" s="142">
        <f>VLOOKUP($A336,'BC.114+320'!$B$13:$X$489,8,0)/1000</f>
        <v>1.714</v>
      </c>
      <c r="G336" s="142">
        <f>VLOOKUP($A336,'BC.114+320'!$B$13:$X$489,9,0)/1000</f>
        <v>-0.28599999999999998</v>
      </c>
      <c r="H336" s="142">
        <f>VLOOKUP($A336,'BC.114+320'!$B$13:$X$489,14,0)/1000</f>
        <v>1.6970000000000001</v>
      </c>
      <c r="I336" s="142">
        <f>VLOOKUP($A336,'BC.114+320'!$B$13:$X$489,15,0)/1000</f>
        <v>-0.30299999999999999</v>
      </c>
      <c r="J336" s="142">
        <f>VLOOKUP($A336,'BC.114+320'!$B$13:$X$489,20,0)/1000</f>
        <v>1.7689999999999999</v>
      </c>
      <c r="K336" s="142">
        <f>VLOOKUP($A336,'BC.114+320'!$B$13:$X$489,21,0)/1000</f>
        <v>-0.23100000000000001</v>
      </c>
      <c r="L336" s="140">
        <f t="shared" si="20"/>
        <v>-105.99999999999999</v>
      </c>
      <c r="M336" s="141">
        <f t="shared" si="21"/>
        <v>-123</v>
      </c>
      <c r="N336" s="140">
        <f t="shared" si="22"/>
        <v>-111.00000000000001</v>
      </c>
      <c r="O336" s="140"/>
    </row>
    <row r="337" spans="1:15">
      <c r="A337" s="76">
        <f>'BC.114+320'!B336</f>
        <v>45366</v>
      </c>
      <c r="B337" s="140">
        <f t="shared" si="23"/>
        <v>323</v>
      </c>
      <c r="C337" s="142">
        <f>'BC.114+320'!M336/1000</f>
        <v>0.67700000000000005</v>
      </c>
      <c r="D337" s="142">
        <f>'BC.114+320'!AA336</f>
        <v>0.89900000000000002</v>
      </c>
      <c r="E337" s="143">
        <f>'BC.114+320'!AB336</f>
        <v>0.73399999999999999</v>
      </c>
      <c r="F337" s="142">
        <f>VLOOKUP($A337,'BC.114+320'!$B$13:$X$489,8,0)/1000</f>
        <v>1.714</v>
      </c>
      <c r="G337" s="142">
        <f>VLOOKUP($A337,'BC.114+320'!$B$13:$X$489,9,0)/1000</f>
        <v>-0.28599999999999998</v>
      </c>
      <c r="H337" s="142">
        <f>VLOOKUP($A337,'BC.114+320'!$B$13:$X$489,14,0)/1000</f>
        <v>1.6970000000000001</v>
      </c>
      <c r="I337" s="142">
        <f>VLOOKUP($A337,'BC.114+320'!$B$13:$X$489,15,0)/1000</f>
        <v>-0.30299999999999999</v>
      </c>
      <c r="J337" s="142">
        <f>VLOOKUP($A337,'BC.114+320'!$B$13:$X$489,20,0)/1000</f>
        <v>1.7689999999999999</v>
      </c>
      <c r="K337" s="142">
        <f>VLOOKUP($A337,'BC.114+320'!$B$13:$X$489,21,0)/1000</f>
        <v>-0.23100000000000001</v>
      </c>
      <c r="L337" s="140">
        <f t="shared" si="20"/>
        <v>-105.99999999999999</v>
      </c>
      <c r="M337" s="141">
        <f t="shared" si="21"/>
        <v>-123</v>
      </c>
      <c r="N337" s="140">
        <f t="shared" si="22"/>
        <v>-111.00000000000001</v>
      </c>
      <c r="O337" s="140"/>
    </row>
    <row r="338" spans="1:15">
      <c r="A338" s="76">
        <f>'BC.114+320'!B337</f>
        <v>45367</v>
      </c>
      <c r="B338" s="140">
        <f t="shared" si="23"/>
        <v>324</v>
      </c>
      <c r="C338" s="142">
        <f>'BC.114+320'!M337/1000</f>
        <v>0.67700000000000005</v>
      </c>
      <c r="D338" s="142">
        <f>'BC.114+320'!AA337</f>
        <v>0.89900000000000002</v>
      </c>
      <c r="E338" s="143">
        <f>'BC.114+320'!AB337</f>
        <v>0.73399999999999999</v>
      </c>
      <c r="F338" s="142">
        <f>VLOOKUP($A338,'BC.114+320'!$B$13:$X$489,8,0)/1000</f>
        <v>1.714</v>
      </c>
      <c r="G338" s="142">
        <f>VLOOKUP($A338,'BC.114+320'!$B$13:$X$489,9,0)/1000</f>
        <v>-0.28599999999999998</v>
      </c>
      <c r="H338" s="142">
        <f>VLOOKUP($A338,'BC.114+320'!$B$13:$X$489,14,0)/1000</f>
        <v>1.6970000000000001</v>
      </c>
      <c r="I338" s="142">
        <f>VLOOKUP($A338,'BC.114+320'!$B$13:$X$489,15,0)/1000</f>
        <v>-0.30299999999999999</v>
      </c>
      <c r="J338" s="142">
        <f>VLOOKUP($A338,'BC.114+320'!$B$13:$X$489,20,0)/1000</f>
        <v>1.7689999999999999</v>
      </c>
      <c r="K338" s="142">
        <f>VLOOKUP($A338,'BC.114+320'!$B$13:$X$489,21,0)/1000</f>
        <v>-0.23100000000000001</v>
      </c>
      <c r="L338" s="140">
        <f t="shared" si="20"/>
        <v>-105.99999999999999</v>
      </c>
      <c r="M338" s="141">
        <f t="shared" si="21"/>
        <v>-123</v>
      </c>
      <c r="N338" s="140">
        <f t="shared" si="22"/>
        <v>-111.00000000000001</v>
      </c>
      <c r="O338" s="140"/>
    </row>
    <row r="339" spans="1:15">
      <c r="A339" s="76">
        <f>'BC.114+320'!B338</f>
        <v>45368</v>
      </c>
      <c r="B339" s="140">
        <f t="shared" si="23"/>
        <v>325</v>
      </c>
      <c r="C339" s="142">
        <f>'BC.114+320'!M338/1000</f>
        <v>0.67700000000000005</v>
      </c>
      <c r="D339" s="142">
        <f>'BC.114+320'!AA338</f>
        <v>0.89900000000000002</v>
      </c>
      <c r="E339" s="143">
        <f>'BC.114+320'!AB338</f>
        <v>0.73399999999999999</v>
      </c>
      <c r="F339" s="142">
        <f>VLOOKUP($A339,'BC.114+320'!$B$13:$X$489,8,0)/1000</f>
        <v>1.714</v>
      </c>
      <c r="G339" s="142">
        <f>VLOOKUP($A339,'BC.114+320'!$B$13:$X$489,9,0)/1000</f>
        <v>-0.28599999999999998</v>
      </c>
      <c r="H339" s="142">
        <f>VLOOKUP($A339,'BC.114+320'!$B$13:$X$489,14,0)/1000</f>
        <v>1.6970000000000001</v>
      </c>
      <c r="I339" s="142">
        <f>VLOOKUP($A339,'BC.114+320'!$B$13:$X$489,15,0)/1000</f>
        <v>-0.30299999999999999</v>
      </c>
      <c r="J339" s="142">
        <f>VLOOKUP($A339,'BC.114+320'!$B$13:$X$489,20,0)/1000</f>
        <v>1.7689999999999999</v>
      </c>
      <c r="K339" s="142">
        <f>VLOOKUP($A339,'BC.114+320'!$B$13:$X$489,21,0)/1000</f>
        <v>-0.23100000000000001</v>
      </c>
      <c r="L339" s="140">
        <f t="shared" si="20"/>
        <v>-105.99999999999999</v>
      </c>
      <c r="M339" s="141">
        <f t="shared" si="21"/>
        <v>-123</v>
      </c>
      <c r="N339" s="140">
        <f t="shared" si="22"/>
        <v>-111.00000000000001</v>
      </c>
      <c r="O339" s="140"/>
    </row>
    <row r="340" spans="1:15">
      <c r="A340" s="76">
        <f>'BC.114+320'!B339</f>
        <v>45369</v>
      </c>
      <c r="B340" s="140">
        <f t="shared" si="23"/>
        <v>326</v>
      </c>
      <c r="C340" s="142">
        <f>'BC.114+320'!M339/1000</f>
        <v>0.67700000000000005</v>
      </c>
      <c r="D340" s="142">
        <f>'BC.114+320'!AA339</f>
        <v>0.89900000000000002</v>
      </c>
      <c r="E340" s="143">
        <f>'BC.114+320'!AB339</f>
        <v>0.73399999999999999</v>
      </c>
      <c r="F340" s="142">
        <f>VLOOKUP($A340,'BC.114+320'!$B$13:$X$489,8,0)/1000</f>
        <v>1.714</v>
      </c>
      <c r="G340" s="142">
        <f>VLOOKUP($A340,'BC.114+320'!$B$13:$X$489,9,0)/1000</f>
        <v>-0.28599999999999998</v>
      </c>
      <c r="H340" s="142">
        <f>VLOOKUP($A340,'BC.114+320'!$B$13:$X$489,14,0)/1000</f>
        <v>1.6970000000000001</v>
      </c>
      <c r="I340" s="142">
        <f>VLOOKUP($A340,'BC.114+320'!$B$13:$X$489,15,0)/1000</f>
        <v>-0.30299999999999999</v>
      </c>
      <c r="J340" s="142">
        <f>VLOOKUP($A340,'BC.114+320'!$B$13:$X$489,20,0)/1000</f>
        <v>1.7689999999999999</v>
      </c>
      <c r="K340" s="142">
        <f>VLOOKUP($A340,'BC.114+320'!$B$13:$X$489,21,0)/1000</f>
        <v>-0.23100000000000001</v>
      </c>
      <c r="L340" s="140">
        <f t="shared" si="20"/>
        <v>-105.99999999999999</v>
      </c>
      <c r="M340" s="141">
        <f t="shared" si="21"/>
        <v>-123</v>
      </c>
      <c r="N340" s="140">
        <f t="shared" si="22"/>
        <v>-111.00000000000001</v>
      </c>
      <c r="O340" s="140"/>
    </row>
    <row r="341" spans="1:15">
      <c r="A341" s="76">
        <f>'BC.114+320'!B340</f>
        <v>45370</v>
      </c>
      <c r="B341" s="140">
        <f t="shared" si="23"/>
        <v>327</v>
      </c>
      <c r="C341" s="142">
        <f>'BC.114+320'!M340/1000</f>
        <v>0.67700000000000005</v>
      </c>
      <c r="D341" s="142">
        <f>'BC.114+320'!AA340</f>
        <v>0.89900000000000002</v>
      </c>
      <c r="E341" s="143">
        <f>'BC.114+320'!AB340</f>
        <v>0.73399999999999999</v>
      </c>
      <c r="F341" s="142">
        <f>VLOOKUP($A341,'BC.114+320'!$B$13:$X$489,8,0)/1000</f>
        <v>1.714</v>
      </c>
      <c r="G341" s="142">
        <f>VLOOKUP($A341,'BC.114+320'!$B$13:$X$489,9,0)/1000</f>
        <v>-0.28599999999999998</v>
      </c>
      <c r="H341" s="142">
        <f>VLOOKUP($A341,'BC.114+320'!$B$13:$X$489,14,0)/1000</f>
        <v>1.6970000000000001</v>
      </c>
      <c r="I341" s="142">
        <f>VLOOKUP($A341,'BC.114+320'!$B$13:$X$489,15,0)/1000</f>
        <v>-0.30299999999999999</v>
      </c>
      <c r="J341" s="142">
        <f>VLOOKUP($A341,'BC.114+320'!$B$13:$X$489,20,0)/1000</f>
        <v>1.7689999999999999</v>
      </c>
      <c r="K341" s="142">
        <f>VLOOKUP($A341,'BC.114+320'!$B$13:$X$489,21,0)/1000</f>
        <v>-0.23100000000000001</v>
      </c>
      <c r="L341" s="140">
        <f t="shared" si="20"/>
        <v>-105.99999999999999</v>
      </c>
      <c r="M341" s="141">
        <f t="shared" si="21"/>
        <v>-123</v>
      </c>
      <c r="N341" s="140">
        <f t="shared" si="22"/>
        <v>-111.00000000000001</v>
      </c>
      <c r="O341" s="140"/>
    </row>
    <row r="342" spans="1:15">
      <c r="A342" s="76">
        <f>'BC.114+320'!B341</f>
        <v>45371</v>
      </c>
      <c r="B342" s="140">
        <f t="shared" si="23"/>
        <v>328</v>
      </c>
      <c r="C342" s="142">
        <f>'BC.114+320'!M341/1000</f>
        <v>0.67700000000000005</v>
      </c>
      <c r="D342" s="142">
        <f>'BC.114+320'!AA341</f>
        <v>0.89900000000000002</v>
      </c>
      <c r="E342" s="143">
        <f>'BC.114+320'!AB341</f>
        <v>0.73399999999999999</v>
      </c>
      <c r="F342" s="142">
        <f>VLOOKUP($A342,'BC.114+320'!$B$13:$X$489,8,0)/1000</f>
        <v>1.714</v>
      </c>
      <c r="G342" s="142">
        <f>VLOOKUP($A342,'BC.114+320'!$B$13:$X$489,9,0)/1000</f>
        <v>-0.28599999999999998</v>
      </c>
      <c r="H342" s="142">
        <f>VLOOKUP($A342,'BC.114+320'!$B$13:$X$489,14,0)/1000</f>
        <v>1.6970000000000001</v>
      </c>
      <c r="I342" s="142">
        <f>VLOOKUP($A342,'BC.114+320'!$B$13:$X$489,15,0)/1000</f>
        <v>-0.30299999999999999</v>
      </c>
      <c r="J342" s="142">
        <f>VLOOKUP($A342,'BC.114+320'!$B$13:$X$489,20,0)/1000</f>
        <v>1.7689999999999999</v>
      </c>
      <c r="K342" s="142">
        <f>VLOOKUP($A342,'BC.114+320'!$B$13:$X$489,21,0)/1000</f>
        <v>-0.23100000000000001</v>
      </c>
      <c r="L342" s="140">
        <f t="shared" si="20"/>
        <v>-105.99999999999999</v>
      </c>
      <c r="M342" s="141">
        <f t="shared" si="21"/>
        <v>-123</v>
      </c>
      <c r="N342" s="140">
        <f t="shared" si="22"/>
        <v>-111.00000000000001</v>
      </c>
      <c r="O342" s="140"/>
    </row>
    <row r="343" spans="1:15">
      <c r="A343" s="76">
        <f>'BC.114+320'!B342</f>
        <v>45372</v>
      </c>
      <c r="B343" s="140">
        <f t="shared" si="23"/>
        <v>329</v>
      </c>
      <c r="C343" s="142">
        <f>'BC.114+320'!M342/1000</f>
        <v>0.67700000000000005</v>
      </c>
      <c r="D343" s="142">
        <f>'BC.114+320'!AA342</f>
        <v>0.89900000000000002</v>
      </c>
      <c r="E343" s="143">
        <f>'BC.114+320'!AB342</f>
        <v>0.73399999999999999</v>
      </c>
      <c r="F343" s="142">
        <f>VLOOKUP($A343,'BC.114+320'!$B$13:$X$489,8,0)/1000</f>
        <v>1.714</v>
      </c>
      <c r="G343" s="142">
        <f>VLOOKUP($A343,'BC.114+320'!$B$13:$X$489,9,0)/1000</f>
        <v>-0.28599999999999998</v>
      </c>
      <c r="H343" s="142">
        <f>VLOOKUP($A343,'BC.114+320'!$B$13:$X$489,14,0)/1000</f>
        <v>1.6970000000000001</v>
      </c>
      <c r="I343" s="142">
        <f>VLOOKUP($A343,'BC.114+320'!$B$13:$X$489,15,0)/1000</f>
        <v>-0.30299999999999999</v>
      </c>
      <c r="J343" s="142">
        <f>VLOOKUP($A343,'BC.114+320'!$B$13:$X$489,20,0)/1000</f>
        <v>1.7689999999999999</v>
      </c>
      <c r="K343" s="142">
        <f>VLOOKUP($A343,'BC.114+320'!$B$13:$X$489,21,0)/1000</f>
        <v>-0.23100000000000001</v>
      </c>
      <c r="L343" s="140">
        <f t="shared" si="20"/>
        <v>-105.99999999999999</v>
      </c>
      <c r="M343" s="141">
        <f t="shared" si="21"/>
        <v>-123</v>
      </c>
      <c r="N343" s="140">
        <f t="shared" si="22"/>
        <v>-111.00000000000001</v>
      </c>
      <c r="O343" s="140"/>
    </row>
    <row r="344" spans="1:15">
      <c r="A344" s="76">
        <f>'BC.114+320'!B343</f>
        <v>45373</v>
      </c>
      <c r="B344" s="140">
        <f t="shared" si="23"/>
        <v>330</v>
      </c>
      <c r="C344" s="142">
        <f>'BC.114+320'!M343/1000</f>
        <v>0.67700000000000005</v>
      </c>
      <c r="D344" s="142">
        <f>'BC.114+320'!AA343</f>
        <v>0.89900000000000002</v>
      </c>
      <c r="E344" s="143">
        <f>'BC.114+320'!AB343</f>
        <v>0.73399999999999999</v>
      </c>
      <c r="F344" s="142">
        <f>VLOOKUP($A344,'BC.114+320'!$B$13:$X$489,8,0)/1000</f>
        <v>1.714</v>
      </c>
      <c r="G344" s="142">
        <f>VLOOKUP($A344,'BC.114+320'!$B$13:$X$489,9,0)/1000</f>
        <v>-0.28599999999999998</v>
      </c>
      <c r="H344" s="142">
        <f>VLOOKUP($A344,'BC.114+320'!$B$13:$X$489,14,0)/1000</f>
        <v>1.6970000000000001</v>
      </c>
      <c r="I344" s="142">
        <f>VLOOKUP($A344,'BC.114+320'!$B$13:$X$489,15,0)/1000</f>
        <v>-0.30299999999999999</v>
      </c>
      <c r="J344" s="142">
        <f>VLOOKUP($A344,'BC.114+320'!$B$13:$X$489,20,0)/1000</f>
        <v>1.7689999999999999</v>
      </c>
      <c r="K344" s="142">
        <f>VLOOKUP($A344,'BC.114+320'!$B$13:$X$489,21,0)/1000</f>
        <v>-0.23100000000000001</v>
      </c>
      <c r="L344" s="140">
        <f t="shared" si="20"/>
        <v>-105.99999999999999</v>
      </c>
      <c r="M344" s="141">
        <f t="shared" si="21"/>
        <v>-123</v>
      </c>
      <c r="N344" s="140">
        <f t="shared" si="22"/>
        <v>-111.00000000000001</v>
      </c>
      <c r="O344" s="140"/>
    </row>
    <row r="345" spans="1:15">
      <c r="A345" s="76">
        <f>'BC.114+320'!B344</f>
        <v>45374</v>
      </c>
      <c r="B345" s="140">
        <f t="shared" si="23"/>
        <v>331</v>
      </c>
      <c r="C345" s="142">
        <f>'BC.114+320'!M344/1000</f>
        <v>0.67700000000000005</v>
      </c>
      <c r="D345" s="142">
        <f>'BC.114+320'!AA344</f>
        <v>0.89900000000000002</v>
      </c>
      <c r="E345" s="143">
        <f>'BC.114+320'!AB344</f>
        <v>0.73399999999999999</v>
      </c>
      <c r="F345" s="142">
        <f>VLOOKUP($A345,'BC.114+320'!$B$13:$X$489,8,0)/1000</f>
        <v>1.714</v>
      </c>
      <c r="G345" s="142">
        <f>VLOOKUP($A345,'BC.114+320'!$B$13:$X$489,9,0)/1000</f>
        <v>-0.28599999999999998</v>
      </c>
      <c r="H345" s="142">
        <f>VLOOKUP($A345,'BC.114+320'!$B$13:$X$489,14,0)/1000</f>
        <v>1.6970000000000001</v>
      </c>
      <c r="I345" s="142">
        <f>VLOOKUP($A345,'BC.114+320'!$B$13:$X$489,15,0)/1000</f>
        <v>-0.30299999999999999</v>
      </c>
      <c r="J345" s="142">
        <f>VLOOKUP($A345,'BC.114+320'!$B$13:$X$489,20,0)/1000</f>
        <v>1.7689999999999999</v>
      </c>
      <c r="K345" s="142">
        <f>VLOOKUP($A345,'BC.114+320'!$B$13:$X$489,21,0)/1000</f>
        <v>-0.23100000000000001</v>
      </c>
      <c r="L345" s="140">
        <f t="shared" si="20"/>
        <v>-105.99999999999999</v>
      </c>
      <c r="M345" s="141">
        <f t="shared" si="21"/>
        <v>-123</v>
      </c>
      <c r="N345" s="140">
        <f t="shared" si="22"/>
        <v>-111.00000000000001</v>
      </c>
      <c r="O345" s="140"/>
    </row>
    <row r="346" spans="1:15">
      <c r="A346" s="76">
        <f>'BC.114+320'!B345</f>
        <v>45375</v>
      </c>
      <c r="B346" s="140">
        <f t="shared" si="23"/>
        <v>332</v>
      </c>
      <c r="C346" s="142">
        <f>'BC.114+320'!M345/1000</f>
        <v>0.67700000000000005</v>
      </c>
      <c r="D346" s="142">
        <f>'BC.114+320'!AA345</f>
        <v>0.89900000000000002</v>
      </c>
      <c r="E346" s="143">
        <f>'BC.114+320'!AB345</f>
        <v>0.73399999999999999</v>
      </c>
      <c r="F346" s="142">
        <f>VLOOKUP($A346,'BC.114+320'!$B$13:$X$489,8,0)/1000</f>
        <v>1.714</v>
      </c>
      <c r="G346" s="142">
        <f>VLOOKUP($A346,'BC.114+320'!$B$13:$X$489,9,0)/1000</f>
        <v>-0.28599999999999998</v>
      </c>
      <c r="H346" s="142">
        <f>VLOOKUP($A346,'BC.114+320'!$B$13:$X$489,14,0)/1000</f>
        <v>1.6970000000000001</v>
      </c>
      <c r="I346" s="142">
        <f>VLOOKUP($A346,'BC.114+320'!$B$13:$X$489,15,0)/1000</f>
        <v>-0.30299999999999999</v>
      </c>
      <c r="J346" s="142">
        <f>VLOOKUP($A346,'BC.114+320'!$B$13:$X$489,20,0)/1000</f>
        <v>1.7689999999999999</v>
      </c>
      <c r="K346" s="142">
        <f>VLOOKUP($A346,'BC.114+320'!$B$13:$X$489,21,0)/1000</f>
        <v>-0.23100000000000001</v>
      </c>
      <c r="L346" s="140">
        <f t="shared" si="20"/>
        <v>-105.99999999999999</v>
      </c>
      <c r="M346" s="141">
        <f t="shared" si="21"/>
        <v>-123</v>
      </c>
      <c r="N346" s="140">
        <f t="shared" si="22"/>
        <v>-111.00000000000001</v>
      </c>
      <c r="O346" s="140"/>
    </row>
    <row r="347" spans="1:15">
      <c r="A347" s="76">
        <f>'BC.114+320'!B346</f>
        <v>45376</v>
      </c>
      <c r="B347" s="140">
        <f t="shared" si="23"/>
        <v>333</v>
      </c>
      <c r="C347" s="142">
        <f>'BC.114+320'!M346/1000</f>
        <v>0.67700000000000005</v>
      </c>
      <c r="D347" s="142">
        <f>'BC.114+320'!AA346</f>
        <v>0.89900000000000002</v>
      </c>
      <c r="E347" s="143">
        <f>'BC.114+320'!AB346</f>
        <v>0.73399999999999999</v>
      </c>
      <c r="F347" s="142">
        <f>VLOOKUP($A347,'BC.114+320'!$B$13:$X$489,8,0)/1000</f>
        <v>1.714</v>
      </c>
      <c r="G347" s="142">
        <f>VLOOKUP($A347,'BC.114+320'!$B$13:$X$489,9,0)/1000</f>
        <v>-0.28599999999999998</v>
      </c>
      <c r="H347" s="142">
        <f>VLOOKUP($A347,'BC.114+320'!$B$13:$X$489,14,0)/1000</f>
        <v>1.6970000000000001</v>
      </c>
      <c r="I347" s="142">
        <f>VLOOKUP($A347,'BC.114+320'!$B$13:$X$489,15,0)/1000</f>
        <v>-0.30299999999999999</v>
      </c>
      <c r="J347" s="142">
        <f>VLOOKUP($A347,'BC.114+320'!$B$13:$X$489,20,0)/1000</f>
        <v>1.7689999999999999</v>
      </c>
      <c r="K347" s="142">
        <f>VLOOKUP($A347,'BC.114+320'!$B$13:$X$489,21,0)/1000</f>
        <v>-0.23100000000000001</v>
      </c>
      <c r="L347" s="140">
        <f t="shared" si="20"/>
        <v>-105.99999999999999</v>
      </c>
      <c r="M347" s="141">
        <f t="shared" si="21"/>
        <v>-123</v>
      </c>
      <c r="N347" s="140">
        <f t="shared" si="22"/>
        <v>-111.00000000000001</v>
      </c>
      <c r="O347" s="140"/>
    </row>
    <row r="348" spans="1:15">
      <c r="A348" s="76">
        <f>'BC.114+320'!B347</f>
        <v>45377</v>
      </c>
      <c r="B348" s="140">
        <f t="shared" si="23"/>
        <v>334</v>
      </c>
      <c r="C348" s="142">
        <f>'BC.114+320'!M347/1000</f>
        <v>0.67700000000000005</v>
      </c>
      <c r="D348" s="142">
        <f>'BC.114+320'!AA347</f>
        <v>0.89900000000000002</v>
      </c>
      <c r="E348" s="143">
        <f>'BC.114+320'!AB347</f>
        <v>0.73399999999999999</v>
      </c>
      <c r="F348" s="142">
        <f>VLOOKUP($A348,'BC.114+320'!$B$13:$X$489,8,0)/1000</f>
        <v>1.714</v>
      </c>
      <c r="G348" s="142">
        <f>VLOOKUP($A348,'BC.114+320'!$B$13:$X$489,9,0)/1000</f>
        <v>-0.28599999999999998</v>
      </c>
      <c r="H348" s="142">
        <f>VLOOKUP($A348,'BC.114+320'!$B$13:$X$489,14,0)/1000</f>
        <v>1.6970000000000001</v>
      </c>
      <c r="I348" s="142">
        <f>VLOOKUP($A348,'BC.114+320'!$B$13:$X$489,15,0)/1000</f>
        <v>-0.30299999999999999</v>
      </c>
      <c r="J348" s="142">
        <f>VLOOKUP($A348,'BC.114+320'!$B$13:$X$489,20,0)/1000</f>
        <v>1.7689999999999999</v>
      </c>
      <c r="K348" s="142">
        <f>VLOOKUP($A348,'BC.114+320'!$B$13:$X$489,21,0)/1000</f>
        <v>-0.23100000000000001</v>
      </c>
      <c r="L348" s="140">
        <f t="shared" si="20"/>
        <v>-105.99999999999999</v>
      </c>
      <c r="M348" s="141">
        <f t="shared" si="21"/>
        <v>-123</v>
      </c>
      <c r="N348" s="140">
        <f t="shared" si="22"/>
        <v>-111.00000000000001</v>
      </c>
      <c r="O348" s="140"/>
    </row>
    <row r="349" spans="1:15">
      <c r="A349" s="76">
        <f>'BC.114+320'!B348</f>
        <v>45378</v>
      </c>
      <c r="B349" s="140">
        <f t="shared" si="23"/>
        <v>335</v>
      </c>
      <c r="C349" s="142">
        <f>'BC.114+320'!M348/1000</f>
        <v>0.67700000000000005</v>
      </c>
      <c r="D349" s="142">
        <f>'BC.114+320'!AA348</f>
        <v>0.89900000000000002</v>
      </c>
      <c r="E349" s="143">
        <f>'BC.114+320'!AB348</f>
        <v>0.73399999999999999</v>
      </c>
      <c r="F349" s="142">
        <f>VLOOKUP($A349,'BC.114+320'!$B$13:$X$489,8,0)/1000</f>
        <v>1.714</v>
      </c>
      <c r="G349" s="142">
        <f>VLOOKUP($A349,'BC.114+320'!$B$13:$X$489,9,0)/1000</f>
        <v>-0.28599999999999998</v>
      </c>
      <c r="H349" s="142">
        <f>VLOOKUP($A349,'BC.114+320'!$B$13:$X$489,14,0)/1000</f>
        <v>1.6970000000000001</v>
      </c>
      <c r="I349" s="142">
        <f>VLOOKUP($A349,'BC.114+320'!$B$13:$X$489,15,0)/1000</f>
        <v>-0.30299999999999999</v>
      </c>
      <c r="J349" s="142">
        <f>VLOOKUP($A349,'BC.114+320'!$B$13:$X$489,20,0)/1000</f>
        <v>1.7689999999999999</v>
      </c>
      <c r="K349" s="142">
        <f>VLOOKUP($A349,'BC.114+320'!$B$13:$X$489,21,0)/1000</f>
        <v>-0.23100000000000001</v>
      </c>
      <c r="L349" s="140">
        <f t="shared" si="20"/>
        <v>-105.99999999999999</v>
      </c>
      <c r="M349" s="141">
        <f t="shared" si="21"/>
        <v>-123</v>
      </c>
      <c r="N349" s="140">
        <f t="shared" si="22"/>
        <v>-111.00000000000001</v>
      </c>
      <c r="O349" s="140"/>
    </row>
    <row r="350" spans="1:15">
      <c r="A350" s="76">
        <f>'BC.114+320'!B349</f>
        <v>45379</v>
      </c>
      <c r="B350" s="140">
        <f t="shared" si="23"/>
        <v>336</v>
      </c>
      <c r="C350" s="142">
        <f>'BC.114+320'!M349/1000</f>
        <v>0.67700000000000005</v>
      </c>
      <c r="D350" s="142">
        <f>'BC.114+320'!AA349</f>
        <v>0.89900000000000002</v>
      </c>
      <c r="E350" s="143">
        <f>'BC.114+320'!AB349</f>
        <v>0.73399999999999999</v>
      </c>
      <c r="F350" s="142">
        <f>VLOOKUP($A350,'BC.114+320'!$B$13:$X$489,8,0)/1000</f>
        <v>1.714</v>
      </c>
      <c r="G350" s="142">
        <f>VLOOKUP($A350,'BC.114+320'!$B$13:$X$489,9,0)/1000</f>
        <v>-0.28599999999999998</v>
      </c>
      <c r="H350" s="142">
        <f>VLOOKUP($A350,'BC.114+320'!$B$13:$X$489,14,0)/1000</f>
        <v>1.6970000000000001</v>
      </c>
      <c r="I350" s="142">
        <f>VLOOKUP($A350,'BC.114+320'!$B$13:$X$489,15,0)/1000</f>
        <v>-0.30299999999999999</v>
      </c>
      <c r="J350" s="142">
        <f>VLOOKUP($A350,'BC.114+320'!$B$13:$X$489,20,0)/1000</f>
        <v>1.7689999999999999</v>
      </c>
      <c r="K350" s="142">
        <f>VLOOKUP($A350,'BC.114+320'!$B$13:$X$489,21,0)/1000</f>
        <v>-0.23100000000000001</v>
      </c>
      <c r="L350" s="140">
        <f t="shared" si="20"/>
        <v>-105.99999999999999</v>
      </c>
      <c r="M350" s="141">
        <f t="shared" si="21"/>
        <v>-123</v>
      </c>
      <c r="N350" s="140">
        <f t="shared" si="22"/>
        <v>-111.00000000000001</v>
      </c>
      <c r="O350" s="140"/>
    </row>
    <row r="351" spans="1:15">
      <c r="A351" s="76">
        <f>'BC.114+320'!B350</f>
        <v>45380</v>
      </c>
      <c r="B351" s="140">
        <f t="shared" si="23"/>
        <v>337</v>
      </c>
      <c r="C351" s="142">
        <f>'BC.114+320'!M350/1000</f>
        <v>0.97299999999999998</v>
      </c>
      <c r="D351" s="142">
        <f>'BC.114+320'!AA350</f>
        <v>1.194</v>
      </c>
      <c r="E351" s="143">
        <f>'BC.114+320'!AB350</f>
        <v>1.026</v>
      </c>
      <c r="F351" s="142">
        <f>VLOOKUP($A351,'BC.114+320'!$B$13:$X$489,8,0)/1000</f>
        <v>1.7090000000000001</v>
      </c>
      <c r="G351" s="142">
        <f>VLOOKUP($A351,'BC.114+320'!$B$13:$X$489,9,0)/1000</f>
        <v>-0.29099999999999998</v>
      </c>
      <c r="H351" s="142">
        <f>VLOOKUP($A351,'BC.114+320'!$B$13:$X$489,14,0)/1000</f>
        <v>1.6930000000000001</v>
      </c>
      <c r="I351" s="142">
        <f>VLOOKUP($A351,'BC.114+320'!$B$13:$X$489,15,0)/1000</f>
        <v>-0.307</v>
      </c>
      <c r="J351" s="142">
        <f>VLOOKUP($A351,'BC.114+320'!$B$13:$X$489,20,0)/1000</f>
        <v>1.764</v>
      </c>
      <c r="K351" s="142">
        <f>VLOOKUP($A351,'BC.114+320'!$B$13:$X$489,21,0)/1000</f>
        <v>-0.23599999999999999</v>
      </c>
      <c r="L351" s="140">
        <f t="shared" si="20"/>
        <v>-110.99999999999999</v>
      </c>
      <c r="M351" s="141">
        <f t="shared" si="21"/>
        <v>-127</v>
      </c>
      <c r="N351" s="140">
        <f t="shared" si="22"/>
        <v>-115.99999999999999</v>
      </c>
      <c r="O351" s="140"/>
    </row>
    <row r="352" spans="1:15">
      <c r="A352" s="76">
        <f>'BC.114+320'!B351</f>
        <v>45381</v>
      </c>
      <c r="B352" s="140">
        <f t="shared" si="23"/>
        <v>338</v>
      </c>
      <c r="C352" s="142">
        <f>'BC.114+320'!M351/1000</f>
        <v>0.96599999999999997</v>
      </c>
      <c r="D352" s="142">
        <f>'BC.114+320'!AA351</f>
        <v>1.194</v>
      </c>
      <c r="E352" s="143">
        <f>'BC.114+320'!AB351</f>
        <v>1.012</v>
      </c>
      <c r="F352" s="142">
        <f>VLOOKUP($A352,'BC.114+320'!$B$13:$X$489,8,0)/1000</f>
        <v>1.7050000000000001</v>
      </c>
      <c r="G352" s="142">
        <f>VLOOKUP($A352,'BC.114+320'!$B$13:$X$489,9,0)/1000</f>
        <v>-0.29499999999999998</v>
      </c>
      <c r="H352" s="142">
        <f>VLOOKUP($A352,'BC.114+320'!$B$13:$X$489,14,0)/1000</f>
        <v>1.6859999999999999</v>
      </c>
      <c r="I352" s="142">
        <f>VLOOKUP($A352,'BC.114+320'!$B$13:$X$489,15,0)/1000</f>
        <v>-0.314</v>
      </c>
      <c r="J352" s="142">
        <f>VLOOKUP($A352,'BC.114+320'!$B$13:$X$489,20,0)/1000</f>
        <v>1.76</v>
      </c>
      <c r="K352" s="142">
        <f>VLOOKUP($A352,'BC.114+320'!$B$13:$X$489,21,0)/1000</f>
        <v>-0.24</v>
      </c>
      <c r="L352" s="140">
        <f t="shared" si="20"/>
        <v>-114.99999999999999</v>
      </c>
      <c r="M352" s="141">
        <f t="shared" si="21"/>
        <v>-134</v>
      </c>
      <c r="N352" s="140">
        <f t="shared" si="22"/>
        <v>-120</v>
      </c>
      <c r="O352" s="140"/>
    </row>
    <row r="353" spans="1:15">
      <c r="A353" s="76">
        <f>'BC.114+320'!B352</f>
        <v>45382</v>
      </c>
      <c r="B353" s="140">
        <f t="shared" si="23"/>
        <v>339</v>
      </c>
      <c r="C353" s="142">
        <f>'BC.114+320'!M352/1000</f>
        <v>0.96099999999999997</v>
      </c>
      <c r="D353" s="142">
        <f>'BC.114+320'!AA352</f>
        <v>1.194</v>
      </c>
      <c r="E353" s="143">
        <f>'BC.114+320'!AB352</f>
        <v>1.002</v>
      </c>
      <c r="F353" s="142">
        <f>VLOOKUP($A353,'BC.114+320'!$B$13:$X$489,8,0)/1000</f>
        <v>1.702</v>
      </c>
      <c r="G353" s="142">
        <f>VLOOKUP($A353,'BC.114+320'!$B$13:$X$489,9,0)/1000</f>
        <v>-0.29799999999999999</v>
      </c>
      <c r="H353" s="142">
        <f>VLOOKUP($A353,'BC.114+320'!$B$13:$X$489,14,0)/1000</f>
        <v>1.681</v>
      </c>
      <c r="I353" s="142">
        <f>VLOOKUP($A353,'BC.114+320'!$B$13:$X$489,15,0)/1000</f>
        <v>-0.31900000000000001</v>
      </c>
      <c r="J353" s="142">
        <f>VLOOKUP($A353,'BC.114+320'!$B$13:$X$489,20,0)/1000</f>
        <v>1.7569999999999999</v>
      </c>
      <c r="K353" s="142">
        <f>VLOOKUP($A353,'BC.114+320'!$B$13:$X$489,21,0)/1000</f>
        <v>-0.24299999999999999</v>
      </c>
      <c r="L353" s="140">
        <f t="shared" si="20"/>
        <v>-118</v>
      </c>
      <c r="M353" s="141">
        <f t="shared" si="21"/>
        <v>-139</v>
      </c>
      <c r="N353" s="140">
        <f t="shared" si="22"/>
        <v>-123</v>
      </c>
      <c r="O353" s="140"/>
    </row>
    <row r="354" spans="1:15">
      <c r="A354" s="76">
        <f>'BC.114+320'!B353</f>
        <v>45383</v>
      </c>
      <c r="B354" s="140">
        <f t="shared" si="23"/>
        <v>340</v>
      </c>
      <c r="C354" s="142">
        <f>'BC.114+320'!M353/1000</f>
        <v>0.95599999999999996</v>
      </c>
      <c r="D354" s="142">
        <f>'BC.114+320'!AA353</f>
        <v>1.194</v>
      </c>
      <c r="E354" s="143">
        <f>'BC.114+320'!AB353</f>
        <v>0.99199999999999999</v>
      </c>
      <c r="F354" s="142">
        <f>VLOOKUP($A354,'BC.114+320'!$B$13:$X$489,8,0)/1000</f>
        <v>1.7</v>
      </c>
      <c r="G354" s="142">
        <f>VLOOKUP($A354,'BC.114+320'!$B$13:$X$489,9,0)/1000</f>
        <v>-0.3</v>
      </c>
      <c r="H354" s="142">
        <f>VLOOKUP($A354,'BC.114+320'!$B$13:$X$489,14,0)/1000</f>
        <v>1.6759999999999999</v>
      </c>
      <c r="I354" s="142">
        <f>VLOOKUP($A354,'BC.114+320'!$B$13:$X$489,15,0)/1000</f>
        <v>-0.32400000000000001</v>
      </c>
      <c r="J354" s="142">
        <f>VLOOKUP($A354,'BC.114+320'!$B$13:$X$489,20,0)/1000</f>
        <v>1.7549999999999999</v>
      </c>
      <c r="K354" s="142">
        <f>VLOOKUP($A354,'BC.114+320'!$B$13:$X$489,21,0)/1000</f>
        <v>-0.245</v>
      </c>
      <c r="L354" s="140">
        <f t="shared" si="20"/>
        <v>-120</v>
      </c>
      <c r="M354" s="141">
        <f t="shared" si="21"/>
        <v>-144.00000000000003</v>
      </c>
      <c r="N354" s="140">
        <f t="shared" si="22"/>
        <v>-125</v>
      </c>
      <c r="O354" s="140"/>
    </row>
    <row r="355" spans="1:15">
      <c r="A355" s="76">
        <f>'BC.114+320'!B354</f>
        <v>45384</v>
      </c>
      <c r="B355" s="140">
        <f t="shared" si="23"/>
        <v>341</v>
      </c>
      <c r="C355" s="142">
        <f>'BC.114+320'!M354/1000</f>
        <v>1.252</v>
      </c>
      <c r="D355" s="142">
        <f>'BC.114+320'!AA354</f>
        <v>1.49</v>
      </c>
      <c r="E355" s="143">
        <f>'BC.114+320'!AB354</f>
        <v>1.284</v>
      </c>
      <c r="F355" s="142">
        <f>VLOOKUP($A355,'BC.114+320'!$B$13:$X$489,8,0)/1000</f>
        <v>1.696</v>
      </c>
      <c r="G355" s="142">
        <f>VLOOKUP($A355,'BC.114+320'!$B$13:$X$489,9,0)/1000</f>
        <v>-0.30399999999999999</v>
      </c>
      <c r="H355" s="142">
        <f>VLOOKUP($A355,'BC.114+320'!$B$13:$X$489,14,0)/1000</f>
        <v>1.6719999999999999</v>
      </c>
      <c r="I355" s="142">
        <f>VLOOKUP($A355,'BC.114+320'!$B$13:$X$489,15,0)/1000</f>
        <v>-0.32800000000000001</v>
      </c>
      <c r="J355" s="142">
        <f>VLOOKUP($A355,'BC.114+320'!$B$13:$X$489,20,0)/1000</f>
        <v>1.7509999999999999</v>
      </c>
      <c r="K355" s="142">
        <f>VLOOKUP($A355,'BC.114+320'!$B$13:$X$489,21,0)/1000</f>
        <v>-0.249</v>
      </c>
      <c r="L355" s="140">
        <f t="shared" si="20"/>
        <v>-124</v>
      </c>
      <c r="M355" s="141">
        <f t="shared" si="21"/>
        <v>-148.00000000000003</v>
      </c>
      <c r="N355" s="140">
        <f t="shared" si="22"/>
        <v>-129</v>
      </c>
      <c r="O355" s="140"/>
    </row>
    <row r="356" spans="1:15">
      <c r="A356" s="76">
        <f>'BC.114+320'!B355</f>
        <v>45385</v>
      </c>
      <c r="B356" s="140">
        <f t="shared" si="23"/>
        <v>342</v>
      </c>
      <c r="C356" s="142">
        <f>'BC.114+320'!M355/1000</f>
        <v>1.2490000000000001</v>
      </c>
      <c r="D356" s="142">
        <f>'BC.114+320'!AA355</f>
        <v>1.49</v>
      </c>
      <c r="E356" s="143">
        <f>'BC.114+320'!AB355</f>
        <v>1.278</v>
      </c>
      <c r="F356" s="142">
        <f>VLOOKUP($A356,'BC.114+320'!$B$13:$X$489,8,0)/1000</f>
        <v>1.6930000000000001</v>
      </c>
      <c r="G356" s="142">
        <f>VLOOKUP($A356,'BC.114+320'!$B$13:$X$489,9,0)/1000</f>
        <v>-0.307</v>
      </c>
      <c r="H356" s="142">
        <f>VLOOKUP($A356,'BC.114+320'!$B$13:$X$489,14,0)/1000</f>
        <v>1.669</v>
      </c>
      <c r="I356" s="142">
        <f>VLOOKUP($A356,'BC.114+320'!$B$13:$X$489,15,0)/1000</f>
        <v>-0.33100000000000002</v>
      </c>
      <c r="J356" s="142">
        <f>VLOOKUP($A356,'BC.114+320'!$B$13:$X$489,20,0)/1000</f>
        <v>1.748</v>
      </c>
      <c r="K356" s="142">
        <f>VLOOKUP($A356,'BC.114+320'!$B$13:$X$489,21,0)/1000</f>
        <v>-0.252</v>
      </c>
      <c r="L356" s="140">
        <f t="shared" si="20"/>
        <v>-127</v>
      </c>
      <c r="M356" s="141">
        <f t="shared" si="21"/>
        <v>-151.00000000000003</v>
      </c>
      <c r="N356" s="140">
        <f t="shared" si="22"/>
        <v>-132</v>
      </c>
      <c r="O356" s="140"/>
    </row>
    <row r="357" spans="1:15">
      <c r="A357" s="76">
        <f>'BC.114+320'!B356</f>
        <v>45386</v>
      </c>
      <c r="B357" s="140">
        <f t="shared" si="23"/>
        <v>343</v>
      </c>
      <c r="C357" s="142">
        <f>'BC.114+320'!M356/1000</f>
        <v>1.2470000000000001</v>
      </c>
      <c r="D357" s="142">
        <f>'BC.114+320'!AA356</f>
        <v>1.49</v>
      </c>
      <c r="E357" s="143">
        <f>'BC.114+320'!AB356</f>
        <v>1.274</v>
      </c>
      <c r="F357" s="142">
        <f>VLOOKUP($A357,'BC.114+320'!$B$13:$X$489,8,0)/1000</f>
        <v>1.6910000000000001</v>
      </c>
      <c r="G357" s="142">
        <f>VLOOKUP($A357,'BC.114+320'!$B$13:$X$489,9,0)/1000</f>
        <v>-0.309</v>
      </c>
      <c r="H357" s="142">
        <f>VLOOKUP($A357,'BC.114+320'!$B$13:$X$489,14,0)/1000</f>
        <v>1.667</v>
      </c>
      <c r="I357" s="142">
        <f>VLOOKUP($A357,'BC.114+320'!$B$13:$X$489,15,0)/1000</f>
        <v>-0.33300000000000002</v>
      </c>
      <c r="J357" s="142">
        <f>VLOOKUP($A357,'BC.114+320'!$B$13:$X$489,20,0)/1000</f>
        <v>1.746</v>
      </c>
      <c r="K357" s="142">
        <f>VLOOKUP($A357,'BC.114+320'!$B$13:$X$489,21,0)/1000</f>
        <v>-0.254</v>
      </c>
      <c r="L357" s="140">
        <f t="shared" si="20"/>
        <v>-129</v>
      </c>
      <c r="M357" s="141">
        <f t="shared" si="21"/>
        <v>-153.00000000000003</v>
      </c>
      <c r="N357" s="140">
        <f t="shared" si="22"/>
        <v>-134</v>
      </c>
      <c r="O357" s="140"/>
    </row>
    <row r="358" spans="1:15">
      <c r="A358" s="76">
        <f>'BC.114+320'!B357</f>
        <v>45387</v>
      </c>
      <c r="B358" s="140">
        <f t="shared" si="23"/>
        <v>344</v>
      </c>
      <c r="C358" s="142">
        <f>'BC.114+320'!M357/1000</f>
        <v>1.2430000000000001</v>
      </c>
      <c r="D358" s="142">
        <f>'BC.114+320'!AA357</f>
        <v>1.49</v>
      </c>
      <c r="E358" s="143">
        <f>'BC.114+320'!AB357</f>
        <v>1.266</v>
      </c>
      <c r="F358" s="142">
        <f>VLOOKUP($A358,'BC.114+320'!$B$13:$X$489,8,0)/1000</f>
        <v>1.6870000000000001</v>
      </c>
      <c r="G358" s="142">
        <f>VLOOKUP($A358,'BC.114+320'!$B$13:$X$489,9,0)/1000</f>
        <v>-0.313</v>
      </c>
      <c r="H358" s="142">
        <f>VLOOKUP($A358,'BC.114+320'!$B$13:$X$489,14,0)/1000</f>
        <v>1.663</v>
      </c>
      <c r="I358" s="142">
        <f>VLOOKUP($A358,'BC.114+320'!$B$13:$X$489,15,0)/1000</f>
        <v>-0.33700000000000002</v>
      </c>
      <c r="J358" s="142">
        <f>VLOOKUP($A358,'BC.114+320'!$B$13:$X$489,20,0)/1000</f>
        <v>1.742</v>
      </c>
      <c r="K358" s="142">
        <f>VLOOKUP($A358,'BC.114+320'!$B$13:$X$489,21,0)/1000</f>
        <v>-0.25800000000000001</v>
      </c>
      <c r="L358" s="140">
        <f t="shared" si="20"/>
        <v>-133</v>
      </c>
      <c r="M358" s="141">
        <f t="shared" si="21"/>
        <v>-157.00000000000003</v>
      </c>
      <c r="N358" s="140">
        <f t="shared" si="22"/>
        <v>-138</v>
      </c>
      <c r="O358" s="140"/>
    </row>
    <row r="359" spans="1:15">
      <c r="A359" s="76">
        <f>'BC.114+320'!B358</f>
        <v>45388</v>
      </c>
      <c r="B359" s="140">
        <f t="shared" si="23"/>
        <v>345</v>
      </c>
      <c r="C359" s="142">
        <f>'BC.114+320'!M358/1000</f>
        <v>1.236</v>
      </c>
      <c r="D359" s="142">
        <f>'BC.114+320'!AA358</f>
        <v>1.49</v>
      </c>
      <c r="E359" s="143">
        <f>'BC.114+320'!AB358</f>
        <v>1.252</v>
      </c>
      <c r="F359" s="142">
        <f>VLOOKUP($A359,'BC.114+320'!$B$13:$X$489,8,0)/1000</f>
        <v>1.68</v>
      </c>
      <c r="G359" s="142">
        <f>VLOOKUP($A359,'BC.114+320'!$B$13:$X$489,9,0)/1000</f>
        <v>-0.32</v>
      </c>
      <c r="H359" s="142">
        <f>VLOOKUP($A359,'BC.114+320'!$B$13:$X$489,14,0)/1000</f>
        <v>1.6559999999999999</v>
      </c>
      <c r="I359" s="142">
        <f>VLOOKUP($A359,'BC.114+320'!$B$13:$X$489,15,0)/1000</f>
        <v>-0.34399999999999997</v>
      </c>
      <c r="J359" s="142">
        <f>VLOOKUP($A359,'BC.114+320'!$B$13:$X$489,20,0)/1000</f>
        <v>1.7350000000000001</v>
      </c>
      <c r="K359" s="142">
        <f>VLOOKUP($A359,'BC.114+320'!$B$13:$X$489,21,0)/1000</f>
        <v>-0.26500000000000001</v>
      </c>
      <c r="L359" s="140">
        <f t="shared" si="20"/>
        <v>-140</v>
      </c>
      <c r="M359" s="141">
        <f t="shared" si="21"/>
        <v>-163.99999999999997</v>
      </c>
      <c r="N359" s="140">
        <f t="shared" si="22"/>
        <v>-145.00000000000003</v>
      </c>
      <c r="O359" s="140"/>
    </row>
    <row r="360" spans="1:15">
      <c r="A360" s="76">
        <f>'BC.114+320'!B359</f>
        <v>45389</v>
      </c>
      <c r="B360" s="140">
        <f t="shared" si="23"/>
        <v>346</v>
      </c>
      <c r="C360" s="142">
        <f>'BC.114+320'!M359/1000</f>
        <v>1.5309999999999999</v>
      </c>
      <c r="D360" s="142">
        <f>'BC.114+320'!AA359</f>
        <v>1.7849999999999999</v>
      </c>
      <c r="E360" s="143">
        <f>'BC.114+320'!AB359</f>
        <v>1.542</v>
      </c>
      <c r="F360" s="142">
        <f>VLOOKUP($A360,'BC.114+320'!$B$13:$X$489,8,0)/1000</f>
        <v>1.675</v>
      </c>
      <c r="G360" s="142">
        <f>VLOOKUP($A360,'BC.114+320'!$B$13:$X$489,9,0)/1000</f>
        <v>-0.32500000000000001</v>
      </c>
      <c r="H360" s="142">
        <f>VLOOKUP($A360,'BC.114+320'!$B$13:$X$489,14,0)/1000</f>
        <v>1.651</v>
      </c>
      <c r="I360" s="142">
        <f>VLOOKUP($A360,'BC.114+320'!$B$13:$X$489,15,0)/1000</f>
        <v>-0.34899999999999998</v>
      </c>
      <c r="J360" s="142">
        <f>VLOOKUP($A360,'BC.114+320'!$B$13:$X$489,20,0)/1000</f>
        <v>1.73</v>
      </c>
      <c r="K360" s="142">
        <f>VLOOKUP($A360,'BC.114+320'!$B$13:$X$489,21,0)/1000</f>
        <v>-0.27</v>
      </c>
      <c r="L360" s="140">
        <f t="shared" si="20"/>
        <v>-145.00000000000003</v>
      </c>
      <c r="M360" s="141">
        <f t="shared" si="21"/>
        <v>-168.99999999999997</v>
      </c>
      <c r="N360" s="140">
        <f t="shared" si="22"/>
        <v>-150.00000000000003</v>
      </c>
      <c r="O360" s="140"/>
    </row>
    <row r="361" spans="1:15">
      <c r="A361" s="76">
        <f>'BC.114+320'!B360</f>
        <v>45390</v>
      </c>
      <c r="B361" s="140">
        <f t="shared" si="23"/>
        <v>347</v>
      </c>
      <c r="C361" s="142">
        <f>'BC.114+320'!M360/1000</f>
        <v>1.526</v>
      </c>
      <c r="D361" s="142">
        <f>'BC.114+320'!AA360</f>
        <v>1.7849999999999999</v>
      </c>
      <c r="E361" s="143">
        <f>'BC.114+320'!AB360</f>
        <v>1.532</v>
      </c>
      <c r="F361" s="142">
        <f>VLOOKUP($A361,'BC.114+320'!$B$13:$X$489,8,0)/1000</f>
        <v>1.67</v>
      </c>
      <c r="G361" s="142">
        <f>VLOOKUP($A361,'BC.114+320'!$B$13:$X$489,9,0)/1000</f>
        <v>-0.33</v>
      </c>
      <c r="H361" s="142">
        <f>VLOOKUP($A361,'BC.114+320'!$B$13:$X$489,14,0)/1000</f>
        <v>1.6459999999999999</v>
      </c>
      <c r="I361" s="142">
        <f>VLOOKUP($A361,'BC.114+320'!$B$13:$X$489,15,0)/1000</f>
        <v>-0.35399999999999998</v>
      </c>
      <c r="J361" s="142">
        <f>VLOOKUP($A361,'BC.114+320'!$B$13:$X$489,20,0)/1000</f>
        <v>1.7250000000000001</v>
      </c>
      <c r="K361" s="142">
        <f>VLOOKUP($A361,'BC.114+320'!$B$13:$X$489,21,0)/1000</f>
        <v>-0.27500000000000002</v>
      </c>
      <c r="L361" s="140">
        <f t="shared" si="20"/>
        <v>-150.00000000000003</v>
      </c>
      <c r="M361" s="141">
        <f t="shared" si="21"/>
        <v>-174</v>
      </c>
      <c r="N361" s="140">
        <f t="shared" si="22"/>
        <v>-155.00000000000003</v>
      </c>
      <c r="O361" s="140"/>
    </row>
    <row r="362" spans="1:15">
      <c r="A362" s="76">
        <f>'BC.114+320'!B361</f>
        <v>45391</v>
      </c>
      <c r="B362" s="140">
        <f t="shared" si="23"/>
        <v>348</v>
      </c>
      <c r="C362" s="142">
        <f>'BC.114+320'!M361/1000</f>
        <v>1.522</v>
      </c>
      <c r="D362" s="142">
        <f>'BC.114+320'!AA361</f>
        <v>1.7849999999999999</v>
      </c>
      <c r="E362" s="143">
        <f>'BC.114+320'!AB361</f>
        <v>1.524</v>
      </c>
      <c r="F362" s="142">
        <f>VLOOKUP($A362,'BC.114+320'!$B$13:$X$489,8,0)/1000</f>
        <v>1.6659999999999999</v>
      </c>
      <c r="G362" s="142">
        <f>VLOOKUP($A362,'BC.114+320'!$B$13:$X$489,9,0)/1000</f>
        <v>-0.33400000000000002</v>
      </c>
      <c r="H362" s="142">
        <f>VLOOKUP($A362,'BC.114+320'!$B$13:$X$489,14,0)/1000</f>
        <v>1.6419999999999999</v>
      </c>
      <c r="I362" s="142">
        <f>VLOOKUP($A362,'BC.114+320'!$B$13:$X$489,15,0)/1000</f>
        <v>-0.35799999999999998</v>
      </c>
      <c r="J362" s="142">
        <f>VLOOKUP($A362,'BC.114+320'!$B$13:$X$489,20,0)/1000</f>
        <v>1.7210000000000001</v>
      </c>
      <c r="K362" s="142">
        <f>VLOOKUP($A362,'BC.114+320'!$B$13:$X$489,21,0)/1000</f>
        <v>-0.27900000000000003</v>
      </c>
      <c r="L362" s="140">
        <f t="shared" si="20"/>
        <v>-154.00000000000003</v>
      </c>
      <c r="M362" s="141">
        <f t="shared" si="21"/>
        <v>-178</v>
      </c>
      <c r="N362" s="140">
        <f t="shared" si="22"/>
        <v>-159.00000000000003</v>
      </c>
      <c r="O362" s="140"/>
    </row>
    <row r="363" spans="1:15">
      <c r="A363" s="76">
        <f>'BC.114+320'!B362</f>
        <v>45392</v>
      </c>
      <c r="B363" s="140">
        <f t="shared" si="23"/>
        <v>349</v>
      </c>
      <c r="C363" s="142">
        <f>'BC.114+320'!M362/1000</f>
        <v>1.5189999999999999</v>
      </c>
      <c r="D363" s="142">
        <f>'BC.114+320'!AA362</f>
        <v>1.7849999999999999</v>
      </c>
      <c r="E363" s="143">
        <f>'BC.114+320'!AB362</f>
        <v>1.518</v>
      </c>
      <c r="F363" s="142">
        <f>VLOOKUP($A363,'BC.114+320'!$B$13:$X$489,8,0)/1000</f>
        <v>2.6629999999999998</v>
      </c>
      <c r="G363" s="142">
        <f>VLOOKUP($A363,'BC.114+320'!$B$13:$X$489,9,0)/1000</f>
        <v>-0.33700000000000002</v>
      </c>
      <c r="H363" s="142">
        <f>VLOOKUP($A363,'BC.114+320'!$B$13:$X$489,14,0)/1000</f>
        <v>2.6389999999999998</v>
      </c>
      <c r="I363" s="142">
        <f>VLOOKUP($A363,'BC.114+320'!$B$13:$X$489,15,0)/1000</f>
        <v>-0.36099999999999999</v>
      </c>
      <c r="J363" s="142">
        <f>VLOOKUP($A363,'BC.114+320'!$B$13:$X$489,20,0)/1000</f>
        <v>2.718</v>
      </c>
      <c r="K363" s="142">
        <f>VLOOKUP($A363,'BC.114+320'!$B$13:$X$489,21,0)/1000</f>
        <v>-0.28199999999999997</v>
      </c>
      <c r="L363" s="140">
        <f t="shared" si="20"/>
        <v>-157.00000000000003</v>
      </c>
      <c r="M363" s="141">
        <f t="shared" si="21"/>
        <v>-181</v>
      </c>
      <c r="N363" s="140">
        <f t="shared" si="22"/>
        <v>-161.99999999999997</v>
      </c>
      <c r="O363" s="140"/>
    </row>
    <row r="364" spans="1:15">
      <c r="A364" s="76">
        <f>'BC.114+320'!B363</f>
        <v>45393</v>
      </c>
      <c r="B364" s="140">
        <f t="shared" si="23"/>
        <v>350</v>
      </c>
      <c r="C364" s="142">
        <f>'BC.114+320'!M363/1000</f>
        <v>1.8169999999999999</v>
      </c>
      <c r="D364" s="142">
        <f>'BC.114+320'!AA363</f>
        <v>2.077</v>
      </c>
      <c r="E364" s="143">
        <f>'BC.114+320'!AB363</f>
        <v>1.8140000000000001</v>
      </c>
      <c r="F364" s="142">
        <f>VLOOKUP($A364,'BC.114+320'!$B$13:$X$489,8,0)/1000</f>
        <v>2.661</v>
      </c>
      <c r="G364" s="142">
        <f>VLOOKUP($A364,'BC.114+320'!$B$13:$X$489,9,0)/1000</f>
        <v>-0.33900000000000002</v>
      </c>
      <c r="H364" s="142">
        <f>VLOOKUP($A364,'BC.114+320'!$B$13:$X$489,14,0)/1000</f>
        <v>2.637</v>
      </c>
      <c r="I364" s="142">
        <f>VLOOKUP($A364,'BC.114+320'!$B$13:$X$489,15,0)/1000</f>
        <v>-0.36299999999999999</v>
      </c>
      <c r="J364" s="142">
        <f>VLOOKUP($A364,'BC.114+320'!$B$13:$X$489,20,0)/1000</f>
        <v>2.71</v>
      </c>
      <c r="K364" s="142">
        <f>VLOOKUP($A364,'BC.114+320'!$B$13:$X$489,21,0)/1000</f>
        <v>-0.28999999999999998</v>
      </c>
      <c r="L364" s="140">
        <f t="shared" si="20"/>
        <v>-159.00000000000003</v>
      </c>
      <c r="M364" s="141">
        <f t="shared" si="21"/>
        <v>-183</v>
      </c>
      <c r="N364" s="140">
        <f t="shared" si="22"/>
        <v>-169.99999999999997</v>
      </c>
      <c r="O364" s="140"/>
    </row>
    <row r="365" spans="1:15">
      <c r="A365" s="76">
        <f>'BC.114+320'!B364</f>
        <v>45394</v>
      </c>
      <c r="B365" s="140">
        <f t="shared" si="23"/>
        <v>351</v>
      </c>
      <c r="C365" s="142">
        <f>'BC.114+320'!M364/1000</f>
        <v>1.8129999999999999</v>
      </c>
      <c r="D365" s="142">
        <f>'BC.114+320'!AA364</f>
        <v>2.077</v>
      </c>
      <c r="E365" s="143">
        <f>'BC.114+320'!AB364</f>
        <v>1.806</v>
      </c>
      <c r="F365" s="142">
        <f>VLOOKUP($A365,'BC.114+320'!$B$13:$X$489,8,0)/1000</f>
        <v>2.657</v>
      </c>
      <c r="G365" s="142">
        <f>VLOOKUP($A365,'BC.114+320'!$B$13:$X$489,9,0)/1000</f>
        <v>-0.34300000000000003</v>
      </c>
      <c r="H365" s="142">
        <f>VLOOKUP($A365,'BC.114+320'!$B$13:$X$489,14,0)/1000</f>
        <v>2.633</v>
      </c>
      <c r="I365" s="142">
        <f>VLOOKUP($A365,'BC.114+320'!$B$13:$X$489,15,0)/1000</f>
        <v>-0.36699999999999999</v>
      </c>
      <c r="J365" s="142">
        <f>VLOOKUP($A365,'BC.114+320'!$B$13:$X$489,20,0)/1000</f>
        <v>2.706</v>
      </c>
      <c r="K365" s="142">
        <f>VLOOKUP($A365,'BC.114+320'!$B$13:$X$489,21,0)/1000</f>
        <v>-0.29399999999999998</v>
      </c>
      <c r="L365" s="140">
        <f t="shared" si="20"/>
        <v>-163.00000000000003</v>
      </c>
      <c r="M365" s="141">
        <f t="shared" si="21"/>
        <v>-187</v>
      </c>
      <c r="N365" s="140">
        <f t="shared" si="22"/>
        <v>-174</v>
      </c>
      <c r="O365" s="140"/>
    </row>
    <row r="366" spans="1:15">
      <c r="A366" s="76">
        <f>'BC.114+320'!B365</f>
        <v>45395</v>
      </c>
      <c r="B366" s="140">
        <f t="shared" si="23"/>
        <v>352</v>
      </c>
      <c r="C366" s="142">
        <f>'BC.114+320'!M365/1000</f>
        <v>1.81</v>
      </c>
      <c r="D366" s="142">
        <f>'BC.114+320'!AA365</f>
        <v>2.077</v>
      </c>
      <c r="E366" s="143">
        <f>'BC.114+320'!AB365</f>
        <v>1.8</v>
      </c>
      <c r="F366" s="142">
        <f>VLOOKUP($A366,'BC.114+320'!$B$13:$X$489,8,0)/1000</f>
        <v>2.6539999999999999</v>
      </c>
      <c r="G366" s="142">
        <f>VLOOKUP($A366,'BC.114+320'!$B$13:$X$489,9,0)/1000</f>
        <v>-0.34599999999999997</v>
      </c>
      <c r="H366" s="142">
        <f>VLOOKUP($A366,'BC.114+320'!$B$13:$X$489,14,0)/1000</f>
        <v>2.63</v>
      </c>
      <c r="I366" s="142">
        <f>VLOOKUP($A366,'BC.114+320'!$B$13:$X$489,15,0)/1000</f>
        <v>-0.37</v>
      </c>
      <c r="J366" s="142">
        <f>VLOOKUP($A366,'BC.114+320'!$B$13:$X$489,20,0)/1000</f>
        <v>2.7029999999999998</v>
      </c>
      <c r="K366" s="142">
        <f>VLOOKUP($A366,'BC.114+320'!$B$13:$X$489,21,0)/1000</f>
        <v>-0.29699999999999999</v>
      </c>
      <c r="L366" s="140">
        <f t="shared" si="20"/>
        <v>-165.99999999999997</v>
      </c>
      <c r="M366" s="141">
        <f t="shared" si="21"/>
        <v>-190</v>
      </c>
      <c r="N366" s="140">
        <f t="shared" si="22"/>
        <v>-177</v>
      </c>
      <c r="O366" s="140"/>
    </row>
    <row r="367" spans="1:15">
      <c r="A367" s="76">
        <f>'BC.114+320'!B366</f>
        <v>45396</v>
      </c>
      <c r="B367" s="140">
        <f t="shared" si="23"/>
        <v>353</v>
      </c>
      <c r="C367" s="142">
        <f>'BC.114+320'!M366/1000</f>
        <v>1.806</v>
      </c>
      <c r="D367" s="142">
        <f>'BC.114+320'!AA366</f>
        <v>2.077</v>
      </c>
      <c r="E367" s="143">
        <f>'BC.114+320'!AB366</f>
        <v>1.792</v>
      </c>
      <c r="F367" s="142">
        <f>VLOOKUP($A367,'BC.114+320'!$B$13:$X$489,8,0)/1000</f>
        <v>2.65</v>
      </c>
      <c r="G367" s="142">
        <f>VLOOKUP($A367,'BC.114+320'!$B$13:$X$489,9,0)/1000</f>
        <v>-0.35</v>
      </c>
      <c r="H367" s="142">
        <f>VLOOKUP($A367,'BC.114+320'!$B$13:$X$489,14,0)/1000</f>
        <v>2.6259999999999999</v>
      </c>
      <c r="I367" s="142">
        <f>VLOOKUP($A367,'BC.114+320'!$B$13:$X$489,15,0)/1000</f>
        <v>-0.374</v>
      </c>
      <c r="J367" s="142">
        <f>VLOOKUP($A367,'BC.114+320'!$B$13:$X$489,20,0)/1000</f>
        <v>2.6989999999999998</v>
      </c>
      <c r="K367" s="142">
        <f>VLOOKUP($A367,'BC.114+320'!$B$13:$X$489,21,0)/1000</f>
        <v>-0.30099999999999999</v>
      </c>
      <c r="L367" s="140">
        <f t="shared" si="20"/>
        <v>-169.99999999999997</v>
      </c>
      <c r="M367" s="141">
        <f t="shared" si="21"/>
        <v>-194</v>
      </c>
      <c r="N367" s="140">
        <f t="shared" si="22"/>
        <v>-181</v>
      </c>
      <c r="O367" s="140"/>
    </row>
    <row r="368" spans="1:15">
      <c r="A368" s="76">
        <f>'BC.114+320'!B367</f>
        <v>45397</v>
      </c>
      <c r="B368" s="140">
        <f t="shared" si="23"/>
        <v>354</v>
      </c>
      <c r="C368" s="142">
        <f>'BC.114+320'!M367/1000</f>
        <v>1.8029999999999999</v>
      </c>
      <c r="D368" s="142">
        <f>'BC.114+320'!AA367</f>
        <v>2.077</v>
      </c>
      <c r="E368" s="143">
        <f>'BC.114+320'!AB367</f>
        <v>1.786</v>
      </c>
      <c r="F368" s="142">
        <f>VLOOKUP($A368,'BC.114+320'!$B$13:$X$489,8,0)/1000</f>
        <v>2.6429999999999998</v>
      </c>
      <c r="G368" s="142">
        <f>VLOOKUP($A368,'BC.114+320'!$B$13:$X$489,9,0)/1000</f>
        <v>-0.35699999999999998</v>
      </c>
      <c r="H368" s="142">
        <f>VLOOKUP($A368,'BC.114+320'!$B$13:$X$489,14,0)/1000</f>
        <v>2.6230000000000002</v>
      </c>
      <c r="I368" s="142">
        <f>VLOOKUP($A368,'BC.114+320'!$B$13:$X$489,15,0)/1000</f>
        <v>-0.377</v>
      </c>
      <c r="J368" s="142">
        <f>VLOOKUP($A368,'BC.114+320'!$B$13:$X$489,20,0)/1000</f>
        <v>2.6920000000000002</v>
      </c>
      <c r="K368" s="142">
        <f>VLOOKUP($A368,'BC.114+320'!$B$13:$X$489,21,0)/1000</f>
        <v>-0.308</v>
      </c>
      <c r="L368" s="140">
        <f t="shared" si="20"/>
        <v>-177</v>
      </c>
      <c r="M368" s="141">
        <f t="shared" si="21"/>
        <v>-197</v>
      </c>
      <c r="N368" s="140">
        <f t="shared" si="22"/>
        <v>-188</v>
      </c>
      <c r="O368" s="140"/>
    </row>
    <row r="369" spans="1:15">
      <c r="A369" s="76">
        <f>'BC.114+320'!B368</f>
        <v>45398</v>
      </c>
      <c r="B369" s="140">
        <f t="shared" si="23"/>
        <v>355</v>
      </c>
      <c r="C369" s="142">
        <f>'BC.114+320'!M368/1000</f>
        <v>2.101</v>
      </c>
      <c r="D369" s="142">
        <f>'BC.114+320'!AA368</f>
        <v>2.3689999999999998</v>
      </c>
      <c r="E369" s="143">
        <f>'BC.114+320'!AB368</f>
        <v>2.0819999999999999</v>
      </c>
      <c r="F369" s="142">
        <f>VLOOKUP($A369,'BC.114+320'!$B$13:$X$489,8,0)/1000</f>
        <v>2.6379999999999999</v>
      </c>
      <c r="G369" s="142">
        <f>VLOOKUP($A369,'BC.114+320'!$B$13:$X$489,9,0)/1000</f>
        <v>-0.36199999999999999</v>
      </c>
      <c r="H369" s="142">
        <f>VLOOKUP($A369,'BC.114+320'!$B$13:$X$489,14,0)/1000</f>
        <v>2.621</v>
      </c>
      <c r="I369" s="142">
        <f>VLOOKUP($A369,'BC.114+320'!$B$13:$X$489,15,0)/1000</f>
        <v>-0.379</v>
      </c>
      <c r="J369" s="142">
        <f>VLOOKUP($A369,'BC.114+320'!$B$13:$X$489,20,0)/1000</f>
        <v>2.6840000000000002</v>
      </c>
      <c r="K369" s="142">
        <f>VLOOKUP($A369,'BC.114+320'!$B$13:$X$489,21,0)/1000</f>
        <v>-0.316</v>
      </c>
      <c r="L369" s="140">
        <f t="shared" si="20"/>
        <v>-182</v>
      </c>
      <c r="M369" s="141">
        <f t="shared" si="21"/>
        <v>-199</v>
      </c>
      <c r="N369" s="140">
        <f t="shared" si="22"/>
        <v>-196</v>
      </c>
      <c r="O369" s="140"/>
    </row>
    <row r="370" spans="1:15">
      <c r="A370" s="76">
        <f>'BC.114+320'!B369</f>
        <v>45399</v>
      </c>
      <c r="B370" s="140">
        <f t="shared" si="23"/>
        <v>356</v>
      </c>
      <c r="C370" s="142">
        <f>'BC.114+320'!M369/1000</f>
        <v>2.097</v>
      </c>
      <c r="D370" s="142">
        <f>'BC.114+320'!AA369</f>
        <v>2.3689999999999998</v>
      </c>
      <c r="E370" s="143">
        <f>'BC.114+320'!AB369</f>
        <v>2.0739999999999998</v>
      </c>
      <c r="F370" s="142">
        <f>VLOOKUP($A370,'BC.114+320'!$B$13:$X$489,8,0)/1000</f>
        <v>2.633</v>
      </c>
      <c r="G370" s="142">
        <f>VLOOKUP($A370,'BC.114+320'!$B$13:$X$489,9,0)/1000</f>
        <v>-0.36699999999999999</v>
      </c>
      <c r="H370" s="142">
        <f>VLOOKUP($A370,'BC.114+320'!$B$13:$X$489,14,0)/1000</f>
        <v>2.617</v>
      </c>
      <c r="I370" s="142">
        <f>VLOOKUP($A370,'BC.114+320'!$B$13:$X$489,15,0)/1000</f>
        <v>-0.38300000000000001</v>
      </c>
      <c r="J370" s="142">
        <f>VLOOKUP($A370,'BC.114+320'!$B$13:$X$489,20,0)/1000</f>
        <v>2.6789999999999998</v>
      </c>
      <c r="K370" s="142">
        <f>VLOOKUP($A370,'BC.114+320'!$B$13:$X$489,21,0)/1000</f>
        <v>-0.32100000000000001</v>
      </c>
      <c r="L370" s="140">
        <f t="shared" si="20"/>
        <v>-187</v>
      </c>
      <c r="M370" s="141">
        <f t="shared" si="21"/>
        <v>-203</v>
      </c>
      <c r="N370" s="140">
        <f t="shared" si="22"/>
        <v>-201</v>
      </c>
      <c r="O370" s="140"/>
    </row>
    <row r="371" spans="1:15">
      <c r="A371" s="76">
        <f>'BC.114+320'!B370</f>
        <v>45400</v>
      </c>
      <c r="B371" s="140">
        <f t="shared" si="23"/>
        <v>357</v>
      </c>
      <c r="C371" s="142">
        <f>'BC.114+320'!M370/1000</f>
        <v>2.09</v>
      </c>
      <c r="D371" s="142">
        <f>'BC.114+320'!AA370</f>
        <v>2.3689999999999998</v>
      </c>
      <c r="E371" s="143">
        <f>'BC.114+320'!AB370</f>
        <v>2.06</v>
      </c>
      <c r="F371" s="142">
        <f>VLOOKUP($A371,'BC.114+320'!$B$13:$X$489,8,0)/1000</f>
        <v>2.629</v>
      </c>
      <c r="G371" s="142">
        <f>VLOOKUP($A371,'BC.114+320'!$B$13:$X$489,9,0)/1000</f>
        <v>-0.371</v>
      </c>
      <c r="H371" s="142">
        <f>VLOOKUP($A371,'BC.114+320'!$B$13:$X$489,14,0)/1000</f>
        <v>2.61</v>
      </c>
      <c r="I371" s="142">
        <f>VLOOKUP($A371,'BC.114+320'!$B$13:$X$489,15,0)/1000</f>
        <v>-0.39</v>
      </c>
      <c r="J371" s="142">
        <f>VLOOKUP($A371,'BC.114+320'!$B$13:$X$489,20,0)/1000</f>
        <v>2.6749999999999998</v>
      </c>
      <c r="K371" s="142">
        <f>VLOOKUP($A371,'BC.114+320'!$B$13:$X$489,21,0)/1000</f>
        <v>-0.32500000000000001</v>
      </c>
      <c r="L371" s="140">
        <f t="shared" si="20"/>
        <v>-191</v>
      </c>
      <c r="M371" s="141">
        <f t="shared" si="21"/>
        <v>-210.00000000000003</v>
      </c>
      <c r="N371" s="140">
        <f t="shared" si="22"/>
        <v>-205.00000000000003</v>
      </c>
      <c r="O371" s="140"/>
    </row>
    <row r="372" spans="1:15">
      <c r="A372" s="76">
        <f>'BC.114+320'!B371</f>
        <v>45401</v>
      </c>
      <c r="B372" s="140">
        <f t="shared" si="23"/>
        <v>358</v>
      </c>
      <c r="C372" s="142">
        <f>'BC.114+320'!M371/1000</f>
        <v>2.085</v>
      </c>
      <c r="D372" s="142">
        <f>'BC.114+320'!AA371</f>
        <v>2.3689999999999998</v>
      </c>
      <c r="E372" s="143">
        <f>'BC.114+320'!AB371</f>
        <v>2.0499999999999998</v>
      </c>
      <c r="F372" s="142">
        <f>VLOOKUP($A372,'BC.114+320'!$B$13:$X$489,8,0)/1000</f>
        <v>2.6259999999999999</v>
      </c>
      <c r="G372" s="142">
        <f>VLOOKUP($A372,'BC.114+320'!$B$13:$X$489,9,0)/1000</f>
        <v>-0.374</v>
      </c>
      <c r="H372" s="142">
        <f>VLOOKUP($A372,'BC.114+320'!$B$13:$X$489,14,0)/1000</f>
        <v>2.605</v>
      </c>
      <c r="I372" s="142">
        <f>VLOOKUP($A372,'BC.114+320'!$B$13:$X$489,15,0)/1000</f>
        <v>-0.39500000000000002</v>
      </c>
      <c r="J372" s="142">
        <f>VLOOKUP($A372,'BC.114+320'!$B$13:$X$489,20,0)/1000</f>
        <v>2.6720000000000002</v>
      </c>
      <c r="K372" s="142">
        <f>VLOOKUP($A372,'BC.114+320'!$B$13:$X$489,21,0)/1000</f>
        <v>-0.32800000000000001</v>
      </c>
      <c r="L372" s="140">
        <f t="shared" si="20"/>
        <v>-194</v>
      </c>
      <c r="M372" s="141">
        <f t="shared" si="21"/>
        <v>-215.00000000000003</v>
      </c>
      <c r="N372" s="140">
        <f t="shared" si="22"/>
        <v>-208.00000000000003</v>
      </c>
      <c r="O372" s="140"/>
    </row>
    <row r="373" spans="1:15">
      <c r="A373" s="76">
        <f>'BC.114+320'!B372</f>
        <v>45402</v>
      </c>
      <c r="B373" s="140">
        <f t="shared" si="23"/>
        <v>359</v>
      </c>
      <c r="C373" s="142">
        <f>'BC.114+320'!M372/1000</f>
        <v>2.08</v>
      </c>
      <c r="D373" s="142">
        <f>'BC.114+320'!AA372</f>
        <v>2.3689999999999998</v>
      </c>
      <c r="E373" s="143">
        <f>'BC.114+320'!AB372</f>
        <v>2.04</v>
      </c>
      <c r="F373" s="142">
        <f>VLOOKUP($A373,'BC.114+320'!$B$13:$X$489,8,0)/1000</f>
        <v>2.6240000000000001</v>
      </c>
      <c r="G373" s="142">
        <f>VLOOKUP($A373,'BC.114+320'!$B$13:$X$489,9,0)/1000</f>
        <v>-0.376</v>
      </c>
      <c r="H373" s="142">
        <f>VLOOKUP($A373,'BC.114+320'!$B$13:$X$489,14,0)/1000</f>
        <v>2.6</v>
      </c>
      <c r="I373" s="142">
        <f>VLOOKUP($A373,'BC.114+320'!$B$13:$X$489,15,0)/1000</f>
        <v>-0.4</v>
      </c>
      <c r="J373" s="142">
        <f>VLOOKUP($A373,'BC.114+320'!$B$13:$X$489,20,0)/1000</f>
        <v>2.67</v>
      </c>
      <c r="K373" s="142">
        <f>VLOOKUP($A373,'BC.114+320'!$B$13:$X$489,21,0)/1000</f>
        <v>-0.33</v>
      </c>
      <c r="L373" s="140">
        <f t="shared" si="20"/>
        <v>-196</v>
      </c>
      <c r="M373" s="141">
        <f t="shared" si="21"/>
        <v>-220.00000000000003</v>
      </c>
      <c r="N373" s="140">
        <f t="shared" si="22"/>
        <v>-210.00000000000003</v>
      </c>
      <c r="O373" s="140"/>
    </row>
    <row r="374" spans="1:15">
      <c r="A374" s="76">
        <f>'BC.114+320'!B373</f>
        <v>45403</v>
      </c>
      <c r="B374" s="140">
        <f t="shared" si="23"/>
        <v>360</v>
      </c>
      <c r="C374" s="142">
        <f>'BC.114+320'!M373/1000</f>
        <v>2.0760000000000001</v>
      </c>
      <c r="D374" s="142">
        <f>'BC.114+320'!AA373</f>
        <v>2.3689999999999998</v>
      </c>
      <c r="E374" s="143">
        <f>'BC.114+320'!AB373</f>
        <v>2.032</v>
      </c>
      <c r="F374" s="142">
        <f>VLOOKUP($A374,'BC.114+320'!$B$13:$X$489,8,0)/1000</f>
        <v>2.62</v>
      </c>
      <c r="G374" s="142">
        <f>VLOOKUP($A374,'BC.114+320'!$B$13:$X$489,9,0)/1000</f>
        <v>-0.38</v>
      </c>
      <c r="H374" s="142">
        <f>VLOOKUP($A374,'BC.114+320'!$B$13:$X$489,14,0)/1000</f>
        <v>2.5960000000000001</v>
      </c>
      <c r="I374" s="142">
        <f>VLOOKUP($A374,'BC.114+320'!$B$13:$X$489,15,0)/1000</f>
        <v>-0.40400000000000003</v>
      </c>
      <c r="J374" s="142">
        <f>VLOOKUP($A374,'BC.114+320'!$B$13:$X$489,20,0)/1000</f>
        <v>2.669</v>
      </c>
      <c r="K374" s="142">
        <f>VLOOKUP($A374,'BC.114+320'!$B$13:$X$489,21,0)/1000</f>
        <v>-0.33100000000000002</v>
      </c>
      <c r="L374" s="140">
        <f t="shared" si="20"/>
        <v>-200</v>
      </c>
      <c r="M374" s="141">
        <f t="shared" si="21"/>
        <v>-224.00000000000003</v>
      </c>
      <c r="N374" s="140">
        <f t="shared" si="22"/>
        <v>-211.00000000000003</v>
      </c>
      <c r="O374" s="140"/>
    </row>
    <row r="375" spans="1:15">
      <c r="A375" s="76">
        <f>'BC.114+320'!B374</f>
        <v>45404</v>
      </c>
      <c r="B375" s="140">
        <f t="shared" si="23"/>
        <v>361</v>
      </c>
      <c r="C375" s="142">
        <f>'BC.114+320'!M374/1000</f>
        <v>2.073</v>
      </c>
      <c r="D375" s="142">
        <f>'BC.114+320'!AA374</f>
        <v>2.3689999999999998</v>
      </c>
      <c r="E375" s="143">
        <f>'BC.114+320'!AB374</f>
        <v>2.0259999999999998</v>
      </c>
      <c r="F375" s="142">
        <f>VLOOKUP($A375,'BC.114+320'!$B$13:$X$489,8,0)/1000</f>
        <v>2.617</v>
      </c>
      <c r="G375" s="142">
        <f>VLOOKUP($A375,'BC.114+320'!$B$13:$X$489,9,0)/1000</f>
        <v>-0.38300000000000001</v>
      </c>
      <c r="H375" s="142">
        <f>VLOOKUP($A375,'BC.114+320'!$B$13:$X$489,14,0)/1000</f>
        <v>2.593</v>
      </c>
      <c r="I375" s="142">
        <f>VLOOKUP($A375,'BC.114+320'!$B$13:$X$489,15,0)/1000</f>
        <v>-0.40699999999999997</v>
      </c>
      <c r="J375" s="142">
        <f>VLOOKUP($A375,'BC.114+320'!$B$13:$X$489,20,0)/1000</f>
        <v>2.6680000000000001</v>
      </c>
      <c r="K375" s="142">
        <f>VLOOKUP($A375,'BC.114+320'!$B$13:$X$489,21,0)/1000</f>
        <v>-0.33200000000000002</v>
      </c>
      <c r="L375" s="140">
        <f t="shared" si="20"/>
        <v>-203</v>
      </c>
      <c r="M375" s="141">
        <f t="shared" si="21"/>
        <v>-226.99999999999997</v>
      </c>
      <c r="N375" s="140">
        <f t="shared" si="22"/>
        <v>-212.00000000000003</v>
      </c>
      <c r="O375" s="140"/>
    </row>
    <row r="376" spans="1:15">
      <c r="A376" s="76">
        <f>'BC.114+320'!B375</f>
        <v>45405</v>
      </c>
      <c r="B376" s="140">
        <f t="shared" si="23"/>
        <v>362</v>
      </c>
      <c r="C376" s="142">
        <f>'BC.114+320'!M375/1000</f>
        <v>2.0710000000000002</v>
      </c>
      <c r="D376" s="142">
        <f>'BC.114+320'!AA375</f>
        <v>2.3689999999999998</v>
      </c>
      <c r="E376" s="143">
        <f>'BC.114+320'!AB375</f>
        <v>2.0219999999999998</v>
      </c>
      <c r="F376" s="142">
        <f>VLOOKUP($A376,'BC.114+320'!$B$13:$X$489,8,0)/1000</f>
        <v>2.6150000000000002</v>
      </c>
      <c r="G376" s="142">
        <f>VLOOKUP($A376,'BC.114+320'!$B$13:$X$489,9,0)/1000</f>
        <v>-0.38500000000000001</v>
      </c>
      <c r="H376" s="142">
        <f>VLOOKUP($A376,'BC.114+320'!$B$13:$X$489,14,0)/1000</f>
        <v>2.5910000000000002</v>
      </c>
      <c r="I376" s="142">
        <f>VLOOKUP($A376,'BC.114+320'!$B$13:$X$489,15,0)/1000</f>
        <v>-0.40899999999999997</v>
      </c>
      <c r="J376" s="142">
        <f>VLOOKUP($A376,'BC.114+320'!$B$13:$X$489,20,0)/1000</f>
        <v>2.6669999999999998</v>
      </c>
      <c r="K376" s="142">
        <f>VLOOKUP($A376,'BC.114+320'!$B$13:$X$489,21,0)/1000</f>
        <v>-0.33300000000000002</v>
      </c>
      <c r="L376" s="140">
        <f t="shared" si="20"/>
        <v>-205.00000000000003</v>
      </c>
      <c r="M376" s="141">
        <f t="shared" si="21"/>
        <v>-228.99999999999997</v>
      </c>
      <c r="N376" s="140">
        <f t="shared" si="22"/>
        <v>-213.00000000000003</v>
      </c>
      <c r="O376" s="140"/>
    </row>
    <row r="377" spans="1:15">
      <c r="A377" s="76">
        <f>'BC.114+320'!B376</f>
        <v>45406</v>
      </c>
      <c r="B377" s="140">
        <f t="shared" si="23"/>
        <v>363</v>
      </c>
      <c r="C377" s="142">
        <f>'BC.114+320'!M376/1000</f>
        <v>2.0680000000000001</v>
      </c>
      <c r="D377" s="142">
        <f>'BC.114+320'!AA376</f>
        <v>2.3689999999999998</v>
      </c>
      <c r="E377" s="143">
        <f>'BC.114+320'!AB376</f>
        <v>2.016</v>
      </c>
      <c r="F377" s="142">
        <f>VLOOKUP($A377,'BC.114+320'!$B$13:$X$489,8,0)/1000</f>
        <v>2.6120000000000001</v>
      </c>
      <c r="G377" s="142">
        <f>VLOOKUP($A377,'BC.114+320'!$B$13:$X$489,9,0)/1000</f>
        <v>-0.38800000000000001</v>
      </c>
      <c r="H377" s="142">
        <f>VLOOKUP($A377,'BC.114+320'!$B$13:$X$489,14,0)/1000</f>
        <v>2.5880000000000001</v>
      </c>
      <c r="I377" s="142">
        <f>VLOOKUP($A377,'BC.114+320'!$B$13:$X$489,15,0)/1000</f>
        <v>-0.41199999999999998</v>
      </c>
      <c r="J377" s="142">
        <f>VLOOKUP($A377,'BC.114+320'!$B$13:$X$489,20,0)/1000</f>
        <v>2.6669999999999998</v>
      </c>
      <c r="K377" s="142">
        <f>VLOOKUP($A377,'BC.114+320'!$B$13:$X$489,21,0)/1000</f>
        <v>-0.33300000000000002</v>
      </c>
      <c r="L377" s="140">
        <f t="shared" si="20"/>
        <v>-208.00000000000003</v>
      </c>
      <c r="M377" s="141">
        <f t="shared" si="21"/>
        <v>-231.99999999999997</v>
      </c>
      <c r="N377" s="140">
        <f t="shared" si="22"/>
        <v>-213.00000000000003</v>
      </c>
      <c r="O377" s="140"/>
    </row>
    <row r="378" spans="1:15">
      <c r="A378" s="76">
        <f>'BC.114+320'!B377</f>
        <v>45407</v>
      </c>
      <c r="B378" s="140">
        <f t="shared" si="23"/>
        <v>364</v>
      </c>
      <c r="C378" s="142">
        <f>'BC.114+320'!M377/1000</f>
        <v>2.0659999999999998</v>
      </c>
      <c r="D378" s="142">
        <f>'BC.114+320'!AA377</f>
        <v>2.3689999999999998</v>
      </c>
      <c r="E378" s="143">
        <f>'BC.114+320'!AB377</f>
        <v>2.012</v>
      </c>
      <c r="F378" s="142">
        <f>VLOOKUP($A378,'BC.114+320'!$B$13:$X$489,8,0)/1000</f>
        <v>2.61</v>
      </c>
      <c r="G378" s="142">
        <f>VLOOKUP($A378,'BC.114+320'!$B$13:$X$489,9,0)/1000</f>
        <v>-0.39</v>
      </c>
      <c r="H378" s="142">
        <f>VLOOKUP($A378,'BC.114+320'!$B$13:$X$489,14,0)/1000</f>
        <v>2.5859999999999999</v>
      </c>
      <c r="I378" s="142">
        <f>VLOOKUP($A378,'BC.114+320'!$B$13:$X$489,15,0)/1000</f>
        <v>-0.41399999999999998</v>
      </c>
      <c r="J378" s="142">
        <f>VLOOKUP($A378,'BC.114+320'!$B$13:$X$489,20,0)/1000</f>
        <v>2.6659999999999999</v>
      </c>
      <c r="K378" s="142">
        <f>VLOOKUP($A378,'BC.114+320'!$B$13:$X$489,21,0)/1000</f>
        <v>-0.33400000000000002</v>
      </c>
      <c r="L378" s="140">
        <f t="shared" si="20"/>
        <v>-210.00000000000003</v>
      </c>
      <c r="M378" s="141">
        <f t="shared" si="21"/>
        <v>-234</v>
      </c>
      <c r="N378" s="140">
        <f t="shared" si="22"/>
        <v>-214.00000000000003</v>
      </c>
      <c r="O378" s="140"/>
    </row>
    <row r="379" spans="1:15">
      <c r="A379" s="76">
        <f>'BC.114+320'!B378</f>
        <v>45408</v>
      </c>
      <c r="B379" s="140">
        <f t="shared" si="23"/>
        <v>365</v>
      </c>
      <c r="C379" s="142">
        <f>'BC.114+320'!M378/1000</f>
        <v>2.0619999999999998</v>
      </c>
      <c r="D379" s="142">
        <f>'BC.114+320'!AA378</f>
        <v>2.3689999999999998</v>
      </c>
      <c r="E379" s="143">
        <f>'BC.114+320'!AB378</f>
        <v>2.004</v>
      </c>
      <c r="F379" s="142">
        <f>VLOOKUP($A379,'BC.114+320'!$B$13:$X$489,8,0)/1000</f>
        <v>2.6059999999999999</v>
      </c>
      <c r="G379" s="142">
        <f>VLOOKUP($A379,'BC.114+320'!$B$13:$X$489,9,0)/1000</f>
        <v>-0.39400000000000002</v>
      </c>
      <c r="H379" s="142">
        <f>VLOOKUP($A379,'BC.114+320'!$B$13:$X$489,14,0)/1000</f>
        <v>2.5819999999999999</v>
      </c>
      <c r="I379" s="142">
        <f>VLOOKUP($A379,'BC.114+320'!$B$13:$X$489,15,0)/1000</f>
        <v>-0.41799999999999998</v>
      </c>
      <c r="J379" s="142">
        <f>VLOOKUP($A379,'BC.114+320'!$B$13:$X$489,20,0)/1000</f>
        <v>2.6659999999999999</v>
      </c>
      <c r="K379" s="142">
        <f>VLOOKUP($A379,'BC.114+320'!$B$13:$X$489,21,0)/1000</f>
        <v>-0.33400000000000002</v>
      </c>
      <c r="L379" s="140">
        <f t="shared" si="20"/>
        <v>-214.00000000000003</v>
      </c>
      <c r="M379" s="141">
        <f t="shared" si="21"/>
        <v>-238</v>
      </c>
      <c r="N379" s="140">
        <f t="shared" si="22"/>
        <v>-214.00000000000003</v>
      </c>
      <c r="O379" s="140"/>
    </row>
    <row r="380" spans="1:15">
      <c r="A380" s="76">
        <f>'BC.114+320'!B379</f>
        <v>45409</v>
      </c>
      <c r="B380" s="140">
        <f t="shared" si="23"/>
        <v>366</v>
      </c>
      <c r="C380" s="142">
        <f>'BC.114+320'!M379/1000</f>
        <v>2.0590000000000002</v>
      </c>
      <c r="D380" s="142">
        <f>'BC.114+320'!AA379</f>
        <v>2.3689999999999998</v>
      </c>
      <c r="E380" s="143">
        <f>'BC.114+320'!AB379</f>
        <v>1.998</v>
      </c>
      <c r="F380" s="142">
        <f>VLOOKUP($A380,'BC.114+320'!$B$13:$X$489,8,0)/1000</f>
        <v>2.6030000000000002</v>
      </c>
      <c r="G380" s="142">
        <f>VLOOKUP($A380,'BC.114+320'!$B$13:$X$489,9,0)/1000</f>
        <v>-0.39700000000000002</v>
      </c>
      <c r="H380" s="142">
        <f>VLOOKUP($A380,'BC.114+320'!$B$13:$X$489,14,0)/1000</f>
        <v>2.5790000000000002</v>
      </c>
      <c r="I380" s="142">
        <f>VLOOKUP($A380,'BC.114+320'!$B$13:$X$489,15,0)/1000</f>
        <v>-0.42099999999999999</v>
      </c>
      <c r="J380" s="142">
        <f>VLOOKUP($A380,'BC.114+320'!$B$13:$X$489,20,0)/1000</f>
        <v>2.665</v>
      </c>
      <c r="K380" s="142">
        <f>VLOOKUP($A380,'BC.114+320'!$B$13:$X$489,21,0)/1000</f>
        <v>-0.33500000000000002</v>
      </c>
      <c r="L380" s="140">
        <f t="shared" si="20"/>
        <v>-217.00000000000003</v>
      </c>
      <c r="M380" s="141">
        <f t="shared" si="21"/>
        <v>-241</v>
      </c>
      <c r="N380" s="140">
        <f t="shared" si="22"/>
        <v>-215.00000000000003</v>
      </c>
      <c r="O380" s="140"/>
    </row>
    <row r="381" spans="1:15">
      <c r="A381" s="76">
        <f>'BC.114+320'!B380</f>
        <v>45410</v>
      </c>
      <c r="B381" s="140">
        <f t="shared" si="23"/>
        <v>367</v>
      </c>
      <c r="C381" s="142">
        <f>'BC.114+320'!M380/1000</f>
        <v>2.0550000000000002</v>
      </c>
      <c r="D381" s="142">
        <f>'BC.114+320'!AA380</f>
        <v>2.3689999999999998</v>
      </c>
      <c r="E381" s="143">
        <f>'BC.114+320'!AB380</f>
        <v>1.99</v>
      </c>
      <c r="F381" s="142">
        <f>VLOOKUP($A381,'BC.114+320'!$B$13:$X$489,8,0)/1000</f>
        <v>2.5990000000000002</v>
      </c>
      <c r="G381" s="142">
        <f>VLOOKUP($A381,'BC.114+320'!$B$13:$X$489,9,0)/1000</f>
        <v>-0.40100000000000002</v>
      </c>
      <c r="H381" s="142">
        <f>VLOOKUP($A381,'BC.114+320'!$B$13:$X$489,14,0)/1000</f>
        <v>2.5750000000000002</v>
      </c>
      <c r="I381" s="142">
        <f>VLOOKUP($A381,'BC.114+320'!$B$13:$X$489,15,0)/1000</f>
        <v>-0.42499999999999999</v>
      </c>
      <c r="J381" s="142">
        <f>VLOOKUP($A381,'BC.114+320'!$B$13:$X$489,20,0)/1000</f>
        <v>2.6640000000000001</v>
      </c>
      <c r="K381" s="142">
        <f>VLOOKUP($A381,'BC.114+320'!$B$13:$X$489,21,0)/1000</f>
        <v>-0.33600000000000002</v>
      </c>
      <c r="L381" s="140">
        <f t="shared" si="20"/>
        <v>-221.00000000000003</v>
      </c>
      <c r="M381" s="141">
        <f t="shared" si="21"/>
        <v>-245</v>
      </c>
      <c r="N381" s="140">
        <f t="shared" si="22"/>
        <v>-216.00000000000003</v>
      </c>
      <c r="O381" s="140"/>
    </row>
    <row r="382" spans="1:15">
      <c r="A382" s="76">
        <f>'BC.114+320'!B381</f>
        <v>45411</v>
      </c>
      <c r="B382" s="140">
        <f t="shared" si="23"/>
        <v>368</v>
      </c>
      <c r="C382" s="142">
        <f>'BC.114+320'!M381/1000</f>
        <v>2.052</v>
      </c>
      <c r="D382" s="142">
        <f>'BC.114+320'!AA381</f>
        <v>2.3689999999999998</v>
      </c>
      <c r="E382" s="143">
        <f>'BC.114+320'!AB381</f>
        <v>1.984</v>
      </c>
      <c r="F382" s="142">
        <f>VLOOKUP($A382,'BC.114+320'!$B$13:$X$489,8,0)/1000</f>
        <v>2.5920000000000001</v>
      </c>
      <c r="G382" s="142">
        <f>VLOOKUP($A382,'BC.114+320'!$B$13:$X$489,9,0)/1000</f>
        <v>-0.40799999999999997</v>
      </c>
      <c r="H382" s="142">
        <f>VLOOKUP($A382,'BC.114+320'!$B$13:$X$489,14,0)/1000</f>
        <v>2.5720000000000001</v>
      </c>
      <c r="I382" s="142">
        <f>VLOOKUP($A382,'BC.114+320'!$B$13:$X$489,15,0)/1000</f>
        <v>-0.42799999999999999</v>
      </c>
      <c r="J382" s="142">
        <f>VLOOKUP($A382,'BC.114+320'!$B$13:$X$489,20,0)/1000</f>
        <v>2.6640000000000001</v>
      </c>
      <c r="K382" s="142">
        <f>VLOOKUP($A382,'BC.114+320'!$B$13:$X$489,21,0)/1000</f>
        <v>-0.33600000000000002</v>
      </c>
      <c r="L382" s="140">
        <f t="shared" si="20"/>
        <v>-227.99999999999997</v>
      </c>
      <c r="M382" s="141">
        <f t="shared" si="21"/>
        <v>-248</v>
      </c>
      <c r="N382" s="140">
        <f t="shared" si="22"/>
        <v>-216.00000000000003</v>
      </c>
      <c r="O382" s="140"/>
    </row>
    <row r="383" spans="1:15">
      <c r="A383" s="76">
        <f>'BC.114+320'!B382</f>
        <v>45412</v>
      </c>
      <c r="B383" s="140">
        <f t="shared" si="23"/>
        <v>369</v>
      </c>
      <c r="C383" s="142">
        <f>'BC.114+320'!M382/1000</f>
        <v>2.0499999999999998</v>
      </c>
      <c r="D383" s="142">
        <f>'BC.114+320'!AA382</f>
        <v>2.3689999999999998</v>
      </c>
      <c r="E383" s="143">
        <f>'BC.114+320'!AB382</f>
        <v>1.98</v>
      </c>
      <c r="F383" s="142">
        <f>VLOOKUP($A383,'BC.114+320'!$B$13:$X$489,8,0)/1000</f>
        <v>2.5870000000000002</v>
      </c>
      <c r="G383" s="142">
        <f>VLOOKUP($A383,'BC.114+320'!$B$13:$X$489,9,0)/1000</f>
        <v>-0.41299999999999998</v>
      </c>
      <c r="H383" s="142">
        <f>VLOOKUP($A383,'BC.114+320'!$B$13:$X$489,14,0)/1000</f>
        <v>2.57</v>
      </c>
      <c r="I383" s="142">
        <f>VLOOKUP($A383,'BC.114+320'!$B$13:$X$489,15,0)/1000</f>
        <v>-0.43</v>
      </c>
      <c r="J383" s="142">
        <f>VLOOKUP($A383,'BC.114+320'!$B$13:$X$489,20,0)/1000</f>
        <v>2.6629999999999998</v>
      </c>
      <c r="K383" s="142">
        <f>VLOOKUP($A383,'BC.114+320'!$B$13:$X$489,21,0)/1000</f>
        <v>-0.33700000000000002</v>
      </c>
      <c r="L383" s="140">
        <f t="shared" si="20"/>
        <v>-232.99999999999997</v>
      </c>
      <c r="M383" s="141">
        <f t="shared" si="21"/>
        <v>-250</v>
      </c>
      <c r="N383" s="140">
        <f t="shared" si="22"/>
        <v>-217.00000000000003</v>
      </c>
      <c r="O383" s="140"/>
    </row>
    <row r="384" spans="1:15">
      <c r="A384" s="76">
        <f>'BC.114+320'!B383</f>
        <v>45413</v>
      </c>
      <c r="B384" s="140">
        <f t="shared" si="23"/>
        <v>370</v>
      </c>
      <c r="C384" s="142">
        <f>'BC.114+320'!M383/1000</f>
        <v>2.0459999999999998</v>
      </c>
      <c r="D384" s="142">
        <f>'BC.114+320'!AA383</f>
        <v>2.3689999999999998</v>
      </c>
      <c r="E384" s="143">
        <f>'BC.114+320'!AB383</f>
        <v>1.972</v>
      </c>
      <c r="F384" s="142">
        <f>VLOOKUP($A384,'BC.114+320'!$B$13:$X$489,8,0)/1000</f>
        <v>2.5819999999999999</v>
      </c>
      <c r="G384" s="142">
        <f>VLOOKUP($A384,'BC.114+320'!$B$13:$X$489,9,0)/1000</f>
        <v>-0.41799999999999998</v>
      </c>
      <c r="H384" s="142">
        <f>VLOOKUP($A384,'BC.114+320'!$B$13:$X$489,14,0)/1000</f>
        <v>2.5659999999999998</v>
      </c>
      <c r="I384" s="142">
        <f>VLOOKUP($A384,'BC.114+320'!$B$13:$X$489,15,0)/1000</f>
        <v>-0.434</v>
      </c>
      <c r="J384" s="142">
        <f>VLOOKUP($A384,'BC.114+320'!$B$13:$X$489,20,0)/1000</f>
        <v>2.6629999999999998</v>
      </c>
      <c r="K384" s="142">
        <f>VLOOKUP($A384,'BC.114+320'!$B$13:$X$489,21,0)/1000</f>
        <v>-0.33700000000000002</v>
      </c>
      <c r="L384" s="140">
        <f t="shared" si="20"/>
        <v>-238</v>
      </c>
      <c r="M384" s="141">
        <f t="shared" si="21"/>
        <v>-254</v>
      </c>
      <c r="N384" s="140">
        <f t="shared" si="22"/>
        <v>-217.00000000000003</v>
      </c>
      <c r="O384" s="140"/>
    </row>
    <row r="385" spans="1:15">
      <c r="A385" s="76">
        <f>'BC.114+320'!B384</f>
        <v>45414</v>
      </c>
      <c r="B385" s="140">
        <f t="shared" si="23"/>
        <v>371</v>
      </c>
      <c r="C385" s="142">
        <f>'BC.114+320'!M384/1000</f>
        <v>2.0390000000000001</v>
      </c>
      <c r="D385" s="142">
        <f>'BC.114+320'!AA384</f>
        <v>2.3689999999999998</v>
      </c>
      <c r="E385" s="143">
        <f>'BC.114+320'!AB384</f>
        <v>1.958</v>
      </c>
      <c r="F385" s="142">
        <f>VLOOKUP($A385,'BC.114+320'!$B$13:$X$489,8,0)/1000</f>
        <v>2.5779999999999998</v>
      </c>
      <c r="G385" s="142">
        <f>VLOOKUP($A385,'BC.114+320'!$B$13:$X$489,9,0)/1000</f>
        <v>-0.42199999999999999</v>
      </c>
      <c r="H385" s="142">
        <f>VLOOKUP($A385,'BC.114+320'!$B$13:$X$489,14,0)/1000</f>
        <v>2.5590000000000002</v>
      </c>
      <c r="I385" s="142">
        <f>VLOOKUP($A385,'BC.114+320'!$B$13:$X$489,15,0)/1000</f>
        <v>-0.441</v>
      </c>
      <c r="J385" s="142">
        <f>VLOOKUP($A385,'BC.114+320'!$B$13:$X$489,20,0)/1000</f>
        <v>2.6619999999999999</v>
      </c>
      <c r="K385" s="142">
        <f>VLOOKUP($A385,'BC.114+320'!$B$13:$X$489,21,0)/1000</f>
        <v>-0.33800000000000002</v>
      </c>
      <c r="L385" s="140">
        <f t="shared" si="20"/>
        <v>-242</v>
      </c>
      <c r="M385" s="141">
        <f t="shared" si="21"/>
        <v>-261</v>
      </c>
      <c r="N385" s="140">
        <f t="shared" si="22"/>
        <v>-218.00000000000003</v>
      </c>
      <c r="O385" s="140"/>
    </row>
    <row r="386" spans="1:15">
      <c r="A386" s="76">
        <f>'BC.114+320'!B385</f>
        <v>45415</v>
      </c>
      <c r="B386" s="140">
        <f t="shared" si="23"/>
        <v>372</v>
      </c>
      <c r="C386" s="142">
        <f>'BC.114+320'!M385/1000</f>
        <v>2.0339999999999998</v>
      </c>
      <c r="D386" s="142">
        <f>'BC.114+320'!AA385</f>
        <v>2.3689999999999998</v>
      </c>
      <c r="E386" s="143">
        <f>'BC.114+320'!AB385</f>
        <v>1.948</v>
      </c>
      <c r="F386" s="142">
        <f>VLOOKUP($A386,'BC.114+320'!$B$13:$X$489,8,0)/1000</f>
        <v>2.5750000000000002</v>
      </c>
      <c r="G386" s="142">
        <f>VLOOKUP($A386,'BC.114+320'!$B$13:$X$489,9,0)/1000</f>
        <v>-0.42499999999999999</v>
      </c>
      <c r="H386" s="142">
        <f>VLOOKUP($A386,'BC.114+320'!$B$13:$X$489,14,0)/1000</f>
        <v>2.5539999999999998</v>
      </c>
      <c r="I386" s="142">
        <f>VLOOKUP($A386,'BC.114+320'!$B$13:$X$489,15,0)/1000</f>
        <v>-0.44600000000000001</v>
      </c>
      <c r="J386" s="142">
        <f>VLOOKUP($A386,'BC.114+320'!$B$13:$X$489,20,0)/1000</f>
        <v>2.6619999999999999</v>
      </c>
      <c r="K386" s="142">
        <f>VLOOKUP($A386,'BC.114+320'!$B$13:$X$489,21,0)/1000</f>
        <v>-0.33800000000000002</v>
      </c>
      <c r="L386" s="140">
        <f t="shared" si="20"/>
        <v>-245</v>
      </c>
      <c r="M386" s="141">
        <f t="shared" si="21"/>
        <v>-266</v>
      </c>
      <c r="N386" s="140">
        <f t="shared" si="22"/>
        <v>-218.00000000000003</v>
      </c>
      <c r="O386" s="140"/>
    </row>
    <row r="387" spans="1:15">
      <c r="A387" s="76">
        <f>'BC.114+320'!B386</f>
        <v>45416</v>
      </c>
      <c r="B387" s="140">
        <f t="shared" si="23"/>
        <v>373</v>
      </c>
      <c r="C387" s="142">
        <f>'BC.114+320'!M386/1000</f>
        <v>2.0289999999999999</v>
      </c>
      <c r="D387" s="142">
        <f>'BC.114+320'!AA386</f>
        <v>2.3689999999999998</v>
      </c>
      <c r="E387" s="143">
        <f>'BC.114+320'!AB386</f>
        <v>1.9379999999999999</v>
      </c>
      <c r="F387" s="142">
        <f>VLOOKUP($A387,'BC.114+320'!$B$13:$X$489,8,0)/1000</f>
        <v>2.573</v>
      </c>
      <c r="G387" s="142">
        <f>VLOOKUP($A387,'BC.114+320'!$B$13:$X$489,9,0)/1000</f>
        <v>-0.42699999999999999</v>
      </c>
      <c r="H387" s="142">
        <f>VLOOKUP($A387,'BC.114+320'!$B$13:$X$489,14,0)/1000</f>
        <v>2.5489999999999999</v>
      </c>
      <c r="I387" s="142">
        <f>VLOOKUP($A387,'BC.114+320'!$B$13:$X$489,15,0)/1000</f>
        <v>-0.45100000000000001</v>
      </c>
      <c r="J387" s="142">
        <f>VLOOKUP($A387,'BC.114+320'!$B$13:$X$489,20,0)/1000</f>
        <v>2.661</v>
      </c>
      <c r="K387" s="142">
        <f>VLOOKUP($A387,'BC.114+320'!$B$13:$X$489,21,0)/1000</f>
        <v>-0.33900000000000002</v>
      </c>
      <c r="L387" s="140">
        <f t="shared" si="20"/>
        <v>-247</v>
      </c>
      <c r="M387" s="141">
        <f t="shared" si="21"/>
        <v>-271</v>
      </c>
      <c r="N387" s="140">
        <f t="shared" si="22"/>
        <v>-219.00000000000003</v>
      </c>
      <c r="O387" s="140"/>
    </row>
    <row r="388" spans="1:15">
      <c r="A388" s="76">
        <f>'BC.114+320'!B387</f>
        <v>45417</v>
      </c>
      <c r="B388" s="140">
        <f t="shared" si="23"/>
        <v>374</v>
      </c>
      <c r="C388" s="142">
        <f>'BC.114+320'!M387/1000</f>
        <v>2.0249999999999999</v>
      </c>
      <c r="D388" s="142">
        <f>'BC.114+320'!AA387</f>
        <v>2.3689999999999998</v>
      </c>
      <c r="E388" s="143">
        <f>'BC.114+320'!AB387</f>
        <v>1.93</v>
      </c>
      <c r="F388" s="142">
        <f>VLOOKUP($A388,'BC.114+320'!$B$13:$X$489,8,0)/1000</f>
        <v>2.569</v>
      </c>
      <c r="G388" s="142">
        <f>VLOOKUP($A388,'BC.114+320'!$B$13:$X$489,9,0)/1000</f>
        <v>-0.43099999999999999</v>
      </c>
      <c r="H388" s="142">
        <f>VLOOKUP($A388,'BC.114+320'!$B$13:$X$489,14,0)/1000</f>
        <v>2.5449999999999999</v>
      </c>
      <c r="I388" s="142">
        <f>VLOOKUP($A388,'BC.114+320'!$B$13:$X$489,15,0)/1000</f>
        <v>-0.45500000000000002</v>
      </c>
      <c r="J388" s="142">
        <f>VLOOKUP($A388,'BC.114+320'!$B$13:$X$489,20,0)/1000</f>
        <v>2.661</v>
      </c>
      <c r="K388" s="142">
        <f>VLOOKUP($A388,'BC.114+320'!$B$13:$X$489,21,0)/1000</f>
        <v>-0.33900000000000002</v>
      </c>
      <c r="L388" s="140">
        <f t="shared" si="20"/>
        <v>-251</v>
      </c>
      <c r="M388" s="141">
        <f t="shared" si="21"/>
        <v>-275</v>
      </c>
      <c r="N388" s="140">
        <f t="shared" si="22"/>
        <v>-219.00000000000003</v>
      </c>
      <c r="O388" s="140"/>
    </row>
    <row r="389" spans="1:15">
      <c r="A389" s="76">
        <f>'BC.114+320'!B388</f>
        <v>45418</v>
      </c>
      <c r="B389" s="140">
        <f t="shared" si="23"/>
        <v>375</v>
      </c>
      <c r="C389" s="142">
        <f>'BC.114+320'!M388/1000</f>
        <v>2.0219999999999998</v>
      </c>
      <c r="D389" s="142">
        <f>'BC.114+320'!AA388</f>
        <v>2.3689999999999998</v>
      </c>
      <c r="E389" s="143">
        <f>'BC.114+320'!AB388</f>
        <v>1.9239999999999999</v>
      </c>
      <c r="F389" s="142">
        <f>VLOOKUP($A389,'BC.114+320'!$B$13:$X$489,8,0)/1000</f>
        <v>2.5659999999999998</v>
      </c>
      <c r="G389" s="142">
        <f>VLOOKUP($A389,'BC.114+320'!$B$13:$X$489,9,0)/1000</f>
        <v>-0.434</v>
      </c>
      <c r="H389" s="142">
        <f>VLOOKUP($A389,'BC.114+320'!$B$13:$X$489,14,0)/1000</f>
        <v>2.5419999999999998</v>
      </c>
      <c r="I389" s="142">
        <f>VLOOKUP($A389,'BC.114+320'!$B$13:$X$489,15,0)/1000</f>
        <v>-0.45800000000000002</v>
      </c>
      <c r="J389" s="142">
        <f>VLOOKUP($A389,'BC.114+320'!$B$13:$X$489,20,0)/1000</f>
        <v>2.66</v>
      </c>
      <c r="K389" s="142">
        <f>VLOOKUP($A389,'BC.114+320'!$B$13:$X$489,21,0)/1000</f>
        <v>-0.34</v>
      </c>
      <c r="L389" s="140">
        <f t="shared" si="20"/>
        <v>-254</v>
      </c>
      <c r="M389" s="141">
        <f t="shared" si="21"/>
        <v>-278</v>
      </c>
      <c r="N389" s="140">
        <f t="shared" si="22"/>
        <v>-220.00000000000003</v>
      </c>
      <c r="O389" s="140"/>
    </row>
    <row r="390" spans="1:15">
      <c r="A390" s="76">
        <f>'BC.114+320'!B389</f>
        <v>45419</v>
      </c>
      <c r="B390" s="140">
        <f t="shared" si="23"/>
        <v>376</v>
      </c>
      <c r="C390" s="142">
        <f>'BC.114+320'!M389/1000</f>
        <v>2.02</v>
      </c>
      <c r="D390" s="142">
        <f>'BC.114+320'!AA389</f>
        <v>2.3689999999999998</v>
      </c>
      <c r="E390" s="143">
        <f>'BC.114+320'!AB389</f>
        <v>1.92</v>
      </c>
      <c r="F390" s="142">
        <f>VLOOKUP($A390,'BC.114+320'!$B$13:$X$489,8,0)/1000</f>
        <v>2.5640000000000001</v>
      </c>
      <c r="G390" s="142">
        <f>VLOOKUP($A390,'BC.114+320'!$B$13:$X$489,9,0)/1000</f>
        <v>-0.436</v>
      </c>
      <c r="H390" s="142">
        <f>VLOOKUP($A390,'BC.114+320'!$B$13:$X$489,14,0)/1000</f>
        <v>2.54</v>
      </c>
      <c r="I390" s="142">
        <f>VLOOKUP($A390,'BC.114+320'!$B$13:$X$489,15,0)/1000</f>
        <v>-0.46</v>
      </c>
      <c r="J390" s="142">
        <f>VLOOKUP($A390,'BC.114+320'!$B$13:$X$489,20,0)/1000</f>
        <v>2.66</v>
      </c>
      <c r="K390" s="142">
        <f>VLOOKUP($A390,'BC.114+320'!$B$13:$X$489,21,0)/1000</f>
        <v>-0.34</v>
      </c>
      <c r="L390" s="140">
        <f t="shared" si="20"/>
        <v>-256</v>
      </c>
      <c r="M390" s="141">
        <f t="shared" si="21"/>
        <v>-280</v>
      </c>
      <c r="N390" s="140">
        <f t="shared" si="22"/>
        <v>-220.00000000000003</v>
      </c>
      <c r="O390" s="140"/>
    </row>
    <row r="391" spans="1:15">
      <c r="A391" s="76">
        <f>'BC.114+320'!B390</f>
        <v>45420</v>
      </c>
      <c r="B391" s="140">
        <f t="shared" si="23"/>
        <v>377</v>
      </c>
      <c r="C391" s="142">
        <f>'BC.114+320'!M390/1000</f>
        <v>2.02</v>
      </c>
      <c r="D391" s="142">
        <f>'BC.114+320'!AA390</f>
        <v>2.3689999999999998</v>
      </c>
      <c r="E391" s="143">
        <f>'BC.114+320'!AB390</f>
        <v>1.92</v>
      </c>
      <c r="F391" s="142">
        <f>VLOOKUP($A391,'BC.114+320'!$B$13:$X$489,8,0)/1000</f>
        <v>2.5640000000000001</v>
      </c>
      <c r="G391" s="142">
        <f>VLOOKUP($A391,'BC.114+320'!$B$13:$X$489,9,0)/1000</f>
        <v>-0.436</v>
      </c>
      <c r="H391" s="142">
        <f>VLOOKUP($A391,'BC.114+320'!$B$13:$X$489,14,0)/1000</f>
        <v>2.54</v>
      </c>
      <c r="I391" s="142">
        <f>VLOOKUP($A391,'BC.114+320'!$B$13:$X$489,15,0)/1000</f>
        <v>-0.46</v>
      </c>
      <c r="J391" s="142">
        <f>VLOOKUP($A391,'BC.114+320'!$B$13:$X$489,20,0)/1000</f>
        <v>2.66</v>
      </c>
      <c r="K391" s="142">
        <f>VLOOKUP($A391,'BC.114+320'!$B$13:$X$489,21,0)/1000</f>
        <v>-0.34</v>
      </c>
      <c r="L391" s="140">
        <f t="shared" si="20"/>
        <v>-256</v>
      </c>
      <c r="M391" s="141">
        <f t="shared" si="21"/>
        <v>-280</v>
      </c>
      <c r="N391" s="140">
        <f t="shared" si="22"/>
        <v>-220.00000000000003</v>
      </c>
      <c r="O391" s="140"/>
    </row>
    <row r="392" spans="1:15">
      <c r="A392" s="76">
        <f>'BC.114+320'!B391</f>
        <v>45421</v>
      </c>
      <c r="B392" s="140">
        <f t="shared" si="23"/>
        <v>378</v>
      </c>
      <c r="C392" s="142">
        <f>'BC.114+320'!M391/1000</f>
        <v>2.02</v>
      </c>
      <c r="D392" s="142">
        <f>'BC.114+320'!AA391</f>
        <v>2.3689999999999998</v>
      </c>
      <c r="E392" s="143">
        <f>'BC.114+320'!AB391</f>
        <v>1.92</v>
      </c>
      <c r="F392" s="142">
        <f>VLOOKUP($A392,'BC.114+320'!$B$13:$X$489,8,0)/1000</f>
        <v>2.5640000000000001</v>
      </c>
      <c r="G392" s="142">
        <f>VLOOKUP($A392,'BC.114+320'!$B$13:$X$489,9,0)/1000</f>
        <v>-0.436</v>
      </c>
      <c r="H392" s="142">
        <f>VLOOKUP($A392,'BC.114+320'!$B$13:$X$489,14,0)/1000</f>
        <v>2.54</v>
      </c>
      <c r="I392" s="142">
        <f>VLOOKUP($A392,'BC.114+320'!$B$13:$X$489,15,0)/1000</f>
        <v>-0.46</v>
      </c>
      <c r="J392" s="142">
        <f>VLOOKUP($A392,'BC.114+320'!$B$13:$X$489,20,0)/1000</f>
        <v>2.66</v>
      </c>
      <c r="K392" s="142">
        <f>VLOOKUP($A392,'BC.114+320'!$B$13:$X$489,21,0)/1000</f>
        <v>-0.34</v>
      </c>
      <c r="L392" s="140">
        <f t="shared" si="20"/>
        <v>-256</v>
      </c>
      <c r="M392" s="141">
        <f t="shared" si="21"/>
        <v>-280</v>
      </c>
      <c r="N392" s="140">
        <f t="shared" si="22"/>
        <v>-220.00000000000003</v>
      </c>
      <c r="O392" s="140"/>
    </row>
    <row r="393" spans="1:15">
      <c r="A393" s="76">
        <f>'BC.114+320'!B392</f>
        <v>45422</v>
      </c>
      <c r="B393" s="140">
        <f t="shared" si="23"/>
        <v>379</v>
      </c>
      <c r="C393" s="142">
        <f>'BC.114+320'!M392/1000</f>
        <v>2.02</v>
      </c>
      <c r="D393" s="142">
        <f>'BC.114+320'!AA392</f>
        <v>2.3689999999999998</v>
      </c>
      <c r="E393" s="143">
        <f>'BC.114+320'!AB392</f>
        <v>1.92</v>
      </c>
      <c r="F393" s="142">
        <f>VLOOKUP($A393,'BC.114+320'!$B$13:$X$489,8,0)/1000</f>
        <v>2.5640000000000001</v>
      </c>
      <c r="G393" s="142">
        <f>VLOOKUP($A393,'BC.114+320'!$B$13:$X$489,9,0)/1000</f>
        <v>-0.436</v>
      </c>
      <c r="H393" s="142">
        <f>VLOOKUP($A393,'BC.114+320'!$B$13:$X$489,14,0)/1000</f>
        <v>2.54</v>
      </c>
      <c r="I393" s="142">
        <f>VLOOKUP($A393,'BC.114+320'!$B$13:$X$489,15,0)/1000</f>
        <v>-0.46</v>
      </c>
      <c r="J393" s="142">
        <f>VLOOKUP($A393,'BC.114+320'!$B$13:$X$489,20,0)/1000</f>
        <v>2.66</v>
      </c>
      <c r="K393" s="142">
        <f>VLOOKUP($A393,'BC.114+320'!$B$13:$X$489,21,0)/1000</f>
        <v>-0.34</v>
      </c>
      <c r="L393" s="140">
        <f t="shared" si="20"/>
        <v>-256</v>
      </c>
      <c r="M393" s="141">
        <f t="shared" si="21"/>
        <v>-280</v>
      </c>
      <c r="N393" s="140">
        <f t="shared" si="22"/>
        <v>-220.00000000000003</v>
      </c>
      <c r="O393" s="140"/>
    </row>
    <row r="394" spans="1:15">
      <c r="A394" s="76">
        <f>'BC.114+320'!B393</f>
        <v>45423</v>
      </c>
      <c r="B394" s="140">
        <f t="shared" si="23"/>
        <v>380</v>
      </c>
      <c r="C394" s="142">
        <f>'BC.114+320'!M393/1000</f>
        <v>2.02</v>
      </c>
      <c r="D394" s="142">
        <f>'BC.114+320'!AA393</f>
        <v>2.3689999999999998</v>
      </c>
      <c r="E394" s="143">
        <f>'BC.114+320'!AB393</f>
        <v>1.92</v>
      </c>
      <c r="F394" s="142">
        <f>VLOOKUP($A394,'BC.114+320'!$B$13:$X$489,8,0)/1000</f>
        <v>2.5640000000000001</v>
      </c>
      <c r="G394" s="142">
        <f>VLOOKUP($A394,'BC.114+320'!$B$13:$X$489,9,0)/1000</f>
        <v>-0.436</v>
      </c>
      <c r="H394" s="142">
        <f>VLOOKUP($A394,'BC.114+320'!$B$13:$X$489,14,0)/1000</f>
        <v>2.54</v>
      </c>
      <c r="I394" s="142">
        <f>VLOOKUP($A394,'BC.114+320'!$B$13:$X$489,15,0)/1000</f>
        <v>-0.46</v>
      </c>
      <c r="J394" s="142">
        <f>VLOOKUP($A394,'BC.114+320'!$B$13:$X$489,20,0)/1000</f>
        <v>2.66</v>
      </c>
      <c r="K394" s="142">
        <f>VLOOKUP($A394,'BC.114+320'!$B$13:$X$489,21,0)/1000</f>
        <v>-0.34</v>
      </c>
      <c r="L394" s="140">
        <f t="shared" si="20"/>
        <v>-256</v>
      </c>
      <c r="M394" s="141">
        <f t="shared" si="21"/>
        <v>-280</v>
      </c>
      <c r="N394" s="140">
        <f t="shared" si="22"/>
        <v>-220.00000000000003</v>
      </c>
      <c r="O394" s="140"/>
    </row>
    <row r="395" spans="1:15">
      <c r="A395" s="76">
        <f>'BC.114+320'!B394</f>
        <v>45424</v>
      </c>
      <c r="B395" s="140">
        <f t="shared" si="23"/>
        <v>381</v>
      </c>
      <c r="C395" s="142">
        <f>'BC.114+320'!M394/1000</f>
        <v>2.02</v>
      </c>
      <c r="D395" s="142">
        <f>'BC.114+320'!AA394</f>
        <v>2.3689999999999998</v>
      </c>
      <c r="E395" s="143">
        <f>'BC.114+320'!AB394</f>
        <v>1.92</v>
      </c>
      <c r="F395" s="142">
        <f>VLOOKUP($A395,'BC.114+320'!$B$13:$X$489,8,0)/1000</f>
        <v>2.5640000000000001</v>
      </c>
      <c r="G395" s="142">
        <f>VLOOKUP($A395,'BC.114+320'!$B$13:$X$489,9,0)/1000</f>
        <v>-0.436</v>
      </c>
      <c r="H395" s="142">
        <f>VLOOKUP($A395,'BC.114+320'!$B$13:$X$489,14,0)/1000</f>
        <v>2.54</v>
      </c>
      <c r="I395" s="142">
        <f>VLOOKUP($A395,'BC.114+320'!$B$13:$X$489,15,0)/1000</f>
        <v>-0.46</v>
      </c>
      <c r="J395" s="142">
        <f>VLOOKUP($A395,'BC.114+320'!$B$13:$X$489,20,0)/1000</f>
        <v>2.66</v>
      </c>
      <c r="K395" s="142">
        <f>VLOOKUP($A395,'BC.114+320'!$B$13:$X$489,21,0)/1000</f>
        <v>-0.34</v>
      </c>
      <c r="L395" s="140">
        <f t="shared" si="20"/>
        <v>-256</v>
      </c>
      <c r="M395" s="141">
        <f t="shared" si="21"/>
        <v>-280</v>
      </c>
      <c r="N395" s="140">
        <f t="shared" si="22"/>
        <v>-220.00000000000003</v>
      </c>
      <c r="O395" s="140"/>
    </row>
    <row r="396" spans="1:15">
      <c r="A396" s="76">
        <f>'BC.114+320'!B395</f>
        <v>45425</v>
      </c>
      <c r="B396" s="140">
        <f t="shared" si="23"/>
        <v>382</v>
      </c>
      <c r="C396" s="142">
        <f>'BC.114+320'!M395/1000</f>
        <v>2.02</v>
      </c>
      <c r="D396" s="142">
        <f>'BC.114+320'!AA395</f>
        <v>2.3689999999999998</v>
      </c>
      <c r="E396" s="143">
        <f>'BC.114+320'!AB395</f>
        <v>1.92</v>
      </c>
      <c r="F396" s="142">
        <f>VLOOKUP($A396,'BC.114+320'!$B$13:$X$489,8,0)/1000</f>
        <v>2.5640000000000001</v>
      </c>
      <c r="G396" s="142">
        <f>VLOOKUP($A396,'BC.114+320'!$B$13:$X$489,9,0)/1000</f>
        <v>-0.436</v>
      </c>
      <c r="H396" s="142">
        <f>VLOOKUP($A396,'BC.114+320'!$B$13:$X$489,14,0)/1000</f>
        <v>2.54</v>
      </c>
      <c r="I396" s="142">
        <f>VLOOKUP($A396,'BC.114+320'!$B$13:$X$489,15,0)/1000</f>
        <v>-0.46</v>
      </c>
      <c r="J396" s="142">
        <f>VLOOKUP($A396,'BC.114+320'!$B$13:$X$489,20,0)/1000</f>
        <v>2.66</v>
      </c>
      <c r="K396" s="142">
        <f>VLOOKUP($A396,'BC.114+320'!$B$13:$X$489,21,0)/1000</f>
        <v>-0.34</v>
      </c>
      <c r="L396" s="140">
        <f t="shared" si="20"/>
        <v>-256</v>
      </c>
      <c r="M396" s="141">
        <f t="shared" si="21"/>
        <v>-280</v>
      </c>
      <c r="N396" s="140">
        <f t="shared" si="22"/>
        <v>-220.00000000000003</v>
      </c>
      <c r="O396" s="140"/>
    </row>
    <row r="397" spans="1:15">
      <c r="A397" s="76">
        <f>'BC.114+320'!B396</f>
        <v>45426</v>
      </c>
      <c r="B397" s="140">
        <f t="shared" si="23"/>
        <v>383</v>
      </c>
      <c r="C397" s="142">
        <f>'BC.114+320'!M396/1000</f>
        <v>2.02</v>
      </c>
      <c r="D397" s="142">
        <f>'BC.114+320'!AA396</f>
        <v>2.3689999999999998</v>
      </c>
      <c r="E397" s="143">
        <f>'BC.114+320'!AB396</f>
        <v>1.92</v>
      </c>
      <c r="F397" s="142">
        <f>VLOOKUP($A397,'BC.114+320'!$B$13:$X$489,8,0)/1000</f>
        <v>2.5640000000000001</v>
      </c>
      <c r="G397" s="142">
        <f>VLOOKUP($A397,'BC.114+320'!$B$13:$X$489,9,0)/1000</f>
        <v>-0.436</v>
      </c>
      <c r="H397" s="142">
        <f>VLOOKUP($A397,'BC.114+320'!$B$13:$X$489,14,0)/1000</f>
        <v>2.54</v>
      </c>
      <c r="I397" s="142">
        <f>VLOOKUP($A397,'BC.114+320'!$B$13:$X$489,15,0)/1000</f>
        <v>-0.46</v>
      </c>
      <c r="J397" s="142">
        <f>VLOOKUP($A397,'BC.114+320'!$B$13:$X$489,20,0)/1000</f>
        <v>2.66</v>
      </c>
      <c r="K397" s="142">
        <f>VLOOKUP($A397,'BC.114+320'!$B$13:$X$489,21,0)/1000</f>
        <v>-0.34</v>
      </c>
      <c r="L397" s="140">
        <f t="shared" si="20"/>
        <v>-256</v>
      </c>
      <c r="M397" s="141">
        <f t="shared" si="21"/>
        <v>-280</v>
      </c>
      <c r="N397" s="140">
        <f t="shared" si="22"/>
        <v>-220.00000000000003</v>
      </c>
      <c r="O397" s="140"/>
    </row>
    <row r="398" spans="1:15">
      <c r="A398" s="76">
        <f>'BC.114+320'!B397</f>
        <v>45427</v>
      </c>
      <c r="B398" s="140">
        <f t="shared" si="23"/>
        <v>384</v>
      </c>
      <c r="C398" s="142">
        <f>'BC.114+320'!M397/1000</f>
        <v>2.02</v>
      </c>
      <c r="D398" s="142">
        <f>'BC.114+320'!AA397</f>
        <v>2.3689999999999998</v>
      </c>
      <c r="E398" s="143">
        <f>'BC.114+320'!AB397</f>
        <v>1.92</v>
      </c>
      <c r="F398" s="142">
        <f>VLOOKUP($A398,'BC.114+320'!$B$13:$X$489,8,0)/1000</f>
        <v>2.5640000000000001</v>
      </c>
      <c r="G398" s="142">
        <f>VLOOKUP($A398,'BC.114+320'!$B$13:$X$489,9,0)/1000</f>
        <v>-0.436</v>
      </c>
      <c r="H398" s="142">
        <f>VLOOKUP($A398,'BC.114+320'!$B$13:$X$489,14,0)/1000</f>
        <v>2.54</v>
      </c>
      <c r="I398" s="142">
        <f>VLOOKUP($A398,'BC.114+320'!$B$13:$X$489,15,0)/1000</f>
        <v>-0.46</v>
      </c>
      <c r="J398" s="142">
        <f>VLOOKUP($A398,'BC.114+320'!$B$13:$X$489,20,0)/1000</f>
        <v>2.66</v>
      </c>
      <c r="K398" s="142">
        <f>VLOOKUP($A398,'BC.114+320'!$B$13:$X$489,21,0)/1000</f>
        <v>-0.34</v>
      </c>
      <c r="L398" s="140">
        <f t="shared" ref="L398:L461" si="24">(G398-$G$14)*1000</f>
        <v>-256</v>
      </c>
      <c r="M398" s="141">
        <f t="shared" ref="M398:M461" si="25">(I398-$I$14)*1000</f>
        <v>-280</v>
      </c>
      <c r="N398" s="140">
        <f t="shared" si="22"/>
        <v>-220.00000000000003</v>
      </c>
      <c r="O398" s="140"/>
    </row>
    <row r="399" spans="1:15">
      <c r="A399" s="76">
        <f>'BC.114+320'!B398</f>
        <v>45428</v>
      </c>
      <c r="B399" s="140">
        <f t="shared" si="23"/>
        <v>385</v>
      </c>
      <c r="C399" s="142">
        <f>'BC.114+320'!M398/1000</f>
        <v>2.02</v>
      </c>
      <c r="D399" s="142">
        <f>'BC.114+320'!AA398</f>
        <v>2.3689999999999998</v>
      </c>
      <c r="E399" s="143">
        <f>'BC.114+320'!AB398</f>
        <v>1.92</v>
      </c>
      <c r="F399" s="142">
        <f>VLOOKUP($A399,'BC.114+320'!$B$13:$X$489,8,0)/1000</f>
        <v>2.5640000000000001</v>
      </c>
      <c r="G399" s="142">
        <f>VLOOKUP($A399,'BC.114+320'!$B$13:$X$489,9,0)/1000</f>
        <v>-0.436</v>
      </c>
      <c r="H399" s="142">
        <f>VLOOKUP($A399,'BC.114+320'!$B$13:$X$489,14,0)/1000</f>
        <v>2.54</v>
      </c>
      <c r="I399" s="142">
        <f>VLOOKUP($A399,'BC.114+320'!$B$13:$X$489,15,0)/1000</f>
        <v>-0.46</v>
      </c>
      <c r="J399" s="142">
        <f>VLOOKUP($A399,'BC.114+320'!$B$13:$X$489,20,0)/1000</f>
        <v>2.66</v>
      </c>
      <c r="K399" s="142">
        <f>VLOOKUP($A399,'BC.114+320'!$B$13:$X$489,21,0)/1000</f>
        <v>-0.34</v>
      </c>
      <c r="L399" s="140">
        <f t="shared" si="24"/>
        <v>-256</v>
      </c>
      <c r="M399" s="141">
        <f t="shared" si="25"/>
        <v>-280</v>
      </c>
      <c r="N399" s="140">
        <f t="shared" ref="N399:N462" si="26">(K399-$K$14)*1000</f>
        <v>-220.00000000000003</v>
      </c>
      <c r="O399" s="140"/>
    </row>
    <row r="400" spans="1:15">
      <c r="A400" s="76">
        <f>'BC.114+320'!B399</f>
        <v>45429</v>
      </c>
      <c r="B400" s="140">
        <f t="shared" ref="B400:B463" si="27">+B399+1</f>
        <v>386</v>
      </c>
      <c r="C400" s="142">
        <f>'BC.114+320'!M399/1000</f>
        <v>2.02</v>
      </c>
      <c r="D400" s="142">
        <f>'BC.114+320'!AA399</f>
        <v>2.3689999999999998</v>
      </c>
      <c r="E400" s="143">
        <f>'BC.114+320'!AB399</f>
        <v>1.92</v>
      </c>
      <c r="F400" s="142">
        <f>VLOOKUP($A400,'BC.114+320'!$B$13:$X$489,8,0)/1000</f>
        <v>2.5640000000000001</v>
      </c>
      <c r="G400" s="142">
        <f>VLOOKUP($A400,'BC.114+320'!$B$13:$X$489,9,0)/1000</f>
        <v>-0.436</v>
      </c>
      <c r="H400" s="142">
        <f>VLOOKUP($A400,'BC.114+320'!$B$13:$X$489,14,0)/1000</f>
        <v>2.54</v>
      </c>
      <c r="I400" s="142">
        <f>VLOOKUP($A400,'BC.114+320'!$B$13:$X$489,15,0)/1000</f>
        <v>-0.46</v>
      </c>
      <c r="J400" s="142">
        <f>VLOOKUP($A400,'BC.114+320'!$B$13:$X$489,20,0)/1000</f>
        <v>2.66</v>
      </c>
      <c r="K400" s="142">
        <f>VLOOKUP($A400,'BC.114+320'!$B$13:$X$489,21,0)/1000</f>
        <v>-0.34</v>
      </c>
      <c r="L400" s="140">
        <f t="shared" si="24"/>
        <v>-256</v>
      </c>
      <c r="M400" s="141">
        <f t="shared" si="25"/>
        <v>-280</v>
      </c>
      <c r="N400" s="140">
        <f t="shared" si="26"/>
        <v>-220.00000000000003</v>
      </c>
      <c r="O400" s="140"/>
    </row>
    <row r="401" spans="1:15">
      <c r="A401" s="76">
        <f>'BC.114+320'!B400</f>
        <v>45430</v>
      </c>
      <c r="B401" s="140">
        <f t="shared" si="27"/>
        <v>387</v>
      </c>
      <c r="C401" s="142">
        <f>'BC.114+320'!M400/1000</f>
        <v>2.02</v>
      </c>
      <c r="D401" s="142">
        <f>'BC.114+320'!AA400</f>
        <v>2.3689999999999998</v>
      </c>
      <c r="E401" s="143">
        <f>'BC.114+320'!AB400</f>
        <v>1.92</v>
      </c>
      <c r="F401" s="142">
        <f>VLOOKUP($A401,'BC.114+320'!$B$13:$X$489,8,0)/1000</f>
        <v>2.5640000000000001</v>
      </c>
      <c r="G401" s="142">
        <f>VLOOKUP($A401,'BC.114+320'!$B$13:$X$489,9,0)/1000</f>
        <v>-0.436</v>
      </c>
      <c r="H401" s="142">
        <f>VLOOKUP($A401,'BC.114+320'!$B$13:$X$489,14,0)/1000</f>
        <v>2.54</v>
      </c>
      <c r="I401" s="142">
        <f>VLOOKUP($A401,'BC.114+320'!$B$13:$X$489,15,0)/1000</f>
        <v>-0.46</v>
      </c>
      <c r="J401" s="142">
        <f>VLOOKUP($A401,'BC.114+320'!$B$13:$X$489,20,0)/1000</f>
        <v>2.66</v>
      </c>
      <c r="K401" s="142">
        <f>VLOOKUP($A401,'BC.114+320'!$B$13:$X$489,21,0)/1000</f>
        <v>-0.34</v>
      </c>
      <c r="L401" s="140">
        <f t="shared" si="24"/>
        <v>-256</v>
      </c>
      <c r="M401" s="141">
        <f t="shared" si="25"/>
        <v>-280</v>
      </c>
      <c r="N401" s="140">
        <f t="shared" si="26"/>
        <v>-220.00000000000003</v>
      </c>
      <c r="O401" s="140"/>
    </row>
    <row r="402" spans="1:15">
      <c r="A402" s="76">
        <f>'BC.114+320'!B401</f>
        <v>45431</v>
      </c>
      <c r="B402" s="140">
        <f t="shared" si="27"/>
        <v>388</v>
      </c>
      <c r="C402" s="142">
        <f>'BC.114+320'!M401/1000</f>
        <v>2.02</v>
      </c>
      <c r="D402" s="142">
        <f>'BC.114+320'!AA401</f>
        <v>2.3689999999999998</v>
      </c>
      <c r="E402" s="143">
        <f>'BC.114+320'!AB401</f>
        <v>1.92</v>
      </c>
      <c r="F402" s="142">
        <f>VLOOKUP($A402,'BC.114+320'!$B$13:$X$489,8,0)/1000</f>
        <v>2.5640000000000001</v>
      </c>
      <c r="G402" s="142">
        <f>VLOOKUP($A402,'BC.114+320'!$B$13:$X$489,9,0)/1000</f>
        <v>-0.436</v>
      </c>
      <c r="H402" s="142">
        <f>VLOOKUP($A402,'BC.114+320'!$B$13:$X$489,14,0)/1000</f>
        <v>2.54</v>
      </c>
      <c r="I402" s="142">
        <f>VLOOKUP($A402,'BC.114+320'!$B$13:$X$489,15,0)/1000</f>
        <v>-0.46</v>
      </c>
      <c r="J402" s="142">
        <f>VLOOKUP($A402,'BC.114+320'!$B$13:$X$489,20,0)/1000</f>
        <v>2.66</v>
      </c>
      <c r="K402" s="142">
        <f>VLOOKUP($A402,'BC.114+320'!$B$13:$X$489,21,0)/1000</f>
        <v>-0.34</v>
      </c>
      <c r="L402" s="140">
        <f t="shared" si="24"/>
        <v>-256</v>
      </c>
      <c r="M402" s="141">
        <f t="shared" si="25"/>
        <v>-280</v>
      </c>
      <c r="N402" s="140">
        <f t="shared" si="26"/>
        <v>-220.00000000000003</v>
      </c>
      <c r="O402" s="140"/>
    </row>
    <row r="403" spans="1:15">
      <c r="A403" s="76">
        <f>'BC.114+320'!B402</f>
        <v>45432</v>
      </c>
      <c r="B403" s="140">
        <f t="shared" si="27"/>
        <v>389</v>
      </c>
      <c r="C403" s="142">
        <f>'BC.114+320'!M402/1000</f>
        <v>2.02</v>
      </c>
      <c r="D403" s="142">
        <f>'BC.114+320'!AA402</f>
        <v>2.3689999999999998</v>
      </c>
      <c r="E403" s="143">
        <f>'BC.114+320'!AB402</f>
        <v>1.92</v>
      </c>
      <c r="F403" s="142">
        <f>VLOOKUP($A403,'BC.114+320'!$B$13:$X$489,8,0)/1000</f>
        <v>2.5640000000000001</v>
      </c>
      <c r="G403" s="142">
        <f>VLOOKUP($A403,'BC.114+320'!$B$13:$X$489,9,0)/1000</f>
        <v>-0.436</v>
      </c>
      <c r="H403" s="142">
        <f>VLOOKUP($A403,'BC.114+320'!$B$13:$X$489,14,0)/1000</f>
        <v>2.54</v>
      </c>
      <c r="I403" s="142">
        <f>VLOOKUP($A403,'BC.114+320'!$B$13:$X$489,15,0)/1000</f>
        <v>-0.46</v>
      </c>
      <c r="J403" s="142">
        <f>VLOOKUP($A403,'BC.114+320'!$B$13:$X$489,20,0)/1000</f>
        <v>2.66</v>
      </c>
      <c r="K403" s="142">
        <f>VLOOKUP($A403,'BC.114+320'!$B$13:$X$489,21,0)/1000</f>
        <v>-0.34</v>
      </c>
      <c r="L403" s="140">
        <f t="shared" si="24"/>
        <v>-256</v>
      </c>
      <c r="M403" s="141">
        <f t="shared" si="25"/>
        <v>-280</v>
      </c>
      <c r="N403" s="140">
        <f t="shared" si="26"/>
        <v>-220.00000000000003</v>
      </c>
      <c r="O403" s="140"/>
    </row>
    <row r="404" spans="1:15">
      <c r="A404" s="76">
        <f>'BC.114+320'!B403</f>
        <v>45433</v>
      </c>
      <c r="B404" s="140">
        <f t="shared" si="27"/>
        <v>390</v>
      </c>
      <c r="C404" s="142">
        <f>'BC.114+320'!M403/1000</f>
        <v>2.02</v>
      </c>
      <c r="D404" s="142">
        <f>'BC.114+320'!AA403</f>
        <v>2.3689999999999998</v>
      </c>
      <c r="E404" s="143">
        <f>'BC.114+320'!AB403</f>
        <v>1.92</v>
      </c>
      <c r="F404" s="142">
        <f>VLOOKUP($A404,'BC.114+320'!$B$13:$X$489,8,0)/1000</f>
        <v>2.5640000000000001</v>
      </c>
      <c r="G404" s="142">
        <f>VLOOKUP($A404,'BC.114+320'!$B$13:$X$489,9,0)/1000</f>
        <v>-0.436</v>
      </c>
      <c r="H404" s="142">
        <f>VLOOKUP($A404,'BC.114+320'!$B$13:$X$489,14,0)/1000</f>
        <v>2.54</v>
      </c>
      <c r="I404" s="142">
        <f>VLOOKUP($A404,'BC.114+320'!$B$13:$X$489,15,0)/1000</f>
        <v>-0.46</v>
      </c>
      <c r="J404" s="142">
        <f>VLOOKUP($A404,'BC.114+320'!$B$13:$X$489,20,0)/1000</f>
        <v>2.66</v>
      </c>
      <c r="K404" s="142">
        <f>VLOOKUP($A404,'BC.114+320'!$B$13:$X$489,21,0)/1000</f>
        <v>-0.34</v>
      </c>
      <c r="L404" s="140">
        <f t="shared" si="24"/>
        <v>-256</v>
      </c>
      <c r="M404" s="141">
        <f t="shared" si="25"/>
        <v>-280</v>
      </c>
      <c r="N404" s="140">
        <f t="shared" si="26"/>
        <v>-220.00000000000003</v>
      </c>
      <c r="O404" s="140"/>
    </row>
    <row r="405" spans="1:15">
      <c r="A405" s="76">
        <f>'BC.114+320'!B404</f>
        <v>45434</v>
      </c>
      <c r="B405" s="140">
        <f t="shared" si="27"/>
        <v>391</v>
      </c>
      <c r="C405" s="142">
        <f>'BC.114+320'!M404/1000</f>
        <v>2.02</v>
      </c>
      <c r="D405" s="142">
        <f>'BC.114+320'!AA404</f>
        <v>2.3689999999999998</v>
      </c>
      <c r="E405" s="143">
        <f>'BC.114+320'!AB404</f>
        <v>1.92</v>
      </c>
      <c r="F405" s="142">
        <f>VLOOKUP($A405,'BC.114+320'!$B$13:$X$489,8,0)/1000</f>
        <v>2.5640000000000001</v>
      </c>
      <c r="G405" s="142">
        <f>VLOOKUP($A405,'BC.114+320'!$B$13:$X$489,9,0)/1000</f>
        <v>-0.436</v>
      </c>
      <c r="H405" s="142">
        <f>VLOOKUP($A405,'BC.114+320'!$B$13:$X$489,14,0)/1000</f>
        <v>2.54</v>
      </c>
      <c r="I405" s="142">
        <f>VLOOKUP($A405,'BC.114+320'!$B$13:$X$489,15,0)/1000</f>
        <v>-0.46</v>
      </c>
      <c r="J405" s="142">
        <f>VLOOKUP($A405,'BC.114+320'!$B$13:$X$489,20,0)/1000</f>
        <v>2.66</v>
      </c>
      <c r="K405" s="142">
        <f>VLOOKUP($A405,'BC.114+320'!$B$13:$X$489,21,0)/1000</f>
        <v>-0.34</v>
      </c>
      <c r="L405" s="140">
        <f t="shared" si="24"/>
        <v>-256</v>
      </c>
      <c r="M405" s="141">
        <f t="shared" si="25"/>
        <v>-280</v>
      </c>
      <c r="N405" s="140">
        <f t="shared" si="26"/>
        <v>-220.00000000000003</v>
      </c>
      <c r="O405" s="140"/>
    </row>
    <row r="406" spans="1:15">
      <c r="A406" s="76">
        <f>'BC.114+320'!B405</f>
        <v>45435</v>
      </c>
      <c r="B406" s="140">
        <f t="shared" si="27"/>
        <v>392</v>
      </c>
      <c r="C406" s="142">
        <f>'BC.114+320'!M405/1000</f>
        <v>2.02</v>
      </c>
      <c r="D406" s="142">
        <f>'BC.114+320'!AA405</f>
        <v>2.3689999999999998</v>
      </c>
      <c r="E406" s="143">
        <f>'BC.114+320'!AB405</f>
        <v>1.92</v>
      </c>
      <c r="F406" s="142">
        <f>VLOOKUP($A406,'BC.114+320'!$B$13:$X$489,8,0)/1000</f>
        <v>2.5640000000000001</v>
      </c>
      <c r="G406" s="142">
        <f>VLOOKUP($A406,'BC.114+320'!$B$13:$X$489,9,0)/1000</f>
        <v>-0.436</v>
      </c>
      <c r="H406" s="142">
        <f>VLOOKUP($A406,'BC.114+320'!$B$13:$X$489,14,0)/1000</f>
        <v>2.54</v>
      </c>
      <c r="I406" s="142">
        <f>VLOOKUP($A406,'BC.114+320'!$B$13:$X$489,15,0)/1000</f>
        <v>-0.46</v>
      </c>
      <c r="J406" s="142">
        <f>VLOOKUP($A406,'BC.114+320'!$B$13:$X$489,20,0)/1000</f>
        <v>2.66</v>
      </c>
      <c r="K406" s="142">
        <f>VLOOKUP($A406,'BC.114+320'!$B$13:$X$489,21,0)/1000</f>
        <v>-0.34</v>
      </c>
      <c r="L406" s="140">
        <f t="shared" si="24"/>
        <v>-256</v>
      </c>
      <c r="M406" s="141">
        <f t="shared" si="25"/>
        <v>-280</v>
      </c>
      <c r="N406" s="140">
        <f t="shared" si="26"/>
        <v>-220.00000000000003</v>
      </c>
      <c r="O406" s="140"/>
    </row>
    <row r="407" spans="1:15">
      <c r="A407" s="76">
        <f>'BC.114+320'!B406</f>
        <v>45436</v>
      </c>
      <c r="B407" s="140">
        <f t="shared" si="27"/>
        <v>393</v>
      </c>
      <c r="C407" s="142">
        <f>'BC.114+320'!M406/1000</f>
        <v>2.02</v>
      </c>
      <c r="D407" s="142">
        <f>'BC.114+320'!AA406</f>
        <v>2.3689999999999998</v>
      </c>
      <c r="E407" s="143">
        <f>'BC.114+320'!AB406</f>
        <v>1.92</v>
      </c>
      <c r="F407" s="142">
        <f>VLOOKUP($A407,'BC.114+320'!$B$13:$X$489,8,0)/1000</f>
        <v>2.5640000000000001</v>
      </c>
      <c r="G407" s="142">
        <f>VLOOKUP($A407,'BC.114+320'!$B$13:$X$489,9,0)/1000</f>
        <v>-0.436</v>
      </c>
      <c r="H407" s="142">
        <f>VLOOKUP($A407,'BC.114+320'!$B$13:$X$489,14,0)/1000</f>
        <v>2.54</v>
      </c>
      <c r="I407" s="142">
        <f>VLOOKUP($A407,'BC.114+320'!$B$13:$X$489,15,0)/1000</f>
        <v>-0.46</v>
      </c>
      <c r="J407" s="142">
        <f>VLOOKUP($A407,'BC.114+320'!$B$13:$X$489,20,0)/1000</f>
        <v>2.66</v>
      </c>
      <c r="K407" s="142">
        <f>VLOOKUP($A407,'BC.114+320'!$B$13:$X$489,21,0)/1000</f>
        <v>-0.34</v>
      </c>
      <c r="L407" s="140">
        <f t="shared" si="24"/>
        <v>-256</v>
      </c>
      <c r="M407" s="141">
        <f t="shared" si="25"/>
        <v>-280</v>
      </c>
      <c r="N407" s="140">
        <f t="shared" si="26"/>
        <v>-220.00000000000003</v>
      </c>
      <c r="O407" s="140"/>
    </row>
    <row r="408" spans="1:15">
      <c r="A408" s="76">
        <f>'BC.114+320'!B407</f>
        <v>45437</v>
      </c>
      <c r="B408" s="140">
        <f t="shared" si="27"/>
        <v>394</v>
      </c>
      <c r="C408" s="142">
        <f>'BC.114+320'!M407/1000</f>
        <v>2.02</v>
      </c>
      <c r="D408" s="142">
        <f>'BC.114+320'!AA407</f>
        <v>2.3689999999999998</v>
      </c>
      <c r="E408" s="143">
        <f>'BC.114+320'!AB407</f>
        <v>1.92</v>
      </c>
      <c r="F408" s="142">
        <f>VLOOKUP($A408,'BC.114+320'!$B$13:$X$489,8,0)/1000</f>
        <v>2.5640000000000001</v>
      </c>
      <c r="G408" s="142">
        <f>VLOOKUP($A408,'BC.114+320'!$B$13:$X$489,9,0)/1000</f>
        <v>-0.436</v>
      </c>
      <c r="H408" s="142">
        <f>VLOOKUP($A408,'BC.114+320'!$B$13:$X$489,14,0)/1000</f>
        <v>2.54</v>
      </c>
      <c r="I408" s="142">
        <f>VLOOKUP($A408,'BC.114+320'!$B$13:$X$489,15,0)/1000</f>
        <v>-0.46</v>
      </c>
      <c r="J408" s="142">
        <f>VLOOKUP($A408,'BC.114+320'!$B$13:$X$489,20,0)/1000</f>
        <v>2.66</v>
      </c>
      <c r="K408" s="142">
        <f>VLOOKUP($A408,'BC.114+320'!$B$13:$X$489,21,0)/1000</f>
        <v>-0.34</v>
      </c>
      <c r="L408" s="140">
        <f t="shared" si="24"/>
        <v>-256</v>
      </c>
      <c r="M408" s="141">
        <f t="shared" si="25"/>
        <v>-280</v>
      </c>
      <c r="N408" s="140">
        <f t="shared" si="26"/>
        <v>-220.00000000000003</v>
      </c>
      <c r="O408" s="140"/>
    </row>
    <row r="409" spans="1:15">
      <c r="A409" s="76">
        <f>'BC.114+320'!B408</f>
        <v>45438</v>
      </c>
      <c r="B409" s="140">
        <f t="shared" si="27"/>
        <v>395</v>
      </c>
      <c r="C409" s="142">
        <f>'BC.114+320'!M408/1000</f>
        <v>2.02</v>
      </c>
      <c r="D409" s="142">
        <f>'BC.114+320'!AA408</f>
        <v>2.3689999999999998</v>
      </c>
      <c r="E409" s="143">
        <f>'BC.114+320'!AB408</f>
        <v>1.92</v>
      </c>
      <c r="F409" s="142">
        <f>VLOOKUP($A409,'BC.114+320'!$B$13:$X$489,8,0)/1000</f>
        <v>2.5640000000000001</v>
      </c>
      <c r="G409" s="142">
        <f>VLOOKUP($A409,'BC.114+320'!$B$13:$X$489,9,0)/1000</f>
        <v>-0.436</v>
      </c>
      <c r="H409" s="142">
        <f>VLOOKUP($A409,'BC.114+320'!$B$13:$X$489,14,0)/1000</f>
        <v>2.54</v>
      </c>
      <c r="I409" s="142">
        <f>VLOOKUP($A409,'BC.114+320'!$B$13:$X$489,15,0)/1000</f>
        <v>-0.46</v>
      </c>
      <c r="J409" s="142">
        <f>VLOOKUP($A409,'BC.114+320'!$B$13:$X$489,20,0)/1000</f>
        <v>2.66</v>
      </c>
      <c r="K409" s="142">
        <f>VLOOKUP($A409,'BC.114+320'!$B$13:$X$489,21,0)/1000</f>
        <v>-0.34</v>
      </c>
      <c r="L409" s="140">
        <f t="shared" si="24"/>
        <v>-256</v>
      </c>
      <c r="M409" s="141">
        <f t="shared" si="25"/>
        <v>-280</v>
      </c>
      <c r="N409" s="140">
        <f t="shared" si="26"/>
        <v>-220.00000000000003</v>
      </c>
      <c r="O409" s="140"/>
    </row>
    <row r="410" spans="1:15">
      <c r="A410" s="76">
        <f>'BC.114+320'!B409</f>
        <v>45439</v>
      </c>
      <c r="B410" s="140">
        <f t="shared" si="27"/>
        <v>396</v>
      </c>
      <c r="C410" s="142">
        <f>'BC.114+320'!M409/1000</f>
        <v>2.02</v>
      </c>
      <c r="D410" s="142">
        <f>'BC.114+320'!AA409</f>
        <v>2.3689999999999998</v>
      </c>
      <c r="E410" s="143">
        <f>'BC.114+320'!AB409</f>
        <v>1.92</v>
      </c>
      <c r="F410" s="142">
        <f>VLOOKUP($A410,'BC.114+320'!$B$13:$X$489,8,0)/1000</f>
        <v>2.5640000000000001</v>
      </c>
      <c r="G410" s="142">
        <f>VLOOKUP($A410,'BC.114+320'!$B$13:$X$489,9,0)/1000</f>
        <v>-0.436</v>
      </c>
      <c r="H410" s="142">
        <f>VLOOKUP($A410,'BC.114+320'!$B$13:$X$489,14,0)/1000</f>
        <v>2.54</v>
      </c>
      <c r="I410" s="142">
        <f>VLOOKUP($A410,'BC.114+320'!$B$13:$X$489,15,0)/1000</f>
        <v>-0.46</v>
      </c>
      <c r="J410" s="142">
        <f>VLOOKUP($A410,'BC.114+320'!$B$13:$X$489,20,0)/1000</f>
        <v>2.66</v>
      </c>
      <c r="K410" s="142">
        <f>VLOOKUP($A410,'BC.114+320'!$B$13:$X$489,21,0)/1000</f>
        <v>-0.34</v>
      </c>
      <c r="L410" s="140">
        <f t="shared" si="24"/>
        <v>-256</v>
      </c>
      <c r="M410" s="141">
        <f t="shared" si="25"/>
        <v>-280</v>
      </c>
      <c r="N410" s="140">
        <f t="shared" si="26"/>
        <v>-220.00000000000003</v>
      </c>
      <c r="O410" s="140"/>
    </row>
    <row r="411" spans="1:15">
      <c r="A411" s="76">
        <f>'BC.114+320'!B410</f>
        <v>45440</v>
      </c>
      <c r="B411" s="140">
        <f t="shared" si="27"/>
        <v>397</v>
      </c>
      <c r="C411" s="142">
        <f>'BC.114+320'!M410/1000</f>
        <v>2.02</v>
      </c>
      <c r="D411" s="142">
        <f>'BC.114+320'!AA410</f>
        <v>2.3689999999999998</v>
      </c>
      <c r="E411" s="143">
        <f>'BC.114+320'!AB410</f>
        <v>1.92</v>
      </c>
      <c r="F411" s="142">
        <f>VLOOKUP($A411,'BC.114+320'!$B$13:$X$489,8,0)/1000</f>
        <v>2.5640000000000001</v>
      </c>
      <c r="G411" s="142">
        <f>VLOOKUP($A411,'BC.114+320'!$B$13:$X$489,9,0)/1000</f>
        <v>-0.436</v>
      </c>
      <c r="H411" s="142">
        <f>VLOOKUP($A411,'BC.114+320'!$B$13:$X$489,14,0)/1000</f>
        <v>2.54</v>
      </c>
      <c r="I411" s="142">
        <f>VLOOKUP($A411,'BC.114+320'!$B$13:$X$489,15,0)/1000</f>
        <v>-0.46</v>
      </c>
      <c r="J411" s="142">
        <f>VLOOKUP($A411,'BC.114+320'!$B$13:$X$489,20,0)/1000</f>
        <v>2.66</v>
      </c>
      <c r="K411" s="142">
        <f>VLOOKUP($A411,'BC.114+320'!$B$13:$X$489,21,0)/1000</f>
        <v>-0.34</v>
      </c>
      <c r="L411" s="140">
        <f t="shared" si="24"/>
        <v>-256</v>
      </c>
      <c r="M411" s="141">
        <f t="shared" si="25"/>
        <v>-280</v>
      </c>
      <c r="N411" s="140">
        <f t="shared" si="26"/>
        <v>-220.00000000000003</v>
      </c>
      <c r="O411" s="140"/>
    </row>
    <row r="412" spans="1:15">
      <c r="A412" s="76">
        <f>'BC.114+320'!B411</f>
        <v>45441</v>
      </c>
      <c r="B412" s="140">
        <f t="shared" si="27"/>
        <v>398</v>
      </c>
      <c r="C412" s="142">
        <f>'BC.114+320'!M411/1000</f>
        <v>2.02</v>
      </c>
      <c r="D412" s="142">
        <f>'BC.114+320'!AA411</f>
        <v>2.3689999999999998</v>
      </c>
      <c r="E412" s="143">
        <f>'BC.114+320'!AB411</f>
        <v>1.92</v>
      </c>
      <c r="F412" s="142">
        <f>VLOOKUP($A412,'BC.114+320'!$B$13:$X$489,8,0)/1000</f>
        <v>2.5640000000000001</v>
      </c>
      <c r="G412" s="142">
        <f>VLOOKUP($A412,'BC.114+320'!$B$13:$X$489,9,0)/1000</f>
        <v>-0.436</v>
      </c>
      <c r="H412" s="142">
        <f>VLOOKUP($A412,'BC.114+320'!$B$13:$X$489,14,0)/1000</f>
        <v>2.54</v>
      </c>
      <c r="I412" s="142">
        <f>VLOOKUP($A412,'BC.114+320'!$B$13:$X$489,15,0)/1000</f>
        <v>-0.46</v>
      </c>
      <c r="J412" s="142">
        <f>VLOOKUP($A412,'BC.114+320'!$B$13:$X$489,20,0)/1000</f>
        <v>2.66</v>
      </c>
      <c r="K412" s="142">
        <f>VLOOKUP($A412,'BC.114+320'!$B$13:$X$489,21,0)/1000</f>
        <v>-0.34</v>
      </c>
      <c r="L412" s="140">
        <f t="shared" si="24"/>
        <v>-256</v>
      </c>
      <c r="M412" s="141">
        <f t="shared" si="25"/>
        <v>-280</v>
      </c>
      <c r="N412" s="140">
        <f t="shared" si="26"/>
        <v>-220.00000000000003</v>
      </c>
      <c r="O412" s="140"/>
    </row>
    <row r="413" spans="1:15">
      <c r="A413" s="76">
        <f>'BC.114+320'!B412</f>
        <v>45442</v>
      </c>
      <c r="B413" s="140">
        <f t="shared" si="27"/>
        <v>399</v>
      </c>
      <c r="C413" s="142">
        <f>'BC.114+320'!M412/1000</f>
        <v>2.02</v>
      </c>
      <c r="D413" s="142">
        <f>'BC.114+320'!AA412</f>
        <v>2.3689999999999998</v>
      </c>
      <c r="E413" s="143">
        <f>'BC.114+320'!AB412</f>
        <v>1.92</v>
      </c>
      <c r="F413" s="142">
        <f>VLOOKUP($A413,'BC.114+320'!$B$13:$X$489,8,0)/1000</f>
        <v>2.5640000000000001</v>
      </c>
      <c r="G413" s="142">
        <f>VLOOKUP($A413,'BC.114+320'!$B$13:$X$489,9,0)/1000</f>
        <v>-0.436</v>
      </c>
      <c r="H413" s="142">
        <f>VLOOKUP($A413,'BC.114+320'!$B$13:$X$489,14,0)/1000</f>
        <v>2.54</v>
      </c>
      <c r="I413" s="142">
        <f>VLOOKUP($A413,'BC.114+320'!$B$13:$X$489,15,0)/1000</f>
        <v>-0.46</v>
      </c>
      <c r="J413" s="142">
        <f>VLOOKUP($A413,'BC.114+320'!$B$13:$X$489,20,0)/1000</f>
        <v>2.66</v>
      </c>
      <c r="K413" s="142">
        <f>VLOOKUP($A413,'BC.114+320'!$B$13:$X$489,21,0)/1000</f>
        <v>-0.34</v>
      </c>
      <c r="L413" s="140">
        <f t="shared" si="24"/>
        <v>-256</v>
      </c>
      <c r="M413" s="141">
        <f t="shared" si="25"/>
        <v>-280</v>
      </c>
      <c r="N413" s="140">
        <f t="shared" si="26"/>
        <v>-220.00000000000003</v>
      </c>
      <c r="O413" s="140"/>
    </row>
    <row r="414" spans="1:15">
      <c r="A414" s="76">
        <f>'BC.114+320'!B413</f>
        <v>45443</v>
      </c>
      <c r="B414" s="140">
        <f t="shared" si="27"/>
        <v>400</v>
      </c>
      <c r="C414" s="142">
        <f>'BC.114+320'!M413/1000</f>
        <v>2.02</v>
      </c>
      <c r="D414" s="142">
        <f>'BC.114+320'!AA413</f>
        <v>2.3689999999999998</v>
      </c>
      <c r="E414" s="143">
        <f>'BC.114+320'!AB413</f>
        <v>1.92</v>
      </c>
      <c r="F414" s="142">
        <f>VLOOKUP($A414,'BC.114+320'!$B$13:$X$489,8,0)/1000</f>
        <v>2.5640000000000001</v>
      </c>
      <c r="G414" s="142">
        <f>VLOOKUP($A414,'BC.114+320'!$B$13:$X$489,9,0)/1000</f>
        <v>-0.436</v>
      </c>
      <c r="H414" s="142">
        <f>VLOOKUP($A414,'BC.114+320'!$B$13:$X$489,14,0)/1000</f>
        <v>2.54</v>
      </c>
      <c r="I414" s="142">
        <f>VLOOKUP($A414,'BC.114+320'!$B$13:$X$489,15,0)/1000</f>
        <v>-0.46</v>
      </c>
      <c r="J414" s="142">
        <f>VLOOKUP($A414,'BC.114+320'!$B$13:$X$489,20,0)/1000</f>
        <v>2.66</v>
      </c>
      <c r="K414" s="142">
        <f>VLOOKUP($A414,'BC.114+320'!$B$13:$X$489,21,0)/1000</f>
        <v>-0.34</v>
      </c>
      <c r="L414" s="140">
        <f t="shared" si="24"/>
        <v>-256</v>
      </c>
      <c r="M414" s="141">
        <f t="shared" si="25"/>
        <v>-280</v>
      </c>
      <c r="N414" s="140">
        <f t="shared" si="26"/>
        <v>-220.00000000000003</v>
      </c>
      <c r="O414" s="140"/>
    </row>
    <row r="415" spans="1:15">
      <c r="A415" s="76">
        <f>'BC.114+320'!B414</f>
        <v>45444</v>
      </c>
      <c r="B415" s="140">
        <f t="shared" si="27"/>
        <v>401</v>
      </c>
      <c r="C415" s="142">
        <f>'BC.114+320'!M414/1000</f>
        <v>2.02</v>
      </c>
      <c r="D415" s="142">
        <f>'BC.114+320'!AA414</f>
        <v>2.3689999999999998</v>
      </c>
      <c r="E415" s="143">
        <f>'BC.114+320'!AB414</f>
        <v>1.92</v>
      </c>
      <c r="F415" s="142">
        <f>VLOOKUP($A415,'BC.114+320'!$B$13:$X$489,8,0)/1000</f>
        <v>2.5640000000000001</v>
      </c>
      <c r="G415" s="142">
        <f>VLOOKUP($A415,'BC.114+320'!$B$13:$X$489,9,0)/1000</f>
        <v>-0.436</v>
      </c>
      <c r="H415" s="142">
        <f>VLOOKUP($A415,'BC.114+320'!$B$13:$X$489,14,0)/1000</f>
        <v>2.54</v>
      </c>
      <c r="I415" s="142">
        <f>VLOOKUP($A415,'BC.114+320'!$B$13:$X$489,15,0)/1000</f>
        <v>-0.46</v>
      </c>
      <c r="J415" s="142">
        <f>VLOOKUP($A415,'BC.114+320'!$B$13:$X$489,20,0)/1000</f>
        <v>2.66</v>
      </c>
      <c r="K415" s="142">
        <f>VLOOKUP($A415,'BC.114+320'!$B$13:$X$489,21,0)/1000</f>
        <v>-0.34</v>
      </c>
      <c r="L415" s="140">
        <f t="shared" si="24"/>
        <v>-256</v>
      </c>
      <c r="M415" s="141">
        <f t="shared" si="25"/>
        <v>-280</v>
      </c>
      <c r="N415" s="140">
        <f t="shared" si="26"/>
        <v>-220.00000000000003</v>
      </c>
      <c r="O415" s="140"/>
    </row>
    <row r="416" spans="1:15">
      <c r="A416" s="76">
        <f>'BC.114+320'!B415</f>
        <v>45445</v>
      </c>
      <c r="B416" s="140">
        <f t="shared" si="27"/>
        <v>402</v>
      </c>
      <c r="C416" s="142">
        <f>'BC.114+320'!M415/1000</f>
        <v>2.02</v>
      </c>
      <c r="D416" s="142">
        <f>'BC.114+320'!AA415</f>
        <v>2.3689999999999998</v>
      </c>
      <c r="E416" s="143">
        <f>'BC.114+320'!AB415</f>
        <v>1.92</v>
      </c>
      <c r="F416" s="142">
        <f>VLOOKUP($A416,'BC.114+320'!$B$13:$X$489,8,0)/1000</f>
        <v>2.5640000000000001</v>
      </c>
      <c r="G416" s="142">
        <f>VLOOKUP($A416,'BC.114+320'!$B$13:$X$489,9,0)/1000</f>
        <v>-0.436</v>
      </c>
      <c r="H416" s="142">
        <f>VLOOKUP($A416,'BC.114+320'!$B$13:$X$489,14,0)/1000</f>
        <v>2.54</v>
      </c>
      <c r="I416" s="142">
        <f>VLOOKUP($A416,'BC.114+320'!$B$13:$X$489,15,0)/1000</f>
        <v>-0.46</v>
      </c>
      <c r="J416" s="142">
        <f>VLOOKUP($A416,'BC.114+320'!$B$13:$X$489,20,0)/1000</f>
        <v>2.66</v>
      </c>
      <c r="K416" s="142">
        <f>VLOOKUP($A416,'BC.114+320'!$B$13:$X$489,21,0)/1000</f>
        <v>-0.34</v>
      </c>
      <c r="L416" s="140">
        <f t="shared" si="24"/>
        <v>-256</v>
      </c>
      <c r="M416" s="141">
        <f t="shared" si="25"/>
        <v>-280</v>
      </c>
      <c r="N416" s="140">
        <f t="shared" si="26"/>
        <v>-220.00000000000003</v>
      </c>
      <c r="O416" s="140"/>
    </row>
    <row r="417" spans="1:15">
      <c r="A417" s="76">
        <f>'BC.114+320'!B416</f>
        <v>45446</v>
      </c>
      <c r="B417" s="140">
        <f t="shared" si="27"/>
        <v>403</v>
      </c>
      <c r="C417" s="142">
        <f>'BC.114+320'!M416/1000</f>
        <v>2.02</v>
      </c>
      <c r="D417" s="142">
        <f>'BC.114+320'!AA416</f>
        <v>2.3689999999999998</v>
      </c>
      <c r="E417" s="143">
        <f>'BC.114+320'!AB416</f>
        <v>1.92</v>
      </c>
      <c r="F417" s="142">
        <f>VLOOKUP($A417,'BC.114+320'!$B$13:$X$489,8,0)/1000</f>
        <v>2.5640000000000001</v>
      </c>
      <c r="G417" s="142">
        <f>VLOOKUP($A417,'BC.114+320'!$B$13:$X$489,9,0)/1000</f>
        <v>-0.436</v>
      </c>
      <c r="H417" s="142">
        <f>VLOOKUP($A417,'BC.114+320'!$B$13:$X$489,14,0)/1000</f>
        <v>2.54</v>
      </c>
      <c r="I417" s="142">
        <f>VLOOKUP($A417,'BC.114+320'!$B$13:$X$489,15,0)/1000</f>
        <v>-0.46</v>
      </c>
      <c r="J417" s="142">
        <f>VLOOKUP($A417,'BC.114+320'!$B$13:$X$489,20,0)/1000</f>
        <v>2.66</v>
      </c>
      <c r="K417" s="142">
        <f>VLOOKUP($A417,'BC.114+320'!$B$13:$X$489,21,0)/1000</f>
        <v>-0.34</v>
      </c>
      <c r="L417" s="140">
        <f t="shared" si="24"/>
        <v>-256</v>
      </c>
      <c r="M417" s="141">
        <f t="shared" si="25"/>
        <v>-280</v>
      </c>
      <c r="N417" s="140">
        <f t="shared" si="26"/>
        <v>-220.00000000000003</v>
      </c>
      <c r="O417" s="140"/>
    </row>
    <row r="418" spans="1:15">
      <c r="A418" s="76">
        <f>'BC.114+320'!B417</f>
        <v>45447</v>
      </c>
      <c r="B418" s="140">
        <f t="shared" si="27"/>
        <v>404</v>
      </c>
      <c r="C418" s="142">
        <f>'BC.114+320'!M417/1000</f>
        <v>2.02</v>
      </c>
      <c r="D418" s="142">
        <f>'BC.114+320'!AA417</f>
        <v>2.3689999999999998</v>
      </c>
      <c r="E418" s="143">
        <f>'BC.114+320'!AB417</f>
        <v>1.92</v>
      </c>
      <c r="F418" s="142">
        <f>VLOOKUP($A418,'BC.114+320'!$B$13:$X$489,8,0)/1000</f>
        <v>2.5640000000000001</v>
      </c>
      <c r="G418" s="142">
        <f>VLOOKUP($A418,'BC.114+320'!$B$13:$X$489,9,0)/1000</f>
        <v>-0.436</v>
      </c>
      <c r="H418" s="142">
        <f>VLOOKUP($A418,'BC.114+320'!$B$13:$X$489,14,0)/1000</f>
        <v>2.54</v>
      </c>
      <c r="I418" s="142">
        <f>VLOOKUP($A418,'BC.114+320'!$B$13:$X$489,15,0)/1000</f>
        <v>-0.46</v>
      </c>
      <c r="J418" s="142">
        <f>VLOOKUP($A418,'BC.114+320'!$B$13:$X$489,20,0)/1000</f>
        <v>2.66</v>
      </c>
      <c r="K418" s="142">
        <f>VLOOKUP($A418,'BC.114+320'!$B$13:$X$489,21,0)/1000</f>
        <v>-0.34</v>
      </c>
      <c r="L418" s="140">
        <f t="shared" si="24"/>
        <v>-256</v>
      </c>
      <c r="M418" s="141">
        <f t="shared" si="25"/>
        <v>-280</v>
      </c>
      <c r="N418" s="140">
        <f t="shared" si="26"/>
        <v>-220.00000000000003</v>
      </c>
      <c r="O418" s="140"/>
    </row>
    <row r="419" spans="1:15">
      <c r="A419" s="76">
        <f>'BC.114+320'!B418</f>
        <v>45448</v>
      </c>
      <c r="B419" s="140">
        <f t="shared" si="27"/>
        <v>405</v>
      </c>
      <c r="C419" s="142">
        <f>'BC.114+320'!M418/1000</f>
        <v>2.02</v>
      </c>
      <c r="D419" s="142">
        <f>'BC.114+320'!AA418</f>
        <v>2.3689999999999998</v>
      </c>
      <c r="E419" s="143">
        <f>'BC.114+320'!AB418</f>
        <v>1.92</v>
      </c>
      <c r="F419" s="142">
        <f>VLOOKUP($A419,'BC.114+320'!$B$13:$X$489,8,0)/1000</f>
        <v>2.5640000000000001</v>
      </c>
      <c r="G419" s="142">
        <f>VLOOKUP($A419,'BC.114+320'!$B$13:$X$489,9,0)/1000</f>
        <v>-0.436</v>
      </c>
      <c r="H419" s="142">
        <f>VLOOKUP($A419,'BC.114+320'!$B$13:$X$489,14,0)/1000</f>
        <v>2.54</v>
      </c>
      <c r="I419" s="142">
        <f>VLOOKUP($A419,'BC.114+320'!$B$13:$X$489,15,0)/1000</f>
        <v>-0.46</v>
      </c>
      <c r="J419" s="142">
        <f>VLOOKUP($A419,'BC.114+320'!$B$13:$X$489,20,0)/1000</f>
        <v>2.66</v>
      </c>
      <c r="K419" s="142">
        <f>VLOOKUP($A419,'BC.114+320'!$B$13:$X$489,21,0)/1000</f>
        <v>-0.34</v>
      </c>
      <c r="L419" s="140">
        <f t="shared" si="24"/>
        <v>-256</v>
      </c>
      <c r="M419" s="141">
        <f t="shared" si="25"/>
        <v>-280</v>
      </c>
      <c r="N419" s="140">
        <f t="shared" si="26"/>
        <v>-220.00000000000003</v>
      </c>
      <c r="O419" s="140"/>
    </row>
    <row r="420" spans="1:15">
      <c r="A420" s="76">
        <f>'BC.114+320'!B419</f>
        <v>45449</v>
      </c>
      <c r="B420" s="140">
        <f t="shared" si="27"/>
        <v>406</v>
      </c>
      <c r="C420" s="142">
        <f>'BC.114+320'!M419/1000</f>
        <v>2.02</v>
      </c>
      <c r="D420" s="142">
        <f>'BC.114+320'!AA419</f>
        <v>2.3689999999999998</v>
      </c>
      <c r="E420" s="143">
        <f>'BC.114+320'!AB419</f>
        <v>1.92</v>
      </c>
      <c r="F420" s="142">
        <f>VLOOKUP($A420,'BC.114+320'!$B$13:$X$489,8,0)/1000</f>
        <v>2.5640000000000001</v>
      </c>
      <c r="G420" s="142">
        <f>VLOOKUP($A420,'BC.114+320'!$B$13:$X$489,9,0)/1000</f>
        <v>-0.436</v>
      </c>
      <c r="H420" s="142">
        <f>VLOOKUP($A420,'BC.114+320'!$B$13:$X$489,14,0)/1000</f>
        <v>2.54</v>
      </c>
      <c r="I420" s="142">
        <f>VLOOKUP($A420,'BC.114+320'!$B$13:$X$489,15,0)/1000</f>
        <v>-0.46</v>
      </c>
      <c r="J420" s="142">
        <f>VLOOKUP($A420,'BC.114+320'!$B$13:$X$489,20,0)/1000</f>
        <v>2.66</v>
      </c>
      <c r="K420" s="142">
        <f>VLOOKUP($A420,'BC.114+320'!$B$13:$X$489,21,0)/1000</f>
        <v>-0.34</v>
      </c>
      <c r="L420" s="140">
        <f t="shared" si="24"/>
        <v>-256</v>
      </c>
      <c r="M420" s="141">
        <f t="shared" si="25"/>
        <v>-280</v>
      </c>
      <c r="N420" s="140">
        <f t="shared" si="26"/>
        <v>-220.00000000000003</v>
      </c>
      <c r="O420" s="140"/>
    </row>
    <row r="421" spans="1:15">
      <c r="A421" s="76">
        <f>'BC.114+320'!B420</f>
        <v>45450</v>
      </c>
      <c r="B421" s="140">
        <f t="shared" si="27"/>
        <v>407</v>
      </c>
      <c r="C421" s="142">
        <f>'BC.114+320'!M420/1000</f>
        <v>2.02</v>
      </c>
      <c r="D421" s="142">
        <f>'BC.114+320'!AA420</f>
        <v>2.3689999999999998</v>
      </c>
      <c r="E421" s="143">
        <f>'BC.114+320'!AB420</f>
        <v>1.92</v>
      </c>
      <c r="F421" s="142">
        <f>VLOOKUP($A421,'BC.114+320'!$B$13:$X$489,8,0)/1000</f>
        <v>2.5640000000000001</v>
      </c>
      <c r="G421" s="142">
        <f>VLOOKUP($A421,'BC.114+320'!$B$13:$X$489,9,0)/1000</f>
        <v>-0.436</v>
      </c>
      <c r="H421" s="142">
        <f>VLOOKUP($A421,'BC.114+320'!$B$13:$X$489,14,0)/1000</f>
        <v>2.54</v>
      </c>
      <c r="I421" s="142">
        <f>VLOOKUP($A421,'BC.114+320'!$B$13:$X$489,15,0)/1000</f>
        <v>-0.46</v>
      </c>
      <c r="J421" s="142">
        <f>VLOOKUP($A421,'BC.114+320'!$B$13:$X$489,20,0)/1000</f>
        <v>2.66</v>
      </c>
      <c r="K421" s="142">
        <f>VLOOKUP($A421,'BC.114+320'!$B$13:$X$489,21,0)/1000</f>
        <v>-0.34</v>
      </c>
      <c r="L421" s="140">
        <f t="shared" si="24"/>
        <v>-256</v>
      </c>
      <c r="M421" s="141">
        <f t="shared" si="25"/>
        <v>-280</v>
      </c>
      <c r="N421" s="140">
        <f t="shared" si="26"/>
        <v>-220.00000000000003</v>
      </c>
      <c r="O421" s="140"/>
    </row>
    <row r="422" spans="1:15">
      <c r="A422" s="76">
        <f>'BC.114+320'!B421</f>
        <v>45451</v>
      </c>
      <c r="B422" s="140">
        <f t="shared" si="27"/>
        <v>408</v>
      </c>
      <c r="C422" s="142">
        <f>'BC.114+320'!M421/1000</f>
        <v>2.02</v>
      </c>
      <c r="D422" s="142">
        <f>'BC.114+320'!AA421</f>
        <v>2.3689999999999998</v>
      </c>
      <c r="E422" s="143">
        <f>'BC.114+320'!AB421</f>
        <v>1.92</v>
      </c>
      <c r="F422" s="142">
        <f>VLOOKUP($A422,'BC.114+320'!$B$13:$X$489,8,0)/1000</f>
        <v>2.5640000000000001</v>
      </c>
      <c r="G422" s="142">
        <f>VLOOKUP($A422,'BC.114+320'!$B$13:$X$489,9,0)/1000</f>
        <v>-0.436</v>
      </c>
      <c r="H422" s="142">
        <f>VLOOKUP($A422,'BC.114+320'!$B$13:$X$489,14,0)/1000</f>
        <v>2.54</v>
      </c>
      <c r="I422" s="142">
        <f>VLOOKUP($A422,'BC.114+320'!$B$13:$X$489,15,0)/1000</f>
        <v>-0.46</v>
      </c>
      <c r="J422" s="142">
        <f>VLOOKUP($A422,'BC.114+320'!$B$13:$X$489,20,0)/1000</f>
        <v>2.66</v>
      </c>
      <c r="K422" s="142">
        <f>VLOOKUP($A422,'BC.114+320'!$B$13:$X$489,21,0)/1000</f>
        <v>-0.34</v>
      </c>
      <c r="L422" s="140">
        <f t="shared" si="24"/>
        <v>-256</v>
      </c>
      <c r="M422" s="141">
        <f t="shared" si="25"/>
        <v>-280</v>
      </c>
      <c r="N422" s="140">
        <f t="shared" si="26"/>
        <v>-220.00000000000003</v>
      </c>
      <c r="O422" s="140"/>
    </row>
    <row r="423" spans="1:15">
      <c r="A423" s="76">
        <f>'BC.114+320'!B422</f>
        <v>45452</v>
      </c>
      <c r="B423" s="140">
        <f t="shared" si="27"/>
        <v>409</v>
      </c>
      <c r="C423" s="142">
        <f>'BC.114+320'!M422/1000</f>
        <v>2.02</v>
      </c>
      <c r="D423" s="142">
        <f>'BC.114+320'!AA422</f>
        <v>2.3689999999999998</v>
      </c>
      <c r="E423" s="143">
        <f>'BC.114+320'!AB422</f>
        <v>1.92</v>
      </c>
      <c r="F423" s="142">
        <f>VLOOKUP($A423,'BC.114+320'!$B$13:$X$489,8,0)/1000</f>
        <v>2.5640000000000001</v>
      </c>
      <c r="G423" s="142">
        <f>VLOOKUP($A423,'BC.114+320'!$B$13:$X$489,9,0)/1000</f>
        <v>-0.436</v>
      </c>
      <c r="H423" s="142">
        <f>VLOOKUP($A423,'BC.114+320'!$B$13:$X$489,14,0)/1000</f>
        <v>2.54</v>
      </c>
      <c r="I423" s="142">
        <f>VLOOKUP($A423,'BC.114+320'!$B$13:$X$489,15,0)/1000</f>
        <v>-0.46</v>
      </c>
      <c r="J423" s="142">
        <f>VLOOKUP($A423,'BC.114+320'!$B$13:$X$489,20,0)/1000</f>
        <v>2.66</v>
      </c>
      <c r="K423" s="142">
        <f>VLOOKUP($A423,'BC.114+320'!$B$13:$X$489,21,0)/1000</f>
        <v>-0.34</v>
      </c>
      <c r="L423" s="140">
        <f t="shared" si="24"/>
        <v>-256</v>
      </c>
      <c r="M423" s="141">
        <f t="shared" si="25"/>
        <v>-280</v>
      </c>
      <c r="N423" s="140">
        <f t="shared" si="26"/>
        <v>-220.00000000000003</v>
      </c>
      <c r="O423" s="140"/>
    </row>
    <row r="424" spans="1:15">
      <c r="A424" s="76">
        <f>'BC.114+320'!B423</f>
        <v>45453</v>
      </c>
      <c r="B424" s="140">
        <f t="shared" si="27"/>
        <v>410</v>
      </c>
      <c r="C424" s="142">
        <f>'BC.114+320'!M423/1000</f>
        <v>2.02</v>
      </c>
      <c r="D424" s="142">
        <f>'BC.114+320'!AA423</f>
        <v>2.3689999999999998</v>
      </c>
      <c r="E424" s="143">
        <f>'BC.114+320'!AB423</f>
        <v>1.92</v>
      </c>
      <c r="F424" s="142">
        <f>VLOOKUP($A424,'BC.114+320'!$B$13:$X$489,8,0)/1000</f>
        <v>2.5640000000000001</v>
      </c>
      <c r="G424" s="142">
        <f>VLOOKUP($A424,'BC.114+320'!$B$13:$X$489,9,0)/1000</f>
        <v>-0.436</v>
      </c>
      <c r="H424" s="142">
        <f>VLOOKUP($A424,'BC.114+320'!$B$13:$X$489,14,0)/1000</f>
        <v>2.54</v>
      </c>
      <c r="I424" s="142">
        <f>VLOOKUP($A424,'BC.114+320'!$B$13:$X$489,15,0)/1000</f>
        <v>-0.46</v>
      </c>
      <c r="J424" s="142">
        <f>VLOOKUP($A424,'BC.114+320'!$B$13:$X$489,20,0)/1000</f>
        <v>2.66</v>
      </c>
      <c r="K424" s="142">
        <f>VLOOKUP($A424,'BC.114+320'!$B$13:$X$489,21,0)/1000</f>
        <v>-0.34</v>
      </c>
      <c r="L424" s="140">
        <f t="shared" si="24"/>
        <v>-256</v>
      </c>
      <c r="M424" s="141">
        <f t="shared" si="25"/>
        <v>-280</v>
      </c>
      <c r="N424" s="140">
        <f t="shared" si="26"/>
        <v>-220.00000000000003</v>
      </c>
      <c r="O424" s="140"/>
    </row>
    <row r="425" spans="1:15">
      <c r="A425" s="76">
        <f>'BC.114+320'!B424</f>
        <v>45454</v>
      </c>
      <c r="B425" s="140">
        <f t="shared" si="27"/>
        <v>411</v>
      </c>
      <c r="C425" s="142">
        <f>'BC.114+320'!M424/1000</f>
        <v>2.02</v>
      </c>
      <c r="D425" s="142">
        <f>'BC.114+320'!AA424</f>
        <v>2.3689999999999998</v>
      </c>
      <c r="E425" s="143">
        <f>'BC.114+320'!AB424</f>
        <v>1.92</v>
      </c>
      <c r="F425" s="142">
        <f>VLOOKUP($A425,'BC.114+320'!$B$13:$X$489,8,0)/1000</f>
        <v>2.5640000000000001</v>
      </c>
      <c r="G425" s="142">
        <f>VLOOKUP($A425,'BC.114+320'!$B$13:$X$489,9,0)/1000</f>
        <v>-0.436</v>
      </c>
      <c r="H425" s="142">
        <f>VLOOKUP($A425,'BC.114+320'!$B$13:$X$489,14,0)/1000</f>
        <v>2.54</v>
      </c>
      <c r="I425" s="142">
        <f>VLOOKUP($A425,'BC.114+320'!$B$13:$X$489,15,0)/1000</f>
        <v>-0.46</v>
      </c>
      <c r="J425" s="142">
        <f>VLOOKUP($A425,'BC.114+320'!$B$13:$X$489,20,0)/1000</f>
        <v>2.66</v>
      </c>
      <c r="K425" s="142">
        <f>VLOOKUP($A425,'BC.114+320'!$B$13:$X$489,21,0)/1000</f>
        <v>-0.34</v>
      </c>
      <c r="L425" s="140">
        <f t="shared" si="24"/>
        <v>-256</v>
      </c>
      <c r="M425" s="141">
        <f t="shared" si="25"/>
        <v>-280</v>
      </c>
      <c r="N425" s="140">
        <f t="shared" si="26"/>
        <v>-220.00000000000003</v>
      </c>
      <c r="O425" s="140"/>
    </row>
    <row r="426" spans="1:15">
      <c r="A426" s="76">
        <f>'BC.114+320'!B425</f>
        <v>45455</v>
      </c>
      <c r="B426" s="140">
        <f t="shared" si="27"/>
        <v>412</v>
      </c>
      <c r="C426" s="142">
        <f>'BC.114+320'!M425/1000</f>
        <v>2.02</v>
      </c>
      <c r="D426" s="142">
        <f>'BC.114+320'!AA425</f>
        <v>2.3689999999999998</v>
      </c>
      <c r="E426" s="143">
        <f>'BC.114+320'!AB425</f>
        <v>1.92</v>
      </c>
      <c r="F426" s="142">
        <f>VLOOKUP($A426,'BC.114+320'!$B$13:$X$489,8,0)/1000</f>
        <v>2.5640000000000001</v>
      </c>
      <c r="G426" s="142">
        <f>VLOOKUP($A426,'BC.114+320'!$B$13:$X$489,9,0)/1000</f>
        <v>-0.436</v>
      </c>
      <c r="H426" s="142">
        <f>VLOOKUP($A426,'BC.114+320'!$B$13:$X$489,14,0)/1000</f>
        <v>2.54</v>
      </c>
      <c r="I426" s="142">
        <f>VLOOKUP($A426,'BC.114+320'!$B$13:$X$489,15,0)/1000</f>
        <v>-0.46</v>
      </c>
      <c r="J426" s="142">
        <f>VLOOKUP($A426,'BC.114+320'!$B$13:$X$489,20,0)/1000</f>
        <v>2.66</v>
      </c>
      <c r="K426" s="142">
        <f>VLOOKUP($A426,'BC.114+320'!$B$13:$X$489,21,0)/1000</f>
        <v>-0.34</v>
      </c>
      <c r="L426" s="140">
        <f t="shared" si="24"/>
        <v>-256</v>
      </c>
      <c r="M426" s="141">
        <f t="shared" si="25"/>
        <v>-280</v>
      </c>
      <c r="N426" s="140">
        <f t="shared" si="26"/>
        <v>-220.00000000000003</v>
      </c>
      <c r="O426" s="140"/>
    </row>
    <row r="427" spans="1:15">
      <c r="A427" s="76">
        <f>'BC.114+320'!B426</f>
        <v>45456</v>
      </c>
      <c r="B427" s="140">
        <f t="shared" si="27"/>
        <v>413</v>
      </c>
      <c r="C427" s="142">
        <f>'BC.114+320'!M426/1000</f>
        <v>2.02</v>
      </c>
      <c r="D427" s="142">
        <f>'BC.114+320'!AA426</f>
        <v>2.3689999999999998</v>
      </c>
      <c r="E427" s="143">
        <f>'BC.114+320'!AB426</f>
        <v>1.92</v>
      </c>
      <c r="F427" s="142">
        <f>VLOOKUP($A427,'BC.114+320'!$B$13:$X$489,8,0)/1000</f>
        <v>2.5640000000000001</v>
      </c>
      <c r="G427" s="142">
        <f>VLOOKUP($A427,'BC.114+320'!$B$13:$X$489,9,0)/1000</f>
        <v>-0.436</v>
      </c>
      <c r="H427" s="142">
        <f>VLOOKUP($A427,'BC.114+320'!$B$13:$X$489,14,0)/1000</f>
        <v>2.54</v>
      </c>
      <c r="I427" s="142">
        <f>VLOOKUP($A427,'BC.114+320'!$B$13:$X$489,15,0)/1000</f>
        <v>-0.46</v>
      </c>
      <c r="J427" s="142">
        <f>VLOOKUP($A427,'BC.114+320'!$B$13:$X$489,20,0)/1000</f>
        <v>2.66</v>
      </c>
      <c r="K427" s="142">
        <f>VLOOKUP($A427,'BC.114+320'!$B$13:$X$489,21,0)/1000</f>
        <v>-0.34</v>
      </c>
      <c r="L427" s="140">
        <f t="shared" si="24"/>
        <v>-256</v>
      </c>
      <c r="M427" s="141">
        <f t="shared" si="25"/>
        <v>-280</v>
      </c>
      <c r="N427" s="140">
        <f t="shared" si="26"/>
        <v>-220.00000000000003</v>
      </c>
      <c r="O427" s="140"/>
    </row>
    <row r="428" spans="1:15">
      <c r="A428" s="76">
        <f>'BC.114+320'!B427</f>
        <v>45457</v>
      </c>
      <c r="B428" s="140">
        <f t="shared" si="27"/>
        <v>414</v>
      </c>
      <c r="C428" s="142">
        <f>'BC.114+320'!M427/1000</f>
        <v>2.02</v>
      </c>
      <c r="D428" s="142">
        <f>'BC.114+320'!AA427</f>
        <v>2.3689999999999998</v>
      </c>
      <c r="E428" s="143">
        <f>'BC.114+320'!AB427</f>
        <v>1.92</v>
      </c>
      <c r="F428" s="142">
        <f>VLOOKUP($A428,'BC.114+320'!$B$13:$X$489,8,0)/1000</f>
        <v>2.5640000000000001</v>
      </c>
      <c r="G428" s="142">
        <f>VLOOKUP($A428,'BC.114+320'!$B$13:$X$489,9,0)/1000</f>
        <v>-0.436</v>
      </c>
      <c r="H428" s="142">
        <f>VLOOKUP($A428,'BC.114+320'!$B$13:$X$489,14,0)/1000</f>
        <v>2.54</v>
      </c>
      <c r="I428" s="142">
        <f>VLOOKUP($A428,'BC.114+320'!$B$13:$X$489,15,0)/1000</f>
        <v>-0.46</v>
      </c>
      <c r="J428" s="142">
        <f>VLOOKUP($A428,'BC.114+320'!$B$13:$X$489,20,0)/1000</f>
        <v>2.66</v>
      </c>
      <c r="K428" s="142">
        <f>VLOOKUP($A428,'BC.114+320'!$B$13:$X$489,21,0)/1000</f>
        <v>-0.34</v>
      </c>
      <c r="L428" s="140">
        <f t="shared" si="24"/>
        <v>-256</v>
      </c>
      <c r="M428" s="141">
        <f t="shared" si="25"/>
        <v>-280</v>
      </c>
      <c r="N428" s="140">
        <f t="shared" si="26"/>
        <v>-220.00000000000003</v>
      </c>
      <c r="O428" s="140"/>
    </row>
    <row r="429" spans="1:15">
      <c r="A429" s="76">
        <f>'BC.114+320'!B428</f>
        <v>45458</v>
      </c>
      <c r="B429" s="140">
        <f t="shared" si="27"/>
        <v>415</v>
      </c>
      <c r="C429" s="142">
        <f>'BC.114+320'!M428/1000</f>
        <v>2.02</v>
      </c>
      <c r="D429" s="142">
        <f>'BC.114+320'!AA428</f>
        <v>2.3689999999999998</v>
      </c>
      <c r="E429" s="143">
        <f>'BC.114+320'!AB428</f>
        <v>1.92</v>
      </c>
      <c r="F429" s="142">
        <f>VLOOKUP($A429,'BC.114+320'!$B$13:$X$489,8,0)/1000</f>
        <v>2.5640000000000001</v>
      </c>
      <c r="G429" s="142">
        <f>VLOOKUP($A429,'BC.114+320'!$B$13:$X$489,9,0)/1000</f>
        <v>-0.436</v>
      </c>
      <c r="H429" s="142">
        <f>VLOOKUP($A429,'BC.114+320'!$B$13:$X$489,14,0)/1000</f>
        <v>2.54</v>
      </c>
      <c r="I429" s="142">
        <f>VLOOKUP($A429,'BC.114+320'!$B$13:$X$489,15,0)/1000</f>
        <v>-0.46</v>
      </c>
      <c r="J429" s="142">
        <f>VLOOKUP($A429,'BC.114+320'!$B$13:$X$489,20,0)/1000</f>
        <v>2.66</v>
      </c>
      <c r="K429" s="142">
        <f>VLOOKUP($A429,'BC.114+320'!$B$13:$X$489,21,0)/1000</f>
        <v>-0.34</v>
      </c>
      <c r="L429" s="140">
        <f t="shared" si="24"/>
        <v>-256</v>
      </c>
      <c r="M429" s="141">
        <f t="shared" si="25"/>
        <v>-280</v>
      </c>
      <c r="N429" s="140">
        <f t="shared" si="26"/>
        <v>-220.00000000000003</v>
      </c>
      <c r="O429" s="140"/>
    </row>
    <row r="430" spans="1:15">
      <c r="A430" s="76">
        <f>'BC.114+320'!B429</f>
        <v>45459</v>
      </c>
      <c r="B430" s="140">
        <f t="shared" si="27"/>
        <v>416</v>
      </c>
      <c r="C430" s="142">
        <f>'BC.114+320'!M429/1000</f>
        <v>2.02</v>
      </c>
      <c r="D430" s="142">
        <f>'BC.114+320'!AA429</f>
        <v>2.3689999999999998</v>
      </c>
      <c r="E430" s="143">
        <f>'BC.114+320'!AB429</f>
        <v>1.92</v>
      </c>
      <c r="F430" s="142">
        <f>VLOOKUP($A430,'BC.114+320'!$B$13:$X$489,8,0)/1000</f>
        <v>2.5640000000000001</v>
      </c>
      <c r="G430" s="142">
        <f>VLOOKUP($A430,'BC.114+320'!$B$13:$X$489,9,0)/1000</f>
        <v>-0.436</v>
      </c>
      <c r="H430" s="142">
        <f>VLOOKUP($A430,'BC.114+320'!$B$13:$X$489,14,0)/1000</f>
        <v>2.54</v>
      </c>
      <c r="I430" s="142">
        <f>VLOOKUP($A430,'BC.114+320'!$B$13:$X$489,15,0)/1000</f>
        <v>-0.46</v>
      </c>
      <c r="J430" s="142">
        <f>VLOOKUP($A430,'BC.114+320'!$B$13:$X$489,20,0)/1000</f>
        <v>2.66</v>
      </c>
      <c r="K430" s="142">
        <f>VLOOKUP($A430,'BC.114+320'!$B$13:$X$489,21,0)/1000</f>
        <v>-0.34</v>
      </c>
      <c r="L430" s="140">
        <f t="shared" si="24"/>
        <v>-256</v>
      </c>
      <c r="M430" s="141">
        <f t="shared" si="25"/>
        <v>-280</v>
      </c>
      <c r="N430" s="140">
        <f t="shared" si="26"/>
        <v>-220.00000000000003</v>
      </c>
      <c r="O430" s="140"/>
    </row>
    <row r="431" spans="1:15">
      <c r="A431" s="76">
        <f>'BC.114+320'!B430</f>
        <v>45460</v>
      </c>
      <c r="B431" s="140">
        <f t="shared" si="27"/>
        <v>417</v>
      </c>
      <c r="C431" s="142">
        <f>'BC.114+320'!M430/1000</f>
        <v>2.02</v>
      </c>
      <c r="D431" s="142">
        <f>'BC.114+320'!AA430</f>
        <v>2.3689999999999998</v>
      </c>
      <c r="E431" s="143">
        <f>'BC.114+320'!AB430</f>
        <v>1.92</v>
      </c>
      <c r="F431" s="142">
        <f>VLOOKUP($A431,'BC.114+320'!$B$13:$X$489,8,0)/1000</f>
        <v>2.5640000000000001</v>
      </c>
      <c r="G431" s="142">
        <f>VLOOKUP($A431,'BC.114+320'!$B$13:$X$489,9,0)/1000</f>
        <v>-0.436</v>
      </c>
      <c r="H431" s="142">
        <f>VLOOKUP($A431,'BC.114+320'!$B$13:$X$489,14,0)/1000</f>
        <v>2.54</v>
      </c>
      <c r="I431" s="142">
        <f>VLOOKUP($A431,'BC.114+320'!$B$13:$X$489,15,0)/1000</f>
        <v>-0.46</v>
      </c>
      <c r="J431" s="142">
        <f>VLOOKUP($A431,'BC.114+320'!$B$13:$X$489,20,0)/1000</f>
        <v>2.66</v>
      </c>
      <c r="K431" s="142">
        <f>VLOOKUP($A431,'BC.114+320'!$B$13:$X$489,21,0)/1000</f>
        <v>-0.34</v>
      </c>
      <c r="L431" s="140">
        <f t="shared" si="24"/>
        <v>-256</v>
      </c>
      <c r="M431" s="141">
        <f t="shared" si="25"/>
        <v>-280</v>
      </c>
      <c r="N431" s="140">
        <f t="shared" si="26"/>
        <v>-220.00000000000003</v>
      </c>
      <c r="O431" s="140"/>
    </row>
    <row r="432" spans="1:15">
      <c r="A432" s="76">
        <f>'BC.114+320'!B431</f>
        <v>45461</v>
      </c>
      <c r="B432" s="140">
        <f t="shared" si="27"/>
        <v>418</v>
      </c>
      <c r="C432" s="142">
        <f>'BC.114+320'!M431/1000</f>
        <v>2.02</v>
      </c>
      <c r="D432" s="142">
        <f>'BC.114+320'!AA431</f>
        <v>2.3689999999999998</v>
      </c>
      <c r="E432" s="143">
        <f>'BC.114+320'!AB431</f>
        <v>1.92</v>
      </c>
      <c r="F432" s="142">
        <f>VLOOKUP($A432,'BC.114+320'!$B$13:$X$489,8,0)/1000</f>
        <v>2.5640000000000001</v>
      </c>
      <c r="G432" s="142">
        <f>VLOOKUP($A432,'BC.114+320'!$B$13:$X$489,9,0)/1000</f>
        <v>-0.436</v>
      </c>
      <c r="H432" s="142">
        <f>VLOOKUP($A432,'BC.114+320'!$B$13:$X$489,14,0)/1000</f>
        <v>2.54</v>
      </c>
      <c r="I432" s="142">
        <f>VLOOKUP($A432,'BC.114+320'!$B$13:$X$489,15,0)/1000</f>
        <v>-0.46</v>
      </c>
      <c r="J432" s="142">
        <f>VLOOKUP($A432,'BC.114+320'!$B$13:$X$489,20,0)/1000</f>
        <v>2.66</v>
      </c>
      <c r="K432" s="142">
        <f>VLOOKUP($A432,'BC.114+320'!$B$13:$X$489,21,0)/1000</f>
        <v>-0.34</v>
      </c>
      <c r="L432" s="140">
        <f t="shared" si="24"/>
        <v>-256</v>
      </c>
      <c r="M432" s="141">
        <f t="shared" si="25"/>
        <v>-280</v>
      </c>
      <c r="N432" s="140">
        <f t="shared" si="26"/>
        <v>-220.00000000000003</v>
      </c>
      <c r="O432" s="140"/>
    </row>
    <row r="433" spans="1:15">
      <c r="A433" s="76">
        <f>'BC.114+320'!B432</f>
        <v>45462</v>
      </c>
      <c r="B433" s="140">
        <f t="shared" si="27"/>
        <v>419</v>
      </c>
      <c r="C433" s="142">
        <f>'BC.114+320'!M432/1000</f>
        <v>2.02</v>
      </c>
      <c r="D433" s="142">
        <f>'BC.114+320'!AA432</f>
        <v>2.3689999999999998</v>
      </c>
      <c r="E433" s="143">
        <f>'BC.114+320'!AB432</f>
        <v>1.92</v>
      </c>
      <c r="F433" s="142">
        <f>VLOOKUP($A433,'BC.114+320'!$B$13:$X$489,8,0)/1000</f>
        <v>2.5640000000000001</v>
      </c>
      <c r="G433" s="142">
        <f>VLOOKUP($A433,'BC.114+320'!$B$13:$X$489,9,0)/1000</f>
        <v>-0.436</v>
      </c>
      <c r="H433" s="142">
        <f>VLOOKUP($A433,'BC.114+320'!$B$13:$X$489,14,0)/1000</f>
        <v>2.54</v>
      </c>
      <c r="I433" s="142">
        <f>VLOOKUP($A433,'BC.114+320'!$B$13:$X$489,15,0)/1000</f>
        <v>-0.46</v>
      </c>
      <c r="J433" s="142">
        <f>VLOOKUP($A433,'BC.114+320'!$B$13:$X$489,20,0)/1000</f>
        <v>2.66</v>
      </c>
      <c r="K433" s="142">
        <f>VLOOKUP($A433,'BC.114+320'!$B$13:$X$489,21,0)/1000</f>
        <v>-0.34</v>
      </c>
      <c r="L433" s="140">
        <f t="shared" si="24"/>
        <v>-256</v>
      </c>
      <c r="M433" s="141">
        <f t="shared" si="25"/>
        <v>-280</v>
      </c>
      <c r="N433" s="140">
        <f t="shared" si="26"/>
        <v>-220.00000000000003</v>
      </c>
      <c r="O433" s="140"/>
    </row>
    <row r="434" spans="1:15">
      <c r="A434" s="76">
        <f>'BC.114+320'!B433</f>
        <v>45463</v>
      </c>
      <c r="B434" s="140">
        <f t="shared" si="27"/>
        <v>420</v>
      </c>
      <c r="C434" s="142">
        <f>'BC.114+320'!M433/1000</f>
        <v>2.02</v>
      </c>
      <c r="D434" s="142">
        <f>'BC.114+320'!AA433</f>
        <v>2.3689999999999998</v>
      </c>
      <c r="E434" s="143">
        <f>'BC.114+320'!AB433</f>
        <v>1.92</v>
      </c>
      <c r="F434" s="142">
        <f>VLOOKUP($A434,'BC.114+320'!$B$13:$X$489,8,0)/1000</f>
        <v>2.5640000000000001</v>
      </c>
      <c r="G434" s="142">
        <f>VLOOKUP($A434,'BC.114+320'!$B$13:$X$489,9,0)/1000</f>
        <v>-0.436</v>
      </c>
      <c r="H434" s="142">
        <f>VLOOKUP($A434,'BC.114+320'!$B$13:$X$489,14,0)/1000</f>
        <v>2.54</v>
      </c>
      <c r="I434" s="142">
        <f>VLOOKUP($A434,'BC.114+320'!$B$13:$X$489,15,0)/1000</f>
        <v>-0.46</v>
      </c>
      <c r="J434" s="142">
        <f>VLOOKUP($A434,'BC.114+320'!$B$13:$X$489,20,0)/1000</f>
        <v>2.66</v>
      </c>
      <c r="K434" s="142">
        <f>VLOOKUP($A434,'BC.114+320'!$B$13:$X$489,21,0)/1000</f>
        <v>-0.34</v>
      </c>
      <c r="L434" s="140">
        <f t="shared" si="24"/>
        <v>-256</v>
      </c>
      <c r="M434" s="141">
        <f t="shared" si="25"/>
        <v>-280</v>
      </c>
      <c r="N434" s="140">
        <f t="shared" si="26"/>
        <v>-220.00000000000003</v>
      </c>
      <c r="O434" s="140"/>
    </row>
    <row r="435" spans="1:15">
      <c r="A435" s="76">
        <f>'BC.114+320'!B434</f>
        <v>45464</v>
      </c>
      <c r="B435" s="140">
        <f t="shared" si="27"/>
        <v>421</v>
      </c>
      <c r="C435" s="142">
        <f>'BC.114+320'!M434/1000</f>
        <v>2.02</v>
      </c>
      <c r="D435" s="142">
        <f>'BC.114+320'!AA434</f>
        <v>2.3689999999999998</v>
      </c>
      <c r="E435" s="143">
        <f>'BC.114+320'!AB434</f>
        <v>1.92</v>
      </c>
      <c r="F435" s="142">
        <f>VLOOKUP($A435,'BC.114+320'!$B$13:$X$489,8,0)/1000</f>
        <v>2.5640000000000001</v>
      </c>
      <c r="G435" s="142">
        <f>VLOOKUP($A435,'BC.114+320'!$B$13:$X$489,9,0)/1000</f>
        <v>-0.436</v>
      </c>
      <c r="H435" s="142">
        <f>VLOOKUP($A435,'BC.114+320'!$B$13:$X$489,14,0)/1000</f>
        <v>2.54</v>
      </c>
      <c r="I435" s="142">
        <f>VLOOKUP($A435,'BC.114+320'!$B$13:$X$489,15,0)/1000</f>
        <v>-0.46</v>
      </c>
      <c r="J435" s="142">
        <f>VLOOKUP($A435,'BC.114+320'!$B$13:$X$489,20,0)/1000</f>
        <v>2.66</v>
      </c>
      <c r="K435" s="142">
        <f>VLOOKUP($A435,'BC.114+320'!$B$13:$X$489,21,0)/1000</f>
        <v>-0.34</v>
      </c>
      <c r="L435" s="140">
        <f t="shared" si="24"/>
        <v>-256</v>
      </c>
      <c r="M435" s="141">
        <f t="shared" si="25"/>
        <v>-280</v>
      </c>
      <c r="N435" s="140">
        <f t="shared" si="26"/>
        <v>-220.00000000000003</v>
      </c>
      <c r="O435" s="140"/>
    </row>
    <row r="436" spans="1:15">
      <c r="A436" s="76">
        <f>'BC.114+320'!B435</f>
        <v>45465</v>
      </c>
      <c r="B436" s="140">
        <f t="shared" si="27"/>
        <v>422</v>
      </c>
      <c r="C436" s="142">
        <f>'BC.114+320'!M435/1000</f>
        <v>2.02</v>
      </c>
      <c r="D436" s="142">
        <f>'BC.114+320'!AA435</f>
        <v>2.3689999999999998</v>
      </c>
      <c r="E436" s="143">
        <f>'BC.114+320'!AB435</f>
        <v>1.92</v>
      </c>
      <c r="F436" s="142">
        <f>VLOOKUP($A436,'BC.114+320'!$B$13:$X$489,8,0)/1000</f>
        <v>2.5640000000000001</v>
      </c>
      <c r="G436" s="142">
        <f>VLOOKUP($A436,'BC.114+320'!$B$13:$X$489,9,0)/1000</f>
        <v>-0.436</v>
      </c>
      <c r="H436" s="142">
        <f>VLOOKUP($A436,'BC.114+320'!$B$13:$X$489,14,0)/1000</f>
        <v>2.54</v>
      </c>
      <c r="I436" s="142">
        <f>VLOOKUP($A436,'BC.114+320'!$B$13:$X$489,15,0)/1000</f>
        <v>-0.46</v>
      </c>
      <c r="J436" s="142">
        <f>VLOOKUP($A436,'BC.114+320'!$B$13:$X$489,20,0)/1000</f>
        <v>2.66</v>
      </c>
      <c r="K436" s="142">
        <f>VLOOKUP($A436,'BC.114+320'!$B$13:$X$489,21,0)/1000</f>
        <v>-0.34</v>
      </c>
      <c r="L436" s="140">
        <f t="shared" si="24"/>
        <v>-256</v>
      </c>
      <c r="M436" s="141">
        <f t="shared" si="25"/>
        <v>-280</v>
      </c>
      <c r="N436" s="140">
        <f t="shared" si="26"/>
        <v>-220.00000000000003</v>
      </c>
      <c r="O436" s="140"/>
    </row>
    <row r="437" spans="1:15">
      <c r="A437" s="76">
        <f>'BC.114+320'!B436</f>
        <v>45466</v>
      </c>
      <c r="B437" s="140">
        <f t="shared" si="27"/>
        <v>423</v>
      </c>
      <c r="C437" s="142">
        <f>'BC.114+320'!M436/1000</f>
        <v>2.02</v>
      </c>
      <c r="D437" s="142">
        <f>'BC.114+320'!AA436</f>
        <v>2.3689999999999998</v>
      </c>
      <c r="E437" s="143">
        <f>'BC.114+320'!AB436</f>
        <v>1.92</v>
      </c>
      <c r="F437" s="142">
        <f>VLOOKUP($A437,'BC.114+320'!$B$13:$X$489,8,0)/1000</f>
        <v>2.5640000000000001</v>
      </c>
      <c r="G437" s="142">
        <f>VLOOKUP($A437,'BC.114+320'!$B$13:$X$489,9,0)/1000</f>
        <v>-0.436</v>
      </c>
      <c r="H437" s="142">
        <f>VLOOKUP($A437,'BC.114+320'!$B$13:$X$489,14,0)/1000</f>
        <v>2.54</v>
      </c>
      <c r="I437" s="142">
        <f>VLOOKUP($A437,'BC.114+320'!$B$13:$X$489,15,0)/1000</f>
        <v>-0.46</v>
      </c>
      <c r="J437" s="142">
        <f>VLOOKUP($A437,'BC.114+320'!$B$13:$X$489,20,0)/1000</f>
        <v>2.66</v>
      </c>
      <c r="K437" s="142">
        <f>VLOOKUP($A437,'BC.114+320'!$B$13:$X$489,21,0)/1000</f>
        <v>-0.34</v>
      </c>
      <c r="L437" s="140">
        <f t="shared" si="24"/>
        <v>-256</v>
      </c>
      <c r="M437" s="141">
        <f t="shared" si="25"/>
        <v>-280</v>
      </c>
      <c r="N437" s="140">
        <f t="shared" si="26"/>
        <v>-220.00000000000003</v>
      </c>
      <c r="O437" s="140"/>
    </row>
    <row r="438" spans="1:15">
      <c r="A438" s="76">
        <f>'BC.114+320'!B437</f>
        <v>45467</v>
      </c>
      <c r="B438" s="140">
        <f t="shared" si="27"/>
        <v>424</v>
      </c>
      <c r="C438" s="142">
        <f>'BC.114+320'!M437/1000</f>
        <v>2.02</v>
      </c>
      <c r="D438" s="142">
        <f>'BC.114+320'!AA437</f>
        <v>2.3689999999999998</v>
      </c>
      <c r="E438" s="143">
        <f>'BC.114+320'!AB437</f>
        <v>1.92</v>
      </c>
      <c r="F438" s="142">
        <f>VLOOKUP($A438,'BC.114+320'!$B$13:$X$489,8,0)/1000</f>
        <v>2.5640000000000001</v>
      </c>
      <c r="G438" s="142">
        <f>VLOOKUP($A438,'BC.114+320'!$B$13:$X$489,9,0)/1000</f>
        <v>-0.436</v>
      </c>
      <c r="H438" s="142">
        <f>VLOOKUP($A438,'BC.114+320'!$B$13:$X$489,14,0)/1000</f>
        <v>2.54</v>
      </c>
      <c r="I438" s="142">
        <f>VLOOKUP($A438,'BC.114+320'!$B$13:$X$489,15,0)/1000</f>
        <v>-0.46</v>
      </c>
      <c r="J438" s="142">
        <f>VLOOKUP($A438,'BC.114+320'!$B$13:$X$489,20,0)/1000</f>
        <v>2.66</v>
      </c>
      <c r="K438" s="142">
        <f>VLOOKUP($A438,'BC.114+320'!$B$13:$X$489,21,0)/1000</f>
        <v>-0.34</v>
      </c>
      <c r="L438" s="140">
        <f t="shared" si="24"/>
        <v>-256</v>
      </c>
      <c r="M438" s="141">
        <f t="shared" si="25"/>
        <v>-280</v>
      </c>
      <c r="N438" s="140">
        <f t="shared" si="26"/>
        <v>-220.00000000000003</v>
      </c>
      <c r="O438" s="140"/>
    </row>
    <row r="439" spans="1:15">
      <c r="A439" s="76">
        <f>'BC.114+320'!B438</f>
        <v>45468</v>
      </c>
      <c r="B439" s="140">
        <f t="shared" si="27"/>
        <v>425</v>
      </c>
      <c r="C439" s="142">
        <f>'BC.114+320'!M438/1000</f>
        <v>2.02</v>
      </c>
      <c r="D439" s="142">
        <f>'BC.114+320'!AA438</f>
        <v>2.3689999999999998</v>
      </c>
      <c r="E439" s="143">
        <f>'BC.114+320'!AB438</f>
        <v>1.92</v>
      </c>
      <c r="F439" s="142">
        <f>VLOOKUP($A439,'BC.114+320'!$B$13:$X$489,8,0)/1000</f>
        <v>2.5640000000000001</v>
      </c>
      <c r="G439" s="142">
        <f>VLOOKUP($A439,'BC.114+320'!$B$13:$X$489,9,0)/1000</f>
        <v>-0.436</v>
      </c>
      <c r="H439" s="142">
        <f>VLOOKUP($A439,'BC.114+320'!$B$13:$X$489,14,0)/1000</f>
        <v>2.54</v>
      </c>
      <c r="I439" s="142">
        <f>VLOOKUP($A439,'BC.114+320'!$B$13:$X$489,15,0)/1000</f>
        <v>-0.46</v>
      </c>
      <c r="J439" s="142">
        <f>VLOOKUP($A439,'BC.114+320'!$B$13:$X$489,20,0)/1000</f>
        <v>2.66</v>
      </c>
      <c r="K439" s="142">
        <f>VLOOKUP($A439,'BC.114+320'!$B$13:$X$489,21,0)/1000</f>
        <v>-0.34</v>
      </c>
      <c r="L439" s="140">
        <f t="shared" si="24"/>
        <v>-256</v>
      </c>
      <c r="M439" s="141">
        <f t="shared" si="25"/>
        <v>-280</v>
      </c>
      <c r="N439" s="140">
        <f t="shared" si="26"/>
        <v>-220.00000000000003</v>
      </c>
      <c r="O439" s="140"/>
    </row>
    <row r="440" spans="1:15">
      <c r="A440" s="76">
        <f>'BC.114+320'!B439</f>
        <v>45469</v>
      </c>
      <c r="B440" s="140">
        <f t="shared" si="27"/>
        <v>426</v>
      </c>
      <c r="C440" s="142">
        <f>'BC.114+320'!M439/1000</f>
        <v>2.02</v>
      </c>
      <c r="D440" s="142">
        <f>'BC.114+320'!AA439</f>
        <v>2.3689999999999998</v>
      </c>
      <c r="E440" s="143">
        <f>'BC.114+320'!AB439</f>
        <v>1.92</v>
      </c>
      <c r="F440" s="142">
        <f>VLOOKUP($A440,'BC.114+320'!$B$13:$X$489,8,0)/1000</f>
        <v>2.5640000000000001</v>
      </c>
      <c r="G440" s="142">
        <f>VLOOKUP($A440,'BC.114+320'!$B$13:$X$489,9,0)/1000</f>
        <v>-0.436</v>
      </c>
      <c r="H440" s="142">
        <f>VLOOKUP($A440,'BC.114+320'!$B$13:$X$489,14,0)/1000</f>
        <v>2.54</v>
      </c>
      <c r="I440" s="142">
        <f>VLOOKUP($A440,'BC.114+320'!$B$13:$X$489,15,0)/1000</f>
        <v>-0.46</v>
      </c>
      <c r="J440" s="142">
        <f>VLOOKUP($A440,'BC.114+320'!$B$13:$X$489,20,0)/1000</f>
        <v>2.66</v>
      </c>
      <c r="K440" s="142">
        <f>VLOOKUP($A440,'BC.114+320'!$B$13:$X$489,21,0)/1000</f>
        <v>-0.34</v>
      </c>
      <c r="L440" s="140">
        <f t="shared" si="24"/>
        <v>-256</v>
      </c>
      <c r="M440" s="141">
        <f t="shared" si="25"/>
        <v>-280</v>
      </c>
      <c r="N440" s="140">
        <f t="shared" si="26"/>
        <v>-220.00000000000003</v>
      </c>
      <c r="O440" s="140"/>
    </row>
    <row r="441" spans="1:15">
      <c r="A441" s="76">
        <f>'BC.114+320'!B440</f>
        <v>45470</v>
      </c>
      <c r="B441" s="140">
        <f t="shared" si="27"/>
        <v>427</v>
      </c>
      <c r="C441" s="142">
        <f>'BC.114+320'!M440/1000</f>
        <v>2.02</v>
      </c>
      <c r="D441" s="142">
        <f>'BC.114+320'!AA440</f>
        <v>2.3689999999999998</v>
      </c>
      <c r="E441" s="143">
        <f>'BC.114+320'!AB440</f>
        <v>1.92</v>
      </c>
      <c r="F441" s="142">
        <f>VLOOKUP($A441,'BC.114+320'!$B$13:$X$489,8,0)/1000</f>
        <v>2.5640000000000001</v>
      </c>
      <c r="G441" s="142">
        <f>VLOOKUP($A441,'BC.114+320'!$B$13:$X$489,9,0)/1000</f>
        <v>-0.436</v>
      </c>
      <c r="H441" s="142">
        <f>VLOOKUP($A441,'BC.114+320'!$B$13:$X$489,14,0)/1000</f>
        <v>2.54</v>
      </c>
      <c r="I441" s="142">
        <f>VLOOKUP($A441,'BC.114+320'!$B$13:$X$489,15,0)/1000</f>
        <v>-0.46</v>
      </c>
      <c r="J441" s="142">
        <f>VLOOKUP($A441,'BC.114+320'!$B$13:$X$489,20,0)/1000</f>
        <v>2.66</v>
      </c>
      <c r="K441" s="142">
        <f>VLOOKUP($A441,'BC.114+320'!$B$13:$X$489,21,0)/1000</f>
        <v>-0.34</v>
      </c>
      <c r="L441" s="140">
        <f t="shared" si="24"/>
        <v>-256</v>
      </c>
      <c r="M441" s="141">
        <f t="shared" si="25"/>
        <v>-280</v>
      </c>
      <c r="N441" s="140">
        <f t="shared" si="26"/>
        <v>-220.00000000000003</v>
      </c>
      <c r="O441" s="140"/>
    </row>
    <row r="442" spans="1:15">
      <c r="A442" s="76">
        <f>'BC.114+320'!B441</f>
        <v>45471</v>
      </c>
      <c r="B442" s="140">
        <f t="shared" si="27"/>
        <v>428</v>
      </c>
      <c r="C442" s="142">
        <f>'BC.114+320'!M441/1000</f>
        <v>2.02</v>
      </c>
      <c r="D442" s="142">
        <f>'BC.114+320'!AA441</f>
        <v>2.3689999999999998</v>
      </c>
      <c r="E442" s="143">
        <f>'BC.114+320'!AB441</f>
        <v>1.92</v>
      </c>
      <c r="F442" s="142">
        <f>VLOOKUP($A442,'BC.114+320'!$B$13:$X$489,8,0)/1000</f>
        <v>2.5640000000000001</v>
      </c>
      <c r="G442" s="142">
        <f>VLOOKUP($A442,'BC.114+320'!$B$13:$X$489,9,0)/1000</f>
        <v>-0.436</v>
      </c>
      <c r="H442" s="142">
        <f>VLOOKUP($A442,'BC.114+320'!$B$13:$X$489,14,0)/1000</f>
        <v>2.54</v>
      </c>
      <c r="I442" s="142">
        <f>VLOOKUP($A442,'BC.114+320'!$B$13:$X$489,15,0)/1000</f>
        <v>-0.46</v>
      </c>
      <c r="J442" s="142">
        <f>VLOOKUP($A442,'BC.114+320'!$B$13:$X$489,20,0)/1000</f>
        <v>2.66</v>
      </c>
      <c r="K442" s="142">
        <f>VLOOKUP($A442,'BC.114+320'!$B$13:$X$489,21,0)/1000</f>
        <v>-0.34</v>
      </c>
      <c r="L442" s="140">
        <f t="shared" si="24"/>
        <v>-256</v>
      </c>
      <c r="M442" s="141">
        <f t="shared" si="25"/>
        <v>-280</v>
      </c>
      <c r="N442" s="140">
        <f t="shared" si="26"/>
        <v>-220.00000000000003</v>
      </c>
      <c r="O442" s="140"/>
    </row>
    <row r="443" spans="1:15">
      <c r="A443" s="76">
        <f>'BC.114+320'!B442</f>
        <v>45472</v>
      </c>
      <c r="B443" s="140">
        <f t="shared" si="27"/>
        <v>429</v>
      </c>
      <c r="C443" s="142">
        <f>'BC.114+320'!M442/1000</f>
        <v>2.02</v>
      </c>
      <c r="D443" s="142">
        <f>'BC.114+320'!AA442</f>
        <v>2.3689999999999998</v>
      </c>
      <c r="E443" s="143">
        <f>'BC.114+320'!AB442</f>
        <v>1.92</v>
      </c>
      <c r="F443" s="142">
        <f>VLOOKUP($A443,'BC.114+320'!$B$13:$X$489,8,0)/1000</f>
        <v>2.5640000000000001</v>
      </c>
      <c r="G443" s="142">
        <f>VLOOKUP($A443,'BC.114+320'!$B$13:$X$489,9,0)/1000</f>
        <v>-0.436</v>
      </c>
      <c r="H443" s="142">
        <f>VLOOKUP($A443,'BC.114+320'!$B$13:$X$489,14,0)/1000</f>
        <v>2.54</v>
      </c>
      <c r="I443" s="142">
        <f>VLOOKUP($A443,'BC.114+320'!$B$13:$X$489,15,0)/1000</f>
        <v>-0.46</v>
      </c>
      <c r="J443" s="142">
        <f>VLOOKUP($A443,'BC.114+320'!$B$13:$X$489,20,0)/1000</f>
        <v>2.66</v>
      </c>
      <c r="K443" s="142">
        <f>VLOOKUP($A443,'BC.114+320'!$B$13:$X$489,21,0)/1000</f>
        <v>-0.34</v>
      </c>
      <c r="L443" s="140">
        <f t="shared" si="24"/>
        <v>-256</v>
      </c>
      <c r="M443" s="141">
        <f t="shared" si="25"/>
        <v>-280</v>
      </c>
      <c r="N443" s="140">
        <f t="shared" si="26"/>
        <v>-220.00000000000003</v>
      </c>
      <c r="O443" s="140"/>
    </row>
    <row r="444" spans="1:15">
      <c r="A444" s="76">
        <f>'BC.114+320'!B443</f>
        <v>45473</v>
      </c>
      <c r="B444" s="140">
        <f t="shared" si="27"/>
        <v>430</v>
      </c>
      <c r="C444" s="142">
        <f>'BC.114+320'!M443/1000</f>
        <v>2.02</v>
      </c>
      <c r="D444" s="142">
        <f>'BC.114+320'!AA443</f>
        <v>2.3689999999999998</v>
      </c>
      <c r="E444" s="143">
        <f>'BC.114+320'!AB443</f>
        <v>1.92</v>
      </c>
      <c r="F444" s="142">
        <f>VLOOKUP($A444,'BC.114+320'!$B$13:$X$489,8,0)/1000</f>
        <v>2.5640000000000001</v>
      </c>
      <c r="G444" s="142">
        <f>VLOOKUP($A444,'BC.114+320'!$B$13:$X$489,9,0)/1000</f>
        <v>-0.436</v>
      </c>
      <c r="H444" s="142">
        <f>VLOOKUP($A444,'BC.114+320'!$B$13:$X$489,14,0)/1000</f>
        <v>2.54</v>
      </c>
      <c r="I444" s="142">
        <f>VLOOKUP($A444,'BC.114+320'!$B$13:$X$489,15,0)/1000</f>
        <v>-0.46</v>
      </c>
      <c r="J444" s="142">
        <f>VLOOKUP($A444,'BC.114+320'!$B$13:$X$489,20,0)/1000</f>
        <v>2.66</v>
      </c>
      <c r="K444" s="142">
        <f>VLOOKUP($A444,'BC.114+320'!$B$13:$X$489,21,0)/1000</f>
        <v>-0.34</v>
      </c>
      <c r="L444" s="140">
        <f t="shared" si="24"/>
        <v>-256</v>
      </c>
      <c r="M444" s="141">
        <f t="shared" si="25"/>
        <v>-280</v>
      </c>
      <c r="N444" s="140">
        <f t="shared" si="26"/>
        <v>-220.00000000000003</v>
      </c>
      <c r="O444" s="140"/>
    </row>
    <row r="445" spans="1:15">
      <c r="A445" s="76">
        <f>'BC.114+320'!B444</f>
        <v>45474</v>
      </c>
      <c r="B445" s="140">
        <f t="shared" si="27"/>
        <v>431</v>
      </c>
      <c r="C445" s="142">
        <f>'BC.114+320'!M444/1000</f>
        <v>2.02</v>
      </c>
      <c r="D445" s="142">
        <f>'BC.114+320'!AA444</f>
        <v>2.3689999999999998</v>
      </c>
      <c r="E445" s="143">
        <f>'BC.114+320'!AB444</f>
        <v>1.92</v>
      </c>
      <c r="F445" s="142">
        <f>VLOOKUP($A445,'BC.114+320'!$B$13:$X$489,8,0)/1000</f>
        <v>2.5640000000000001</v>
      </c>
      <c r="G445" s="142">
        <f>VLOOKUP($A445,'BC.114+320'!$B$13:$X$489,9,0)/1000</f>
        <v>-0.436</v>
      </c>
      <c r="H445" s="142">
        <f>VLOOKUP($A445,'BC.114+320'!$B$13:$X$489,14,0)/1000</f>
        <v>2.54</v>
      </c>
      <c r="I445" s="142">
        <f>VLOOKUP($A445,'BC.114+320'!$B$13:$X$489,15,0)/1000</f>
        <v>-0.46</v>
      </c>
      <c r="J445" s="142">
        <f>VLOOKUP($A445,'BC.114+320'!$B$13:$X$489,20,0)/1000</f>
        <v>2.66</v>
      </c>
      <c r="K445" s="142">
        <f>VLOOKUP($A445,'BC.114+320'!$B$13:$X$489,21,0)/1000</f>
        <v>-0.34</v>
      </c>
      <c r="L445" s="140">
        <f t="shared" si="24"/>
        <v>-256</v>
      </c>
      <c r="M445" s="141">
        <f t="shared" si="25"/>
        <v>-280</v>
      </c>
      <c r="N445" s="140">
        <f t="shared" si="26"/>
        <v>-220.00000000000003</v>
      </c>
      <c r="O445" s="140"/>
    </row>
    <row r="446" spans="1:15">
      <c r="A446" s="76">
        <f>'BC.114+320'!B445</f>
        <v>45475</v>
      </c>
      <c r="B446" s="140">
        <f t="shared" si="27"/>
        <v>432</v>
      </c>
      <c r="C446" s="142">
        <f>'BC.114+320'!M445/1000</f>
        <v>2.02</v>
      </c>
      <c r="D446" s="142">
        <f>'BC.114+320'!AA445</f>
        <v>2.3689999999999998</v>
      </c>
      <c r="E446" s="143">
        <f>'BC.114+320'!AB445</f>
        <v>1.92</v>
      </c>
      <c r="F446" s="142">
        <f>VLOOKUP($A446,'BC.114+320'!$B$13:$X$489,8,0)/1000</f>
        <v>2.5640000000000001</v>
      </c>
      <c r="G446" s="142">
        <f>VLOOKUP($A446,'BC.114+320'!$B$13:$X$489,9,0)/1000</f>
        <v>-0.436</v>
      </c>
      <c r="H446" s="142">
        <f>VLOOKUP($A446,'BC.114+320'!$B$13:$X$489,14,0)/1000</f>
        <v>2.54</v>
      </c>
      <c r="I446" s="142">
        <f>VLOOKUP($A446,'BC.114+320'!$B$13:$X$489,15,0)/1000</f>
        <v>-0.46</v>
      </c>
      <c r="J446" s="142">
        <f>VLOOKUP($A446,'BC.114+320'!$B$13:$X$489,20,0)/1000</f>
        <v>2.66</v>
      </c>
      <c r="K446" s="142">
        <f>VLOOKUP($A446,'BC.114+320'!$B$13:$X$489,21,0)/1000</f>
        <v>-0.34</v>
      </c>
      <c r="L446" s="140">
        <f t="shared" si="24"/>
        <v>-256</v>
      </c>
      <c r="M446" s="141">
        <f t="shared" si="25"/>
        <v>-280</v>
      </c>
      <c r="N446" s="140">
        <f t="shared" si="26"/>
        <v>-220.00000000000003</v>
      </c>
      <c r="O446" s="140"/>
    </row>
    <row r="447" spans="1:15">
      <c r="A447" s="76">
        <f>'BC.114+320'!B446</f>
        <v>45476</v>
      </c>
      <c r="B447" s="140">
        <f t="shared" si="27"/>
        <v>433</v>
      </c>
      <c r="C447" s="142">
        <f>'BC.114+320'!M446/1000</f>
        <v>2.02</v>
      </c>
      <c r="D447" s="142">
        <f>'BC.114+320'!AA446</f>
        <v>2.3689999999999998</v>
      </c>
      <c r="E447" s="143">
        <f>'BC.114+320'!AB446</f>
        <v>1.92</v>
      </c>
      <c r="F447" s="142">
        <f>VLOOKUP($A447,'BC.114+320'!$B$13:$X$489,8,0)/1000</f>
        <v>2.5640000000000001</v>
      </c>
      <c r="G447" s="142">
        <f>VLOOKUP($A447,'BC.114+320'!$B$13:$X$489,9,0)/1000</f>
        <v>-0.436</v>
      </c>
      <c r="H447" s="142">
        <f>VLOOKUP($A447,'BC.114+320'!$B$13:$X$489,14,0)/1000</f>
        <v>2.54</v>
      </c>
      <c r="I447" s="142">
        <f>VLOOKUP($A447,'BC.114+320'!$B$13:$X$489,15,0)/1000</f>
        <v>-0.46</v>
      </c>
      <c r="J447" s="142">
        <f>VLOOKUP($A447,'BC.114+320'!$B$13:$X$489,20,0)/1000</f>
        <v>2.66</v>
      </c>
      <c r="K447" s="142">
        <f>VLOOKUP($A447,'BC.114+320'!$B$13:$X$489,21,0)/1000</f>
        <v>-0.34</v>
      </c>
      <c r="L447" s="140">
        <f t="shared" si="24"/>
        <v>-256</v>
      </c>
      <c r="M447" s="141">
        <f t="shared" si="25"/>
        <v>-280</v>
      </c>
      <c r="N447" s="140">
        <f t="shared" si="26"/>
        <v>-220.00000000000003</v>
      </c>
      <c r="O447" s="140"/>
    </row>
    <row r="448" spans="1:15">
      <c r="A448" s="76">
        <f>'BC.114+320'!B447</f>
        <v>45477</v>
      </c>
      <c r="B448" s="140">
        <f t="shared" si="27"/>
        <v>434</v>
      </c>
      <c r="C448" s="142">
        <f>'BC.114+320'!M447/1000</f>
        <v>2.02</v>
      </c>
      <c r="D448" s="142">
        <f>'BC.114+320'!AA447</f>
        <v>2.3689999999999998</v>
      </c>
      <c r="E448" s="143">
        <f>'BC.114+320'!AB447</f>
        <v>1.92</v>
      </c>
      <c r="F448" s="142">
        <f>VLOOKUP($A448,'BC.114+320'!$B$13:$X$489,8,0)/1000</f>
        <v>2.5640000000000001</v>
      </c>
      <c r="G448" s="142">
        <f>VLOOKUP($A448,'BC.114+320'!$B$13:$X$489,9,0)/1000</f>
        <v>-0.436</v>
      </c>
      <c r="H448" s="142">
        <f>VLOOKUP($A448,'BC.114+320'!$B$13:$X$489,14,0)/1000</f>
        <v>2.54</v>
      </c>
      <c r="I448" s="142">
        <f>VLOOKUP($A448,'BC.114+320'!$B$13:$X$489,15,0)/1000</f>
        <v>-0.46</v>
      </c>
      <c r="J448" s="142">
        <f>VLOOKUP($A448,'BC.114+320'!$B$13:$X$489,20,0)/1000</f>
        <v>2.66</v>
      </c>
      <c r="K448" s="142">
        <f>VLOOKUP($A448,'BC.114+320'!$B$13:$X$489,21,0)/1000</f>
        <v>-0.34</v>
      </c>
      <c r="L448" s="140">
        <f t="shared" si="24"/>
        <v>-256</v>
      </c>
      <c r="M448" s="141">
        <f t="shared" si="25"/>
        <v>-280</v>
      </c>
      <c r="N448" s="140">
        <f t="shared" si="26"/>
        <v>-220.00000000000003</v>
      </c>
      <c r="O448" s="140"/>
    </row>
    <row r="449" spans="1:15">
      <c r="A449" s="76">
        <f>'BC.114+320'!B448</f>
        <v>45478</v>
      </c>
      <c r="B449" s="140">
        <f t="shared" si="27"/>
        <v>435</v>
      </c>
      <c r="C449" s="142">
        <f>'BC.114+320'!M448/1000</f>
        <v>2.02</v>
      </c>
      <c r="D449" s="142">
        <f>'BC.114+320'!AA448</f>
        <v>2.3689999999999998</v>
      </c>
      <c r="E449" s="143">
        <f>'BC.114+320'!AB448</f>
        <v>1.92</v>
      </c>
      <c r="F449" s="142">
        <f>VLOOKUP($A449,'BC.114+320'!$B$13:$X$489,8,0)/1000</f>
        <v>2.5640000000000001</v>
      </c>
      <c r="G449" s="142">
        <f>VLOOKUP($A449,'BC.114+320'!$B$13:$X$489,9,0)/1000</f>
        <v>-0.436</v>
      </c>
      <c r="H449" s="142">
        <f>VLOOKUP($A449,'BC.114+320'!$B$13:$X$489,14,0)/1000</f>
        <v>2.54</v>
      </c>
      <c r="I449" s="142">
        <f>VLOOKUP($A449,'BC.114+320'!$B$13:$X$489,15,0)/1000</f>
        <v>-0.46</v>
      </c>
      <c r="J449" s="142">
        <f>VLOOKUP($A449,'BC.114+320'!$B$13:$X$489,20,0)/1000</f>
        <v>2.66</v>
      </c>
      <c r="K449" s="142">
        <f>VLOOKUP($A449,'BC.114+320'!$B$13:$X$489,21,0)/1000</f>
        <v>-0.34</v>
      </c>
      <c r="L449" s="140">
        <f t="shared" si="24"/>
        <v>-256</v>
      </c>
      <c r="M449" s="141">
        <f t="shared" si="25"/>
        <v>-280</v>
      </c>
      <c r="N449" s="140">
        <f t="shared" si="26"/>
        <v>-220.00000000000003</v>
      </c>
      <c r="O449" s="140"/>
    </row>
    <row r="450" spans="1:15">
      <c r="A450" s="76">
        <f>'BC.114+320'!B449</f>
        <v>45479</v>
      </c>
      <c r="B450" s="140">
        <f t="shared" si="27"/>
        <v>436</v>
      </c>
      <c r="C450" s="142">
        <f>'BC.114+320'!M449/1000</f>
        <v>2.02</v>
      </c>
      <c r="D450" s="142">
        <f>'BC.114+320'!AA449</f>
        <v>2.3689999999999998</v>
      </c>
      <c r="E450" s="143">
        <f>'BC.114+320'!AB449</f>
        <v>1.92</v>
      </c>
      <c r="F450" s="142">
        <f>VLOOKUP($A450,'BC.114+320'!$B$13:$X$489,8,0)/1000</f>
        <v>2.5640000000000001</v>
      </c>
      <c r="G450" s="142">
        <f>VLOOKUP($A450,'BC.114+320'!$B$13:$X$489,9,0)/1000</f>
        <v>-0.436</v>
      </c>
      <c r="H450" s="142">
        <f>VLOOKUP($A450,'BC.114+320'!$B$13:$X$489,14,0)/1000</f>
        <v>2.54</v>
      </c>
      <c r="I450" s="142">
        <f>VLOOKUP($A450,'BC.114+320'!$B$13:$X$489,15,0)/1000</f>
        <v>-0.46</v>
      </c>
      <c r="J450" s="142">
        <f>VLOOKUP($A450,'BC.114+320'!$B$13:$X$489,20,0)/1000</f>
        <v>2.66</v>
      </c>
      <c r="K450" s="142">
        <f>VLOOKUP($A450,'BC.114+320'!$B$13:$X$489,21,0)/1000</f>
        <v>-0.34</v>
      </c>
      <c r="L450" s="140">
        <f t="shared" si="24"/>
        <v>-256</v>
      </c>
      <c r="M450" s="141">
        <f t="shared" si="25"/>
        <v>-280</v>
      </c>
      <c r="N450" s="140">
        <f t="shared" si="26"/>
        <v>-220.00000000000003</v>
      </c>
      <c r="O450" s="140"/>
    </row>
    <row r="451" spans="1:15">
      <c r="A451" s="76">
        <f>'BC.114+320'!B450</f>
        <v>45480</v>
      </c>
      <c r="B451" s="140">
        <f t="shared" si="27"/>
        <v>437</v>
      </c>
      <c r="C451" s="142">
        <f>'BC.114+320'!M450/1000</f>
        <v>2.02</v>
      </c>
      <c r="D451" s="142">
        <f>'BC.114+320'!AA450</f>
        <v>2.3689999999999998</v>
      </c>
      <c r="E451" s="143">
        <f>'BC.114+320'!AB450</f>
        <v>1.92</v>
      </c>
      <c r="F451" s="142">
        <f>VLOOKUP($A451,'BC.114+320'!$B$13:$X$489,8,0)/1000</f>
        <v>2.5640000000000001</v>
      </c>
      <c r="G451" s="142">
        <f>VLOOKUP($A451,'BC.114+320'!$B$13:$X$489,9,0)/1000</f>
        <v>-0.436</v>
      </c>
      <c r="H451" s="142">
        <f>VLOOKUP($A451,'BC.114+320'!$B$13:$X$489,14,0)/1000</f>
        <v>2.54</v>
      </c>
      <c r="I451" s="142">
        <f>VLOOKUP($A451,'BC.114+320'!$B$13:$X$489,15,0)/1000</f>
        <v>-0.46</v>
      </c>
      <c r="J451" s="142">
        <f>VLOOKUP($A451,'BC.114+320'!$B$13:$X$489,20,0)/1000</f>
        <v>2.66</v>
      </c>
      <c r="K451" s="142">
        <f>VLOOKUP($A451,'BC.114+320'!$B$13:$X$489,21,0)/1000</f>
        <v>-0.34</v>
      </c>
      <c r="L451" s="140">
        <f t="shared" si="24"/>
        <v>-256</v>
      </c>
      <c r="M451" s="141">
        <f t="shared" si="25"/>
        <v>-280</v>
      </c>
      <c r="N451" s="140">
        <f t="shared" si="26"/>
        <v>-220.00000000000003</v>
      </c>
      <c r="O451" s="140"/>
    </row>
    <row r="452" spans="1:15">
      <c r="A452" s="76">
        <f>'BC.114+320'!B451</f>
        <v>45481</v>
      </c>
      <c r="B452" s="140">
        <f t="shared" si="27"/>
        <v>438</v>
      </c>
      <c r="C452" s="142">
        <f>'BC.114+320'!M451/1000</f>
        <v>2.02</v>
      </c>
      <c r="D452" s="142">
        <f>'BC.114+320'!AA451</f>
        <v>2.3689999999999998</v>
      </c>
      <c r="E452" s="143">
        <f>'BC.114+320'!AB451</f>
        <v>1.92</v>
      </c>
      <c r="F452" s="142">
        <f>VLOOKUP($A452,'BC.114+320'!$B$13:$X$489,8,0)/1000</f>
        <v>2.5640000000000001</v>
      </c>
      <c r="G452" s="142">
        <f>VLOOKUP($A452,'BC.114+320'!$B$13:$X$489,9,0)/1000</f>
        <v>-0.436</v>
      </c>
      <c r="H452" s="142">
        <f>VLOOKUP($A452,'BC.114+320'!$B$13:$X$489,14,0)/1000</f>
        <v>2.54</v>
      </c>
      <c r="I452" s="142">
        <f>VLOOKUP($A452,'BC.114+320'!$B$13:$X$489,15,0)/1000</f>
        <v>-0.46</v>
      </c>
      <c r="J452" s="142">
        <f>VLOOKUP($A452,'BC.114+320'!$B$13:$X$489,20,0)/1000</f>
        <v>2.66</v>
      </c>
      <c r="K452" s="142">
        <f>VLOOKUP($A452,'BC.114+320'!$B$13:$X$489,21,0)/1000</f>
        <v>-0.34</v>
      </c>
      <c r="L452" s="140">
        <f t="shared" si="24"/>
        <v>-256</v>
      </c>
      <c r="M452" s="141">
        <f t="shared" si="25"/>
        <v>-280</v>
      </c>
      <c r="N452" s="140">
        <f t="shared" si="26"/>
        <v>-220.00000000000003</v>
      </c>
      <c r="O452" s="140"/>
    </row>
    <row r="453" spans="1:15">
      <c r="A453" s="76">
        <f>'BC.114+320'!B452</f>
        <v>45482</v>
      </c>
      <c r="B453" s="140">
        <f t="shared" si="27"/>
        <v>439</v>
      </c>
      <c r="C453" s="142">
        <f>'BC.114+320'!M452/1000</f>
        <v>2.02</v>
      </c>
      <c r="D453" s="142">
        <f>'BC.114+320'!AA452</f>
        <v>2.3689999999999998</v>
      </c>
      <c r="E453" s="143">
        <f>'BC.114+320'!AB452</f>
        <v>1.92</v>
      </c>
      <c r="F453" s="142">
        <f>VLOOKUP($A453,'BC.114+320'!$B$13:$X$489,8,0)/1000</f>
        <v>2.5640000000000001</v>
      </c>
      <c r="G453" s="142">
        <f>VLOOKUP($A453,'BC.114+320'!$B$13:$X$489,9,0)/1000</f>
        <v>-0.436</v>
      </c>
      <c r="H453" s="142">
        <f>VLOOKUP($A453,'BC.114+320'!$B$13:$X$489,14,0)/1000</f>
        <v>2.54</v>
      </c>
      <c r="I453" s="142">
        <f>VLOOKUP($A453,'BC.114+320'!$B$13:$X$489,15,0)/1000</f>
        <v>-0.46</v>
      </c>
      <c r="J453" s="142">
        <f>VLOOKUP($A453,'BC.114+320'!$B$13:$X$489,20,0)/1000</f>
        <v>2.66</v>
      </c>
      <c r="K453" s="142">
        <f>VLOOKUP($A453,'BC.114+320'!$B$13:$X$489,21,0)/1000</f>
        <v>-0.34</v>
      </c>
      <c r="L453" s="140">
        <f t="shared" si="24"/>
        <v>-256</v>
      </c>
      <c r="M453" s="141">
        <f t="shared" si="25"/>
        <v>-280</v>
      </c>
      <c r="N453" s="140">
        <f t="shared" si="26"/>
        <v>-220.00000000000003</v>
      </c>
      <c r="O453" s="140"/>
    </row>
    <row r="454" spans="1:15">
      <c r="A454" s="76">
        <f>'BC.114+320'!B453</f>
        <v>45483</v>
      </c>
      <c r="B454" s="140">
        <f t="shared" si="27"/>
        <v>440</v>
      </c>
      <c r="C454" s="142">
        <f>'BC.114+320'!M453/1000</f>
        <v>2.02</v>
      </c>
      <c r="D454" s="142">
        <f>'BC.114+320'!AA453</f>
        <v>2.3689999999999998</v>
      </c>
      <c r="E454" s="143">
        <f>'BC.114+320'!AB453</f>
        <v>1.92</v>
      </c>
      <c r="F454" s="142">
        <f>VLOOKUP($A454,'BC.114+320'!$B$13:$X$489,8,0)/1000</f>
        <v>2.5640000000000001</v>
      </c>
      <c r="G454" s="142">
        <f>VLOOKUP($A454,'BC.114+320'!$B$13:$X$489,9,0)/1000</f>
        <v>-0.436</v>
      </c>
      <c r="H454" s="142">
        <f>VLOOKUP($A454,'BC.114+320'!$B$13:$X$489,14,0)/1000</f>
        <v>2.54</v>
      </c>
      <c r="I454" s="142">
        <f>VLOOKUP($A454,'BC.114+320'!$B$13:$X$489,15,0)/1000</f>
        <v>-0.46</v>
      </c>
      <c r="J454" s="142">
        <f>VLOOKUP($A454,'BC.114+320'!$B$13:$X$489,20,0)/1000</f>
        <v>2.66</v>
      </c>
      <c r="K454" s="142">
        <f>VLOOKUP($A454,'BC.114+320'!$B$13:$X$489,21,0)/1000</f>
        <v>-0.34</v>
      </c>
      <c r="L454" s="140">
        <f t="shared" si="24"/>
        <v>-256</v>
      </c>
      <c r="M454" s="141">
        <f t="shared" si="25"/>
        <v>-280</v>
      </c>
      <c r="N454" s="140">
        <f t="shared" si="26"/>
        <v>-220.00000000000003</v>
      </c>
      <c r="O454" s="140"/>
    </row>
    <row r="455" spans="1:15">
      <c r="A455" s="76">
        <f>'BC.114+320'!B454</f>
        <v>45484</v>
      </c>
      <c r="B455" s="140">
        <f t="shared" si="27"/>
        <v>441</v>
      </c>
      <c r="C455" s="142">
        <f>'BC.114+320'!M454/1000</f>
        <v>2.02</v>
      </c>
      <c r="D455" s="142">
        <f>'BC.114+320'!AA454</f>
        <v>2.3689999999999998</v>
      </c>
      <c r="E455" s="143">
        <f>'BC.114+320'!AB454</f>
        <v>1.92</v>
      </c>
      <c r="F455" s="142">
        <f>VLOOKUP($A455,'BC.114+320'!$B$13:$X$489,8,0)/1000</f>
        <v>2.5640000000000001</v>
      </c>
      <c r="G455" s="142">
        <f>VLOOKUP($A455,'BC.114+320'!$B$13:$X$489,9,0)/1000</f>
        <v>-0.436</v>
      </c>
      <c r="H455" s="142">
        <f>VLOOKUP($A455,'BC.114+320'!$B$13:$X$489,14,0)/1000</f>
        <v>2.54</v>
      </c>
      <c r="I455" s="142">
        <f>VLOOKUP($A455,'BC.114+320'!$B$13:$X$489,15,0)/1000</f>
        <v>-0.46</v>
      </c>
      <c r="J455" s="142">
        <f>VLOOKUP($A455,'BC.114+320'!$B$13:$X$489,20,0)/1000</f>
        <v>2.66</v>
      </c>
      <c r="K455" s="142">
        <f>VLOOKUP($A455,'BC.114+320'!$B$13:$X$489,21,0)/1000</f>
        <v>-0.34</v>
      </c>
      <c r="L455" s="140">
        <f t="shared" si="24"/>
        <v>-256</v>
      </c>
      <c r="M455" s="141">
        <f t="shared" si="25"/>
        <v>-280</v>
      </c>
      <c r="N455" s="140">
        <f t="shared" si="26"/>
        <v>-220.00000000000003</v>
      </c>
      <c r="O455" s="140"/>
    </row>
    <row r="456" spans="1:15">
      <c r="A456" s="76">
        <f>'BC.114+320'!B455</f>
        <v>45485</v>
      </c>
      <c r="B456" s="140">
        <f t="shared" si="27"/>
        <v>442</v>
      </c>
      <c r="C456" s="142">
        <f>'BC.114+320'!M455/1000</f>
        <v>2.02</v>
      </c>
      <c r="D456" s="142">
        <f>'BC.114+320'!AA455</f>
        <v>2.3689999999999998</v>
      </c>
      <c r="E456" s="143">
        <f>'BC.114+320'!AB455</f>
        <v>1.92</v>
      </c>
      <c r="F456" s="142">
        <f>VLOOKUP($A456,'BC.114+320'!$B$13:$X$489,8,0)/1000</f>
        <v>2.5640000000000001</v>
      </c>
      <c r="G456" s="142">
        <f>VLOOKUP($A456,'BC.114+320'!$B$13:$X$489,9,0)/1000</f>
        <v>-0.436</v>
      </c>
      <c r="H456" s="142">
        <f>VLOOKUP($A456,'BC.114+320'!$B$13:$X$489,14,0)/1000</f>
        <v>2.54</v>
      </c>
      <c r="I456" s="142">
        <f>VLOOKUP($A456,'BC.114+320'!$B$13:$X$489,15,0)/1000</f>
        <v>-0.46</v>
      </c>
      <c r="J456" s="142">
        <f>VLOOKUP($A456,'BC.114+320'!$B$13:$X$489,20,0)/1000</f>
        <v>2.66</v>
      </c>
      <c r="K456" s="142">
        <f>VLOOKUP($A456,'BC.114+320'!$B$13:$X$489,21,0)/1000</f>
        <v>-0.34</v>
      </c>
      <c r="L456" s="140">
        <f t="shared" si="24"/>
        <v>-256</v>
      </c>
      <c r="M456" s="141">
        <f t="shared" si="25"/>
        <v>-280</v>
      </c>
      <c r="N456" s="140">
        <f t="shared" si="26"/>
        <v>-220.00000000000003</v>
      </c>
      <c r="O456" s="140"/>
    </row>
    <row r="457" spans="1:15">
      <c r="A457" s="76">
        <f>'BC.114+320'!B456</f>
        <v>45486</v>
      </c>
      <c r="B457" s="140">
        <f t="shared" si="27"/>
        <v>443</v>
      </c>
      <c r="C457" s="142">
        <f>'BC.114+320'!M456/1000</f>
        <v>2.02</v>
      </c>
      <c r="D457" s="142">
        <f>'BC.114+320'!AA456</f>
        <v>2.3689999999999998</v>
      </c>
      <c r="E457" s="143">
        <f>'BC.114+320'!AB456</f>
        <v>1.92</v>
      </c>
      <c r="F457" s="142">
        <f>VLOOKUP($A457,'BC.114+320'!$B$13:$X$489,8,0)/1000</f>
        <v>2.5640000000000001</v>
      </c>
      <c r="G457" s="142">
        <f>VLOOKUP($A457,'BC.114+320'!$B$13:$X$489,9,0)/1000</f>
        <v>-0.436</v>
      </c>
      <c r="H457" s="142">
        <f>VLOOKUP($A457,'BC.114+320'!$B$13:$X$489,14,0)/1000</f>
        <v>2.54</v>
      </c>
      <c r="I457" s="142">
        <f>VLOOKUP($A457,'BC.114+320'!$B$13:$X$489,15,0)/1000</f>
        <v>-0.46</v>
      </c>
      <c r="J457" s="142">
        <f>VLOOKUP($A457,'BC.114+320'!$B$13:$X$489,20,0)/1000</f>
        <v>2.66</v>
      </c>
      <c r="K457" s="142">
        <f>VLOOKUP($A457,'BC.114+320'!$B$13:$X$489,21,0)/1000</f>
        <v>-0.34</v>
      </c>
      <c r="L457" s="140">
        <f t="shared" si="24"/>
        <v>-256</v>
      </c>
      <c r="M457" s="141">
        <f t="shared" si="25"/>
        <v>-280</v>
      </c>
      <c r="N457" s="140">
        <f t="shared" si="26"/>
        <v>-220.00000000000003</v>
      </c>
      <c r="O457" s="140"/>
    </row>
    <row r="458" spans="1:15">
      <c r="A458" s="76">
        <f>'BC.114+320'!B457</f>
        <v>45487</v>
      </c>
      <c r="B458" s="140">
        <f t="shared" si="27"/>
        <v>444</v>
      </c>
      <c r="C458" s="142">
        <f>'BC.114+320'!M457/1000</f>
        <v>2.02</v>
      </c>
      <c r="D458" s="142">
        <f>'BC.114+320'!AA457</f>
        <v>2.3689999999999998</v>
      </c>
      <c r="E458" s="143">
        <f>'BC.114+320'!AB457</f>
        <v>1.92</v>
      </c>
      <c r="F458" s="142">
        <f>VLOOKUP($A458,'BC.114+320'!$B$13:$X$489,8,0)/1000</f>
        <v>2.5640000000000001</v>
      </c>
      <c r="G458" s="142">
        <f>VLOOKUP($A458,'BC.114+320'!$B$13:$X$489,9,0)/1000</f>
        <v>-0.436</v>
      </c>
      <c r="H458" s="142">
        <f>VLOOKUP($A458,'BC.114+320'!$B$13:$X$489,14,0)/1000</f>
        <v>2.54</v>
      </c>
      <c r="I458" s="142">
        <f>VLOOKUP($A458,'BC.114+320'!$B$13:$X$489,15,0)/1000</f>
        <v>-0.46</v>
      </c>
      <c r="J458" s="142">
        <f>VLOOKUP($A458,'BC.114+320'!$B$13:$X$489,20,0)/1000</f>
        <v>2.66</v>
      </c>
      <c r="K458" s="142">
        <f>VLOOKUP($A458,'BC.114+320'!$B$13:$X$489,21,0)/1000</f>
        <v>-0.34</v>
      </c>
      <c r="L458" s="140">
        <f t="shared" si="24"/>
        <v>-256</v>
      </c>
      <c r="M458" s="141">
        <f t="shared" si="25"/>
        <v>-280</v>
      </c>
      <c r="N458" s="140">
        <f t="shared" si="26"/>
        <v>-220.00000000000003</v>
      </c>
      <c r="O458" s="140"/>
    </row>
    <row r="459" spans="1:15">
      <c r="A459" s="76">
        <f>'BC.114+320'!B458</f>
        <v>45488</v>
      </c>
      <c r="B459" s="140">
        <f t="shared" si="27"/>
        <v>445</v>
      </c>
      <c r="C459" s="142">
        <f>'BC.114+320'!M458/1000</f>
        <v>2.02</v>
      </c>
      <c r="D459" s="142">
        <f>'BC.114+320'!AA458</f>
        <v>2.3689999999999998</v>
      </c>
      <c r="E459" s="143">
        <f>'BC.114+320'!AB458</f>
        <v>1.92</v>
      </c>
      <c r="F459" s="142">
        <f>VLOOKUP($A459,'BC.114+320'!$B$13:$X$489,8,0)/1000</f>
        <v>2.5640000000000001</v>
      </c>
      <c r="G459" s="142">
        <f>VLOOKUP($A459,'BC.114+320'!$B$13:$X$489,9,0)/1000</f>
        <v>-0.436</v>
      </c>
      <c r="H459" s="142">
        <f>VLOOKUP($A459,'BC.114+320'!$B$13:$X$489,14,0)/1000</f>
        <v>2.54</v>
      </c>
      <c r="I459" s="142">
        <f>VLOOKUP($A459,'BC.114+320'!$B$13:$X$489,15,0)/1000</f>
        <v>-0.46</v>
      </c>
      <c r="J459" s="142">
        <f>VLOOKUP($A459,'BC.114+320'!$B$13:$X$489,20,0)/1000</f>
        <v>2.66</v>
      </c>
      <c r="K459" s="142">
        <f>VLOOKUP($A459,'BC.114+320'!$B$13:$X$489,21,0)/1000</f>
        <v>-0.34</v>
      </c>
      <c r="L459" s="140">
        <f t="shared" si="24"/>
        <v>-256</v>
      </c>
      <c r="M459" s="141">
        <f t="shared" si="25"/>
        <v>-280</v>
      </c>
      <c r="N459" s="140">
        <f t="shared" si="26"/>
        <v>-220.00000000000003</v>
      </c>
      <c r="O459" s="140"/>
    </row>
    <row r="460" spans="1:15">
      <c r="A460" s="76">
        <f>'BC.114+320'!B459</f>
        <v>45489</v>
      </c>
      <c r="B460" s="140">
        <f t="shared" si="27"/>
        <v>446</v>
      </c>
      <c r="C460" s="142">
        <f>'BC.114+320'!M459/1000</f>
        <v>2.02</v>
      </c>
      <c r="D460" s="142">
        <f>'BC.114+320'!AA459</f>
        <v>2.3689999999999998</v>
      </c>
      <c r="E460" s="143">
        <f>'BC.114+320'!AB459</f>
        <v>1.92</v>
      </c>
      <c r="F460" s="142">
        <f>VLOOKUP($A460,'BC.114+320'!$B$13:$X$489,8,0)/1000</f>
        <v>2.5640000000000001</v>
      </c>
      <c r="G460" s="142">
        <f>VLOOKUP($A460,'BC.114+320'!$B$13:$X$489,9,0)/1000</f>
        <v>-0.436</v>
      </c>
      <c r="H460" s="142">
        <f>VLOOKUP($A460,'BC.114+320'!$B$13:$X$489,14,0)/1000</f>
        <v>2.54</v>
      </c>
      <c r="I460" s="142">
        <f>VLOOKUP($A460,'BC.114+320'!$B$13:$X$489,15,0)/1000</f>
        <v>-0.46</v>
      </c>
      <c r="J460" s="142">
        <f>VLOOKUP($A460,'BC.114+320'!$B$13:$X$489,20,0)/1000</f>
        <v>2.66</v>
      </c>
      <c r="K460" s="142">
        <f>VLOOKUP($A460,'BC.114+320'!$B$13:$X$489,21,0)/1000</f>
        <v>-0.34</v>
      </c>
      <c r="L460" s="140">
        <f t="shared" si="24"/>
        <v>-256</v>
      </c>
      <c r="M460" s="141">
        <f t="shared" si="25"/>
        <v>-280</v>
      </c>
      <c r="N460" s="140">
        <f t="shared" si="26"/>
        <v>-220.00000000000003</v>
      </c>
      <c r="O460" s="140"/>
    </row>
    <row r="461" spans="1:15">
      <c r="A461" s="76">
        <f>'BC.114+320'!B460</f>
        <v>45490</v>
      </c>
      <c r="B461" s="140">
        <f t="shared" si="27"/>
        <v>447</v>
      </c>
      <c r="C461" s="142">
        <f>'BC.114+320'!M460/1000</f>
        <v>2.02</v>
      </c>
      <c r="D461" s="142">
        <f>'BC.114+320'!AA460</f>
        <v>2.3689999999999998</v>
      </c>
      <c r="E461" s="143">
        <f>'BC.114+320'!AB460</f>
        <v>1.92</v>
      </c>
      <c r="F461" s="142">
        <f>VLOOKUP($A461,'BC.114+320'!$B$13:$X$489,8,0)/1000</f>
        <v>2.5640000000000001</v>
      </c>
      <c r="G461" s="142">
        <f>VLOOKUP($A461,'BC.114+320'!$B$13:$X$489,9,0)/1000</f>
        <v>-0.436</v>
      </c>
      <c r="H461" s="142">
        <f>VLOOKUP($A461,'BC.114+320'!$B$13:$X$489,14,0)/1000</f>
        <v>2.54</v>
      </c>
      <c r="I461" s="142">
        <f>VLOOKUP($A461,'BC.114+320'!$B$13:$X$489,15,0)/1000</f>
        <v>-0.46</v>
      </c>
      <c r="J461" s="142">
        <f>VLOOKUP($A461,'BC.114+320'!$B$13:$X$489,20,0)/1000</f>
        <v>2.66</v>
      </c>
      <c r="K461" s="142">
        <f>VLOOKUP($A461,'BC.114+320'!$B$13:$X$489,21,0)/1000</f>
        <v>-0.34</v>
      </c>
      <c r="L461" s="140">
        <f t="shared" si="24"/>
        <v>-256</v>
      </c>
      <c r="M461" s="141">
        <f t="shared" si="25"/>
        <v>-280</v>
      </c>
      <c r="N461" s="140">
        <f t="shared" si="26"/>
        <v>-220.00000000000003</v>
      </c>
      <c r="O461" s="140"/>
    </row>
    <row r="462" spans="1:15">
      <c r="A462" s="76">
        <f>'BC.114+320'!B461</f>
        <v>45491</v>
      </c>
      <c r="B462" s="140">
        <f t="shared" si="27"/>
        <v>448</v>
      </c>
      <c r="C462" s="142">
        <f>'BC.114+320'!M461/1000</f>
        <v>2.02</v>
      </c>
      <c r="D462" s="142">
        <f>'BC.114+320'!AA461</f>
        <v>2.3689999999999998</v>
      </c>
      <c r="E462" s="143">
        <f>'BC.114+320'!AB461</f>
        <v>1.92</v>
      </c>
      <c r="F462" s="142">
        <f>VLOOKUP($A462,'BC.114+320'!$B$13:$X$489,8,0)/1000</f>
        <v>2.5640000000000001</v>
      </c>
      <c r="G462" s="142">
        <f>VLOOKUP($A462,'BC.114+320'!$B$13:$X$489,9,0)/1000</f>
        <v>-0.436</v>
      </c>
      <c r="H462" s="142">
        <f>VLOOKUP($A462,'BC.114+320'!$B$13:$X$489,14,0)/1000</f>
        <v>2.54</v>
      </c>
      <c r="I462" s="142">
        <f>VLOOKUP($A462,'BC.114+320'!$B$13:$X$489,15,0)/1000</f>
        <v>-0.46</v>
      </c>
      <c r="J462" s="142">
        <f>VLOOKUP($A462,'BC.114+320'!$B$13:$X$489,20,0)/1000</f>
        <v>2.66</v>
      </c>
      <c r="K462" s="142">
        <f>VLOOKUP($A462,'BC.114+320'!$B$13:$X$489,21,0)/1000</f>
        <v>-0.34</v>
      </c>
      <c r="L462" s="140">
        <f t="shared" ref="L462:L525" si="28">(G462-$G$14)*1000</f>
        <v>-256</v>
      </c>
      <c r="M462" s="141">
        <f t="shared" ref="M462:M525" si="29">(I462-$I$14)*1000</f>
        <v>-280</v>
      </c>
      <c r="N462" s="140">
        <f t="shared" si="26"/>
        <v>-220.00000000000003</v>
      </c>
      <c r="O462" s="140"/>
    </row>
    <row r="463" spans="1:15">
      <c r="A463" s="76">
        <f>'BC.114+320'!B462</f>
        <v>45492</v>
      </c>
      <c r="B463" s="140">
        <f t="shared" si="27"/>
        <v>449</v>
      </c>
      <c r="C463" s="142">
        <f>'BC.114+320'!M462/1000</f>
        <v>2.02</v>
      </c>
      <c r="D463" s="142">
        <f>'BC.114+320'!AA462</f>
        <v>2.3689999999999998</v>
      </c>
      <c r="E463" s="143">
        <f>'BC.114+320'!AB462</f>
        <v>1.92</v>
      </c>
      <c r="F463" s="142">
        <f>VLOOKUP($A463,'BC.114+320'!$B$13:$X$489,8,0)/1000</f>
        <v>2.5640000000000001</v>
      </c>
      <c r="G463" s="142">
        <f>VLOOKUP($A463,'BC.114+320'!$B$13:$X$489,9,0)/1000</f>
        <v>-0.436</v>
      </c>
      <c r="H463" s="142">
        <f>VLOOKUP($A463,'BC.114+320'!$B$13:$X$489,14,0)/1000</f>
        <v>2.54</v>
      </c>
      <c r="I463" s="142">
        <f>VLOOKUP($A463,'BC.114+320'!$B$13:$X$489,15,0)/1000</f>
        <v>-0.46</v>
      </c>
      <c r="J463" s="142">
        <f>VLOOKUP($A463,'BC.114+320'!$B$13:$X$489,20,0)/1000</f>
        <v>2.66</v>
      </c>
      <c r="K463" s="142">
        <f>VLOOKUP($A463,'BC.114+320'!$B$13:$X$489,21,0)/1000</f>
        <v>-0.34</v>
      </c>
      <c r="L463" s="140">
        <f t="shared" si="28"/>
        <v>-256</v>
      </c>
      <c r="M463" s="141">
        <f t="shared" si="29"/>
        <v>-280</v>
      </c>
      <c r="N463" s="140">
        <f t="shared" ref="N463:N526" si="30">(K463-$K$14)*1000</f>
        <v>-220.00000000000003</v>
      </c>
      <c r="O463" s="140"/>
    </row>
    <row r="464" spans="1:15">
      <c r="A464" s="76">
        <f>'BC.114+320'!B463</f>
        <v>45493</v>
      </c>
      <c r="B464" s="140">
        <f t="shared" ref="B464:B527" si="31">+B463+1</f>
        <v>450</v>
      </c>
      <c r="C464" s="142">
        <f>'BC.114+320'!M463/1000</f>
        <v>2.02</v>
      </c>
      <c r="D464" s="142">
        <f>'BC.114+320'!AA463</f>
        <v>2.3689999999999998</v>
      </c>
      <c r="E464" s="143">
        <f>'BC.114+320'!AB463</f>
        <v>1.92</v>
      </c>
      <c r="F464" s="142">
        <f>VLOOKUP($A464,'BC.114+320'!$B$13:$X$489,8,0)/1000</f>
        <v>2.5640000000000001</v>
      </c>
      <c r="G464" s="142">
        <f>VLOOKUP($A464,'BC.114+320'!$B$13:$X$489,9,0)/1000</f>
        <v>-0.436</v>
      </c>
      <c r="H464" s="142">
        <f>VLOOKUP($A464,'BC.114+320'!$B$13:$X$489,14,0)/1000</f>
        <v>2.54</v>
      </c>
      <c r="I464" s="142">
        <f>VLOOKUP($A464,'BC.114+320'!$B$13:$X$489,15,0)/1000</f>
        <v>-0.46</v>
      </c>
      <c r="J464" s="142">
        <f>VLOOKUP($A464,'BC.114+320'!$B$13:$X$489,20,0)/1000</f>
        <v>2.66</v>
      </c>
      <c r="K464" s="142">
        <f>VLOOKUP($A464,'BC.114+320'!$B$13:$X$489,21,0)/1000</f>
        <v>-0.34</v>
      </c>
      <c r="L464" s="140">
        <f t="shared" si="28"/>
        <v>-256</v>
      </c>
      <c r="M464" s="141">
        <f t="shared" si="29"/>
        <v>-280</v>
      </c>
      <c r="N464" s="140">
        <f t="shared" si="30"/>
        <v>-220.00000000000003</v>
      </c>
      <c r="O464" s="140"/>
    </row>
    <row r="465" spans="1:15">
      <c r="A465" s="76">
        <f>'BC.114+320'!B464</f>
        <v>45494</v>
      </c>
      <c r="B465" s="140">
        <f t="shared" si="31"/>
        <v>451</v>
      </c>
      <c r="C465" s="142">
        <f>'BC.114+320'!M464/1000</f>
        <v>2.02</v>
      </c>
      <c r="D465" s="142">
        <f>'BC.114+320'!AA464</f>
        <v>2.3689999999999998</v>
      </c>
      <c r="E465" s="143">
        <f>'BC.114+320'!AB464</f>
        <v>1.92</v>
      </c>
      <c r="F465" s="142">
        <f>VLOOKUP($A465,'BC.114+320'!$B$13:$X$489,8,0)/1000</f>
        <v>2.5640000000000001</v>
      </c>
      <c r="G465" s="142">
        <f>VLOOKUP($A465,'BC.114+320'!$B$13:$X$489,9,0)/1000</f>
        <v>-0.436</v>
      </c>
      <c r="H465" s="142">
        <f>VLOOKUP($A465,'BC.114+320'!$B$13:$X$489,14,0)/1000</f>
        <v>2.54</v>
      </c>
      <c r="I465" s="142">
        <f>VLOOKUP($A465,'BC.114+320'!$B$13:$X$489,15,0)/1000</f>
        <v>-0.46</v>
      </c>
      <c r="J465" s="142">
        <f>VLOOKUP($A465,'BC.114+320'!$B$13:$X$489,20,0)/1000</f>
        <v>2.66</v>
      </c>
      <c r="K465" s="142">
        <f>VLOOKUP($A465,'BC.114+320'!$B$13:$X$489,21,0)/1000</f>
        <v>-0.34</v>
      </c>
      <c r="L465" s="140">
        <f t="shared" si="28"/>
        <v>-256</v>
      </c>
      <c r="M465" s="141">
        <f t="shared" si="29"/>
        <v>-280</v>
      </c>
      <c r="N465" s="140">
        <f t="shared" si="30"/>
        <v>-220.00000000000003</v>
      </c>
      <c r="O465" s="140"/>
    </row>
    <row r="466" spans="1:15">
      <c r="A466" s="76">
        <f>'BC.114+320'!B465</f>
        <v>45495</v>
      </c>
      <c r="B466" s="140">
        <f t="shared" si="31"/>
        <v>452</v>
      </c>
      <c r="C466" s="142">
        <f>'BC.114+320'!M465/1000</f>
        <v>2.02</v>
      </c>
      <c r="D466" s="142">
        <f>'BC.114+320'!AA465</f>
        <v>2.3689999999999998</v>
      </c>
      <c r="E466" s="143">
        <f>'BC.114+320'!AB465</f>
        <v>1.92</v>
      </c>
      <c r="F466" s="142">
        <f>VLOOKUP($A466,'BC.114+320'!$B$13:$X$489,8,0)/1000</f>
        <v>2.5640000000000001</v>
      </c>
      <c r="G466" s="142">
        <f>VLOOKUP($A466,'BC.114+320'!$B$13:$X$489,9,0)/1000</f>
        <v>-0.436</v>
      </c>
      <c r="H466" s="142">
        <f>VLOOKUP($A466,'BC.114+320'!$B$13:$X$489,14,0)/1000</f>
        <v>2.54</v>
      </c>
      <c r="I466" s="142">
        <f>VLOOKUP($A466,'BC.114+320'!$B$13:$X$489,15,0)/1000</f>
        <v>-0.46</v>
      </c>
      <c r="J466" s="142">
        <f>VLOOKUP($A466,'BC.114+320'!$B$13:$X$489,20,0)/1000</f>
        <v>2.66</v>
      </c>
      <c r="K466" s="142">
        <f>VLOOKUP($A466,'BC.114+320'!$B$13:$X$489,21,0)/1000</f>
        <v>-0.34</v>
      </c>
      <c r="L466" s="140">
        <f t="shared" si="28"/>
        <v>-256</v>
      </c>
      <c r="M466" s="141">
        <f t="shared" si="29"/>
        <v>-280</v>
      </c>
      <c r="N466" s="140">
        <f t="shared" si="30"/>
        <v>-220.00000000000003</v>
      </c>
      <c r="O466" s="140"/>
    </row>
    <row r="467" spans="1:15">
      <c r="A467" s="76">
        <f>'BC.114+320'!B466</f>
        <v>45496</v>
      </c>
      <c r="B467" s="140">
        <f t="shared" si="31"/>
        <v>453</v>
      </c>
      <c r="C467" s="142">
        <f>'BC.114+320'!M466/1000</f>
        <v>2.02</v>
      </c>
      <c r="D467" s="142">
        <f>'BC.114+320'!AA466</f>
        <v>2.3689999999999998</v>
      </c>
      <c r="E467" s="143">
        <f>'BC.114+320'!AB466</f>
        <v>1.92</v>
      </c>
      <c r="F467" s="142">
        <f>VLOOKUP($A467,'BC.114+320'!$B$13:$X$489,8,0)/1000</f>
        <v>2.5640000000000001</v>
      </c>
      <c r="G467" s="142">
        <f>VLOOKUP($A467,'BC.114+320'!$B$13:$X$489,9,0)/1000</f>
        <v>-0.436</v>
      </c>
      <c r="H467" s="142">
        <f>VLOOKUP($A467,'BC.114+320'!$B$13:$X$489,14,0)/1000</f>
        <v>2.54</v>
      </c>
      <c r="I467" s="142">
        <f>VLOOKUP($A467,'BC.114+320'!$B$13:$X$489,15,0)/1000</f>
        <v>-0.46</v>
      </c>
      <c r="J467" s="142">
        <f>VLOOKUP($A467,'BC.114+320'!$B$13:$X$489,20,0)/1000</f>
        <v>2.66</v>
      </c>
      <c r="K467" s="142">
        <f>VLOOKUP($A467,'BC.114+320'!$B$13:$X$489,21,0)/1000</f>
        <v>-0.34</v>
      </c>
      <c r="L467" s="140">
        <f t="shared" si="28"/>
        <v>-256</v>
      </c>
      <c r="M467" s="141">
        <f t="shared" si="29"/>
        <v>-280</v>
      </c>
      <c r="N467" s="140">
        <f t="shared" si="30"/>
        <v>-220.00000000000003</v>
      </c>
      <c r="O467" s="140"/>
    </row>
    <row r="468" spans="1:15">
      <c r="A468" s="76">
        <f>'BC.114+320'!B467</f>
        <v>45497</v>
      </c>
      <c r="B468" s="140">
        <f t="shared" si="31"/>
        <v>454</v>
      </c>
      <c r="C468" s="142">
        <f>'BC.114+320'!M467/1000</f>
        <v>2.02</v>
      </c>
      <c r="D468" s="142">
        <f>'BC.114+320'!AA467</f>
        <v>2.3689999999999998</v>
      </c>
      <c r="E468" s="143">
        <f>'BC.114+320'!AB467</f>
        <v>1.92</v>
      </c>
      <c r="F468" s="142">
        <f>VLOOKUP($A468,'BC.114+320'!$B$13:$X$489,8,0)/1000</f>
        <v>2.5640000000000001</v>
      </c>
      <c r="G468" s="142">
        <f>VLOOKUP($A468,'BC.114+320'!$B$13:$X$489,9,0)/1000</f>
        <v>-0.436</v>
      </c>
      <c r="H468" s="142">
        <f>VLOOKUP($A468,'BC.114+320'!$B$13:$X$489,14,0)/1000</f>
        <v>2.54</v>
      </c>
      <c r="I468" s="142">
        <f>VLOOKUP($A468,'BC.114+320'!$B$13:$X$489,15,0)/1000</f>
        <v>-0.46</v>
      </c>
      <c r="J468" s="142">
        <f>VLOOKUP($A468,'BC.114+320'!$B$13:$X$489,20,0)/1000</f>
        <v>2.66</v>
      </c>
      <c r="K468" s="142">
        <f>VLOOKUP($A468,'BC.114+320'!$B$13:$X$489,21,0)/1000</f>
        <v>-0.34</v>
      </c>
      <c r="L468" s="140">
        <f t="shared" si="28"/>
        <v>-256</v>
      </c>
      <c r="M468" s="141">
        <f t="shared" si="29"/>
        <v>-280</v>
      </c>
      <c r="N468" s="140">
        <f t="shared" si="30"/>
        <v>-220.00000000000003</v>
      </c>
      <c r="O468" s="140"/>
    </row>
    <row r="469" spans="1:15">
      <c r="A469" s="76">
        <f>'BC.114+320'!B468</f>
        <v>45498</v>
      </c>
      <c r="B469" s="140">
        <f t="shared" si="31"/>
        <v>455</v>
      </c>
      <c r="C469" s="142">
        <f>'BC.114+320'!M468/1000</f>
        <v>2.02</v>
      </c>
      <c r="D469" s="142">
        <f>'BC.114+320'!AA468</f>
        <v>2.3689999999999998</v>
      </c>
      <c r="E469" s="143">
        <f>'BC.114+320'!AB468</f>
        <v>1.92</v>
      </c>
      <c r="F469" s="142">
        <f>VLOOKUP($A469,'BC.114+320'!$B$13:$X$489,8,0)/1000</f>
        <v>2.5640000000000001</v>
      </c>
      <c r="G469" s="142">
        <f>VLOOKUP($A469,'BC.114+320'!$B$13:$X$489,9,0)/1000</f>
        <v>-0.436</v>
      </c>
      <c r="H469" s="142">
        <f>VLOOKUP($A469,'BC.114+320'!$B$13:$X$489,14,0)/1000</f>
        <v>2.54</v>
      </c>
      <c r="I469" s="142">
        <f>VLOOKUP($A469,'BC.114+320'!$B$13:$X$489,15,0)/1000</f>
        <v>-0.46</v>
      </c>
      <c r="J469" s="142">
        <f>VLOOKUP($A469,'BC.114+320'!$B$13:$X$489,20,0)/1000</f>
        <v>2.66</v>
      </c>
      <c r="K469" s="142">
        <f>VLOOKUP($A469,'BC.114+320'!$B$13:$X$489,21,0)/1000</f>
        <v>-0.34</v>
      </c>
      <c r="L469" s="140">
        <f t="shared" si="28"/>
        <v>-256</v>
      </c>
      <c r="M469" s="141">
        <f t="shared" si="29"/>
        <v>-280</v>
      </c>
      <c r="N469" s="140">
        <f t="shared" si="30"/>
        <v>-220.00000000000003</v>
      </c>
      <c r="O469" s="140"/>
    </row>
    <row r="470" spans="1:15">
      <c r="A470" s="76">
        <f>'BC.114+320'!B469</f>
        <v>45499</v>
      </c>
      <c r="B470" s="140">
        <f t="shared" si="31"/>
        <v>456</v>
      </c>
      <c r="C470" s="142">
        <f>'BC.114+320'!M469/1000</f>
        <v>2.02</v>
      </c>
      <c r="D470" s="142">
        <f>'BC.114+320'!AA469</f>
        <v>2.3689999999999998</v>
      </c>
      <c r="E470" s="143">
        <f>'BC.114+320'!AB469</f>
        <v>1.92</v>
      </c>
      <c r="F470" s="142">
        <f>VLOOKUP($A470,'BC.114+320'!$B$13:$X$489,8,0)/1000</f>
        <v>2.5640000000000001</v>
      </c>
      <c r="G470" s="142">
        <f>VLOOKUP($A470,'BC.114+320'!$B$13:$X$489,9,0)/1000</f>
        <v>-0.436</v>
      </c>
      <c r="H470" s="142">
        <f>VLOOKUP($A470,'BC.114+320'!$B$13:$X$489,14,0)/1000</f>
        <v>2.54</v>
      </c>
      <c r="I470" s="142">
        <f>VLOOKUP($A470,'BC.114+320'!$B$13:$X$489,15,0)/1000</f>
        <v>-0.46</v>
      </c>
      <c r="J470" s="142">
        <f>VLOOKUP($A470,'BC.114+320'!$B$13:$X$489,20,0)/1000</f>
        <v>2.66</v>
      </c>
      <c r="K470" s="142">
        <f>VLOOKUP($A470,'BC.114+320'!$B$13:$X$489,21,0)/1000</f>
        <v>-0.34</v>
      </c>
      <c r="L470" s="140">
        <f t="shared" si="28"/>
        <v>-256</v>
      </c>
      <c r="M470" s="141">
        <f t="shared" si="29"/>
        <v>-280</v>
      </c>
      <c r="N470" s="140">
        <f t="shared" si="30"/>
        <v>-220.00000000000003</v>
      </c>
      <c r="O470" s="140"/>
    </row>
    <row r="471" spans="1:15">
      <c r="A471" s="76">
        <f>'BC.114+320'!B470</f>
        <v>45500</v>
      </c>
      <c r="B471" s="140">
        <f t="shared" si="31"/>
        <v>457</v>
      </c>
      <c r="C471" s="142">
        <f>'BC.114+320'!M470/1000</f>
        <v>2.02</v>
      </c>
      <c r="D471" s="142">
        <f>'BC.114+320'!AA470</f>
        <v>2.3689999999999998</v>
      </c>
      <c r="E471" s="143">
        <f>'BC.114+320'!AB470</f>
        <v>1.92</v>
      </c>
      <c r="F471" s="142">
        <f>VLOOKUP($A471,'BC.114+320'!$B$13:$X$489,8,0)/1000</f>
        <v>2.5640000000000001</v>
      </c>
      <c r="G471" s="142">
        <f>VLOOKUP($A471,'BC.114+320'!$B$13:$X$489,9,0)/1000</f>
        <v>-0.436</v>
      </c>
      <c r="H471" s="142">
        <f>VLOOKUP($A471,'BC.114+320'!$B$13:$X$489,14,0)/1000</f>
        <v>2.54</v>
      </c>
      <c r="I471" s="142">
        <f>VLOOKUP($A471,'BC.114+320'!$B$13:$X$489,15,0)/1000</f>
        <v>-0.46</v>
      </c>
      <c r="J471" s="142">
        <f>VLOOKUP($A471,'BC.114+320'!$B$13:$X$489,20,0)/1000</f>
        <v>2.66</v>
      </c>
      <c r="K471" s="142">
        <f>VLOOKUP($A471,'BC.114+320'!$B$13:$X$489,21,0)/1000</f>
        <v>-0.34</v>
      </c>
      <c r="L471" s="140">
        <f t="shared" si="28"/>
        <v>-256</v>
      </c>
      <c r="M471" s="141">
        <f t="shared" si="29"/>
        <v>-280</v>
      </c>
      <c r="N471" s="140">
        <f t="shared" si="30"/>
        <v>-220.00000000000003</v>
      </c>
      <c r="O471" s="140"/>
    </row>
    <row r="472" spans="1:15">
      <c r="A472" s="76">
        <f>'BC.114+320'!B471</f>
        <v>45501</v>
      </c>
      <c r="B472" s="140">
        <f t="shared" si="31"/>
        <v>458</v>
      </c>
      <c r="C472" s="142">
        <f>'BC.114+320'!M471/1000</f>
        <v>2.02</v>
      </c>
      <c r="D472" s="142">
        <f>'BC.114+320'!AA471</f>
        <v>2.3689999999999998</v>
      </c>
      <c r="E472" s="143">
        <f>'BC.114+320'!AB471</f>
        <v>1.92</v>
      </c>
      <c r="F472" s="142">
        <f>VLOOKUP($A472,'BC.114+320'!$B$13:$X$489,8,0)/1000</f>
        <v>2.5640000000000001</v>
      </c>
      <c r="G472" s="142">
        <f>VLOOKUP($A472,'BC.114+320'!$B$13:$X$489,9,0)/1000</f>
        <v>-0.436</v>
      </c>
      <c r="H472" s="142">
        <f>VLOOKUP($A472,'BC.114+320'!$B$13:$X$489,14,0)/1000</f>
        <v>2.54</v>
      </c>
      <c r="I472" s="142">
        <f>VLOOKUP($A472,'BC.114+320'!$B$13:$X$489,15,0)/1000</f>
        <v>-0.46</v>
      </c>
      <c r="J472" s="142">
        <f>VLOOKUP($A472,'BC.114+320'!$B$13:$X$489,20,0)/1000</f>
        <v>2.66</v>
      </c>
      <c r="K472" s="142">
        <f>VLOOKUP($A472,'BC.114+320'!$B$13:$X$489,21,0)/1000</f>
        <v>-0.34</v>
      </c>
      <c r="L472" s="140">
        <f t="shared" si="28"/>
        <v>-256</v>
      </c>
      <c r="M472" s="141">
        <f t="shared" si="29"/>
        <v>-280</v>
      </c>
      <c r="N472" s="140">
        <f t="shared" si="30"/>
        <v>-220.00000000000003</v>
      </c>
      <c r="O472" s="140"/>
    </row>
    <row r="473" spans="1:15">
      <c r="A473" s="76">
        <f>'BC.114+320'!B472</f>
        <v>45502</v>
      </c>
      <c r="B473" s="140">
        <f t="shared" si="31"/>
        <v>459</v>
      </c>
      <c r="C473" s="142">
        <f>'BC.114+320'!M472/1000</f>
        <v>2.02</v>
      </c>
      <c r="D473" s="142">
        <f>'BC.114+320'!AA472</f>
        <v>2.3689999999999998</v>
      </c>
      <c r="E473" s="143">
        <f>'BC.114+320'!AB472</f>
        <v>1.92</v>
      </c>
      <c r="F473" s="142">
        <f>VLOOKUP($A473,'BC.114+320'!$B$13:$X$489,8,0)/1000</f>
        <v>2.5640000000000001</v>
      </c>
      <c r="G473" s="142">
        <f>VLOOKUP($A473,'BC.114+320'!$B$13:$X$489,9,0)/1000</f>
        <v>-0.436</v>
      </c>
      <c r="H473" s="142">
        <f>VLOOKUP($A473,'BC.114+320'!$B$13:$X$489,14,0)/1000</f>
        <v>2.54</v>
      </c>
      <c r="I473" s="142">
        <f>VLOOKUP($A473,'BC.114+320'!$B$13:$X$489,15,0)/1000</f>
        <v>-0.46</v>
      </c>
      <c r="J473" s="142">
        <f>VLOOKUP($A473,'BC.114+320'!$B$13:$X$489,20,0)/1000</f>
        <v>2.66</v>
      </c>
      <c r="K473" s="142">
        <f>VLOOKUP($A473,'BC.114+320'!$B$13:$X$489,21,0)/1000</f>
        <v>-0.34</v>
      </c>
      <c r="L473" s="140">
        <f t="shared" si="28"/>
        <v>-256</v>
      </c>
      <c r="M473" s="141">
        <f t="shared" si="29"/>
        <v>-280</v>
      </c>
      <c r="N473" s="140">
        <f t="shared" si="30"/>
        <v>-220.00000000000003</v>
      </c>
      <c r="O473" s="140"/>
    </row>
    <row r="474" spans="1:15">
      <c r="A474" s="76">
        <f>'BC.114+320'!B473</f>
        <v>45503</v>
      </c>
      <c r="B474" s="140">
        <f t="shared" si="31"/>
        <v>460</v>
      </c>
      <c r="C474" s="142">
        <f>'BC.114+320'!M473/1000</f>
        <v>2.02</v>
      </c>
      <c r="D474" s="142">
        <f>'BC.114+320'!AA473</f>
        <v>2.3689999999999998</v>
      </c>
      <c r="E474" s="143">
        <f>'BC.114+320'!AB473</f>
        <v>1.92</v>
      </c>
      <c r="F474" s="142">
        <f>VLOOKUP($A474,'BC.114+320'!$B$13:$X$489,8,0)/1000</f>
        <v>2.5640000000000001</v>
      </c>
      <c r="G474" s="142">
        <f>VLOOKUP($A474,'BC.114+320'!$B$13:$X$489,9,0)/1000</f>
        <v>-0.436</v>
      </c>
      <c r="H474" s="142">
        <f>VLOOKUP($A474,'BC.114+320'!$B$13:$X$489,14,0)/1000</f>
        <v>2.54</v>
      </c>
      <c r="I474" s="142">
        <f>VLOOKUP($A474,'BC.114+320'!$B$13:$X$489,15,0)/1000</f>
        <v>-0.46</v>
      </c>
      <c r="J474" s="142">
        <f>VLOOKUP($A474,'BC.114+320'!$B$13:$X$489,20,0)/1000</f>
        <v>2.66</v>
      </c>
      <c r="K474" s="142">
        <f>VLOOKUP($A474,'BC.114+320'!$B$13:$X$489,21,0)/1000</f>
        <v>-0.34</v>
      </c>
      <c r="L474" s="140">
        <f t="shared" si="28"/>
        <v>-256</v>
      </c>
      <c r="M474" s="141">
        <f t="shared" si="29"/>
        <v>-280</v>
      </c>
      <c r="N474" s="140">
        <f t="shared" si="30"/>
        <v>-220.00000000000003</v>
      </c>
      <c r="O474" s="140"/>
    </row>
    <row r="475" spans="1:15">
      <c r="A475" s="76">
        <f>'BC.114+320'!B474</f>
        <v>45504</v>
      </c>
      <c r="B475" s="140">
        <f t="shared" si="31"/>
        <v>461</v>
      </c>
      <c r="C475" s="142">
        <f>'BC.114+320'!M474/1000</f>
        <v>2.02</v>
      </c>
      <c r="D475" s="142">
        <f>'BC.114+320'!AA474</f>
        <v>2.3689999999999998</v>
      </c>
      <c r="E475" s="143">
        <f>'BC.114+320'!AB474</f>
        <v>1.92</v>
      </c>
      <c r="F475" s="142">
        <f>VLOOKUP($A475,'BC.114+320'!$B$13:$X$489,8,0)/1000</f>
        <v>2.5640000000000001</v>
      </c>
      <c r="G475" s="142">
        <f>VLOOKUP($A475,'BC.114+320'!$B$13:$X$489,9,0)/1000</f>
        <v>-0.436</v>
      </c>
      <c r="H475" s="142">
        <f>VLOOKUP($A475,'BC.114+320'!$B$13:$X$489,14,0)/1000</f>
        <v>2.54</v>
      </c>
      <c r="I475" s="142">
        <f>VLOOKUP($A475,'BC.114+320'!$B$13:$X$489,15,0)/1000</f>
        <v>-0.46</v>
      </c>
      <c r="J475" s="142">
        <f>VLOOKUP($A475,'BC.114+320'!$B$13:$X$489,20,0)/1000</f>
        <v>2.66</v>
      </c>
      <c r="K475" s="142">
        <f>VLOOKUP($A475,'BC.114+320'!$B$13:$X$489,21,0)/1000</f>
        <v>-0.34</v>
      </c>
      <c r="L475" s="140">
        <f t="shared" si="28"/>
        <v>-256</v>
      </c>
      <c r="M475" s="141">
        <f t="shared" si="29"/>
        <v>-280</v>
      </c>
      <c r="N475" s="140">
        <f t="shared" si="30"/>
        <v>-220.00000000000003</v>
      </c>
      <c r="O475" s="140"/>
    </row>
    <row r="476" spans="1:15">
      <c r="A476" s="76">
        <f>'BC.114+320'!B475</f>
        <v>45505</v>
      </c>
      <c r="B476" s="140">
        <f t="shared" si="31"/>
        <v>462</v>
      </c>
      <c r="C476" s="142">
        <f>'BC.114+320'!M475/1000</f>
        <v>2.02</v>
      </c>
      <c r="D476" s="142">
        <f>'BC.114+320'!AA475</f>
        <v>2.3689999999999998</v>
      </c>
      <c r="E476" s="143">
        <f>'BC.114+320'!AB475</f>
        <v>1.92</v>
      </c>
      <c r="F476" s="142">
        <f>VLOOKUP($A476,'BC.114+320'!$B$13:$X$489,8,0)/1000</f>
        <v>2.5640000000000001</v>
      </c>
      <c r="G476" s="142">
        <f>VLOOKUP($A476,'BC.114+320'!$B$13:$X$489,9,0)/1000</f>
        <v>-0.436</v>
      </c>
      <c r="H476" s="142">
        <f>VLOOKUP($A476,'BC.114+320'!$B$13:$X$489,14,0)/1000</f>
        <v>2.54</v>
      </c>
      <c r="I476" s="142">
        <f>VLOOKUP($A476,'BC.114+320'!$B$13:$X$489,15,0)/1000</f>
        <v>-0.46</v>
      </c>
      <c r="J476" s="142">
        <f>VLOOKUP($A476,'BC.114+320'!$B$13:$X$489,20,0)/1000</f>
        <v>2.66</v>
      </c>
      <c r="K476" s="142">
        <f>VLOOKUP($A476,'BC.114+320'!$B$13:$X$489,21,0)/1000</f>
        <v>-0.34</v>
      </c>
      <c r="L476" s="140">
        <f t="shared" si="28"/>
        <v>-256</v>
      </c>
      <c r="M476" s="141">
        <f t="shared" si="29"/>
        <v>-280</v>
      </c>
      <c r="N476" s="140">
        <f t="shared" si="30"/>
        <v>-220.00000000000003</v>
      </c>
      <c r="O476" s="140"/>
    </row>
    <row r="477" spans="1:15">
      <c r="A477" s="76">
        <f>'BC.114+320'!B476</f>
        <v>45506</v>
      </c>
      <c r="B477" s="140">
        <f t="shared" si="31"/>
        <v>463</v>
      </c>
      <c r="C477" s="142">
        <f>'BC.114+320'!M476/1000</f>
        <v>2.02</v>
      </c>
      <c r="D477" s="142">
        <f>'BC.114+320'!AA476</f>
        <v>2.3689999999999998</v>
      </c>
      <c r="E477" s="143">
        <f>'BC.114+320'!AB476</f>
        <v>1.92</v>
      </c>
      <c r="F477" s="142">
        <f>VLOOKUP($A477,'BC.114+320'!$B$13:$X$489,8,0)/1000</f>
        <v>2.5640000000000001</v>
      </c>
      <c r="G477" s="142">
        <f>VLOOKUP($A477,'BC.114+320'!$B$13:$X$489,9,0)/1000</f>
        <v>-0.436</v>
      </c>
      <c r="H477" s="142">
        <f>VLOOKUP($A477,'BC.114+320'!$B$13:$X$489,14,0)/1000</f>
        <v>2.54</v>
      </c>
      <c r="I477" s="142">
        <f>VLOOKUP($A477,'BC.114+320'!$B$13:$X$489,15,0)/1000</f>
        <v>-0.46</v>
      </c>
      <c r="J477" s="142">
        <f>VLOOKUP($A477,'BC.114+320'!$B$13:$X$489,20,0)/1000</f>
        <v>2.66</v>
      </c>
      <c r="K477" s="142">
        <f>VLOOKUP($A477,'BC.114+320'!$B$13:$X$489,21,0)/1000</f>
        <v>-0.34</v>
      </c>
      <c r="L477" s="140">
        <f t="shared" si="28"/>
        <v>-256</v>
      </c>
      <c r="M477" s="141">
        <f t="shared" si="29"/>
        <v>-280</v>
      </c>
      <c r="N477" s="140">
        <f t="shared" si="30"/>
        <v>-220.00000000000003</v>
      </c>
      <c r="O477" s="140"/>
    </row>
    <row r="478" spans="1:15">
      <c r="A478" s="76">
        <f>'BC.114+320'!B477</f>
        <v>45507</v>
      </c>
      <c r="B478" s="140">
        <f t="shared" si="31"/>
        <v>464</v>
      </c>
      <c r="C478" s="142">
        <f>'BC.114+320'!M477/1000</f>
        <v>2.02</v>
      </c>
      <c r="D478" s="142">
        <f>'BC.114+320'!AA477</f>
        <v>2.3689999999999998</v>
      </c>
      <c r="E478" s="143">
        <f>'BC.114+320'!AB477</f>
        <v>1.92</v>
      </c>
      <c r="F478" s="142">
        <f>VLOOKUP($A478,'BC.114+320'!$B$13:$X$489,8,0)/1000</f>
        <v>2.5640000000000001</v>
      </c>
      <c r="G478" s="142">
        <f>VLOOKUP($A478,'BC.114+320'!$B$13:$X$489,9,0)/1000</f>
        <v>-0.436</v>
      </c>
      <c r="H478" s="142">
        <f>VLOOKUP($A478,'BC.114+320'!$B$13:$X$489,14,0)/1000</f>
        <v>2.54</v>
      </c>
      <c r="I478" s="142">
        <f>VLOOKUP($A478,'BC.114+320'!$B$13:$X$489,15,0)/1000</f>
        <v>-0.46</v>
      </c>
      <c r="J478" s="142">
        <f>VLOOKUP($A478,'BC.114+320'!$B$13:$X$489,20,0)/1000</f>
        <v>2.66</v>
      </c>
      <c r="K478" s="142">
        <f>VLOOKUP($A478,'BC.114+320'!$B$13:$X$489,21,0)/1000</f>
        <v>-0.34</v>
      </c>
      <c r="L478" s="140">
        <f t="shared" si="28"/>
        <v>-256</v>
      </c>
      <c r="M478" s="141">
        <f t="shared" si="29"/>
        <v>-280</v>
      </c>
      <c r="N478" s="140">
        <f t="shared" si="30"/>
        <v>-220.00000000000003</v>
      </c>
      <c r="O478" s="140"/>
    </row>
    <row r="479" spans="1:15">
      <c r="A479" s="76">
        <f>'BC.114+320'!B478</f>
        <v>45508</v>
      </c>
      <c r="B479" s="140">
        <f t="shared" si="31"/>
        <v>465</v>
      </c>
      <c r="C479" s="142">
        <f>'BC.114+320'!M478/1000</f>
        <v>2.02</v>
      </c>
      <c r="D479" s="142">
        <f>'BC.114+320'!AA478</f>
        <v>2.3689999999999998</v>
      </c>
      <c r="E479" s="143">
        <f>'BC.114+320'!AB478</f>
        <v>1.92</v>
      </c>
      <c r="F479" s="142">
        <f>VLOOKUP($A479,'BC.114+320'!$B$13:$X$489,8,0)/1000</f>
        <v>2.5640000000000001</v>
      </c>
      <c r="G479" s="142">
        <f>VLOOKUP($A479,'BC.114+320'!$B$13:$X$489,9,0)/1000</f>
        <v>-0.436</v>
      </c>
      <c r="H479" s="142">
        <f>VLOOKUP($A479,'BC.114+320'!$B$13:$X$489,14,0)/1000</f>
        <v>2.54</v>
      </c>
      <c r="I479" s="142">
        <f>VLOOKUP($A479,'BC.114+320'!$B$13:$X$489,15,0)/1000</f>
        <v>-0.46</v>
      </c>
      <c r="J479" s="142">
        <f>VLOOKUP($A479,'BC.114+320'!$B$13:$X$489,20,0)/1000</f>
        <v>2.66</v>
      </c>
      <c r="K479" s="142">
        <f>VLOOKUP($A479,'BC.114+320'!$B$13:$X$489,21,0)/1000</f>
        <v>-0.34</v>
      </c>
      <c r="L479" s="140">
        <f t="shared" si="28"/>
        <v>-256</v>
      </c>
      <c r="M479" s="141">
        <f t="shared" si="29"/>
        <v>-280</v>
      </c>
      <c r="N479" s="140">
        <f t="shared" si="30"/>
        <v>-220.00000000000003</v>
      </c>
      <c r="O479" s="140"/>
    </row>
    <row r="480" spans="1:15">
      <c r="A480" s="76">
        <f>'BC.114+320'!B479</f>
        <v>45509</v>
      </c>
      <c r="B480" s="140">
        <f t="shared" si="31"/>
        <v>466</v>
      </c>
      <c r="C480" s="142">
        <f>'BC.114+320'!M479/1000</f>
        <v>2.02</v>
      </c>
      <c r="D480" s="142">
        <f>'BC.114+320'!AA479</f>
        <v>2.3689999999999998</v>
      </c>
      <c r="E480" s="143">
        <f>'BC.114+320'!AB479</f>
        <v>1.92</v>
      </c>
      <c r="F480" s="142">
        <f>VLOOKUP($A480,'BC.114+320'!$B$13:$X$489,8,0)/1000</f>
        <v>2.5640000000000001</v>
      </c>
      <c r="G480" s="142">
        <f>VLOOKUP($A480,'BC.114+320'!$B$13:$X$489,9,0)/1000</f>
        <v>-0.436</v>
      </c>
      <c r="H480" s="142">
        <f>VLOOKUP($A480,'BC.114+320'!$B$13:$X$489,14,0)/1000</f>
        <v>2.54</v>
      </c>
      <c r="I480" s="142">
        <f>VLOOKUP($A480,'BC.114+320'!$B$13:$X$489,15,0)/1000</f>
        <v>-0.46</v>
      </c>
      <c r="J480" s="142">
        <f>VLOOKUP($A480,'BC.114+320'!$B$13:$X$489,20,0)/1000</f>
        <v>2.66</v>
      </c>
      <c r="K480" s="142">
        <f>VLOOKUP($A480,'BC.114+320'!$B$13:$X$489,21,0)/1000</f>
        <v>-0.34</v>
      </c>
      <c r="L480" s="140">
        <f t="shared" si="28"/>
        <v>-256</v>
      </c>
      <c r="M480" s="141">
        <f t="shared" si="29"/>
        <v>-280</v>
      </c>
      <c r="N480" s="140">
        <f t="shared" si="30"/>
        <v>-220.00000000000003</v>
      </c>
      <c r="O480" s="140"/>
    </row>
    <row r="481" spans="1:15">
      <c r="A481" s="76">
        <f>'BC.114+320'!B480</f>
        <v>45510</v>
      </c>
      <c r="B481" s="140">
        <f t="shared" si="31"/>
        <v>467</v>
      </c>
      <c r="C481" s="142">
        <f>'BC.114+320'!M480/1000</f>
        <v>2.02</v>
      </c>
      <c r="D481" s="142">
        <f>'BC.114+320'!AA480</f>
        <v>2.3689999999999998</v>
      </c>
      <c r="E481" s="143">
        <f>'BC.114+320'!AB480</f>
        <v>1.92</v>
      </c>
      <c r="F481" s="142">
        <f>VLOOKUP($A481,'BC.114+320'!$B$13:$X$4876,8,0)/1000</f>
        <v>2.5640000000000001</v>
      </c>
      <c r="G481" s="142">
        <f>VLOOKUP($A481,'BC.114+320'!$B$13:$X$4876,9,0)/1000</f>
        <v>-0.436</v>
      </c>
      <c r="H481" s="142">
        <f>VLOOKUP($A481,'BC.114+320'!$B$13:$X$4876,14,0)/1000</f>
        <v>2.54</v>
      </c>
      <c r="I481" s="142">
        <f>VLOOKUP($A481,'BC.114+320'!$B$13:$X$4876,15,0)/1000</f>
        <v>-0.46</v>
      </c>
      <c r="J481" s="142">
        <f>VLOOKUP($A481,'BC.114+320'!$B$13:$X$4876,20,0)/1000</f>
        <v>2.66</v>
      </c>
      <c r="K481" s="142">
        <f>VLOOKUP($A481,'BC.114+320'!$B$13:$X$4876,21,0)/1000</f>
        <v>-0.34</v>
      </c>
      <c r="L481" s="140">
        <f t="shared" si="28"/>
        <v>-256</v>
      </c>
      <c r="M481" s="141">
        <f t="shared" si="29"/>
        <v>-280</v>
      </c>
      <c r="N481" s="140">
        <f t="shared" si="30"/>
        <v>-220.00000000000003</v>
      </c>
      <c r="O481" s="140"/>
    </row>
    <row r="482" spans="1:15">
      <c r="A482" s="76">
        <f>'BC.114+320'!B481</f>
        <v>45511</v>
      </c>
      <c r="B482" s="140">
        <f t="shared" si="31"/>
        <v>468</v>
      </c>
      <c r="C482" s="142">
        <f>'BC.114+320'!M481/1000</f>
        <v>2.02</v>
      </c>
      <c r="D482" s="142">
        <f>'BC.114+320'!AA481</f>
        <v>2.3689999999999998</v>
      </c>
      <c r="E482" s="143">
        <f>'BC.114+320'!AB481</f>
        <v>1.92</v>
      </c>
      <c r="F482" s="142">
        <f>VLOOKUP($A482,'BC.114+320'!$B$13:$X$4876,8,0)/1000</f>
        <v>2.5640000000000001</v>
      </c>
      <c r="G482" s="142">
        <f>VLOOKUP($A482,'BC.114+320'!$B$13:$X$4876,9,0)/1000</f>
        <v>-0.436</v>
      </c>
      <c r="H482" s="142">
        <f>VLOOKUP($A482,'BC.114+320'!$B$13:$X$4876,14,0)/1000</f>
        <v>2.54</v>
      </c>
      <c r="I482" s="142">
        <f>VLOOKUP($A482,'BC.114+320'!$B$13:$X$4876,15,0)/1000</f>
        <v>-0.46</v>
      </c>
      <c r="J482" s="142">
        <f>VLOOKUP($A482,'BC.114+320'!$B$13:$X$4876,20,0)/1000</f>
        <v>2.66</v>
      </c>
      <c r="K482" s="142">
        <f>VLOOKUP($A482,'BC.114+320'!$B$13:$X$4876,21,0)/1000</f>
        <v>-0.34</v>
      </c>
      <c r="L482" s="140">
        <f t="shared" si="28"/>
        <v>-256</v>
      </c>
      <c r="M482" s="141">
        <f t="shared" si="29"/>
        <v>-280</v>
      </c>
      <c r="N482" s="140">
        <f t="shared" si="30"/>
        <v>-220.00000000000003</v>
      </c>
      <c r="O482" s="140"/>
    </row>
    <row r="483" spans="1:15">
      <c r="A483" s="76">
        <f>'BC.114+320'!B482</f>
        <v>45512</v>
      </c>
      <c r="B483" s="140">
        <f t="shared" si="31"/>
        <v>469</v>
      </c>
      <c r="C483" s="142">
        <f>'BC.114+320'!M482/1000</f>
        <v>2.02</v>
      </c>
      <c r="D483" s="142">
        <f>'BC.114+320'!AA482</f>
        <v>2.3689999999999998</v>
      </c>
      <c r="E483" s="143">
        <f>'BC.114+320'!AB482</f>
        <v>1.92</v>
      </c>
      <c r="F483" s="142">
        <f>VLOOKUP($A483,'BC.114+320'!$B$13:$X$4876,8,0)/1000</f>
        <v>2.5640000000000001</v>
      </c>
      <c r="G483" s="142">
        <f>VLOOKUP($A483,'BC.114+320'!$B$13:$X$4876,9,0)/1000</f>
        <v>-0.436</v>
      </c>
      <c r="H483" s="142">
        <f>VLOOKUP($A483,'BC.114+320'!$B$13:$X$4876,14,0)/1000</f>
        <v>2.54</v>
      </c>
      <c r="I483" s="142">
        <f>VLOOKUP($A483,'BC.114+320'!$B$13:$X$4876,15,0)/1000</f>
        <v>-0.46</v>
      </c>
      <c r="J483" s="142">
        <f>VLOOKUP($A483,'BC.114+320'!$B$13:$X$4876,20,0)/1000</f>
        <v>2.66</v>
      </c>
      <c r="K483" s="142">
        <f>VLOOKUP($A483,'BC.114+320'!$B$13:$X$4876,21,0)/1000</f>
        <v>-0.34</v>
      </c>
      <c r="L483" s="140">
        <f t="shared" si="28"/>
        <v>-256</v>
      </c>
      <c r="M483" s="141">
        <f t="shared" si="29"/>
        <v>-280</v>
      </c>
      <c r="N483" s="140">
        <f t="shared" si="30"/>
        <v>-220.00000000000003</v>
      </c>
      <c r="O483" s="140"/>
    </row>
    <row r="484" spans="1:15">
      <c r="A484" s="76">
        <f>'BC.114+320'!B483</f>
        <v>45513</v>
      </c>
      <c r="B484" s="140">
        <f t="shared" si="31"/>
        <v>470</v>
      </c>
      <c r="C484" s="142">
        <f>'BC.114+320'!M483/1000</f>
        <v>2.02</v>
      </c>
      <c r="D484" s="142">
        <f>'BC.114+320'!AA483</f>
        <v>2.3689999999999998</v>
      </c>
      <c r="E484" s="143">
        <f>'BC.114+320'!AB483</f>
        <v>1.92</v>
      </c>
      <c r="F484" s="142">
        <f>VLOOKUP($A484,'BC.114+320'!$B$13:$X$4876,8,0)/1000</f>
        <v>2.5640000000000001</v>
      </c>
      <c r="G484" s="142">
        <f>VLOOKUP($A484,'BC.114+320'!$B$13:$X$4876,9,0)/1000</f>
        <v>-0.436</v>
      </c>
      <c r="H484" s="142">
        <f>VLOOKUP($A484,'BC.114+320'!$B$13:$X$4876,14,0)/1000</f>
        <v>2.54</v>
      </c>
      <c r="I484" s="142">
        <f>VLOOKUP($A484,'BC.114+320'!$B$13:$X$4876,15,0)/1000</f>
        <v>-0.46</v>
      </c>
      <c r="J484" s="142">
        <f>VLOOKUP($A484,'BC.114+320'!$B$13:$X$4876,20,0)/1000</f>
        <v>2.66</v>
      </c>
      <c r="K484" s="142">
        <f>VLOOKUP($A484,'BC.114+320'!$B$13:$X$4876,21,0)/1000</f>
        <v>-0.34</v>
      </c>
      <c r="L484" s="140">
        <f t="shared" si="28"/>
        <v>-256</v>
      </c>
      <c r="M484" s="141">
        <f t="shared" si="29"/>
        <v>-280</v>
      </c>
      <c r="N484" s="140">
        <f t="shared" si="30"/>
        <v>-220.00000000000003</v>
      </c>
      <c r="O484" s="140"/>
    </row>
    <row r="485" spans="1:15">
      <c r="A485" s="76">
        <f>'BC.114+320'!B484</f>
        <v>45514</v>
      </c>
      <c r="B485" s="140">
        <f t="shared" si="31"/>
        <v>471</v>
      </c>
      <c r="C485" s="142">
        <f>'BC.114+320'!M484/1000</f>
        <v>2.02</v>
      </c>
      <c r="D485" s="142">
        <f>'BC.114+320'!AA484</f>
        <v>2.3689999999999998</v>
      </c>
      <c r="E485" s="143">
        <f>'BC.114+320'!AB484</f>
        <v>1.92</v>
      </c>
      <c r="F485" s="142">
        <f>VLOOKUP($A485,'BC.114+320'!$B$13:$X$4876,8,0)/1000</f>
        <v>2.5640000000000001</v>
      </c>
      <c r="G485" s="142">
        <f>VLOOKUP($A485,'BC.114+320'!$B$13:$X$4876,9,0)/1000</f>
        <v>-0.436</v>
      </c>
      <c r="H485" s="142">
        <f>VLOOKUP($A485,'BC.114+320'!$B$13:$X$4876,14,0)/1000</f>
        <v>2.54</v>
      </c>
      <c r="I485" s="142">
        <f>VLOOKUP($A485,'BC.114+320'!$B$13:$X$4876,15,0)/1000</f>
        <v>-0.46</v>
      </c>
      <c r="J485" s="142">
        <f>VLOOKUP($A485,'BC.114+320'!$B$13:$X$4876,20,0)/1000</f>
        <v>2.66</v>
      </c>
      <c r="K485" s="142">
        <f>VLOOKUP($A485,'BC.114+320'!$B$13:$X$4876,21,0)/1000</f>
        <v>-0.34</v>
      </c>
      <c r="L485" s="140">
        <f t="shared" si="28"/>
        <v>-256</v>
      </c>
      <c r="M485" s="141">
        <f t="shared" si="29"/>
        <v>-280</v>
      </c>
      <c r="N485" s="140">
        <f t="shared" si="30"/>
        <v>-220.00000000000003</v>
      </c>
      <c r="O485" s="140"/>
    </row>
    <row r="486" spans="1:15">
      <c r="A486" s="76">
        <f>'BC.114+320'!B485</f>
        <v>45515</v>
      </c>
      <c r="B486" s="140">
        <f t="shared" si="31"/>
        <v>472</v>
      </c>
      <c r="C486" s="142">
        <f>'BC.114+320'!M485/1000</f>
        <v>2.02</v>
      </c>
      <c r="D486" s="142">
        <f>'BC.114+320'!AA485</f>
        <v>2.3689999999999998</v>
      </c>
      <c r="E486" s="143">
        <f>'BC.114+320'!AB485</f>
        <v>1.92</v>
      </c>
      <c r="F486" s="142">
        <f>VLOOKUP($A486,'BC.114+320'!$B$13:$X$4876,8,0)/1000</f>
        <v>2.5640000000000001</v>
      </c>
      <c r="G486" s="142">
        <f>VLOOKUP($A486,'BC.114+320'!$B$13:$X$4876,9,0)/1000</f>
        <v>-0.436</v>
      </c>
      <c r="H486" s="142">
        <f>VLOOKUP($A486,'BC.114+320'!$B$13:$X$4876,14,0)/1000</f>
        <v>2.54</v>
      </c>
      <c r="I486" s="142">
        <f>VLOOKUP($A486,'BC.114+320'!$B$13:$X$4876,15,0)/1000</f>
        <v>-0.46</v>
      </c>
      <c r="J486" s="142">
        <f>VLOOKUP($A486,'BC.114+320'!$B$13:$X$4876,20,0)/1000</f>
        <v>2.66</v>
      </c>
      <c r="K486" s="142">
        <f>VLOOKUP($A486,'BC.114+320'!$B$13:$X$4876,21,0)/1000</f>
        <v>-0.34</v>
      </c>
      <c r="L486" s="140">
        <f t="shared" si="28"/>
        <v>-256</v>
      </c>
      <c r="M486" s="141">
        <f t="shared" si="29"/>
        <v>-280</v>
      </c>
      <c r="N486" s="140">
        <f t="shared" si="30"/>
        <v>-220.00000000000003</v>
      </c>
      <c r="O486" s="140"/>
    </row>
    <row r="487" spans="1:15">
      <c r="A487" s="76">
        <f>'BC.114+320'!B486</f>
        <v>45516</v>
      </c>
      <c r="B487" s="140">
        <f t="shared" si="31"/>
        <v>473</v>
      </c>
      <c r="C487" s="142">
        <f>'BC.114+320'!M486/1000</f>
        <v>2.02</v>
      </c>
      <c r="D487" s="142">
        <f>'BC.114+320'!AA486</f>
        <v>2.3689999999999998</v>
      </c>
      <c r="E487" s="143">
        <f>'BC.114+320'!AB486</f>
        <v>1.92</v>
      </c>
      <c r="F487" s="142">
        <f>VLOOKUP($A487,'BC.114+320'!$B$13:$X$4876,8,0)/1000</f>
        <v>2.5640000000000001</v>
      </c>
      <c r="G487" s="142">
        <f>VLOOKUP($A487,'BC.114+320'!$B$13:$X$4876,9,0)/1000</f>
        <v>-0.436</v>
      </c>
      <c r="H487" s="142">
        <f>VLOOKUP($A487,'BC.114+320'!$B$13:$X$4876,14,0)/1000</f>
        <v>2.54</v>
      </c>
      <c r="I487" s="142">
        <f>VLOOKUP($A487,'BC.114+320'!$B$13:$X$4876,15,0)/1000</f>
        <v>-0.46</v>
      </c>
      <c r="J487" s="142">
        <f>VLOOKUP($A487,'BC.114+320'!$B$13:$X$4876,20,0)/1000</f>
        <v>2.66</v>
      </c>
      <c r="K487" s="142">
        <f>VLOOKUP($A487,'BC.114+320'!$B$13:$X$4876,21,0)/1000</f>
        <v>-0.34</v>
      </c>
      <c r="L487" s="140">
        <f t="shared" si="28"/>
        <v>-256</v>
      </c>
      <c r="M487" s="141">
        <f t="shared" si="29"/>
        <v>-280</v>
      </c>
      <c r="N487" s="140">
        <f t="shared" si="30"/>
        <v>-220.00000000000003</v>
      </c>
      <c r="O487" s="140"/>
    </row>
    <row r="488" spans="1:15">
      <c r="A488" s="76">
        <f>'BC.114+320'!B487</f>
        <v>45517</v>
      </c>
      <c r="B488" s="140">
        <f t="shared" si="31"/>
        <v>474</v>
      </c>
      <c r="C488" s="142">
        <f>'BC.114+320'!M487/1000</f>
        <v>2.02</v>
      </c>
      <c r="D488" s="142">
        <f>'BC.114+320'!AA487</f>
        <v>2.3689999999999998</v>
      </c>
      <c r="E488" s="143">
        <f>'BC.114+320'!AB487</f>
        <v>1.92</v>
      </c>
      <c r="F488" s="142">
        <f>VLOOKUP($A488,'BC.114+320'!$B$13:$X$4876,8,0)/1000</f>
        <v>2.5640000000000001</v>
      </c>
      <c r="G488" s="142">
        <f>VLOOKUP($A488,'BC.114+320'!$B$13:$X$4876,9,0)/1000</f>
        <v>-0.436</v>
      </c>
      <c r="H488" s="142">
        <f>VLOOKUP($A488,'BC.114+320'!$B$13:$X$4876,14,0)/1000</f>
        <v>2.54</v>
      </c>
      <c r="I488" s="142">
        <f>VLOOKUP($A488,'BC.114+320'!$B$13:$X$4876,15,0)/1000</f>
        <v>-0.46</v>
      </c>
      <c r="J488" s="142">
        <f>VLOOKUP($A488,'BC.114+320'!$B$13:$X$4876,20,0)/1000</f>
        <v>2.66</v>
      </c>
      <c r="K488" s="142">
        <f>VLOOKUP($A488,'BC.114+320'!$B$13:$X$4876,21,0)/1000</f>
        <v>-0.34</v>
      </c>
      <c r="L488" s="140">
        <f t="shared" si="28"/>
        <v>-256</v>
      </c>
      <c r="M488" s="141">
        <f t="shared" si="29"/>
        <v>-280</v>
      </c>
      <c r="N488" s="140">
        <f t="shared" si="30"/>
        <v>-220.00000000000003</v>
      </c>
      <c r="O488" s="140"/>
    </row>
    <row r="489" spans="1:15">
      <c r="A489" s="76">
        <f>'BC.114+320'!B488</f>
        <v>45518</v>
      </c>
      <c r="B489" s="140">
        <f t="shared" si="31"/>
        <v>475</v>
      </c>
      <c r="C489" s="142">
        <f>'BC.114+320'!M488/1000</f>
        <v>2.02</v>
      </c>
      <c r="D489" s="142">
        <f>'BC.114+320'!AA488</f>
        <v>2.3689999999999998</v>
      </c>
      <c r="E489" s="143">
        <f>'BC.114+320'!AB488</f>
        <v>1.92</v>
      </c>
      <c r="F489" s="142">
        <f>VLOOKUP($A489,'BC.114+320'!$B$13:$X$4876,8,0)/1000</f>
        <v>2.5640000000000001</v>
      </c>
      <c r="G489" s="142">
        <f>VLOOKUP($A489,'BC.114+320'!$B$13:$X$4876,9,0)/1000</f>
        <v>-0.436</v>
      </c>
      <c r="H489" s="142">
        <f>VLOOKUP($A489,'BC.114+320'!$B$13:$X$4876,14,0)/1000</f>
        <v>2.54</v>
      </c>
      <c r="I489" s="142">
        <f>VLOOKUP($A489,'BC.114+320'!$B$13:$X$4876,15,0)/1000</f>
        <v>-0.46</v>
      </c>
      <c r="J489" s="142">
        <f>VLOOKUP($A489,'BC.114+320'!$B$13:$X$4876,20,0)/1000</f>
        <v>2.66</v>
      </c>
      <c r="K489" s="142">
        <f>VLOOKUP($A489,'BC.114+320'!$B$13:$X$4876,21,0)/1000</f>
        <v>-0.34</v>
      </c>
      <c r="L489" s="140">
        <f t="shared" si="28"/>
        <v>-256</v>
      </c>
      <c r="M489" s="141">
        <f t="shared" si="29"/>
        <v>-280</v>
      </c>
      <c r="N489" s="140">
        <f t="shared" si="30"/>
        <v>-220.00000000000003</v>
      </c>
      <c r="O489" s="140"/>
    </row>
    <row r="490" spans="1:15">
      <c r="A490" s="76">
        <f>'BC.114+320'!B489</f>
        <v>45519</v>
      </c>
      <c r="B490" s="140">
        <f t="shared" si="31"/>
        <v>476</v>
      </c>
      <c r="C490" s="142">
        <f>'BC.114+320'!M489/1000</f>
        <v>2.02</v>
      </c>
      <c r="D490" s="142">
        <f>'BC.114+320'!AA489</f>
        <v>2.3689999999999998</v>
      </c>
      <c r="E490" s="143">
        <f>'BC.114+320'!AB489</f>
        <v>1.92</v>
      </c>
      <c r="F490" s="142">
        <f>VLOOKUP($A490,'BC.114+320'!$B$13:$X$4876,8,0)/1000</f>
        <v>2.5640000000000001</v>
      </c>
      <c r="G490" s="142">
        <f>VLOOKUP($A490,'BC.114+320'!$B$13:$X$4876,9,0)/1000</f>
        <v>-0.436</v>
      </c>
      <c r="H490" s="142">
        <f>VLOOKUP($A490,'BC.114+320'!$B$13:$X$4876,14,0)/1000</f>
        <v>2.54</v>
      </c>
      <c r="I490" s="142">
        <f>VLOOKUP($A490,'BC.114+320'!$B$13:$X$4876,15,0)/1000</f>
        <v>-0.46</v>
      </c>
      <c r="J490" s="142">
        <f>VLOOKUP($A490,'BC.114+320'!$B$13:$X$4876,20,0)/1000</f>
        <v>2.66</v>
      </c>
      <c r="K490" s="142">
        <f>VLOOKUP($A490,'BC.114+320'!$B$13:$X$4876,21,0)/1000</f>
        <v>-0.34</v>
      </c>
      <c r="L490" s="140">
        <f t="shared" si="28"/>
        <v>-256</v>
      </c>
      <c r="M490" s="141">
        <f t="shared" si="29"/>
        <v>-280</v>
      </c>
      <c r="N490" s="140">
        <f t="shared" si="30"/>
        <v>-220.00000000000003</v>
      </c>
      <c r="O490" s="140"/>
    </row>
    <row r="491" spans="1:15">
      <c r="A491" s="76">
        <f>'BC.114+320'!B490</f>
        <v>45520</v>
      </c>
      <c r="B491" s="140">
        <f t="shared" si="31"/>
        <v>477</v>
      </c>
      <c r="C491" s="142">
        <f>'BC.114+320'!M490/1000</f>
        <v>2.02</v>
      </c>
      <c r="D491" s="142">
        <f>'BC.114+320'!AA490</f>
        <v>2.3689999999999998</v>
      </c>
      <c r="E491" s="143">
        <f>'BC.114+320'!AB490</f>
        <v>1.92</v>
      </c>
      <c r="F491" s="142">
        <f>VLOOKUP($A491,'BC.114+320'!$B$13:$X$4876,8,0)/1000</f>
        <v>2.5640000000000001</v>
      </c>
      <c r="G491" s="142">
        <f>VLOOKUP($A491,'BC.114+320'!$B$13:$X$4876,9,0)/1000</f>
        <v>-0.436</v>
      </c>
      <c r="H491" s="142">
        <f>VLOOKUP($A491,'BC.114+320'!$B$13:$X$4876,14,0)/1000</f>
        <v>2.54</v>
      </c>
      <c r="I491" s="142">
        <f>VLOOKUP($A491,'BC.114+320'!$B$13:$X$4876,15,0)/1000</f>
        <v>-0.46</v>
      </c>
      <c r="J491" s="142">
        <f>VLOOKUP($A491,'BC.114+320'!$B$13:$X$4876,20,0)/1000</f>
        <v>2.66</v>
      </c>
      <c r="K491" s="142">
        <f>VLOOKUP($A491,'BC.114+320'!$B$13:$X$4876,21,0)/1000</f>
        <v>-0.34</v>
      </c>
      <c r="L491" s="140">
        <f t="shared" si="28"/>
        <v>-256</v>
      </c>
      <c r="M491" s="141">
        <f t="shared" si="29"/>
        <v>-280</v>
      </c>
      <c r="N491" s="140">
        <f t="shared" si="30"/>
        <v>-220.00000000000003</v>
      </c>
      <c r="O491" s="140"/>
    </row>
    <row r="492" spans="1:15">
      <c r="A492" s="76">
        <f>'BC.114+320'!B491</f>
        <v>45521</v>
      </c>
      <c r="B492" s="140">
        <f t="shared" si="31"/>
        <v>478</v>
      </c>
      <c r="C492" s="142">
        <f>'BC.114+320'!M491/1000</f>
        <v>2.02</v>
      </c>
      <c r="D492" s="142">
        <f>'BC.114+320'!AA491</f>
        <v>2.3689999999999998</v>
      </c>
      <c r="E492" s="143">
        <f>'BC.114+320'!AB491</f>
        <v>1.92</v>
      </c>
      <c r="F492" s="142">
        <f>VLOOKUP($A492,'BC.114+320'!$B$13:$X$4876,8,0)/1000</f>
        <v>2.5640000000000001</v>
      </c>
      <c r="G492" s="142">
        <f>VLOOKUP($A492,'BC.114+320'!$B$13:$X$4876,9,0)/1000</f>
        <v>-0.436</v>
      </c>
      <c r="H492" s="142">
        <f>VLOOKUP($A492,'BC.114+320'!$B$13:$X$4876,14,0)/1000</f>
        <v>2.54</v>
      </c>
      <c r="I492" s="142">
        <f>VLOOKUP($A492,'BC.114+320'!$B$13:$X$4876,15,0)/1000</f>
        <v>-0.46</v>
      </c>
      <c r="J492" s="142">
        <f>VLOOKUP($A492,'BC.114+320'!$B$13:$X$4876,20,0)/1000</f>
        <v>2.66</v>
      </c>
      <c r="K492" s="142">
        <f>VLOOKUP($A492,'BC.114+320'!$B$13:$X$4876,21,0)/1000</f>
        <v>-0.34</v>
      </c>
      <c r="L492" s="140">
        <f t="shared" si="28"/>
        <v>-256</v>
      </c>
      <c r="M492" s="141">
        <f t="shared" si="29"/>
        <v>-280</v>
      </c>
      <c r="N492" s="140">
        <f t="shared" si="30"/>
        <v>-220.00000000000003</v>
      </c>
      <c r="O492" s="140"/>
    </row>
    <row r="493" spans="1:15">
      <c r="A493" s="76">
        <f>'BC.114+320'!B492</f>
        <v>45522</v>
      </c>
      <c r="B493" s="140">
        <f t="shared" si="31"/>
        <v>479</v>
      </c>
      <c r="C493" s="142">
        <f>'BC.114+320'!M492/1000</f>
        <v>2.02</v>
      </c>
      <c r="D493" s="142">
        <f>'BC.114+320'!AA492</f>
        <v>2.3689999999999998</v>
      </c>
      <c r="E493" s="143">
        <f>'BC.114+320'!AB492</f>
        <v>1.92</v>
      </c>
      <c r="F493" s="142">
        <f>VLOOKUP($A493,'BC.114+320'!$B$13:$X$4876,8,0)/1000</f>
        <v>2.5640000000000001</v>
      </c>
      <c r="G493" s="142">
        <f>VLOOKUP($A493,'BC.114+320'!$B$13:$X$4876,9,0)/1000</f>
        <v>-0.436</v>
      </c>
      <c r="H493" s="142">
        <f>VLOOKUP($A493,'BC.114+320'!$B$13:$X$4876,14,0)/1000</f>
        <v>2.54</v>
      </c>
      <c r="I493" s="142">
        <f>VLOOKUP($A493,'BC.114+320'!$B$13:$X$4876,15,0)/1000</f>
        <v>-0.46</v>
      </c>
      <c r="J493" s="142">
        <f>VLOOKUP($A493,'BC.114+320'!$B$13:$X$4876,20,0)/1000</f>
        <v>2.66</v>
      </c>
      <c r="K493" s="142">
        <f>VLOOKUP($A493,'BC.114+320'!$B$13:$X$4876,21,0)/1000</f>
        <v>-0.34</v>
      </c>
      <c r="L493" s="140">
        <f t="shared" si="28"/>
        <v>-256</v>
      </c>
      <c r="M493" s="141">
        <f t="shared" si="29"/>
        <v>-280</v>
      </c>
      <c r="N493" s="140">
        <f t="shared" si="30"/>
        <v>-220.00000000000003</v>
      </c>
      <c r="O493" s="140"/>
    </row>
    <row r="494" spans="1:15">
      <c r="A494" s="76">
        <f>'BC.114+320'!B493</f>
        <v>45523</v>
      </c>
      <c r="B494" s="140">
        <f t="shared" si="31"/>
        <v>480</v>
      </c>
      <c r="C494" s="142">
        <f>'BC.114+320'!M493/1000</f>
        <v>2.02</v>
      </c>
      <c r="D494" s="142">
        <f>'BC.114+320'!AA493</f>
        <v>2.3689999999999998</v>
      </c>
      <c r="E494" s="143">
        <f>'BC.114+320'!AB493</f>
        <v>1.92</v>
      </c>
      <c r="F494" s="142">
        <f>VLOOKUP($A494,'BC.114+320'!$B$13:$X$4876,8,0)/1000</f>
        <v>2.5640000000000001</v>
      </c>
      <c r="G494" s="142">
        <f>VLOOKUP($A494,'BC.114+320'!$B$13:$X$4876,9,0)/1000</f>
        <v>-0.436</v>
      </c>
      <c r="H494" s="142">
        <f>VLOOKUP($A494,'BC.114+320'!$B$13:$X$4876,14,0)/1000</f>
        <v>2.54</v>
      </c>
      <c r="I494" s="142">
        <f>VLOOKUP($A494,'BC.114+320'!$B$13:$X$4876,15,0)/1000</f>
        <v>-0.46</v>
      </c>
      <c r="J494" s="142">
        <f>VLOOKUP($A494,'BC.114+320'!$B$13:$X$4876,20,0)/1000</f>
        <v>2.66</v>
      </c>
      <c r="K494" s="142">
        <f>VLOOKUP($A494,'BC.114+320'!$B$13:$X$4876,21,0)/1000</f>
        <v>-0.34</v>
      </c>
      <c r="L494" s="140">
        <f t="shared" si="28"/>
        <v>-256</v>
      </c>
      <c r="M494" s="141">
        <f t="shared" si="29"/>
        <v>-280</v>
      </c>
      <c r="N494" s="140">
        <f t="shared" si="30"/>
        <v>-220.00000000000003</v>
      </c>
      <c r="O494" s="140"/>
    </row>
    <row r="495" spans="1:15">
      <c r="A495" s="76">
        <f>'BC.114+320'!B494</f>
        <v>45524</v>
      </c>
      <c r="B495" s="140">
        <f t="shared" si="31"/>
        <v>481</v>
      </c>
      <c r="C495" s="142">
        <f>'BC.114+320'!M494/1000</f>
        <v>2.02</v>
      </c>
      <c r="D495" s="142">
        <f>'BC.114+320'!AA494</f>
        <v>2.3689999999999998</v>
      </c>
      <c r="E495" s="143">
        <f>'BC.114+320'!AB494</f>
        <v>1.92</v>
      </c>
      <c r="F495" s="142">
        <f>VLOOKUP($A495,'BC.114+320'!$B$13:$X$4876,8,0)/1000</f>
        <v>2.5640000000000001</v>
      </c>
      <c r="G495" s="142">
        <f>VLOOKUP($A495,'BC.114+320'!$B$13:$X$4876,9,0)/1000</f>
        <v>-0.436</v>
      </c>
      <c r="H495" s="142">
        <f>VLOOKUP($A495,'BC.114+320'!$B$13:$X$4876,14,0)/1000</f>
        <v>2.54</v>
      </c>
      <c r="I495" s="142">
        <f>VLOOKUP($A495,'BC.114+320'!$B$13:$X$4876,15,0)/1000</f>
        <v>-0.46</v>
      </c>
      <c r="J495" s="142">
        <f>VLOOKUP($A495,'BC.114+320'!$B$13:$X$4876,20,0)/1000</f>
        <v>2.66</v>
      </c>
      <c r="K495" s="142">
        <f>VLOOKUP($A495,'BC.114+320'!$B$13:$X$4876,21,0)/1000</f>
        <v>-0.34</v>
      </c>
      <c r="L495" s="140">
        <f t="shared" si="28"/>
        <v>-256</v>
      </c>
      <c r="M495" s="141">
        <f t="shared" si="29"/>
        <v>-280</v>
      </c>
      <c r="N495" s="140">
        <f t="shared" si="30"/>
        <v>-220.00000000000003</v>
      </c>
      <c r="O495" s="140"/>
    </row>
    <row r="496" spans="1:15">
      <c r="A496" s="76">
        <f>'BC.114+320'!B495</f>
        <v>45525</v>
      </c>
      <c r="B496" s="140">
        <f t="shared" si="31"/>
        <v>482</v>
      </c>
      <c r="C496" s="142">
        <f>'BC.114+320'!M495/1000</f>
        <v>2.02</v>
      </c>
      <c r="D496" s="142">
        <f>'BC.114+320'!AA495</f>
        <v>2.3689999999999998</v>
      </c>
      <c r="E496" s="143">
        <f>'BC.114+320'!AB495</f>
        <v>1.92</v>
      </c>
      <c r="F496" s="142">
        <f>VLOOKUP($A496,'BC.114+320'!$B$13:$X$4876,8,0)/1000</f>
        <v>2.5640000000000001</v>
      </c>
      <c r="G496" s="142">
        <f>VLOOKUP($A496,'BC.114+320'!$B$13:$X$4876,9,0)/1000</f>
        <v>-0.436</v>
      </c>
      <c r="H496" s="142">
        <f>VLOOKUP($A496,'BC.114+320'!$B$13:$X$4876,14,0)/1000</f>
        <v>2.54</v>
      </c>
      <c r="I496" s="142">
        <f>VLOOKUP($A496,'BC.114+320'!$B$13:$X$4876,15,0)/1000</f>
        <v>-0.46</v>
      </c>
      <c r="J496" s="142">
        <f>VLOOKUP($A496,'BC.114+320'!$B$13:$X$4876,20,0)/1000</f>
        <v>2.66</v>
      </c>
      <c r="K496" s="142">
        <f>VLOOKUP($A496,'BC.114+320'!$B$13:$X$4876,21,0)/1000</f>
        <v>-0.34</v>
      </c>
      <c r="L496" s="140">
        <f t="shared" si="28"/>
        <v>-256</v>
      </c>
      <c r="M496" s="141">
        <f t="shared" si="29"/>
        <v>-280</v>
      </c>
      <c r="N496" s="140">
        <f t="shared" si="30"/>
        <v>-220.00000000000003</v>
      </c>
      <c r="O496" s="140"/>
    </row>
    <row r="497" spans="1:15">
      <c r="A497" s="76">
        <f>'BC.114+320'!B496</f>
        <v>45526</v>
      </c>
      <c r="B497" s="140">
        <f t="shared" si="31"/>
        <v>483</v>
      </c>
      <c r="C497" s="142">
        <f>'BC.114+320'!M496/1000</f>
        <v>2.02</v>
      </c>
      <c r="D497" s="142">
        <f>'BC.114+320'!AA496</f>
        <v>2.3689999999999998</v>
      </c>
      <c r="E497" s="143">
        <f>'BC.114+320'!AB496</f>
        <v>1.92</v>
      </c>
      <c r="F497" s="142">
        <f>VLOOKUP($A497,'BC.114+320'!$B$13:$X$4876,8,0)/1000</f>
        <v>2.5640000000000001</v>
      </c>
      <c r="G497" s="142">
        <f>VLOOKUP($A497,'BC.114+320'!$B$13:$X$4876,9,0)/1000</f>
        <v>-0.436</v>
      </c>
      <c r="H497" s="142">
        <f>VLOOKUP($A497,'BC.114+320'!$B$13:$X$4876,14,0)/1000</f>
        <v>2.54</v>
      </c>
      <c r="I497" s="142">
        <f>VLOOKUP($A497,'BC.114+320'!$B$13:$X$4876,15,0)/1000</f>
        <v>-0.46</v>
      </c>
      <c r="J497" s="142">
        <f>VLOOKUP($A497,'BC.114+320'!$B$13:$X$4876,20,0)/1000</f>
        <v>2.66</v>
      </c>
      <c r="K497" s="142">
        <f>VLOOKUP($A497,'BC.114+320'!$B$13:$X$4876,21,0)/1000</f>
        <v>-0.34</v>
      </c>
      <c r="L497" s="140">
        <f t="shared" si="28"/>
        <v>-256</v>
      </c>
      <c r="M497" s="141">
        <f t="shared" si="29"/>
        <v>-280</v>
      </c>
      <c r="N497" s="140">
        <f t="shared" si="30"/>
        <v>-220.00000000000003</v>
      </c>
      <c r="O497" s="140"/>
    </row>
    <row r="498" spans="1:15">
      <c r="A498" s="76">
        <f>'BC.114+320'!B497</f>
        <v>45527</v>
      </c>
      <c r="B498" s="140">
        <f t="shared" si="31"/>
        <v>484</v>
      </c>
      <c r="C498" s="142">
        <f>'BC.114+320'!M497/1000</f>
        <v>2.02</v>
      </c>
      <c r="D498" s="142">
        <f>'BC.114+320'!AA497</f>
        <v>2.3689999999999998</v>
      </c>
      <c r="E498" s="143">
        <f>'BC.114+320'!AB497</f>
        <v>1.92</v>
      </c>
      <c r="F498" s="142">
        <f>VLOOKUP($A498,'BC.114+320'!$B$13:$X$4876,8,0)/1000</f>
        <v>2.5640000000000001</v>
      </c>
      <c r="G498" s="142">
        <f>VLOOKUP($A498,'BC.114+320'!$B$13:$X$4876,9,0)/1000</f>
        <v>-0.436</v>
      </c>
      <c r="H498" s="142">
        <f>VLOOKUP($A498,'BC.114+320'!$B$13:$X$4876,14,0)/1000</f>
        <v>2.54</v>
      </c>
      <c r="I498" s="142">
        <f>VLOOKUP($A498,'BC.114+320'!$B$13:$X$4876,15,0)/1000</f>
        <v>-0.46</v>
      </c>
      <c r="J498" s="142">
        <f>VLOOKUP($A498,'BC.114+320'!$B$13:$X$4876,20,0)/1000</f>
        <v>2.66</v>
      </c>
      <c r="K498" s="142">
        <f>VLOOKUP($A498,'BC.114+320'!$B$13:$X$4876,21,0)/1000</f>
        <v>-0.34</v>
      </c>
      <c r="L498" s="140">
        <f t="shared" si="28"/>
        <v>-256</v>
      </c>
      <c r="M498" s="141">
        <f t="shared" si="29"/>
        <v>-280</v>
      </c>
      <c r="N498" s="140">
        <f t="shared" si="30"/>
        <v>-220.00000000000003</v>
      </c>
      <c r="O498" s="140"/>
    </row>
    <row r="499" spans="1:15">
      <c r="A499" s="76">
        <f>'BC.114+320'!B498</f>
        <v>45528</v>
      </c>
      <c r="B499" s="140">
        <f t="shared" si="31"/>
        <v>485</v>
      </c>
      <c r="C499" s="142">
        <f>'BC.114+320'!M498/1000</f>
        <v>2.02</v>
      </c>
      <c r="D499" s="142">
        <f>'BC.114+320'!AA498</f>
        <v>2.3689999999999998</v>
      </c>
      <c r="E499" s="143">
        <f>'BC.114+320'!AB498</f>
        <v>1.92</v>
      </c>
      <c r="F499" s="142">
        <f>VLOOKUP($A499,'BC.114+320'!$B$13:$X$4876,8,0)/1000</f>
        <v>2.5640000000000001</v>
      </c>
      <c r="G499" s="142">
        <f>VLOOKUP($A499,'BC.114+320'!$B$13:$X$4876,9,0)/1000</f>
        <v>-0.436</v>
      </c>
      <c r="H499" s="142">
        <f>VLOOKUP($A499,'BC.114+320'!$B$13:$X$4876,14,0)/1000</f>
        <v>2.54</v>
      </c>
      <c r="I499" s="142">
        <f>VLOOKUP($A499,'BC.114+320'!$B$13:$X$4876,15,0)/1000</f>
        <v>-0.46</v>
      </c>
      <c r="J499" s="142">
        <f>VLOOKUP($A499,'BC.114+320'!$B$13:$X$4876,20,0)/1000</f>
        <v>2.66</v>
      </c>
      <c r="K499" s="142">
        <f>VLOOKUP($A499,'BC.114+320'!$B$13:$X$4876,21,0)/1000</f>
        <v>-0.34</v>
      </c>
      <c r="L499" s="140">
        <f t="shared" si="28"/>
        <v>-256</v>
      </c>
      <c r="M499" s="141">
        <f t="shared" si="29"/>
        <v>-280</v>
      </c>
      <c r="N499" s="140">
        <f t="shared" si="30"/>
        <v>-220.00000000000003</v>
      </c>
      <c r="O499" s="140"/>
    </row>
    <row r="500" spans="1:15">
      <c r="A500" s="76">
        <f>'BC.114+320'!B499</f>
        <v>45529</v>
      </c>
      <c r="B500" s="140">
        <f t="shared" si="31"/>
        <v>486</v>
      </c>
      <c r="C500" s="142">
        <f>'BC.114+320'!M499/1000</f>
        <v>2.02</v>
      </c>
      <c r="D500" s="142">
        <f>'BC.114+320'!AA499</f>
        <v>2.3689999999999998</v>
      </c>
      <c r="E500" s="143">
        <f>'BC.114+320'!AB499</f>
        <v>1.92</v>
      </c>
      <c r="F500" s="142">
        <f>VLOOKUP($A500,'BC.114+320'!$B$13:$X$4876,8,0)/1000</f>
        <v>2.5640000000000001</v>
      </c>
      <c r="G500" s="142">
        <f>VLOOKUP($A500,'BC.114+320'!$B$13:$X$4876,9,0)/1000</f>
        <v>-0.436</v>
      </c>
      <c r="H500" s="142">
        <f>VLOOKUP($A500,'BC.114+320'!$B$13:$X$4876,14,0)/1000</f>
        <v>2.54</v>
      </c>
      <c r="I500" s="142">
        <f>VLOOKUP($A500,'BC.114+320'!$B$13:$X$4876,15,0)/1000</f>
        <v>-0.46</v>
      </c>
      <c r="J500" s="142">
        <f>VLOOKUP($A500,'BC.114+320'!$B$13:$X$4876,20,0)/1000</f>
        <v>2.66</v>
      </c>
      <c r="K500" s="142">
        <f>VLOOKUP($A500,'BC.114+320'!$B$13:$X$4876,21,0)/1000</f>
        <v>-0.34</v>
      </c>
      <c r="L500" s="140">
        <f t="shared" si="28"/>
        <v>-256</v>
      </c>
      <c r="M500" s="141">
        <f t="shared" si="29"/>
        <v>-280</v>
      </c>
      <c r="N500" s="140">
        <f t="shared" si="30"/>
        <v>-220.00000000000003</v>
      </c>
      <c r="O500" s="140"/>
    </row>
    <row r="501" spans="1:15">
      <c r="A501" s="76">
        <f>'BC.114+320'!B500</f>
        <v>45530</v>
      </c>
      <c r="B501" s="140">
        <f t="shared" si="31"/>
        <v>487</v>
      </c>
      <c r="C501" s="142">
        <f>'BC.114+320'!M500/1000</f>
        <v>2.02</v>
      </c>
      <c r="D501" s="142">
        <f>'BC.114+320'!AA500</f>
        <v>2.3689999999999998</v>
      </c>
      <c r="E501" s="143">
        <f>'BC.114+320'!AB500</f>
        <v>1.92</v>
      </c>
      <c r="F501" s="142">
        <f>VLOOKUP($A501,'BC.114+320'!$B$13:$X$4876,8,0)/1000</f>
        <v>2.5640000000000001</v>
      </c>
      <c r="G501" s="142">
        <f>VLOOKUP($A501,'BC.114+320'!$B$13:$X$4876,9,0)/1000</f>
        <v>-0.436</v>
      </c>
      <c r="H501" s="142">
        <f>VLOOKUP($A501,'BC.114+320'!$B$13:$X$4876,14,0)/1000</f>
        <v>2.54</v>
      </c>
      <c r="I501" s="142">
        <f>VLOOKUP($A501,'BC.114+320'!$B$13:$X$4876,15,0)/1000</f>
        <v>-0.46</v>
      </c>
      <c r="J501" s="142">
        <f>VLOOKUP($A501,'BC.114+320'!$B$13:$X$4876,20,0)/1000</f>
        <v>2.66</v>
      </c>
      <c r="K501" s="142">
        <f>VLOOKUP($A501,'BC.114+320'!$B$13:$X$4876,21,0)/1000</f>
        <v>-0.34</v>
      </c>
      <c r="L501" s="140">
        <f t="shared" si="28"/>
        <v>-256</v>
      </c>
      <c r="M501" s="141">
        <f t="shared" si="29"/>
        <v>-280</v>
      </c>
      <c r="N501" s="140">
        <f t="shared" si="30"/>
        <v>-220.00000000000003</v>
      </c>
      <c r="O501" s="140"/>
    </row>
    <row r="502" spans="1:15">
      <c r="A502" s="76">
        <f>'BC.114+320'!B501</f>
        <v>45531</v>
      </c>
      <c r="B502" s="140">
        <f t="shared" si="31"/>
        <v>488</v>
      </c>
      <c r="C502" s="142">
        <f>'BC.114+320'!M501/1000</f>
        <v>2.02</v>
      </c>
      <c r="D502" s="142">
        <f>'BC.114+320'!AA501</f>
        <v>2.3689999999999998</v>
      </c>
      <c r="E502" s="143">
        <f>'BC.114+320'!AB501</f>
        <v>1.92</v>
      </c>
      <c r="F502" s="142">
        <f>VLOOKUP($A502,'BC.114+320'!$B$13:$X$4876,8,0)/1000</f>
        <v>2.5640000000000001</v>
      </c>
      <c r="G502" s="142">
        <f>VLOOKUP($A502,'BC.114+320'!$B$13:$X$4876,9,0)/1000</f>
        <v>-0.436</v>
      </c>
      <c r="H502" s="142">
        <f>VLOOKUP($A502,'BC.114+320'!$B$13:$X$4876,14,0)/1000</f>
        <v>2.54</v>
      </c>
      <c r="I502" s="142">
        <f>VLOOKUP($A502,'BC.114+320'!$B$13:$X$4876,15,0)/1000</f>
        <v>-0.46</v>
      </c>
      <c r="J502" s="142">
        <f>VLOOKUP($A502,'BC.114+320'!$B$13:$X$4876,20,0)/1000</f>
        <v>2.66</v>
      </c>
      <c r="K502" s="142">
        <f>VLOOKUP($A502,'BC.114+320'!$B$13:$X$4876,21,0)/1000</f>
        <v>-0.34</v>
      </c>
      <c r="L502" s="140">
        <f t="shared" si="28"/>
        <v>-256</v>
      </c>
      <c r="M502" s="141">
        <f t="shared" si="29"/>
        <v>-280</v>
      </c>
      <c r="N502" s="140">
        <f t="shared" si="30"/>
        <v>-220.00000000000003</v>
      </c>
      <c r="O502" s="140"/>
    </row>
    <row r="503" spans="1:15">
      <c r="A503" s="76">
        <f>'BC.114+320'!B502</f>
        <v>45532</v>
      </c>
      <c r="B503" s="140">
        <f t="shared" si="31"/>
        <v>489</v>
      </c>
      <c r="C503" s="142">
        <f>'BC.114+320'!M502/1000</f>
        <v>2.02</v>
      </c>
      <c r="D503" s="142">
        <f>'BC.114+320'!AA502</f>
        <v>2.3689999999999998</v>
      </c>
      <c r="E503" s="143">
        <f>'BC.114+320'!AB502</f>
        <v>1.92</v>
      </c>
      <c r="F503" s="142">
        <f>VLOOKUP($A503,'BC.114+320'!$B$13:$X$4876,8,0)/1000</f>
        <v>2.5640000000000001</v>
      </c>
      <c r="G503" s="142">
        <f>VLOOKUP($A503,'BC.114+320'!$B$13:$X$4876,9,0)/1000</f>
        <v>-0.436</v>
      </c>
      <c r="H503" s="142">
        <f>VLOOKUP($A503,'BC.114+320'!$B$13:$X$4876,14,0)/1000</f>
        <v>2.54</v>
      </c>
      <c r="I503" s="142">
        <f>VLOOKUP($A503,'BC.114+320'!$B$13:$X$4876,15,0)/1000</f>
        <v>-0.46</v>
      </c>
      <c r="J503" s="142">
        <f>VLOOKUP($A503,'BC.114+320'!$B$13:$X$4876,20,0)/1000</f>
        <v>2.66</v>
      </c>
      <c r="K503" s="142">
        <f>VLOOKUP($A503,'BC.114+320'!$B$13:$X$4876,21,0)/1000</f>
        <v>-0.34</v>
      </c>
      <c r="L503" s="140">
        <f t="shared" si="28"/>
        <v>-256</v>
      </c>
      <c r="M503" s="141">
        <f t="shared" si="29"/>
        <v>-280</v>
      </c>
      <c r="N503" s="140">
        <f t="shared" si="30"/>
        <v>-220.00000000000003</v>
      </c>
      <c r="O503" s="140"/>
    </row>
    <row r="504" spans="1:15">
      <c r="A504" s="76">
        <f>'BC.114+320'!B503</f>
        <v>45533</v>
      </c>
      <c r="B504" s="140">
        <f t="shared" si="31"/>
        <v>490</v>
      </c>
      <c r="C504" s="142">
        <f>'BC.114+320'!M503/1000</f>
        <v>2.02</v>
      </c>
      <c r="D504" s="142">
        <f>'BC.114+320'!AA503</f>
        <v>2.3689999999999998</v>
      </c>
      <c r="E504" s="143">
        <f>'BC.114+320'!AB503</f>
        <v>1.92</v>
      </c>
      <c r="F504" s="142">
        <f>VLOOKUP($A504,'BC.114+320'!$B$13:$X$4876,8,0)/1000</f>
        <v>2.5640000000000001</v>
      </c>
      <c r="G504" s="142">
        <f>VLOOKUP($A504,'BC.114+320'!$B$13:$X$4876,9,0)/1000</f>
        <v>-0.436</v>
      </c>
      <c r="H504" s="142">
        <f>VLOOKUP($A504,'BC.114+320'!$B$13:$X$4876,14,0)/1000</f>
        <v>2.54</v>
      </c>
      <c r="I504" s="142">
        <f>VLOOKUP($A504,'BC.114+320'!$B$13:$X$4876,15,0)/1000</f>
        <v>-0.46</v>
      </c>
      <c r="J504" s="142">
        <f>VLOOKUP($A504,'BC.114+320'!$B$13:$X$4876,20,0)/1000</f>
        <v>2.66</v>
      </c>
      <c r="K504" s="142">
        <f>VLOOKUP($A504,'BC.114+320'!$B$13:$X$4876,21,0)/1000</f>
        <v>-0.34</v>
      </c>
      <c r="L504" s="140">
        <f t="shared" si="28"/>
        <v>-256</v>
      </c>
      <c r="M504" s="141">
        <f t="shared" si="29"/>
        <v>-280</v>
      </c>
      <c r="N504" s="140">
        <f t="shared" si="30"/>
        <v>-220.00000000000003</v>
      </c>
      <c r="O504" s="140"/>
    </row>
    <row r="505" spans="1:15">
      <c r="A505" s="76">
        <f>'BC.114+320'!B504</f>
        <v>45534</v>
      </c>
      <c r="B505" s="140">
        <f t="shared" si="31"/>
        <v>491</v>
      </c>
      <c r="C505" s="142">
        <f>'BC.114+320'!M504/1000</f>
        <v>2.02</v>
      </c>
      <c r="D505" s="142">
        <f>'BC.114+320'!AA504</f>
        <v>2.3689999999999998</v>
      </c>
      <c r="E505" s="143">
        <f>'BC.114+320'!AB504</f>
        <v>1.92</v>
      </c>
      <c r="F505" s="142">
        <f>VLOOKUP($A505,'BC.114+320'!$B$13:$X$4876,8,0)/1000</f>
        <v>2.5640000000000001</v>
      </c>
      <c r="G505" s="142">
        <f>VLOOKUP($A505,'BC.114+320'!$B$13:$X$4876,9,0)/1000</f>
        <v>-0.436</v>
      </c>
      <c r="H505" s="142">
        <f>VLOOKUP($A505,'BC.114+320'!$B$13:$X$4876,14,0)/1000</f>
        <v>2.54</v>
      </c>
      <c r="I505" s="142">
        <f>VLOOKUP($A505,'BC.114+320'!$B$13:$X$4876,15,0)/1000</f>
        <v>-0.46</v>
      </c>
      <c r="J505" s="142">
        <f>VLOOKUP($A505,'BC.114+320'!$B$13:$X$4876,20,0)/1000</f>
        <v>2.66</v>
      </c>
      <c r="K505" s="142">
        <f>VLOOKUP($A505,'BC.114+320'!$B$13:$X$4876,21,0)/1000</f>
        <v>-0.34</v>
      </c>
      <c r="L505" s="140">
        <f t="shared" si="28"/>
        <v>-256</v>
      </c>
      <c r="M505" s="141">
        <f t="shared" si="29"/>
        <v>-280</v>
      </c>
      <c r="N505" s="140">
        <f t="shared" si="30"/>
        <v>-220.00000000000003</v>
      </c>
      <c r="O505" s="140"/>
    </row>
    <row r="506" spans="1:15">
      <c r="A506" s="76">
        <f>'BC.114+320'!B505</f>
        <v>45535</v>
      </c>
      <c r="B506" s="140">
        <f t="shared" si="31"/>
        <v>492</v>
      </c>
      <c r="C506" s="142">
        <f>'BC.114+320'!M505/1000</f>
        <v>2.02</v>
      </c>
      <c r="D506" s="142">
        <f>'BC.114+320'!AA505</f>
        <v>2.3689999999999998</v>
      </c>
      <c r="E506" s="143">
        <f>'BC.114+320'!AB505</f>
        <v>1.92</v>
      </c>
      <c r="F506" s="142">
        <f>VLOOKUP($A506,'BC.114+320'!$B$13:$X$4876,8,0)/1000</f>
        <v>2.5640000000000001</v>
      </c>
      <c r="G506" s="142">
        <f>VLOOKUP($A506,'BC.114+320'!$B$13:$X$4876,9,0)/1000</f>
        <v>-0.436</v>
      </c>
      <c r="H506" s="142">
        <f>VLOOKUP($A506,'BC.114+320'!$B$13:$X$4876,14,0)/1000</f>
        <v>2.54</v>
      </c>
      <c r="I506" s="142">
        <f>VLOOKUP($A506,'BC.114+320'!$B$13:$X$4876,15,0)/1000</f>
        <v>-0.46</v>
      </c>
      <c r="J506" s="142">
        <f>VLOOKUP($A506,'BC.114+320'!$B$13:$X$4876,20,0)/1000</f>
        <v>2.66</v>
      </c>
      <c r="K506" s="142">
        <f>VLOOKUP($A506,'BC.114+320'!$B$13:$X$4876,21,0)/1000</f>
        <v>-0.34</v>
      </c>
      <c r="L506" s="140">
        <f t="shared" si="28"/>
        <v>-256</v>
      </c>
      <c r="M506" s="141">
        <f t="shared" si="29"/>
        <v>-280</v>
      </c>
      <c r="N506" s="140">
        <f t="shared" si="30"/>
        <v>-220.00000000000003</v>
      </c>
      <c r="O506" s="140"/>
    </row>
    <row r="507" spans="1:15">
      <c r="A507" s="76">
        <f>'BC.114+320'!B506</f>
        <v>45536</v>
      </c>
      <c r="B507" s="140">
        <f t="shared" si="31"/>
        <v>493</v>
      </c>
      <c r="C507" s="142">
        <f>'BC.114+320'!M506/1000</f>
        <v>2.02</v>
      </c>
      <c r="D507" s="142">
        <f>'BC.114+320'!AA506</f>
        <v>2.3689999999999998</v>
      </c>
      <c r="E507" s="143">
        <f>'BC.114+320'!AB506</f>
        <v>1.92</v>
      </c>
      <c r="F507" s="142">
        <f>VLOOKUP($A507,'BC.114+320'!$B$13:$X$4876,8,0)/1000</f>
        <v>2.5640000000000001</v>
      </c>
      <c r="G507" s="142">
        <f>VLOOKUP($A507,'BC.114+320'!$B$13:$X$4876,9,0)/1000</f>
        <v>-0.436</v>
      </c>
      <c r="H507" s="142">
        <f>VLOOKUP($A507,'BC.114+320'!$B$13:$X$4876,14,0)/1000</f>
        <v>2.54</v>
      </c>
      <c r="I507" s="142">
        <f>VLOOKUP($A507,'BC.114+320'!$B$13:$X$4876,15,0)/1000</f>
        <v>-0.46</v>
      </c>
      <c r="J507" s="142">
        <f>VLOOKUP($A507,'BC.114+320'!$B$13:$X$4876,20,0)/1000</f>
        <v>2.66</v>
      </c>
      <c r="K507" s="142">
        <f>VLOOKUP($A507,'BC.114+320'!$B$13:$X$4876,21,0)/1000</f>
        <v>-0.34</v>
      </c>
      <c r="L507" s="140">
        <f t="shared" si="28"/>
        <v>-256</v>
      </c>
      <c r="M507" s="141">
        <f t="shared" si="29"/>
        <v>-280</v>
      </c>
      <c r="N507" s="140">
        <f t="shared" si="30"/>
        <v>-220.00000000000003</v>
      </c>
      <c r="O507" s="140"/>
    </row>
    <row r="508" spans="1:15">
      <c r="A508" s="76">
        <f>'BC.114+320'!B507</f>
        <v>45537</v>
      </c>
      <c r="B508" s="140">
        <f t="shared" si="31"/>
        <v>494</v>
      </c>
      <c r="C508" s="142">
        <f>'BC.114+320'!M507/1000</f>
        <v>2.02</v>
      </c>
      <c r="D508" s="142">
        <f>'BC.114+320'!AA507</f>
        <v>2.3689999999999998</v>
      </c>
      <c r="E508" s="143">
        <f>'BC.114+320'!AB507</f>
        <v>1.92</v>
      </c>
      <c r="F508" s="142">
        <f>VLOOKUP($A508,'BC.114+320'!$B$13:$X$4876,8,0)/1000</f>
        <v>2.5640000000000001</v>
      </c>
      <c r="G508" s="142">
        <f>VLOOKUP($A508,'BC.114+320'!$B$13:$X$4876,9,0)/1000</f>
        <v>-0.436</v>
      </c>
      <c r="H508" s="142">
        <f>VLOOKUP($A508,'BC.114+320'!$B$13:$X$4876,14,0)/1000</f>
        <v>2.54</v>
      </c>
      <c r="I508" s="142">
        <f>VLOOKUP($A508,'BC.114+320'!$B$13:$X$4876,15,0)/1000</f>
        <v>-0.46</v>
      </c>
      <c r="J508" s="142">
        <f>VLOOKUP($A508,'BC.114+320'!$B$13:$X$4876,20,0)/1000</f>
        <v>2.66</v>
      </c>
      <c r="K508" s="142">
        <f>VLOOKUP($A508,'BC.114+320'!$B$13:$X$4876,21,0)/1000</f>
        <v>-0.34</v>
      </c>
      <c r="L508" s="140">
        <f t="shared" si="28"/>
        <v>-256</v>
      </c>
      <c r="M508" s="141">
        <f t="shared" si="29"/>
        <v>-280</v>
      </c>
      <c r="N508" s="140">
        <f t="shared" si="30"/>
        <v>-220.00000000000003</v>
      </c>
      <c r="O508" s="140"/>
    </row>
    <row r="509" spans="1:15">
      <c r="A509" s="76">
        <f>'BC.114+320'!B508</f>
        <v>45538</v>
      </c>
      <c r="B509" s="140">
        <f t="shared" si="31"/>
        <v>495</v>
      </c>
      <c r="C509" s="142">
        <f>'BC.114+320'!M508/1000</f>
        <v>2.02</v>
      </c>
      <c r="D509" s="142">
        <f>'BC.114+320'!AA508</f>
        <v>2.3689999999999998</v>
      </c>
      <c r="E509" s="143">
        <f>'BC.114+320'!AB508</f>
        <v>1.92</v>
      </c>
      <c r="F509" s="142">
        <f>VLOOKUP($A509,'BC.114+320'!$B$13:$X$4876,8,0)/1000</f>
        <v>2.5640000000000001</v>
      </c>
      <c r="G509" s="142">
        <f>VLOOKUP($A509,'BC.114+320'!$B$13:$X$4876,9,0)/1000</f>
        <v>-0.436</v>
      </c>
      <c r="H509" s="142">
        <f>VLOOKUP($A509,'BC.114+320'!$B$13:$X$4876,14,0)/1000</f>
        <v>2.54</v>
      </c>
      <c r="I509" s="142">
        <f>VLOOKUP($A509,'BC.114+320'!$B$13:$X$4876,15,0)/1000</f>
        <v>-0.46</v>
      </c>
      <c r="J509" s="142">
        <f>VLOOKUP($A509,'BC.114+320'!$B$13:$X$4876,20,0)/1000</f>
        <v>2.66</v>
      </c>
      <c r="K509" s="142">
        <f>VLOOKUP($A509,'BC.114+320'!$B$13:$X$4876,21,0)/1000</f>
        <v>-0.34</v>
      </c>
      <c r="L509" s="140">
        <f t="shared" si="28"/>
        <v>-256</v>
      </c>
      <c r="M509" s="141">
        <f t="shared" si="29"/>
        <v>-280</v>
      </c>
      <c r="N509" s="140">
        <f t="shared" si="30"/>
        <v>-220.00000000000003</v>
      </c>
      <c r="O509" s="140"/>
    </row>
    <row r="510" spans="1:15">
      <c r="A510" s="76">
        <f>'BC.114+320'!B509</f>
        <v>45539</v>
      </c>
      <c r="B510" s="140">
        <f t="shared" si="31"/>
        <v>496</v>
      </c>
      <c r="C510" s="142">
        <f>'BC.114+320'!M509/1000</f>
        <v>2.02</v>
      </c>
      <c r="D510" s="142">
        <f>'BC.114+320'!AA509</f>
        <v>2.3689999999999998</v>
      </c>
      <c r="E510" s="143">
        <f>'BC.114+320'!AB509</f>
        <v>1.92</v>
      </c>
      <c r="F510" s="142">
        <f>VLOOKUP($A510,'BC.114+320'!$B$13:$X$4876,8,0)/1000</f>
        <v>2.5640000000000001</v>
      </c>
      <c r="G510" s="142">
        <f>VLOOKUP($A510,'BC.114+320'!$B$13:$X$4876,9,0)/1000</f>
        <v>-0.436</v>
      </c>
      <c r="H510" s="142">
        <f>VLOOKUP($A510,'BC.114+320'!$B$13:$X$4876,14,0)/1000</f>
        <v>2.54</v>
      </c>
      <c r="I510" s="142">
        <f>VLOOKUP($A510,'BC.114+320'!$B$13:$X$4876,15,0)/1000</f>
        <v>-0.46</v>
      </c>
      <c r="J510" s="142">
        <f>VLOOKUP($A510,'BC.114+320'!$B$13:$X$4876,20,0)/1000</f>
        <v>2.66</v>
      </c>
      <c r="K510" s="142">
        <f>VLOOKUP($A510,'BC.114+320'!$B$13:$X$4876,21,0)/1000</f>
        <v>-0.34</v>
      </c>
      <c r="L510" s="140">
        <f t="shared" si="28"/>
        <v>-256</v>
      </c>
      <c r="M510" s="141">
        <f t="shared" si="29"/>
        <v>-280</v>
      </c>
      <c r="N510" s="140">
        <f t="shared" si="30"/>
        <v>-220.00000000000003</v>
      </c>
      <c r="O510" s="140"/>
    </row>
    <row r="511" spans="1:15">
      <c r="A511" s="76">
        <f>'BC.114+320'!B510</f>
        <v>45540</v>
      </c>
      <c r="B511" s="140">
        <f t="shared" si="31"/>
        <v>497</v>
      </c>
      <c r="C511" s="142">
        <f>'BC.114+320'!M510/1000</f>
        <v>2.02</v>
      </c>
      <c r="D511" s="142">
        <f>'BC.114+320'!AA510</f>
        <v>2.3689999999999998</v>
      </c>
      <c r="E511" s="143">
        <f>'BC.114+320'!AB510</f>
        <v>1.92</v>
      </c>
      <c r="F511" s="142">
        <f>VLOOKUP($A511,'BC.114+320'!$B$13:$X$4876,8,0)/1000</f>
        <v>2.5640000000000001</v>
      </c>
      <c r="G511" s="142">
        <f>VLOOKUP($A511,'BC.114+320'!$B$13:$X$4876,9,0)/1000</f>
        <v>-0.436</v>
      </c>
      <c r="H511" s="142">
        <f>VLOOKUP($A511,'BC.114+320'!$B$13:$X$4876,14,0)/1000</f>
        <v>2.54</v>
      </c>
      <c r="I511" s="142">
        <f>VLOOKUP($A511,'BC.114+320'!$B$13:$X$4876,15,0)/1000</f>
        <v>-0.46</v>
      </c>
      <c r="J511" s="142">
        <f>VLOOKUP($A511,'BC.114+320'!$B$13:$X$4876,20,0)/1000</f>
        <v>2.66</v>
      </c>
      <c r="K511" s="142">
        <f>VLOOKUP($A511,'BC.114+320'!$B$13:$X$4876,21,0)/1000</f>
        <v>-0.34</v>
      </c>
      <c r="L511" s="140">
        <f t="shared" si="28"/>
        <v>-256</v>
      </c>
      <c r="M511" s="141">
        <f t="shared" si="29"/>
        <v>-280</v>
      </c>
      <c r="N511" s="140">
        <f t="shared" si="30"/>
        <v>-220.00000000000003</v>
      </c>
      <c r="O511" s="140"/>
    </row>
    <row r="512" spans="1:15">
      <c r="A512" s="76">
        <f>'BC.114+320'!B511</f>
        <v>45541</v>
      </c>
      <c r="B512" s="140">
        <f t="shared" si="31"/>
        <v>498</v>
      </c>
      <c r="C512" s="142">
        <f>'BC.114+320'!M511/1000</f>
        <v>2.02</v>
      </c>
      <c r="D512" s="142">
        <f>'BC.114+320'!AA511</f>
        <v>2.3689999999999998</v>
      </c>
      <c r="E512" s="143">
        <f>'BC.114+320'!AB511</f>
        <v>1.92</v>
      </c>
      <c r="F512" s="142">
        <f>VLOOKUP($A512,'BC.114+320'!$B$13:$X$4876,8,0)/1000</f>
        <v>2.5640000000000001</v>
      </c>
      <c r="G512" s="142">
        <f>VLOOKUP($A512,'BC.114+320'!$B$13:$X$4876,9,0)/1000</f>
        <v>-0.436</v>
      </c>
      <c r="H512" s="142">
        <f>VLOOKUP($A512,'BC.114+320'!$B$13:$X$4876,14,0)/1000</f>
        <v>2.54</v>
      </c>
      <c r="I512" s="142">
        <f>VLOOKUP($A512,'BC.114+320'!$B$13:$X$4876,15,0)/1000</f>
        <v>-0.46</v>
      </c>
      <c r="J512" s="142">
        <f>VLOOKUP($A512,'BC.114+320'!$B$13:$X$4876,20,0)/1000</f>
        <v>2.66</v>
      </c>
      <c r="K512" s="142">
        <f>VLOOKUP($A512,'BC.114+320'!$B$13:$X$4876,21,0)/1000</f>
        <v>-0.34</v>
      </c>
      <c r="L512" s="140">
        <f t="shared" si="28"/>
        <v>-256</v>
      </c>
      <c r="M512" s="141">
        <f t="shared" si="29"/>
        <v>-280</v>
      </c>
      <c r="N512" s="140">
        <f t="shared" si="30"/>
        <v>-220.00000000000003</v>
      </c>
      <c r="O512" s="140"/>
    </row>
    <row r="513" spans="1:15">
      <c r="A513" s="76">
        <f>'BC.114+320'!B512</f>
        <v>45542</v>
      </c>
      <c r="B513" s="140">
        <f t="shared" si="31"/>
        <v>499</v>
      </c>
      <c r="C513" s="142">
        <f>'BC.114+320'!M512/1000</f>
        <v>2.02</v>
      </c>
      <c r="D513" s="142">
        <f>'BC.114+320'!AA512</f>
        <v>2.3689999999999998</v>
      </c>
      <c r="E513" s="143">
        <f>'BC.114+320'!AB512</f>
        <v>1.92</v>
      </c>
      <c r="F513" s="142">
        <f>VLOOKUP($A513,'BC.114+320'!$B$13:$X$4876,8,0)/1000</f>
        <v>2.5640000000000001</v>
      </c>
      <c r="G513" s="142">
        <f>VLOOKUP($A513,'BC.114+320'!$B$13:$X$4876,9,0)/1000</f>
        <v>-0.436</v>
      </c>
      <c r="H513" s="142">
        <f>VLOOKUP($A513,'BC.114+320'!$B$13:$X$4876,14,0)/1000</f>
        <v>2.54</v>
      </c>
      <c r="I513" s="142">
        <f>VLOOKUP($A513,'BC.114+320'!$B$13:$X$4876,15,0)/1000</f>
        <v>-0.46</v>
      </c>
      <c r="J513" s="142">
        <f>VLOOKUP($A513,'BC.114+320'!$B$13:$X$4876,20,0)/1000</f>
        <v>2.66</v>
      </c>
      <c r="K513" s="142">
        <f>VLOOKUP($A513,'BC.114+320'!$B$13:$X$4876,21,0)/1000</f>
        <v>-0.34</v>
      </c>
      <c r="L513" s="140">
        <f t="shared" si="28"/>
        <v>-256</v>
      </c>
      <c r="M513" s="141">
        <f t="shared" si="29"/>
        <v>-280</v>
      </c>
      <c r="N513" s="140">
        <f t="shared" si="30"/>
        <v>-220.00000000000003</v>
      </c>
      <c r="O513" s="140"/>
    </row>
    <row r="514" spans="1:15">
      <c r="A514" s="76">
        <f>'BC.114+320'!B513</f>
        <v>45543</v>
      </c>
      <c r="B514" s="140">
        <f t="shared" si="31"/>
        <v>500</v>
      </c>
      <c r="C514" s="142">
        <f>'BC.114+320'!M513/1000</f>
        <v>2.02</v>
      </c>
      <c r="D514" s="142">
        <f>'BC.114+320'!AA513</f>
        <v>2.3689999999999998</v>
      </c>
      <c r="E514" s="143">
        <f>'BC.114+320'!AB513</f>
        <v>1.92</v>
      </c>
      <c r="F514" s="142">
        <f>VLOOKUP($A514,'BC.114+320'!$B$13:$X$4876,8,0)/1000</f>
        <v>2.5640000000000001</v>
      </c>
      <c r="G514" s="142">
        <f>VLOOKUP($A514,'BC.114+320'!$B$13:$X$4876,9,0)/1000</f>
        <v>-0.436</v>
      </c>
      <c r="H514" s="142">
        <f>VLOOKUP($A514,'BC.114+320'!$B$13:$X$4876,14,0)/1000</f>
        <v>2.54</v>
      </c>
      <c r="I514" s="142">
        <f>VLOOKUP($A514,'BC.114+320'!$B$13:$X$4876,15,0)/1000</f>
        <v>-0.46</v>
      </c>
      <c r="J514" s="142">
        <f>VLOOKUP($A514,'BC.114+320'!$B$13:$X$4876,20,0)/1000</f>
        <v>2.66</v>
      </c>
      <c r="K514" s="142">
        <f>VLOOKUP($A514,'BC.114+320'!$B$13:$X$4876,21,0)/1000</f>
        <v>-0.34</v>
      </c>
      <c r="L514" s="140">
        <f t="shared" si="28"/>
        <v>-256</v>
      </c>
      <c r="M514" s="141">
        <f t="shared" si="29"/>
        <v>-280</v>
      </c>
      <c r="N514" s="140">
        <f t="shared" si="30"/>
        <v>-220.00000000000003</v>
      </c>
      <c r="O514" s="140"/>
    </row>
    <row r="515" spans="1:15">
      <c r="A515" s="76">
        <f>'BC.114+320'!B514</f>
        <v>45544</v>
      </c>
      <c r="B515" s="140">
        <f t="shared" si="31"/>
        <v>501</v>
      </c>
      <c r="C515" s="142">
        <f>'BC.114+320'!M514/1000</f>
        <v>2.02</v>
      </c>
      <c r="D515" s="142">
        <f>'BC.114+320'!AA514</f>
        <v>2.3689999999999998</v>
      </c>
      <c r="E515" s="143">
        <f>'BC.114+320'!AB514</f>
        <v>1.92</v>
      </c>
      <c r="F515" s="142">
        <f>VLOOKUP($A515,'BC.114+320'!$B$13:$X$4876,8,0)/1000</f>
        <v>2.5640000000000001</v>
      </c>
      <c r="G515" s="142">
        <f>VLOOKUP($A515,'BC.114+320'!$B$13:$X$4876,9,0)/1000</f>
        <v>-0.436</v>
      </c>
      <c r="H515" s="142">
        <f>VLOOKUP($A515,'BC.114+320'!$B$13:$X$4876,14,0)/1000</f>
        <v>2.54</v>
      </c>
      <c r="I515" s="142">
        <f>VLOOKUP($A515,'BC.114+320'!$B$13:$X$4876,15,0)/1000</f>
        <v>-0.46</v>
      </c>
      <c r="J515" s="142">
        <f>VLOOKUP($A515,'BC.114+320'!$B$13:$X$4876,20,0)/1000</f>
        <v>2.66</v>
      </c>
      <c r="K515" s="142">
        <f>VLOOKUP($A515,'BC.114+320'!$B$13:$X$4876,21,0)/1000</f>
        <v>-0.34</v>
      </c>
      <c r="L515" s="140">
        <f t="shared" si="28"/>
        <v>-256</v>
      </c>
      <c r="M515" s="141">
        <f t="shared" si="29"/>
        <v>-280</v>
      </c>
      <c r="N515" s="140">
        <f t="shared" si="30"/>
        <v>-220.00000000000003</v>
      </c>
      <c r="O515" s="140"/>
    </row>
    <row r="516" spans="1:15">
      <c r="A516" s="76">
        <f>'BC.114+320'!B515</f>
        <v>45545</v>
      </c>
      <c r="B516" s="140">
        <f t="shared" si="31"/>
        <v>502</v>
      </c>
      <c r="C516" s="142">
        <f>'BC.114+320'!M515/1000</f>
        <v>2.02</v>
      </c>
      <c r="D516" s="142">
        <f>'BC.114+320'!AA515</f>
        <v>2.3689999999999998</v>
      </c>
      <c r="E516" s="143">
        <f>'BC.114+320'!AB515</f>
        <v>1.92</v>
      </c>
      <c r="F516" s="142">
        <f>VLOOKUP($A516,'BC.114+320'!$B$13:$X$4876,8,0)/1000</f>
        <v>2.5640000000000001</v>
      </c>
      <c r="G516" s="142">
        <f>VLOOKUP($A516,'BC.114+320'!$B$13:$X$4876,9,0)/1000</f>
        <v>-0.436</v>
      </c>
      <c r="H516" s="142">
        <f>VLOOKUP($A516,'BC.114+320'!$B$13:$X$4876,14,0)/1000</f>
        <v>2.54</v>
      </c>
      <c r="I516" s="142">
        <f>VLOOKUP($A516,'BC.114+320'!$B$13:$X$4876,15,0)/1000</f>
        <v>-0.46</v>
      </c>
      <c r="J516" s="142">
        <f>VLOOKUP($A516,'BC.114+320'!$B$13:$X$4876,20,0)/1000</f>
        <v>2.66</v>
      </c>
      <c r="K516" s="142">
        <f>VLOOKUP($A516,'BC.114+320'!$B$13:$X$4876,21,0)/1000</f>
        <v>-0.34</v>
      </c>
      <c r="L516" s="140">
        <f t="shared" si="28"/>
        <v>-256</v>
      </c>
      <c r="M516" s="141">
        <f t="shared" si="29"/>
        <v>-280</v>
      </c>
      <c r="N516" s="140">
        <f t="shared" si="30"/>
        <v>-220.00000000000003</v>
      </c>
      <c r="O516" s="140"/>
    </row>
    <row r="517" spans="1:15">
      <c r="A517" s="76">
        <f>'BC.114+320'!B516</f>
        <v>45546</v>
      </c>
      <c r="B517" s="140">
        <f t="shared" si="31"/>
        <v>503</v>
      </c>
      <c r="C517" s="142">
        <f>'BC.114+320'!M516/1000</f>
        <v>2.02</v>
      </c>
      <c r="D517" s="142">
        <f>'BC.114+320'!AA516</f>
        <v>2.3689999999999998</v>
      </c>
      <c r="E517" s="143">
        <f>'BC.114+320'!AB516</f>
        <v>1.92</v>
      </c>
      <c r="F517" s="142">
        <f>VLOOKUP($A517,'BC.114+320'!$B$13:$X$4876,8,0)/1000</f>
        <v>2.5640000000000001</v>
      </c>
      <c r="G517" s="142">
        <f>VLOOKUP($A517,'BC.114+320'!$B$13:$X$4876,9,0)/1000</f>
        <v>-0.436</v>
      </c>
      <c r="H517" s="142">
        <f>VLOOKUP($A517,'BC.114+320'!$B$13:$X$4876,14,0)/1000</f>
        <v>2.54</v>
      </c>
      <c r="I517" s="142">
        <f>VLOOKUP($A517,'BC.114+320'!$B$13:$X$4876,15,0)/1000</f>
        <v>-0.46</v>
      </c>
      <c r="J517" s="142">
        <f>VLOOKUP($A517,'BC.114+320'!$B$13:$X$4876,20,0)/1000</f>
        <v>2.66</v>
      </c>
      <c r="K517" s="142">
        <f>VLOOKUP($A517,'BC.114+320'!$B$13:$X$4876,21,0)/1000</f>
        <v>-0.34</v>
      </c>
      <c r="L517" s="140">
        <f t="shared" si="28"/>
        <v>-256</v>
      </c>
      <c r="M517" s="141">
        <f t="shared" si="29"/>
        <v>-280</v>
      </c>
      <c r="N517" s="140">
        <f t="shared" si="30"/>
        <v>-220.00000000000003</v>
      </c>
      <c r="O517" s="140"/>
    </row>
    <row r="518" spans="1:15">
      <c r="A518" s="76">
        <f>'BC.114+320'!B517</f>
        <v>45547</v>
      </c>
      <c r="B518" s="140">
        <f t="shared" si="31"/>
        <v>504</v>
      </c>
      <c r="C518" s="142">
        <f>'BC.114+320'!M517/1000</f>
        <v>2.02</v>
      </c>
      <c r="D518" s="142">
        <f>'BC.114+320'!AA517</f>
        <v>2.3689999999999998</v>
      </c>
      <c r="E518" s="143">
        <f>'BC.114+320'!AB517</f>
        <v>1.92</v>
      </c>
      <c r="F518" s="142">
        <f>VLOOKUP($A518,'BC.114+320'!$B$13:$X$4876,8,0)/1000</f>
        <v>2.5640000000000001</v>
      </c>
      <c r="G518" s="142">
        <f>VLOOKUP($A518,'BC.114+320'!$B$13:$X$4876,9,0)/1000</f>
        <v>-0.436</v>
      </c>
      <c r="H518" s="142">
        <f>VLOOKUP($A518,'BC.114+320'!$B$13:$X$4876,14,0)/1000</f>
        <v>2.54</v>
      </c>
      <c r="I518" s="142">
        <f>VLOOKUP($A518,'BC.114+320'!$B$13:$X$4876,15,0)/1000</f>
        <v>-0.46</v>
      </c>
      <c r="J518" s="142">
        <f>VLOOKUP($A518,'BC.114+320'!$B$13:$X$4876,20,0)/1000</f>
        <v>2.66</v>
      </c>
      <c r="K518" s="142">
        <f>VLOOKUP($A518,'BC.114+320'!$B$13:$X$4876,21,0)/1000</f>
        <v>-0.34</v>
      </c>
      <c r="L518" s="140">
        <f t="shared" si="28"/>
        <v>-256</v>
      </c>
      <c r="M518" s="141">
        <f t="shared" si="29"/>
        <v>-280</v>
      </c>
      <c r="N518" s="140">
        <f t="shared" si="30"/>
        <v>-220.00000000000003</v>
      </c>
      <c r="O518" s="140"/>
    </row>
    <row r="519" spans="1:15">
      <c r="A519" s="76">
        <f>'BC.114+320'!B518</f>
        <v>45548</v>
      </c>
      <c r="B519" s="140">
        <f t="shared" si="31"/>
        <v>505</v>
      </c>
      <c r="C519" s="142">
        <f>'BC.114+320'!M518/1000</f>
        <v>2.02</v>
      </c>
      <c r="D519" s="142">
        <f>'BC.114+320'!AA518</f>
        <v>2.3689999999999998</v>
      </c>
      <c r="E519" s="143">
        <f>'BC.114+320'!AB518</f>
        <v>1.92</v>
      </c>
      <c r="F519" s="142">
        <f>VLOOKUP($A519,'BC.114+320'!$B$13:$X$4876,8,0)/1000</f>
        <v>2.5640000000000001</v>
      </c>
      <c r="G519" s="142">
        <f>VLOOKUP($A519,'BC.114+320'!$B$13:$X$4876,9,0)/1000</f>
        <v>-0.436</v>
      </c>
      <c r="H519" s="142">
        <f>VLOOKUP($A519,'BC.114+320'!$B$13:$X$4876,14,0)/1000</f>
        <v>2.54</v>
      </c>
      <c r="I519" s="142">
        <f>VLOOKUP($A519,'BC.114+320'!$B$13:$X$4876,15,0)/1000</f>
        <v>-0.46</v>
      </c>
      <c r="J519" s="142">
        <f>VLOOKUP($A519,'BC.114+320'!$B$13:$X$4876,20,0)/1000</f>
        <v>2.66</v>
      </c>
      <c r="K519" s="142">
        <f>VLOOKUP($A519,'BC.114+320'!$B$13:$X$4876,21,0)/1000</f>
        <v>-0.34</v>
      </c>
      <c r="L519" s="140">
        <f t="shared" si="28"/>
        <v>-256</v>
      </c>
      <c r="M519" s="141">
        <f t="shared" si="29"/>
        <v>-280</v>
      </c>
      <c r="N519" s="140">
        <f t="shared" si="30"/>
        <v>-220.00000000000003</v>
      </c>
      <c r="O519" s="140"/>
    </row>
    <row r="520" spans="1:15">
      <c r="A520" s="76">
        <f>'BC.114+320'!B519</f>
        <v>45549</v>
      </c>
      <c r="B520" s="140">
        <f t="shared" si="31"/>
        <v>506</v>
      </c>
      <c r="C520" s="142">
        <f>'BC.114+320'!M519/1000</f>
        <v>2.02</v>
      </c>
      <c r="D520" s="142">
        <f>'BC.114+320'!AA519</f>
        <v>2.3689999999999998</v>
      </c>
      <c r="E520" s="143">
        <f>'BC.114+320'!AB519</f>
        <v>1.92</v>
      </c>
      <c r="F520" s="142">
        <f>VLOOKUP($A520,'BC.114+320'!$B$13:$X$4876,8,0)/1000</f>
        <v>2.5640000000000001</v>
      </c>
      <c r="G520" s="142">
        <f>VLOOKUP($A520,'BC.114+320'!$B$13:$X$4876,9,0)/1000</f>
        <v>-0.436</v>
      </c>
      <c r="H520" s="142">
        <f>VLOOKUP($A520,'BC.114+320'!$B$13:$X$4876,14,0)/1000</f>
        <v>2.54</v>
      </c>
      <c r="I520" s="142">
        <f>VLOOKUP($A520,'BC.114+320'!$B$13:$X$4876,15,0)/1000</f>
        <v>-0.46</v>
      </c>
      <c r="J520" s="142">
        <f>VLOOKUP($A520,'BC.114+320'!$B$13:$X$4876,20,0)/1000</f>
        <v>2.66</v>
      </c>
      <c r="K520" s="142">
        <f>VLOOKUP($A520,'BC.114+320'!$B$13:$X$4876,21,0)/1000</f>
        <v>-0.34</v>
      </c>
      <c r="L520" s="140">
        <f t="shared" si="28"/>
        <v>-256</v>
      </c>
      <c r="M520" s="141">
        <f t="shared" si="29"/>
        <v>-280</v>
      </c>
      <c r="N520" s="140">
        <f t="shared" si="30"/>
        <v>-220.00000000000003</v>
      </c>
      <c r="O520" s="140"/>
    </row>
    <row r="521" spans="1:15">
      <c r="A521" s="76">
        <f>'BC.114+320'!B520</f>
        <v>45550</v>
      </c>
      <c r="B521" s="140">
        <f t="shared" si="31"/>
        <v>507</v>
      </c>
      <c r="C521" s="142">
        <f>'BC.114+320'!M520/1000</f>
        <v>2.02</v>
      </c>
      <c r="D521" s="142">
        <f>'BC.114+320'!AA520</f>
        <v>2.3689999999999998</v>
      </c>
      <c r="E521" s="143">
        <f>'BC.114+320'!AB520</f>
        <v>1.92</v>
      </c>
      <c r="F521" s="142">
        <f>VLOOKUP($A521,'BC.114+320'!$B$13:$X$4876,8,0)/1000</f>
        <v>2.5640000000000001</v>
      </c>
      <c r="G521" s="142">
        <f>VLOOKUP($A521,'BC.114+320'!$B$13:$X$4876,9,0)/1000</f>
        <v>-0.436</v>
      </c>
      <c r="H521" s="142">
        <f>VLOOKUP($A521,'BC.114+320'!$B$13:$X$4876,14,0)/1000</f>
        <v>2.54</v>
      </c>
      <c r="I521" s="142">
        <f>VLOOKUP($A521,'BC.114+320'!$B$13:$X$4876,15,0)/1000</f>
        <v>-0.46</v>
      </c>
      <c r="J521" s="142">
        <f>VLOOKUP($A521,'BC.114+320'!$B$13:$X$4876,20,0)/1000</f>
        <v>2.66</v>
      </c>
      <c r="K521" s="142">
        <f>VLOOKUP($A521,'BC.114+320'!$B$13:$X$4876,21,0)/1000</f>
        <v>-0.34</v>
      </c>
      <c r="L521" s="140">
        <f t="shared" si="28"/>
        <v>-256</v>
      </c>
      <c r="M521" s="141">
        <f t="shared" si="29"/>
        <v>-280</v>
      </c>
      <c r="N521" s="140">
        <f t="shared" si="30"/>
        <v>-220.00000000000003</v>
      </c>
      <c r="O521" s="140"/>
    </row>
    <row r="522" spans="1:15">
      <c r="A522" s="76">
        <f>'BC.114+320'!B521</f>
        <v>45551</v>
      </c>
      <c r="B522" s="140">
        <f t="shared" si="31"/>
        <v>508</v>
      </c>
      <c r="C522" s="142">
        <f>'BC.114+320'!M521/1000</f>
        <v>2.02</v>
      </c>
      <c r="D522" s="142">
        <f>'BC.114+320'!AA521</f>
        <v>2.3689999999999998</v>
      </c>
      <c r="E522" s="143">
        <f>'BC.114+320'!AB521</f>
        <v>1.92</v>
      </c>
      <c r="F522" s="142">
        <f>VLOOKUP($A522,'BC.114+320'!$B$13:$X$4876,8,0)/1000</f>
        <v>2.5640000000000001</v>
      </c>
      <c r="G522" s="142">
        <f>VLOOKUP($A522,'BC.114+320'!$B$13:$X$4876,9,0)/1000</f>
        <v>-0.436</v>
      </c>
      <c r="H522" s="142">
        <f>VLOOKUP($A522,'BC.114+320'!$B$13:$X$4876,14,0)/1000</f>
        <v>2.54</v>
      </c>
      <c r="I522" s="142">
        <f>VLOOKUP($A522,'BC.114+320'!$B$13:$X$4876,15,0)/1000</f>
        <v>-0.46</v>
      </c>
      <c r="J522" s="142">
        <f>VLOOKUP($A522,'BC.114+320'!$B$13:$X$4876,20,0)/1000</f>
        <v>2.66</v>
      </c>
      <c r="K522" s="142">
        <f>VLOOKUP($A522,'BC.114+320'!$B$13:$X$4876,21,0)/1000</f>
        <v>-0.34</v>
      </c>
      <c r="L522" s="140">
        <f t="shared" si="28"/>
        <v>-256</v>
      </c>
      <c r="M522" s="141">
        <f t="shared" si="29"/>
        <v>-280</v>
      </c>
      <c r="N522" s="140">
        <f t="shared" si="30"/>
        <v>-220.00000000000003</v>
      </c>
      <c r="O522" s="140"/>
    </row>
    <row r="523" spans="1:15">
      <c r="A523" s="76">
        <f>'BC.114+320'!B522</f>
        <v>45552</v>
      </c>
      <c r="B523" s="140">
        <f t="shared" si="31"/>
        <v>509</v>
      </c>
      <c r="C523" s="142">
        <f>'BC.114+320'!M522/1000</f>
        <v>2.02</v>
      </c>
      <c r="D523" s="142">
        <f>'BC.114+320'!AA522</f>
        <v>2.3689999999999998</v>
      </c>
      <c r="E523" s="143">
        <f>'BC.114+320'!AB522</f>
        <v>1.92</v>
      </c>
      <c r="F523" s="142">
        <f>VLOOKUP($A523,'BC.114+320'!$B$13:$X$4876,8,0)/1000</f>
        <v>2.5640000000000001</v>
      </c>
      <c r="G523" s="142">
        <f>VLOOKUP($A523,'BC.114+320'!$B$13:$X$4876,9,0)/1000</f>
        <v>-0.436</v>
      </c>
      <c r="H523" s="142">
        <f>VLOOKUP($A523,'BC.114+320'!$B$13:$X$4876,14,0)/1000</f>
        <v>2.54</v>
      </c>
      <c r="I523" s="142">
        <f>VLOOKUP($A523,'BC.114+320'!$B$13:$X$4876,15,0)/1000</f>
        <v>-0.46</v>
      </c>
      <c r="J523" s="142">
        <f>VLOOKUP($A523,'BC.114+320'!$B$13:$X$4876,20,0)/1000</f>
        <v>2.66</v>
      </c>
      <c r="K523" s="142">
        <f>VLOOKUP($A523,'BC.114+320'!$B$13:$X$4876,21,0)/1000</f>
        <v>-0.34</v>
      </c>
      <c r="L523" s="140">
        <f t="shared" si="28"/>
        <v>-256</v>
      </c>
      <c r="M523" s="141">
        <f t="shared" si="29"/>
        <v>-280</v>
      </c>
      <c r="N523" s="140">
        <f t="shared" si="30"/>
        <v>-220.00000000000003</v>
      </c>
      <c r="O523" s="140"/>
    </row>
    <row r="524" spans="1:15">
      <c r="A524" s="76">
        <f>'BC.114+320'!B523</f>
        <v>45553</v>
      </c>
      <c r="B524" s="140">
        <f t="shared" si="31"/>
        <v>510</v>
      </c>
      <c r="C524" s="142">
        <f>'BC.114+320'!M523/1000</f>
        <v>2.02</v>
      </c>
      <c r="D524" s="142">
        <f>'BC.114+320'!AA523</f>
        <v>2.3689999999999998</v>
      </c>
      <c r="E524" s="143">
        <f>'BC.114+320'!AB523</f>
        <v>1.92</v>
      </c>
      <c r="F524" s="142">
        <f>VLOOKUP($A524,'BC.114+320'!$B$13:$X$4876,8,0)/1000</f>
        <v>2.5640000000000001</v>
      </c>
      <c r="G524" s="142">
        <f>VLOOKUP($A524,'BC.114+320'!$B$13:$X$4876,9,0)/1000</f>
        <v>-0.436</v>
      </c>
      <c r="H524" s="142">
        <f>VLOOKUP($A524,'BC.114+320'!$B$13:$X$4876,14,0)/1000</f>
        <v>2.54</v>
      </c>
      <c r="I524" s="142">
        <f>VLOOKUP($A524,'BC.114+320'!$B$13:$X$4876,15,0)/1000</f>
        <v>-0.46</v>
      </c>
      <c r="J524" s="142">
        <f>VLOOKUP($A524,'BC.114+320'!$B$13:$X$4876,20,0)/1000</f>
        <v>2.66</v>
      </c>
      <c r="K524" s="142">
        <f>VLOOKUP($A524,'BC.114+320'!$B$13:$X$4876,21,0)/1000</f>
        <v>-0.34</v>
      </c>
      <c r="L524" s="140">
        <f t="shared" si="28"/>
        <v>-256</v>
      </c>
      <c r="M524" s="141">
        <f t="shared" si="29"/>
        <v>-280</v>
      </c>
      <c r="N524" s="140">
        <f t="shared" si="30"/>
        <v>-220.00000000000003</v>
      </c>
      <c r="O524" s="140"/>
    </row>
    <row r="525" spans="1:15">
      <c r="A525" s="76">
        <f>'BC.114+320'!B524</f>
        <v>45554</v>
      </c>
      <c r="B525" s="140">
        <f t="shared" si="31"/>
        <v>511</v>
      </c>
      <c r="C525" s="142">
        <f>'BC.114+320'!M524/1000</f>
        <v>2.02</v>
      </c>
      <c r="D525" s="142">
        <f>'BC.114+320'!AA524</f>
        <v>2.3689999999999998</v>
      </c>
      <c r="E525" s="143">
        <f>'BC.114+320'!AB524</f>
        <v>1.92</v>
      </c>
      <c r="F525" s="142">
        <f>VLOOKUP($A525,'BC.114+320'!$B$13:$X$4876,8,0)/1000</f>
        <v>2.5640000000000001</v>
      </c>
      <c r="G525" s="142">
        <f>VLOOKUP($A525,'BC.114+320'!$B$13:$X$4876,9,0)/1000</f>
        <v>-0.436</v>
      </c>
      <c r="H525" s="142">
        <f>VLOOKUP($A525,'BC.114+320'!$B$13:$X$4876,14,0)/1000</f>
        <v>2.54</v>
      </c>
      <c r="I525" s="142">
        <f>VLOOKUP($A525,'BC.114+320'!$B$13:$X$4876,15,0)/1000</f>
        <v>-0.46</v>
      </c>
      <c r="J525" s="142">
        <f>VLOOKUP($A525,'BC.114+320'!$B$13:$X$4876,20,0)/1000</f>
        <v>2.66</v>
      </c>
      <c r="K525" s="142">
        <f>VLOOKUP($A525,'BC.114+320'!$B$13:$X$4876,21,0)/1000</f>
        <v>-0.34</v>
      </c>
      <c r="L525" s="140">
        <f t="shared" si="28"/>
        <v>-256</v>
      </c>
      <c r="M525" s="141">
        <f t="shared" si="29"/>
        <v>-280</v>
      </c>
      <c r="N525" s="140">
        <f t="shared" si="30"/>
        <v>-220.00000000000003</v>
      </c>
      <c r="O525" s="140"/>
    </row>
    <row r="526" spans="1:15">
      <c r="A526" s="76">
        <f>'BC.114+320'!B525</f>
        <v>45555</v>
      </c>
      <c r="B526" s="140">
        <f t="shared" si="31"/>
        <v>512</v>
      </c>
      <c r="C526" s="142">
        <f>'BC.114+320'!M525/1000</f>
        <v>2.02</v>
      </c>
      <c r="D526" s="142">
        <f>'BC.114+320'!AA525</f>
        <v>2.3689999999999998</v>
      </c>
      <c r="E526" s="143">
        <f>'BC.114+320'!AB525</f>
        <v>1.92</v>
      </c>
      <c r="F526" s="142">
        <f>VLOOKUP($A526,'BC.114+320'!$B$13:$X$4876,8,0)/1000</f>
        <v>2.5640000000000001</v>
      </c>
      <c r="G526" s="142">
        <f>VLOOKUP($A526,'BC.114+320'!$B$13:$X$4876,9,0)/1000</f>
        <v>-0.436</v>
      </c>
      <c r="H526" s="142">
        <f>VLOOKUP($A526,'BC.114+320'!$B$13:$X$4876,14,0)/1000</f>
        <v>2.54</v>
      </c>
      <c r="I526" s="142">
        <f>VLOOKUP($A526,'BC.114+320'!$B$13:$X$4876,15,0)/1000</f>
        <v>-0.46</v>
      </c>
      <c r="J526" s="142">
        <f>VLOOKUP($A526,'BC.114+320'!$B$13:$X$4876,20,0)/1000</f>
        <v>2.66</v>
      </c>
      <c r="K526" s="142">
        <f>VLOOKUP($A526,'BC.114+320'!$B$13:$X$4876,21,0)/1000</f>
        <v>-0.34</v>
      </c>
      <c r="L526" s="140">
        <f t="shared" ref="L526:L589" si="32">(G526-$G$14)*1000</f>
        <v>-256</v>
      </c>
      <c r="M526" s="141">
        <f t="shared" ref="M526:M589" si="33">(I526-$I$14)*1000</f>
        <v>-280</v>
      </c>
      <c r="N526" s="140">
        <f t="shared" si="30"/>
        <v>-220.00000000000003</v>
      </c>
      <c r="O526" s="140"/>
    </row>
    <row r="527" spans="1:15">
      <c r="A527" s="76">
        <f>'BC.114+320'!B526</f>
        <v>45556</v>
      </c>
      <c r="B527" s="140">
        <f t="shared" si="31"/>
        <v>513</v>
      </c>
      <c r="C527" s="142">
        <f>'BC.114+320'!M526/1000</f>
        <v>2.02</v>
      </c>
      <c r="D527" s="142">
        <f>'BC.114+320'!AA526</f>
        <v>2.3689999999999998</v>
      </c>
      <c r="E527" s="143">
        <f>'BC.114+320'!AB526</f>
        <v>1.92</v>
      </c>
      <c r="F527" s="142">
        <f>VLOOKUP($A527,'BC.114+320'!$B$13:$X$4876,8,0)/1000</f>
        <v>2.5640000000000001</v>
      </c>
      <c r="G527" s="142">
        <f>VLOOKUP($A527,'BC.114+320'!$B$13:$X$4876,9,0)/1000</f>
        <v>-0.436</v>
      </c>
      <c r="H527" s="142">
        <f>VLOOKUP($A527,'BC.114+320'!$B$13:$X$4876,14,0)/1000</f>
        <v>2.54</v>
      </c>
      <c r="I527" s="142">
        <f>VLOOKUP($A527,'BC.114+320'!$B$13:$X$4876,15,0)/1000</f>
        <v>-0.46</v>
      </c>
      <c r="J527" s="142">
        <f>VLOOKUP($A527,'BC.114+320'!$B$13:$X$4876,20,0)/1000</f>
        <v>2.66</v>
      </c>
      <c r="K527" s="142">
        <f>VLOOKUP($A527,'BC.114+320'!$B$13:$X$4876,21,0)/1000</f>
        <v>-0.34</v>
      </c>
      <c r="L527" s="140">
        <f t="shared" si="32"/>
        <v>-256</v>
      </c>
      <c r="M527" s="141">
        <f t="shared" si="33"/>
        <v>-280</v>
      </c>
      <c r="N527" s="140">
        <f t="shared" ref="N527:N590" si="34">(K527-$K$14)*1000</f>
        <v>-220.00000000000003</v>
      </c>
      <c r="O527" s="140"/>
    </row>
    <row r="528" spans="1:15">
      <c r="A528" s="76">
        <f>'BC.114+320'!B527</f>
        <v>45557</v>
      </c>
      <c r="B528" s="140">
        <f t="shared" ref="B528:B591" si="35">+B527+1</f>
        <v>514</v>
      </c>
      <c r="C528" s="142">
        <f>'BC.114+320'!M527/1000</f>
        <v>2.2999999999999998</v>
      </c>
      <c r="D528" s="142">
        <f>'BC.114+320'!AA527</f>
        <v>2.649</v>
      </c>
      <c r="E528" s="143">
        <f>'BC.114+320'!AB527</f>
        <v>2.19</v>
      </c>
      <c r="F528" s="142">
        <f>VLOOKUP($A528,'BC.114+320'!$B$13:$X$4876,8,0)/1000</f>
        <v>2.5539999999999998</v>
      </c>
      <c r="G528" s="142">
        <f>VLOOKUP($A528,'BC.114+320'!$B$13:$X$4876,9,0)/1000</f>
        <v>-0.44600000000000001</v>
      </c>
      <c r="H528" s="142">
        <f>VLOOKUP($A528,'BC.114+320'!$B$13:$X$4876,14,0)/1000</f>
        <v>2.5299999999999998</v>
      </c>
      <c r="I528" s="142">
        <f>VLOOKUP($A528,'BC.114+320'!$B$13:$X$4876,15,0)/1000</f>
        <v>-0.47</v>
      </c>
      <c r="J528" s="142">
        <f>VLOOKUP($A528,'BC.114+320'!$B$13:$X$4876,20,0)/1000</f>
        <v>2.65</v>
      </c>
      <c r="K528" s="142">
        <f>VLOOKUP($A528,'BC.114+320'!$B$13:$X$4876,21,0)/1000</f>
        <v>-0.35</v>
      </c>
      <c r="L528" s="140">
        <f t="shared" si="32"/>
        <v>-266</v>
      </c>
      <c r="M528" s="141">
        <f t="shared" si="33"/>
        <v>-290</v>
      </c>
      <c r="N528" s="140">
        <f t="shared" si="34"/>
        <v>-229.99999999999997</v>
      </c>
      <c r="O528" s="140"/>
    </row>
    <row r="529" spans="1:15">
      <c r="A529" s="76">
        <f>'BC.114+320'!B528</f>
        <v>45558</v>
      </c>
      <c r="B529" s="140">
        <f t="shared" si="35"/>
        <v>515</v>
      </c>
      <c r="C529" s="142">
        <f>'BC.114+320'!M528/1000</f>
        <v>2.29</v>
      </c>
      <c r="D529" s="142">
        <f>'BC.114+320'!AA528</f>
        <v>2.649</v>
      </c>
      <c r="E529" s="143">
        <f>'BC.114+320'!AB528</f>
        <v>2.17</v>
      </c>
      <c r="F529" s="142">
        <f>VLOOKUP($A529,'BC.114+320'!$B$13:$X$4876,8,0)/1000</f>
        <v>2.544</v>
      </c>
      <c r="G529" s="142">
        <f>VLOOKUP($A529,'BC.114+320'!$B$13:$X$4876,9,0)/1000</f>
        <v>-0.45600000000000002</v>
      </c>
      <c r="H529" s="142">
        <f>VLOOKUP($A529,'BC.114+320'!$B$13:$X$4876,14,0)/1000</f>
        <v>2.52</v>
      </c>
      <c r="I529" s="142">
        <f>VLOOKUP($A529,'BC.114+320'!$B$13:$X$4876,15,0)/1000</f>
        <v>-0.48</v>
      </c>
      <c r="J529" s="142">
        <f>VLOOKUP($A529,'BC.114+320'!$B$13:$X$4876,20,0)/1000</f>
        <v>2.64</v>
      </c>
      <c r="K529" s="142">
        <f>VLOOKUP($A529,'BC.114+320'!$B$13:$X$4876,21,0)/1000</f>
        <v>-0.36</v>
      </c>
      <c r="L529" s="140">
        <f t="shared" si="32"/>
        <v>-276</v>
      </c>
      <c r="M529" s="141">
        <f t="shared" si="33"/>
        <v>-300</v>
      </c>
      <c r="N529" s="140">
        <f t="shared" si="34"/>
        <v>-240</v>
      </c>
      <c r="O529" s="140"/>
    </row>
    <row r="530" spans="1:15">
      <c r="A530" s="76">
        <f>'BC.114+320'!B529</f>
        <v>45559</v>
      </c>
      <c r="B530" s="140">
        <f t="shared" si="35"/>
        <v>516</v>
      </c>
      <c r="C530" s="142">
        <f>'BC.114+320'!M529/1000</f>
        <v>2.2799999999999998</v>
      </c>
      <c r="D530" s="142">
        <f>'BC.114+320'!AA529</f>
        <v>2.649</v>
      </c>
      <c r="E530" s="143">
        <f>'BC.114+320'!AB529</f>
        <v>2.15</v>
      </c>
      <c r="F530" s="142">
        <f>VLOOKUP($A530,'BC.114+320'!$B$13:$X$4876,8,0)/1000</f>
        <v>2.5339999999999998</v>
      </c>
      <c r="G530" s="142">
        <f>VLOOKUP($A530,'BC.114+320'!$B$13:$X$4876,9,0)/1000</f>
        <v>-0.46600000000000003</v>
      </c>
      <c r="H530" s="142">
        <f>VLOOKUP($A530,'BC.114+320'!$B$13:$X$4876,14,0)/1000</f>
        <v>2.5099999999999998</v>
      </c>
      <c r="I530" s="142">
        <f>VLOOKUP($A530,'BC.114+320'!$B$13:$X$4876,15,0)/1000</f>
        <v>-0.49</v>
      </c>
      <c r="J530" s="142">
        <f>VLOOKUP($A530,'BC.114+320'!$B$13:$X$4876,20,0)/1000</f>
        <v>2.6320000000000001</v>
      </c>
      <c r="K530" s="142">
        <f>VLOOKUP($A530,'BC.114+320'!$B$13:$X$4876,21,0)/1000</f>
        <v>-0.36799999999999999</v>
      </c>
      <c r="L530" s="140">
        <f t="shared" si="32"/>
        <v>-286.00000000000006</v>
      </c>
      <c r="M530" s="141">
        <f t="shared" si="33"/>
        <v>-310</v>
      </c>
      <c r="N530" s="140">
        <f t="shared" si="34"/>
        <v>-248</v>
      </c>
      <c r="O530" s="140"/>
    </row>
    <row r="531" spans="1:15">
      <c r="A531" s="76">
        <f>'BC.114+320'!B530</f>
        <v>45560</v>
      </c>
      <c r="B531" s="140">
        <f t="shared" si="35"/>
        <v>517</v>
      </c>
      <c r="C531" s="142">
        <f>'BC.114+320'!M530/1000</f>
        <v>2.27</v>
      </c>
      <c r="D531" s="142">
        <f>'BC.114+320'!AA530</f>
        <v>2.649</v>
      </c>
      <c r="E531" s="143">
        <f>'BC.114+320'!AB530</f>
        <v>2.13</v>
      </c>
      <c r="F531" s="142">
        <f>VLOOKUP($A531,'BC.114+320'!$B$13:$X$4876,8,0)/1000</f>
        <v>2.5259999999999998</v>
      </c>
      <c r="G531" s="142">
        <f>VLOOKUP($A531,'BC.114+320'!$B$13:$X$4876,9,0)/1000</f>
        <v>-0.47399999999999998</v>
      </c>
      <c r="H531" s="142">
        <f>VLOOKUP($A531,'BC.114+320'!$B$13:$X$4876,14,0)/1000</f>
        <v>2.5</v>
      </c>
      <c r="I531" s="142">
        <f>VLOOKUP($A531,'BC.114+320'!$B$13:$X$4876,15,0)/1000</f>
        <v>-0.5</v>
      </c>
      <c r="J531" s="142">
        <f>VLOOKUP($A531,'BC.114+320'!$B$13:$X$4876,20,0)/1000</f>
        <v>2.6240000000000001</v>
      </c>
      <c r="K531" s="142">
        <f>VLOOKUP($A531,'BC.114+320'!$B$13:$X$4876,21,0)/1000</f>
        <v>-0.376</v>
      </c>
      <c r="L531" s="140">
        <f t="shared" si="32"/>
        <v>-294</v>
      </c>
      <c r="M531" s="141">
        <f t="shared" si="33"/>
        <v>-320</v>
      </c>
      <c r="N531" s="140">
        <f t="shared" si="34"/>
        <v>-256</v>
      </c>
      <c r="O531" s="140"/>
    </row>
    <row r="532" spans="1:15">
      <c r="A532" s="76">
        <f>'BC.114+320'!B531</f>
        <v>45561</v>
      </c>
      <c r="B532" s="140">
        <f t="shared" si="35"/>
        <v>518</v>
      </c>
      <c r="C532" s="142">
        <f>'BC.114+320'!M531/1000</f>
        <v>2.5630000000000002</v>
      </c>
      <c r="D532" s="142">
        <f>'BC.114+320'!AA531</f>
        <v>2.9390000000000001</v>
      </c>
      <c r="E532" s="143">
        <f>'BC.114+320'!AB531</f>
        <v>2.4159999999999999</v>
      </c>
      <c r="F532" s="142">
        <f>VLOOKUP($A532,'BC.114+320'!$B$13:$X$4876,8,0)/1000</f>
        <v>2.5169999999999999</v>
      </c>
      <c r="G532" s="142">
        <f>VLOOKUP($A532,'BC.114+320'!$B$13:$X$4876,9,0)/1000</f>
        <v>-0.48299999999999998</v>
      </c>
      <c r="H532" s="142">
        <f>VLOOKUP($A532,'BC.114+320'!$B$13:$X$4876,14,0)/1000</f>
        <v>2.4929999999999999</v>
      </c>
      <c r="I532" s="142">
        <f>VLOOKUP($A532,'BC.114+320'!$B$13:$X$4876,15,0)/1000</f>
        <v>-0.50700000000000001</v>
      </c>
      <c r="J532" s="142">
        <f>VLOOKUP($A532,'BC.114+320'!$B$13:$X$4876,20,0)/1000</f>
        <v>2.6139999999999999</v>
      </c>
      <c r="K532" s="142">
        <f>VLOOKUP($A532,'BC.114+320'!$B$13:$X$4876,21,0)/1000</f>
        <v>-0.38600000000000001</v>
      </c>
      <c r="L532" s="140">
        <f t="shared" si="32"/>
        <v>-303</v>
      </c>
      <c r="M532" s="141">
        <f t="shared" si="33"/>
        <v>-327</v>
      </c>
      <c r="N532" s="140">
        <f t="shared" si="34"/>
        <v>-266</v>
      </c>
      <c r="O532" s="140"/>
    </row>
    <row r="533" spans="1:15">
      <c r="A533" s="76">
        <f>'BC.114+320'!B532</f>
        <v>45562</v>
      </c>
      <c r="B533" s="140">
        <f t="shared" si="35"/>
        <v>519</v>
      </c>
      <c r="C533" s="142">
        <f>'BC.114+320'!M532/1000</f>
        <v>2.5529999999999999</v>
      </c>
      <c r="D533" s="142">
        <f>'BC.114+320'!AA532</f>
        <v>2.9390000000000001</v>
      </c>
      <c r="E533" s="143">
        <f>'BC.114+320'!AB532</f>
        <v>2.3959999999999999</v>
      </c>
      <c r="F533" s="142">
        <f>VLOOKUP($A533,'BC.114+320'!$B$13:$X$4876,8,0)/1000</f>
        <v>2.5070000000000001</v>
      </c>
      <c r="G533" s="142">
        <f>VLOOKUP($A533,'BC.114+320'!$B$13:$X$4876,9,0)/1000</f>
        <v>-0.49299999999999999</v>
      </c>
      <c r="H533" s="142">
        <f>VLOOKUP($A533,'BC.114+320'!$B$13:$X$4876,14,0)/1000</f>
        <v>2.4830000000000001</v>
      </c>
      <c r="I533" s="142">
        <f>VLOOKUP($A533,'BC.114+320'!$B$13:$X$4876,15,0)/1000</f>
        <v>-0.51700000000000002</v>
      </c>
      <c r="J533" s="142">
        <f>VLOOKUP($A533,'BC.114+320'!$B$13:$X$4876,20,0)/1000</f>
        <v>2.6040000000000001</v>
      </c>
      <c r="K533" s="142">
        <f>VLOOKUP($A533,'BC.114+320'!$B$13:$X$4876,21,0)/1000</f>
        <v>-0.39600000000000002</v>
      </c>
      <c r="L533" s="140">
        <f t="shared" si="32"/>
        <v>-313</v>
      </c>
      <c r="M533" s="141">
        <f t="shared" si="33"/>
        <v>-337</v>
      </c>
      <c r="N533" s="140">
        <f t="shared" si="34"/>
        <v>-276</v>
      </c>
      <c r="O533" s="140"/>
    </row>
    <row r="534" spans="1:15">
      <c r="A534" s="76">
        <f>'BC.114+320'!B533</f>
        <v>45563</v>
      </c>
      <c r="B534" s="140">
        <f t="shared" si="35"/>
        <v>520</v>
      </c>
      <c r="C534" s="142">
        <f>'BC.114+320'!M533/1000</f>
        <v>2.5430000000000001</v>
      </c>
      <c r="D534" s="142">
        <f>'BC.114+320'!AA533</f>
        <v>2.9390000000000001</v>
      </c>
      <c r="E534" s="143">
        <f>'BC.114+320'!AB533</f>
        <v>2.3759999999999999</v>
      </c>
      <c r="F534" s="142">
        <f>VLOOKUP($A534,'BC.114+320'!$B$13:$X$4876,8,0)/1000</f>
        <v>2.4969999999999999</v>
      </c>
      <c r="G534" s="142">
        <f>VLOOKUP($A534,'BC.114+320'!$B$13:$X$4876,9,0)/1000</f>
        <v>-0.503</v>
      </c>
      <c r="H534" s="142">
        <f>VLOOKUP($A534,'BC.114+320'!$B$13:$X$4876,14,0)/1000</f>
        <v>2.4729999999999999</v>
      </c>
      <c r="I534" s="142">
        <f>VLOOKUP($A534,'BC.114+320'!$B$13:$X$4876,15,0)/1000</f>
        <v>-0.52700000000000002</v>
      </c>
      <c r="J534" s="142">
        <f>VLOOKUP($A534,'BC.114+320'!$B$13:$X$4876,20,0)/1000</f>
        <v>2.5960000000000001</v>
      </c>
      <c r="K534" s="142">
        <f>VLOOKUP($A534,'BC.114+320'!$B$13:$X$4876,21,0)/1000</f>
        <v>-0.40400000000000003</v>
      </c>
      <c r="L534" s="140">
        <f t="shared" si="32"/>
        <v>-323</v>
      </c>
      <c r="M534" s="141">
        <f t="shared" si="33"/>
        <v>-347.00000000000006</v>
      </c>
      <c r="N534" s="140">
        <f t="shared" si="34"/>
        <v>-284.00000000000006</v>
      </c>
      <c r="O534" s="140"/>
    </row>
    <row r="535" spans="1:15">
      <c r="A535" s="76">
        <f>'BC.114+320'!B534</f>
        <v>45564</v>
      </c>
      <c r="B535" s="140">
        <f t="shared" si="35"/>
        <v>521</v>
      </c>
      <c r="C535" s="142">
        <f>'BC.114+320'!M534/1000</f>
        <v>2.5329999999999999</v>
      </c>
      <c r="D535" s="142">
        <f>'BC.114+320'!AA534</f>
        <v>2.9390000000000001</v>
      </c>
      <c r="E535" s="143">
        <f>'BC.114+320'!AB534</f>
        <v>2.3559999999999999</v>
      </c>
      <c r="F535" s="142">
        <f>VLOOKUP($A535,'BC.114+320'!$B$13:$X$4876,8,0)/1000</f>
        <v>2.488</v>
      </c>
      <c r="G535" s="142">
        <f>VLOOKUP($A535,'BC.114+320'!$B$13:$X$4876,9,0)/1000</f>
        <v>-0.51200000000000001</v>
      </c>
      <c r="H535" s="142">
        <f>VLOOKUP($A535,'BC.114+320'!$B$13:$X$4876,14,0)/1000</f>
        <v>2.4630000000000001</v>
      </c>
      <c r="I535" s="142">
        <f>VLOOKUP($A535,'BC.114+320'!$B$13:$X$4876,15,0)/1000</f>
        <v>-0.53700000000000003</v>
      </c>
      <c r="J535" s="142">
        <f>VLOOKUP($A535,'BC.114+320'!$B$13:$X$4876,20,0)/1000</f>
        <v>2.5880000000000001</v>
      </c>
      <c r="K535" s="142">
        <f>VLOOKUP($A535,'BC.114+320'!$B$13:$X$4876,21,0)/1000</f>
        <v>-0.41199999999999998</v>
      </c>
      <c r="L535" s="140">
        <f t="shared" si="32"/>
        <v>-332</v>
      </c>
      <c r="M535" s="141">
        <f t="shared" si="33"/>
        <v>-357.00000000000006</v>
      </c>
      <c r="N535" s="140">
        <f t="shared" si="34"/>
        <v>-292</v>
      </c>
      <c r="O535" s="140"/>
    </row>
    <row r="536" spans="1:15">
      <c r="A536" s="76">
        <f>'BC.114+320'!B535</f>
        <v>45565</v>
      </c>
      <c r="B536" s="140">
        <f t="shared" si="35"/>
        <v>522</v>
      </c>
      <c r="C536" s="142">
        <f>'BC.114+320'!M535/1000</f>
        <v>2.5259999999999998</v>
      </c>
      <c r="D536" s="142">
        <f>'BC.114+320'!AA535</f>
        <v>2.9390000000000001</v>
      </c>
      <c r="E536" s="143">
        <f>'BC.114+320'!AB535</f>
        <v>2.3420000000000001</v>
      </c>
      <c r="F536" s="142">
        <f>VLOOKUP($A536,'BC.114+320'!$B$13:$X$4876,8,0)/1000</f>
        <v>2.4790000000000001</v>
      </c>
      <c r="G536" s="142">
        <f>VLOOKUP($A536,'BC.114+320'!$B$13:$X$4876,9,0)/1000</f>
        <v>-0.52100000000000002</v>
      </c>
      <c r="H536" s="142">
        <f>VLOOKUP($A536,'BC.114+320'!$B$13:$X$4876,14,0)/1000</f>
        <v>2.456</v>
      </c>
      <c r="I536" s="142">
        <f>VLOOKUP($A536,'BC.114+320'!$B$13:$X$4876,15,0)/1000</f>
        <v>-0.54400000000000004</v>
      </c>
      <c r="J536" s="142">
        <f>VLOOKUP($A536,'BC.114+320'!$B$13:$X$4876,20,0)/1000</f>
        <v>2.581</v>
      </c>
      <c r="K536" s="142">
        <f>VLOOKUP($A536,'BC.114+320'!$B$13:$X$4876,21,0)/1000</f>
        <v>-0.41899999999999998</v>
      </c>
      <c r="L536" s="140">
        <f t="shared" si="32"/>
        <v>-341</v>
      </c>
      <c r="M536" s="141">
        <f t="shared" si="33"/>
        <v>-364.00000000000006</v>
      </c>
      <c r="N536" s="140">
        <f t="shared" si="34"/>
        <v>-299</v>
      </c>
      <c r="O536" s="140"/>
    </row>
    <row r="537" spans="1:15">
      <c r="A537" s="76">
        <f>'BC.114+320'!B536</f>
        <v>45566</v>
      </c>
      <c r="B537" s="140">
        <f t="shared" si="35"/>
        <v>523</v>
      </c>
      <c r="C537" s="142">
        <f>'BC.114+320'!M536/1000</f>
        <v>2.819</v>
      </c>
      <c r="D537" s="142">
        <f>'BC.114+320'!AA536</f>
        <v>3.2290000000000001</v>
      </c>
      <c r="E537" s="143">
        <f>'BC.114+320'!AB536</f>
        <v>2.6280000000000001</v>
      </c>
      <c r="F537" s="142">
        <f>VLOOKUP($A537,'BC.114+320'!$B$13:$X$4876,8,0)/1000</f>
        <v>2.4700000000000002</v>
      </c>
      <c r="G537" s="142">
        <f>VLOOKUP($A537,'BC.114+320'!$B$13:$X$4876,9,0)/1000</f>
        <v>-0.53</v>
      </c>
      <c r="H537" s="142">
        <f>VLOOKUP($A537,'BC.114+320'!$B$13:$X$4876,14,0)/1000</f>
        <v>2.4489999999999998</v>
      </c>
      <c r="I537" s="142">
        <f>VLOOKUP($A537,'BC.114+320'!$B$13:$X$4876,15,0)/1000</f>
        <v>-0.55100000000000005</v>
      </c>
      <c r="J537" s="142">
        <f>VLOOKUP($A537,'BC.114+320'!$B$13:$X$4876,20,0)/1000</f>
        <v>2.5710000000000002</v>
      </c>
      <c r="K537" s="142">
        <f>VLOOKUP($A537,'BC.114+320'!$B$13:$X$4876,21,0)/1000</f>
        <v>-0.42899999999999999</v>
      </c>
      <c r="L537" s="140">
        <f t="shared" si="32"/>
        <v>-350.00000000000006</v>
      </c>
      <c r="M537" s="141">
        <f t="shared" si="33"/>
        <v>-371.00000000000006</v>
      </c>
      <c r="N537" s="140">
        <f t="shared" si="34"/>
        <v>-309</v>
      </c>
      <c r="O537" s="140"/>
    </row>
    <row r="538" spans="1:15">
      <c r="A538" s="76">
        <f>'BC.114+320'!B537</f>
        <v>45567</v>
      </c>
      <c r="B538" s="140">
        <f t="shared" si="35"/>
        <v>524</v>
      </c>
      <c r="C538" s="142">
        <f>'BC.114+320'!M537/1000</f>
        <v>2.8090000000000002</v>
      </c>
      <c r="D538" s="142">
        <f>'BC.114+320'!AA537</f>
        <v>3.2290000000000001</v>
      </c>
      <c r="E538" s="143">
        <f>'BC.114+320'!AB537</f>
        <v>2.6080000000000001</v>
      </c>
      <c r="F538" s="142">
        <f>VLOOKUP($A538,'BC.114+320'!$B$13:$X$4876,8,0)/1000</f>
        <v>2.46</v>
      </c>
      <c r="G538" s="142">
        <f>VLOOKUP($A538,'BC.114+320'!$B$13:$X$4876,9,0)/1000</f>
        <v>-0.54</v>
      </c>
      <c r="H538" s="142">
        <f>VLOOKUP($A538,'BC.114+320'!$B$13:$X$4876,14,0)/1000</f>
        <v>2.4390000000000001</v>
      </c>
      <c r="I538" s="142">
        <f>VLOOKUP($A538,'BC.114+320'!$B$13:$X$4876,15,0)/1000</f>
        <v>-0.56100000000000005</v>
      </c>
      <c r="J538" s="142">
        <f>VLOOKUP($A538,'BC.114+320'!$B$13:$X$4876,20,0)/1000</f>
        <v>2.5630000000000002</v>
      </c>
      <c r="K538" s="142">
        <f>VLOOKUP($A538,'BC.114+320'!$B$13:$X$4876,21,0)/1000</f>
        <v>-0.437</v>
      </c>
      <c r="L538" s="140">
        <f t="shared" si="32"/>
        <v>-360.00000000000006</v>
      </c>
      <c r="M538" s="141">
        <f t="shared" si="33"/>
        <v>-381.00000000000006</v>
      </c>
      <c r="N538" s="140">
        <f t="shared" si="34"/>
        <v>-317</v>
      </c>
      <c r="O538" s="140"/>
    </row>
    <row r="539" spans="1:15">
      <c r="A539" s="76">
        <f>'BC.114+320'!B538</f>
        <v>45568</v>
      </c>
      <c r="B539" s="140">
        <f t="shared" si="35"/>
        <v>525</v>
      </c>
      <c r="C539" s="142">
        <f>'BC.114+320'!M538/1000</f>
        <v>2.8010000000000002</v>
      </c>
      <c r="D539" s="142">
        <f>'BC.114+320'!AA538</f>
        <v>3.2290000000000001</v>
      </c>
      <c r="E539" s="143">
        <f>'BC.114+320'!AB538</f>
        <v>2.5920000000000001</v>
      </c>
      <c r="F539" s="142">
        <f>VLOOKUP($A539,'BC.114+320'!$B$13:$X$4876,8,0)/1000</f>
        <v>2.4500000000000002</v>
      </c>
      <c r="G539" s="142">
        <f>VLOOKUP($A539,'BC.114+320'!$B$13:$X$4876,9,0)/1000</f>
        <v>-0.55000000000000004</v>
      </c>
      <c r="H539" s="142">
        <f>VLOOKUP($A539,'BC.114+320'!$B$13:$X$4876,14,0)/1000</f>
        <v>2.431</v>
      </c>
      <c r="I539" s="142">
        <f>VLOOKUP($A539,'BC.114+320'!$B$13:$X$4876,15,0)/1000</f>
        <v>-0.56899999999999995</v>
      </c>
      <c r="J539" s="142">
        <f>VLOOKUP($A539,'BC.114+320'!$B$13:$X$4876,20,0)/1000</f>
        <v>2.556</v>
      </c>
      <c r="K539" s="142">
        <f>VLOOKUP($A539,'BC.114+320'!$B$13:$X$4876,21,0)/1000</f>
        <v>-0.44400000000000001</v>
      </c>
      <c r="L539" s="140">
        <f t="shared" si="32"/>
        <v>-370.00000000000006</v>
      </c>
      <c r="M539" s="141">
        <f t="shared" si="33"/>
        <v>-388.99999999999994</v>
      </c>
      <c r="N539" s="140">
        <f t="shared" si="34"/>
        <v>-324</v>
      </c>
      <c r="O539" s="140"/>
    </row>
    <row r="540" spans="1:15">
      <c r="A540" s="76">
        <f>'BC.114+320'!B539</f>
        <v>45569</v>
      </c>
      <c r="B540" s="140">
        <f t="shared" si="35"/>
        <v>526</v>
      </c>
      <c r="C540" s="142">
        <f>'BC.114+320'!M539/1000</f>
        <v>2.7919999999999998</v>
      </c>
      <c r="D540" s="142">
        <f>'BC.114+320'!AA539</f>
        <v>3.2290000000000001</v>
      </c>
      <c r="E540" s="143">
        <f>'BC.114+320'!AB539</f>
        <v>2.5739999999999998</v>
      </c>
      <c r="F540" s="142">
        <f>VLOOKUP($A540,'BC.114+320'!$B$13:$X$4876,8,0)/1000</f>
        <v>2.4409999999999998</v>
      </c>
      <c r="G540" s="142">
        <f>VLOOKUP($A540,'BC.114+320'!$B$13:$X$4876,9,0)/1000</f>
        <v>-0.55900000000000005</v>
      </c>
      <c r="H540" s="142">
        <f>VLOOKUP($A540,'BC.114+320'!$B$13:$X$4876,14,0)/1000</f>
        <v>2.4220000000000002</v>
      </c>
      <c r="I540" s="142">
        <f>VLOOKUP($A540,'BC.114+320'!$B$13:$X$4876,15,0)/1000</f>
        <v>-0.57799999999999996</v>
      </c>
      <c r="J540" s="142">
        <f>VLOOKUP($A540,'BC.114+320'!$B$13:$X$4876,20,0)/1000</f>
        <v>2.548</v>
      </c>
      <c r="K540" s="142">
        <f>VLOOKUP($A540,'BC.114+320'!$B$13:$X$4876,21,0)/1000</f>
        <v>-0.45200000000000001</v>
      </c>
      <c r="L540" s="140">
        <f t="shared" si="32"/>
        <v>-379.00000000000006</v>
      </c>
      <c r="M540" s="141">
        <f t="shared" si="33"/>
        <v>-397.99999999999994</v>
      </c>
      <c r="N540" s="140">
        <f t="shared" si="34"/>
        <v>-332</v>
      </c>
      <c r="O540" s="140"/>
    </row>
    <row r="541" spans="1:15">
      <c r="A541" s="76">
        <f>'BC.114+320'!B540</f>
        <v>45570</v>
      </c>
      <c r="B541" s="140">
        <f t="shared" si="35"/>
        <v>527</v>
      </c>
      <c r="C541" s="142">
        <f>'BC.114+320'!M540/1000</f>
        <v>2.7850000000000001</v>
      </c>
      <c r="D541" s="142">
        <f>'BC.114+320'!AA540</f>
        <v>3.2290000000000001</v>
      </c>
      <c r="E541" s="143">
        <f>'BC.114+320'!AB540</f>
        <v>2.56</v>
      </c>
      <c r="F541" s="142">
        <f>VLOOKUP($A541,'BC.114+320'!$B$13:$X$4876,8,0)/1000</f>
        <v>2.4319999999999999</v>
      </c>
      <c r="G541" s="142">
        <f>VLOOKUP($A541,'BC.114+320'!$B$13:$X$4876,9,0)/1000</f>
        <v>-0.56799999999999995</v>
      </c>
      <c r="H541" s="142">
        <f>VLOOKUP($A541,'BC.114+320'!$B$13:$X$4876,14,0)/1000</f>
        <v>2.415</v>
      </c>
      <c r="I541" s="142">
        <f>VLOOKUP($A541,'BC.114+320'!$B$13:$X$4876,15,0)/1000</f>
        <v>-0.58499999999999996</v>
      </c>
      <c r="J541" s="142">
        <f>VLOOKUP($A541,'BC.114+320'!$B$13:$X$4876,20,0)/1000</f>
        <v>2.5409999999999999</v>
      </c>
      <c r="K541" s="142">
        <f>VLOOKUP($A541,'BC.114+320'!$B$13:$X$4876,21,0)/1000</f>
        <v>-0.45900000000000002</v>
      </c>
      <c r="L541" s="140">
        <f t="shared" si="32"/>
        <v>-387.99999999999994</v>
      </c>
      <c r="M541" s="141">
        <f t="shared" si="33"/>
        <v>-404.99999999999994</v>
      </c>
      <c r="N541" s="140">
        <f t="shared" si="34"/>
        <v>-339</v>
      </c>
      <c r="O541" s="140"/>
    </row>
    <row r="542" spans="1:15">
      <c r="A542" s="76">
        <f>'BC.114+320'!B541</f>
        <v>45571</v>
      </c>
      <c r="B542" s="140">
        <f t="shared" si="35"/>
        <v>528</v>
      </c>
      <c r="C542" s="142">
        <f>'BC.114+320'!M541/1000</f>
        <v>3.0750000000000002</v>
      </c>
      <c r="D542" s="142">
        <f>'BC.114+320'!AA541</f>
        <v>3.5190000000000001</v>
      </c>
      <c r="E542" s="143">
        <f>'BC.114+320'!AB541</f>
        <v>2.84</v>
      </c>
      <c r="F542" s="142">
        <f>VLOOKUP($A542,'BC.114+320'!$B$13:$X$4876,8,0)/1000</f>
        <v>2.4220000000000002</v>
      </c>
      <c r="G542" s="142">
        <f>VLOOKUP($A542,'BC.114+320'!$B$13:$X$4876,9,0)/1000</f>
        <v>-0.57799999999999996</v>
      </c>
      <c r="H542" s="142">
        <f>VLOOKUP($A542,'BC.114+320'!$B$13:$X$4876,14,0)/1000</f>
        <v>2.4049999999999998</v>
      </c>
      <c r="I542" s="142">
        <f>VLOOKUP($A542,'BC.114+320'!$B$13:$X$4876,15,0)/1000</f>
        <v>-0.59499999999999997</v>
      </c>
      <c r="J542" s="142">
        <f>VLOOKUP($A542,'BC.114+320'!$B$13:$X$4876,20,0)/1000</f>
        <v>2.5310000000000001</v>
      </c>
      <c r="K542" s="142">
        <f>VLOOKUP($A542,'BC.114+320'!$B$13:$X$4876,21,0)/1000</f>
        <v>-0.46899999999999997</v>
      </c>
      <c r="L542" s="140">
        <f t="shared" si="32"/>
        <v>-397.99999999999994</v>
      </c>
      <c r="M542" s="141">
        <f t="shared" si="33"/>
        <v>-415</v>
      </c>
      <c r="N542" s="140">
        <f t="shared" si="34"/>
        <v>-349</v>
      </c>
      <c r="O542" s="140"/>
    </row>
    <row r="543" spans="1:15">
      <c r="A543" s="76">
        <f>'BC.114+320'!B542</f>
        <v>45572</v>
      </c>
      <c r="B543" s="140">
        <f t="shared" si="35"/>
        <v>529</v>
      </c>
      <c r="C543" s="142">
        <f>'BC.114+320'!M542/1000</f>
        <v>3.0649999999999999</v>
      </c>
      <c r="D543" s="142">
        <f>'BC.114+320'!AA542</f>
        <v>3.5190000000000001</v>
      </c>
      <c r="E543" s="143">
        <f>'BC.114+320'!AB542</f>
        <v>2.82</v>
      </c>
      <c r="F543" s="142">
        <f>VLOOKUP($A543,'BC.114+320'!$B$13:$X$4876,8,0)/1000</f>
        <v>2.4119999999999999</v>
      </c>
      <c r="G543" s="142">
        <f>VLOOKUP($A543,'BC.114+320'!$B$13:$X$4876,9,0)/1000</f>
        <v>-0.58799999999999997</v>
      </c>
      <c r="H543" s="142">
        <f>VLOOKUP($A543,'BC.114+320'!$B$13:$X$4876,14,0)/1000</f>
        <v>2.395</v>
      </c>
      <c r="I543" s="142">
        <f>VLOOKUP($A543,'BC.114+320'!$B$13:$X$4876,15,0)/1000</f>
        <v>-0.60499999999999998</v>
      </c>
      <c r="J543" s="142">
        <f>VLOOKUP($A543,'BC.114+320'!$B$13:$X$4876,20,0)/1000</f>
        <v>2.5219999999999998</v>
      </c>
      <c r="K543" s="142">
        <f>VLOOKUP($A543,'BC.114+320'!$B$13:$X$4876,21,0)/1000</f>
        <v>-0.47799999999999998</v>
      </c>
      <c r="L543" s="140">
        <f t="shared" si="32"/>
        <v>-408</v>
      </c>
      <c r="M543" s="141">
        <f t="shared" si="33"/>
        <v>-425</v>
      </c>
      <c r="N543" s="140">
        <f t="shared" si="34"/>
        <v>-358</v>
      </c>
      <c r="O543" s="140"/>
    </row>
    <row r="544" spans="1:15">
      <c r="A544" s="76">
        <f>'BC.114+320'!B543</f>
        <v>45573</v>
      </c>
      <c r="B544" s="140">
        <f t="shared" si="35"/>
        <v>530</v>
      </c>
      <c r="C544" s="142">
        <f>'BC.114+320'!M543/1000</f>
        <v>3.0550000000000002</v>
      </c>
      <c r="D544" s="142">
        <f>'BC.114+320'!AA543</f>
        <v>3.5190000000000001</v>
      </c>
      <c r="E544" s="143">
        <f>'BC.114+320'!AB543</f>
        <v>2.8</v>
      </c>
      <c r="F544" s="142">
        <f>VLOOKUP($A544,'BC.114+320'!$B$13:$X$4876,8,0)/1000</f>
        <v>2.403</v>
      </c>
      <c r="G544" s="142">
        <f>VLOOKUP($A544,'BC.114+320'!$B$13:$X$4876,9,0)/1000</f>
        <v>-0.59699999999999998</v>
      </c>
      <c r="H544" s="142">
        <f>VLOOKUP($A544,'BC.114+320'!$B$13:$X$4876,14,0)/1000</f>
        <v>2.3849999999999998</v>
      </c>
      <c r="I544" s="142">
        <f>VLOOKUP($A544,'BC.114+320'!$B$13:$X$4876,15,0)/1000</f>
        <v>-0.61499999999999999</v>
      </c>
      <c r="J544" s="142">
        <f>VLOOKUP($A544,'BC.114+320'!$B$13:$X$4876,20,0)/1000</f>
        <v>2.5139999999999998</v>
      </c>
      <c r="K544" s="142">
        <f>VLOOKUP($A544,'BC.114+320'!$B$13:$X$4876,21,0)/1000</f>
        <v>-0.48599999999999999</v>
      </c>
      <c r="L544" s="140">
        <f t="shared" si="32"/>
        <v>-417</v>
      </c>
      <c r="M544" s="141">
        <f t="shared" si="33"/>
        <v>-435</v>
      </c>
      <c r="N544" s="140">
        <f t="shared" si="34"/>
        <v>-366</v>
      </c>
      <c r="O544" s="140"/>
    </row>
    <row r="545" spans="1:15">
      <c r="A545" s="76">
        <f>'BC.114+320'!B544</f>
        <v>45574</v>
      </c>
      <c r="B545" s="140">
        <f t="shared" si="35"/>
        <v>531</v>
      </c>
      <c r="C545" s="142">
        <f>'BC.114+320'!M544/1000</f>
        <v>3.0459999999999998</v>
      </c>
      <c r="D545" s="142">
        <f>'BC.114+320'!AA544</f>
        <v>3.5190000000000001</v>
      </c>
      <c r="E545" s="143">
        <f>'BC.114+320'!AB544</f>
        <v>2.782</v>
      </c>
      <c r="F545" s="142">
        <f>VLOOKUP($A545,'BC.114+320'!$B$13:$X$4876,8,0)/1000</f>
        <v>2.395</v>
      </c>
      <c r="G545" s="142">
        <f>VLOOKUP($A545,'BC.114+320'!$B$13:$X$4876,9,0)/1000</f>
        <v>-0.60499999999999998</v>
      </c>
      <c r="H545" s="142">
        <f>VLOOKUP($A545,'BC.114+320'!$B$13:$X$4876,14,0)/1000</f>
        <v>2.3759999999999999</v>
      </c>
      <c r="I545" s="142">
        <f>VLOOKUP($A545,'BC.114+320'!$B$13:$X$4876,15,0)/1000</f>
        <v>-0.624</v>
      </c>
      <c r="J545" s="142">
        <f>VLOOKUP($A545,'BC.114+320'!$B$13:$X$4876,20,0)/1000</f>
        <v>2.5070000000000001</v>
      </c>
      <c r="K545" s="142">
        <f>VLOOKUP($A545,'BC.114+320'!$B$13:$X$4876,21,0)/1000</f>
        <v>-0.49299999999999999</v>
      </c>
      <c r="L545" s="140">
        <f t="shared" si="32"/>
        <v>-425</v>
      </c>
      <c r="M545" s="141">
        <f t="shared" si="33"/>
        <v>-444</v>
      </c>
      <c r="N545" s="140">
        <f t="shared" si="34"/>
        <v>-373</v>
      </c>
      <c r="O545" s="140"/>
    </row>
    <row r="546" spans="1:15">
      <c r="A546" s="76">
        <f>'BC.114+320'!B545</f>
        <v>45575</v>
      </c>
      <c r="B546" s="140">
        <f t="shared" si="35"/>
        <v>532</v>
      </c>
      <c r="C546" s="142">
        <f>'BC.114+320'!M545/1000</f>
        <v>3.3380000000000001</v>
      </c>
      <c r="D546" s="142">
        <f>'BC.114+320'!AA545</f>
        <v>3.8090000000000002</v>
      </c>
      <c r="E546" s="143">
        <f>'BC.114+320'!AB545</f>
        <v>3.0659999999999998</v>
      </c>
      <c r="F546" s="142">
        <f>VLOOKUP($A546,'BC.114+320'!$B$13:$X$4876,8,0)/1000</f>
        <v>2.3860000000000001</v>
      </c>
      <c r="G546" s="142">
        <f>VLOOKUP($A546,'BC.114+320'!$B$13:$X$4876,9,0)/1000</f>
        <v>-0.61399999999999999</v>
      </c>
      <c r="H546" s="142">
        <f>VLOOKUP($A546,'BC.114+320'!$B$13:$X$4876,14,0)/1000</f>
        <v>2.3679999999999999</v>
      </c>
      <c r="I546" s="142">
        <f>VLOOKUP($A546,'BC.114+320'!$B$13:$X$4876,15,0)/1000</f>
        <v>-0.63200000000000001</v>
      </c>
      <c r="J546" s="142">
        <f>VLOOKUP($A546,'BC.114+320'!$B$13:$X$4876,20,0)/1000</f>
        <v>2.4969999999999999</v>
      </c>
      <c r="K546" s="142">
        <f>VLOOKUP($A546,'BC.114+320'!$B$13:$X$4876,21,0)/1000</f>
        <v>-0.503</v>
      </c>
      <c r="L546" s="140">
        <f t="shared" si="32"/>
        <v>-434</v>
      </c>
      <c r="M546" s="141">
        <f t="shared" si="33"/>
        <v>-452</v>
      </c>
      <c r="N546" s="140">
        <f t="shared" si="34"/>
        <v>-383</v>
      </c>
      <c r="O546" s="140"/>
    </row>
    <row r="547" spans="1:15">
      <c r="A547" s="76">
        <f>'BC.114+320'!B546</f>
        <v>45576</v>
      </c>
      <c r="B547" s="140">
        <f t="shared" si="35"/>
        <v>533</v>
      </c>
      <c r="C547" s="142">
        <f>'BC.114+320'!M546/1000</f>
        <v>3.3290000000000002</v>
      </c>
      <c r="D547" s="142">
        <f>'BC.114+320'!AA546</f>
        <v>3.8090000000000002</v>
      </c>
      <c r="E547" s="143">
        <f>'BC.114+320'!AB546</f>
        <v>3.048</v>
      </c>
      <c r="F547" s="142">
        <f>VLOOKUP($A547,'BC.114+320'!$B$13:$X$4876,8,0)/1000</f>
        <v>2.3780000000000001</v>
      </c>
      <c r="G547" s="142">
        <f>VLOOKUP($A547,'BC.114+320'!$B$13:$X$4876,9,0)/1000</f>
        <v>-0.622</v>
      </c>
      <c r="H547" s="142">
        <f>VLOOKUP($A547,'BC.114+320'!$B$13:$X$4876,14,0)/1000</f>
        <v>2.359</v>
      </c>
      <c r="I547" s="142">
        <f>VLOOKUP($A547,'BC.114+320'!$B$13:$X$4876,15,0)/1000</f>
        <v>-0.64100000000000001</v>
      </c>
      <c r="J547" s="142">
        <f>VLOOKUP($A547,'BC.114+320'!$B$13:$X$4876,20,0)/1000</f>
        <v>2.4900000000000002</v>
      </c>
      <c r="K547" s="142">
        <f>VLOOKUP($A547,'BC.114+320'!$B$13:$X$4876,21,0)/1000</f>
        <v>-0.51</v>
      </c>
      <c r="L547" s="140">
        <f t="shared" si="32"/>
        <v>-442</v>
      </c>
      <c r="M547" s="141">
        <f t="shared" si="33"/>
        <v>-461</v>
      </c>
      <c r="N547" s="140">
        <f t="shared" si="34"/>
        <v>-390</v>
      </c>
      <c r="O547" s="140"/>
    </row>
    <row r="548" spans="1:15">
      <c r="A548" s="76">
        <f>'BC.114+320'!B547</f>
        <v>45577</v>
      </c>
      <c r="B548" s="140">
        <f t="shared" si="35"/>
        <v>534</v>
      </c>
      <c r="C548" s="142">
        <f>'BC.114+320'!M547/1000</f>
        <v>3.3210000000000002</v>
      </c>
      <c r="D548" s="142">
        <f>'BC.114+320'!AA547</f>
        <v>3.8090000000000002</v>
      </c>
      <c r="E548" s="143">
        <f>'BC.114+320'!AB547</f>
        <v>3.032</v>
      </c>
      <c r="F548" s="142">
        <f>VLOOKUP($A548,'BC.114+320'!$B$13:$X$4876,8,0)/1000</f>
        <v>2.371</v>
      </c>
      <c r="G548" s="142">
        <f>VLOOKUP($A548,'BC.114+320'!$B$13:$X$4876,9,0)/1000</f>
        <v>-0.629</v>
      </c>
      <c r="H548" s="142">
        <f>VLOOKUP($A548,'BC.114+320'!$B$13:$X$4876,14,0)/1000</f>
        <v>2.351</v>
      </c>
      <c r="I548" s="142">
        <f>VLOOKUP($A548,'BC.114+320'!$B$13:$X$4876,15,0)/1000</f>
        <v>-0.64900000000000002</v>
      </c>
      <c r="J548" s="142">
        <f>VLOOKUP($A548,'BC.114+320'!$B$13:$X$4876,20,0)/1000</f>
        <v>2.4830000000000001</v>
      </c>
      <c r="K548" s="142">
        <f>VLOOKUP($A548,'BC.114+320'!$B$13:$X$4876,21,0)/1000</f>
        <v>-0.51700000000000002</v>
      </c>
      <c r="L548" s="140">
        <f t="shared" si="32"/>
        <v>-449</v>
      </c>
      <c r="M548" s="141">
        <f t="shared" si="33"/>
        <v>-469</v>
      </c>
      <c r="N548" s="140">
        <f t="shared" si="34"/>
        <v>-397</v>
      </c>
      <c r="O548" s="140"/>
    </row>
    <row r="549" spans="1:15">
      <c r="A549" s="76">
        <f>'BC.114+320'!B548</f>
        <v>45578</v>
      </c>
      <c r="B549" s="140">
        <f t="shared" si="35"/>
        <v>535</v>
      </c>
      <c r="C549" s="142">
        <f>'BC.114+320'!M548/1000</f>
        <v>3.3119999999999998</v>
      </c>
      <c r="D549" s="142">
        <f>'BC.114+320'!AA548</f>
        <v>3.8090000000000002</v>
      </c>
      <c r="E549" s="143">
        <f>'BC.114+320'!AB548</f>
        <v>3.0139999999999998</v>
      </c>
      <c r="F549" s="142">
        <f>VLOOKUP($A549,'BC.114+320'!$B$13:$X$4876,8,0)/1000</f>
        <v>2.3620000000000001</v>
      </c>
      <c r="G549" s="142">
        <f>VLOOKUP($A549,'BC.114+320'!$B$13:$X$4876,9,0)/1000</f>
        <v>-0.63800000000000001</v>
      </c>
      <c r="H549" s="142">
        <f>VLOOKUP($A549,'BC.114+320'!$B$13:$X$4876,14,0)/1000</f>
        <v>2.3420000000000001</v>
      </c>
      <c r="I549" s="142">
        <f>VLOOKUP($A549,'BC.114+320'!$B$13:$X$4876,15,0)/1000</f>
        <v>-0.65800000000000003</v>
      </c>
      <c r="J549" s="142">
        <f>VLOOKUP($A549,'BC.114+320'!$B$13:$X$4876,20,0)/1000</f>
        <v>2.4750000000000001</v>
      </c>
      <c r="K549" s="142">
        <f>VLOOKUP($A549,'BC.114+320'!$B$13:$X$4876,21,0)/1000</f>
        <v>-0.52500000000000002</v>
      </c>
      <c r="L549" s="140">
        <f t="shared" si="32"/>
        <v>-458</v>
      </c>
      <c r="M549" s="141">
        <f t="shared" si="33"/>
        <v>-478.00000000000006</v>
      </c>
      <c r="N549" s="140">
        <f t="shared" si="34"/>
        <v>-405</v>
      </c>
      <c r="O549" s="140"/>
    </row>
    <row r="550" spans="1:15">
      <c r="A550" s="76">
        <f>'BC.114+320'!B549</f>
        <v>45579</v>
      </c>
      <c r="B550" s="140">
        <f t="shared" si="35"/>
        <v>536</v>
      </c>
      <c r="C550" s="142">
        <f>'BC.114+320'!M549/1000</f>
        <v>3.3039999999999998</v>
      </c>
      <c r="D550" s="142">
        <f>'BC.114+320'!AA549</f>
        <v>3.8090000000000002</v>
      </c>
      <c r="E550" s="143">
        <f>'BC.114+320'!AB549</f>
        <v>2.9980000000000002</v>
      </c>
      <c r="F550" s="142">
        <f>VLOOKUP($A550,'BC.114+320'!$B$13:$X$4876,8,0)/1000</f>
        <v>2.3540000000000001</v>
      </c>
      <c r="G550" s="142">
        <f>VLOOKUP($A550,'BC.114+320'!$B$13:$X$4876,9,0)/1000</f>
        <v>-0.64600000000000002</v>
      </c>
      <c r="H550" s="142">
        <f>VLOOKUP($A550,'BC.114+320'!$B$13:$X$4876,14,0)/1000</f>
        <v>2.3340000000000001</v>
      </c>
      <c r="I550" s="142">
        <f>VLOOKUP($A550,'BC.114+320'!$B$13:$X$4876,15,0)/1000</f>
        <v>-0.66600000000000004</v>
      </c>
      <c r="J550" s="142">
        <f>VLOOKUP($A550,'BC.114+320'!$B$13:$X$4876,20,0)/1000</f>
        <v>2.468</v>
      </c>
      <c r="K550" s="142">
        <f>VLOOKUP($A550,'BC.114+320'!$B$13:$X$4876,21,0)/1000</f>
        <v>-0.53200000000000003</v>
      </c>
      <c r="L550" s="140">
        <f t="shared" si="32"/>
        <v>-466</v>
      </c>
      <c r="M550" s="141">
        <f t="shared" si="33"/>
        <v>-486.00000000000006</v>
      </c>
      <c r="N550" s="140">
        <f t="shared" si="34"/>
        <v>-412.00000000000006</v>
      </c>
      <c r="O550" s="140"/>
    </row>
    <row r="551" spans="1:15">
      <c r="A551" s="76">
        <f>'BC.114+320'!B550</f>
        <v>45580</v>
      </c>
      <c r="B551" s="140">
        <f t="shared" si="35"/>
        <v>537</v>
      </c>
      <c r="C551" s="142">
        <f>'BC.114+320'!M550/1000</f>
        <v>3.5950000000000002</v>
      </c>
      <c r="D551" s="142">
        <f>'BC.114+320'!AA550</f>
        <v>4.0990000000000002</v>
      </c>
      <c r="E551" s="143">
        <f>'BC.114+320'!AB550</f>
        <v>3.28</v>
      </c>
      <c r="F551" s="142">
        <f>VLOOKUP($A551,'BC.114+320'!$B$13:$X$4876,8,0)/1000</f>
        <v>2.3460000000000001</v>
      </c>
      <c r="G551" s="142">
        <f>VLOOKUP($A551,'BC.114+320'!$B$13:$X$4876,9,0)/1000</f>
        <v>-0.65400000000000003</v>
      </c>
      <c r="H551" s="142">
        <f>VLOOKUP($A551,'BC.114+320'!$B$13:$X$4876,14,0)/1000</f>
        <v>2.3250000000000002</v>
      </c>
      <c r="I551" s="142">
        <f>VLOOKUP($A551,'BC.114+320'!$B$13:$X$4876,15,0)/1000</f>
        <v>-0.67500000000000004</v>
      </c>
      <c r="J551" s="142">
        <f>VLOOKUP($A551,'BC.114+320'!$B$13:$X$4876,20,0)/1000</f>
        <v>2.4580000000000002</v>
      </c>
      <c r="K551" s="142">
        <f>VLOOKUP($A551,'BC.114+320'!$B$13:$X$4876,21,0)/1000</f>
        <v>-0.54200000000000004</v>
      </c>
      <c r="L551" s="140">
        <f t="shared" si="32"/>
        <v>-474.00000000000006</v>
      </c>
      <c r="M551" s="141">
        <f t="shared" si="33"/>
        <v>-495.00000000000006</v>
      </c>
      <c r="N551" s="140">
        <f t="shared" si="34"/>
        <v>-422.00000000000006</v>
      </c>
      <c r="O551" s="140"/>
    </row>
    <row r="552" spans="1:15">
      <c r="A552" s="76">
        <f>'BC.114+320'!B551</f>
        <v>45581</v>
      </c>
      <c r="B552" s="140">
        <f t="shared" si="35"/>
        <v>538</v>
      </c>
      <c r="C552" s="142">
        <f>'BC.114+320'!M551/1000</f>
        <v>3.5870000000000002</v>
      </c>
      <c r="D552" s="142">
        <f>'BC.114+320'!AA551</f>
        <v>4.0990000000000002</v>
      </c>
      <c r="E552" s="143">
        <f>'BC.114+320'!AB551</f>
        <v>3.2639999999999998</v>
      </c>
      <c r="F552" s="142">
        <f>VLOOKUP($A552,'BC.114+320'!$B$13:$X$4876,8,0)/1000</f>
        <v>2.339</v>
      </c>
      <c r="G552" s="142">
        <f>VLOOKUP($A552,'BC.114+320'!$B$13:$X$4876,9,0)/1000</f>
        <v>-0.66100000000000003</v>
      </c>
      <c r="H552" s="142">
        <f>VLOOKUP($A552,'BC.114+320'!$B$13:$X$4876,14,0)/1000</f>
        <v>2.3170000000000002</v>
      </c>
      <c r="I552" s="142">
        <f>VLOOKUP($A552,'BC.114+320'!$B$13:$X$4876,15,0)/1000</f>
        <v>-0.68300000000000005</v>
      </c>
      <c r="J552" s="142">
        <f>VLOOKUP($A552,'BC.114+320'!$B$13:$X$4876,20,0)/1000</f>
        <v>2.4489999999999998</v>
      </c>
      <c r="K552" s="142">
        <f>VLOOKUP($A552,'BC.114+320'!$B$13:$X$4876,21,0)/1000</f>
        <v>-0.55100000000000005</v>
      </c>
      <c r="L552" s="140">
        <f t="shared" si="32"/>
        <v>-481.00000000000006</v>
      </c>
      <c r="M552" s="141">
        <f t="shared" si="33"/>
        <v>-503.00000000000011</v>
      </c>
      <c r="N552" s="140">
        <f t="shared" si="34"/>
        <v>-431.00000000000006</v>
      </c>
      <c r="O552" s="140"/>
    </row>
    <row r="553" spans="1:15">
      <c r="A553" s="76">
        <f>'BC.114+320'!B552</f>
        <v>45582</v>
      </c>
      <c r="B553" s="140">
        <f t="shared" si="35"/>
        <v>539</v>
      </c>
      <c r="C553" s="142">
        <f>'BC.114+320'!M552/1000</f>
        <v>3.5779999999999998</v>
      </c>
      <c r="D553" s="142">
        <f>'BC.114+320'!AA552</f>
        <v>4.0990000000000002</v>
      </c>
      <c r="E553" s="143">
        <f>'BC.114+320'!AB552</f>
        <v>3.246</v>
      </c>
      <c r="F553" s="142">
        <f>VLOOKUP($A553,'BC.114+320'!$B$13:$X$4876,8,0)/1000</f>
        <v>2.33</v>
      </c>
      <c r="G553" s="142">
        <f>VLOOKUP($A553,'BC.114+320'!$B$13:$X$4876,9,0)/1000</f>
        <v>-0.67</v>
      </c>
      <c r="H553" s="142">
        <f>VLOOKUP($A553,'BC.114+320'!$B$13:$X$4876,14,0)/1000</f>
        <v>2.3079999999999998</v>
      </c>
      <c r="I553" s="142">
        <f>VLOOKUP($A553,'BC.114+320'!$B$13:$X$4876,15,0)/1000</f>
        <v>-0.69199999999999995</v>
      </c>
      <c r="J553" s="142">
        <f>VLOOKUP($A553,'BC.114+320'!$B$13:$X$4876,20,0)/1000</f>
        <v>2.4409999999999998</v>
      </c>
      <c r="K553" s="142">
        <f>VLOOKUP($A553,'BC.114+320'!$B$13:$X$4876,21,0)/1000</f>
        <v>-0.55900000000000005</v>
      </c>
      <c r="L553" s="140">
        <f t="shared" si="32"/>
        <v>-490.00000000000006</v>
      </c>
      <c r="M553" s="141">
        <f t="shared" si="33"/>
        <v>-512</v>
      </c>
      <c r="N553" s="140">
        <f t="shared" si="34"/>
        <v>-439.00000000000006</v>
      </c>
      <c r="O553" s="140"/>
    </row>
    <row r="554" spans="1:15">
      <c r="A554" s="76">
        <f>'BC.114+320'!B553</f>
        <v>45583</v>
      </c>
      <c r="B554" s="140">
        <f t="shared" si="35"/>
        <v>540</v>
      </c>
      <c r="C554" s="142">
        <f>'BC.114+320'!M553/1000</f>
        <v>3.57</v>
      </c>
      <c r="D554" s="142">
        <f>'BC.114+320'!AA553</f>
        <v>4.0990000000000002</v>
      </c>
      <c r="E554" s="143">
        <f>'BC.114+320'!AB553</f>
        <v>3.23</v>
      </c>
      <c r="F554" s="142">
        <f>VLOOKUP($A554,'BC.114+320'!$B$13:$X$4876,8,0)/1000</f>
        <v>2.3220000000000001</v>
      </c>
      <c r="G554" s="142">
        <f>VLOOKUP($A554,'BC.114+320'!$B$13:$X$4876,9,0)/1000</f>
        <v>-0.67800000000000005</v>
      </c>
      <c r="H554" s="142">
        <f>VLOOKUP($A554,'BC.114+320'!$B$13:$X$4876,14,0)/1000</f>
        <v>2.2999999999999998</v>
      </c>
      <c r="I554" s="142">
        <f>VLOOKUP($A554,'BC.114+320'!$B$13:$X$4876,15,0)/1000</f>
        <v>-0.7</v>
      </c>
      <c r="J554" s="142">
        <f>VLOOKUP($A554,'BC.114+320'!$B$13:$X$4876,20,0)/1000</f>
        <v>2.4340000000000002</v>
      </c>
      <c r="K554" s="142">
        <f>VLOOKUP($A554,'BC.114+320'!$B$13:$X$4876,21,0)/1000</f>
        <v>-0.56599999999999995</v>
      </c>
      <c r="L554" s="140">
        <f t="shared" si="32"/>
        <v>-498.00000000000006</v>
      </c>
      <c r="M554" s="141">
        <f t="shared" si="33"/>
        <v>-520</v>
      </c>
      <c r="N554" s="140">
        <f t="shared" si="34"/>
        <v>-445.99999999999994</v>
      </c>
      <c r="O554" s="140"/>
    </row>
    <row r="555" spans="1:15">
      <c r="A555" s="76">
        <f>'BC.114+320'!B554</f>
        <v>45584</v>
      </c>
      <c r="B555" s="140">
        <f t="shared" si="35"/>
        <v>541</v>
      </c>
      <c r="C555" s="142">
        <f>'BC.114+320'!M554/1000</f>
        <v>3.5630000000000002</v>
      </c>
      <c r="D555" s="142">
        <f>'BC.114+320'!AA554</f>
        <v>4.0990000000000002</v>
      </c>
      <c r="E555" s="143">
        <f>'BC.114+320'!AB554</f>
        <v>3.2160000000000002</v>
      </c>
      <c r="F555" s="142">
        <f>VLOOKUP($A555,'BC.114+320'!$B$13:$X$4876,8,0)/1000</f>
        <v>2.3149999999999999</v>
      </c>
      <c r="G555" s="142">
        <f>VLOOKUP($A555,'BC.114+320'!$B$13:$X$4876,9,0)/1000</f>
        <v>-0.68500000000000005</v>
      </c>
      <c r="H555" s="142">
        <f>VLOOKUP($A555,'BC.114+320'!$B$13:$X$4876,14,0)/1000</f>
        <v>2.2930000000000001</v>
      </c>
      <c r="I555" s="142">
        <f>VLOOKUP($A555,'BC.114+320'!$B$13:$X$4876,15,0)/1000</f>
        <v>-0.70699999999999996</v>
      </c>
      <c r="J555" s="142">
        <f>VLOOKUP($A555,'BC.114+320'!$B$13:$X$4876,20,0)/1000</f>
        <v>2.427</v>
      </c>
      <c r="K555" s="142">
        <f>VLOOKUP($A555,'BC.114+320'!$B$13:$X$4876,21,0)/1000</f>
        <v>-0.57299999999999995</v>
      </c>
      <c r="L555" s="140">
        <f t="shared" si="32"/>
        <v>-505.00000000000011</v>
      </c>
      <c r="M555" s="141">
        <f t="shared" si="33"/>
        <v>-526.99999999999989</v>
      </c>
      <c r="N555" s="140">
        <f t="shared" si="34"/>
        <v>-452.99999999999994</v>
      </c>
      <c r="O555" s="140"/>
    </row>
    <row r="556" spans="1:15">
      <c r="A556" s="76">
        <f>'BC.114+320'!B555</f>
        <v>45585</v>
      </c>
      <c r="B556" s="140">
        <f t="shared" si="35"/>
        <v>542</v>
      </c>
      <c r="C556" s="142">
        <f>'BC.114+320'!M555/1000</f>
        <v>3.5539999999999998</v>
      </c>
      <c r="D556" s="142">
        <f>'BC.114+320'!AA555</f>
        <v>4.0990000000000002</v>
      </c>
      <c r="E556" s="143">
        <f>'BC.114+320'!AB555</f>
        <v>3.198</v>
      </c>
      <c r="F556" s="142">
        <f>VLOOKUP($A556,'BC.114+320'!$B$13:$X$4876,8,0)/1000</f>
        <v>2.3069999999999999</v>
      </c>
      <c r="G556" s="142">
        <f>VLOOKUP($A556,'BC.114+320'!$B$13:$X$4876,9,0)/1000</f>
        <v>-0.69299999999999995</v>
      </c>
      <c r="H556" s="142">
        <f>VLOOKUP($A556,'BC.114+320'!$B$13:$X$4876,14,0)/1000</f>
        <v>2.2839999999999998</v>
      </c>
      <c r="I556" s="142">
        <f>VLOOKUP($A556,'BC.114+320'!$B$13:$X$4876,15,0)/1000</f>
        <v>-0.71599999999999997</v>
      </c>
      <c r="J556" s="142">
        <f>VLOOKUP($A556,'BC.114+320'!$B$13:$X$4876,20,0)/1000</f>
        <v>2.4180000000000001</v>
      </c>
      <c r="K556" s="142">
        <f>VLOOKUP($A556,'BC.114+320'!$B$13:$X$4876,21,0)/1000</f>
        <v>-0.58199999999999996</v>
      </c>
      <c r="L556" s="140">
        <f t="shared" si="32"/>
        <v>-512.99999999999989</v>
      </c>
      <c r="M556" s="141">
        <f t="shared" si="33"/>
        <v>-536</v>
      </c>
      <c r="N556" s="140">
        <f t="shared" si="34"/>
        <v>-461.99999999999994</v>
      </c>
      <c r="O556" s="140"/>
    </row>
    <row r="557" spans="1:15">
      <c r="A557" s="76">
        <f>'BC.114+320'!B556</f>
        <v>45586</v>
      </c>
      <c r="B557" s="140">
        <f t="shared" si="35"/>
        <v>543</v>
      </c>
      <c r="C557" s="142">
        <f>'BC.114+320'!M556/1000</f>
        <v>3.5459999999999998</v>
      </c>
      <c r="D557" s="142">
        <f>'BC.114+320'!AA556</f>
        <v>4.0990000000000002</v>
      </c>
      <c r="E557" s="143">
        <f>'BC.114+320'!AB556</f>
        <v>3.1819999999999999</v>
      </c>
      <c r="F557" s="142">
        <f>VLOOKUP($A557,'BC.114+320'!$B$13:$X$4876,8,0)/1000</f>
        <v>2.298</v>
      </c>
      <c r="G557" s="142">
        <f>VLOOKUP($A557,'BC.114+320'!$B$13:$X$4876,9,0)/1000</f>
        <v>-0.70199999999999996</v>
      </c>
      <c r="H557" s="142">
        <f>VLOOKUP($A557,'BC.114+320'!$B$13:$X$4876,14,0)/1000</f>
        <v>2.2759999999999998</v>
      </c>
      <c r="I557" s="142">
        <f>VLOOKUP($A557,'BC.114+320'!$B$13:$X$4876,15,0)/1000</f>
        <v>-0.72399999999999998</v>
      </c>
      <c r="J557" s="142">
        <f>VLOOKUP($A557,'BC.114+320'!$B$13:$X$4876,20,0)/1000</f>
        <v>2.41</v>
      </c>
      <c r="K557" s="142">
        <f>VLOOKUP($A557,'BC.114+320'!$B$13:$X$4876,21,0)/1000</f>
        <v>-0.59</v>
      </c>
      <c r="L557" s="140">
        <f t="shared" si="32"/>
        <v>-522</v>
      </c>
      <c r="M557" s="141">
        <f t="shared" si="33"/>
        <v>-544</v>
      </c>
      <c r="N557" s="140">
        <f t="shared" si="34"/>
        <v>-470</v>
      </c>
      <c r="O557" s="140"/>
    </row>
    <row r="558" spans="1:15">
      <c r="A558" s="76">
        <f>'BC.114+320'!B557</f>
        <v>45587</v>
      </c>
      <c r="B558" s="140">
        <f t="shared" si="35"/>
        <v>544</v>
      </c>
      <c r="C558" s="142">
        <f>'BC.114+320'!M557/1000</f>
        <v>3.5379999999999998</v>
      </c>
      <c r="D558" s="142">
        <f>'BC.114+320'!AA557</f>
        <v>4.0990000000000002</v>
      </c>
      <c r="E558" s="143">
        <f>'BC.114+320'!AB557</f>
        <v>3.1659999999999999</v>
      </c>
      <c r="F558" s="142">
        <f>VLOOKUP($A558,'BC.114+320'!$B$13:$X$4876,8,0)/1000</f>
        <v>2.29</v>
      </c>
      <c r="G558" s="142">
        <f>VLOOKUP($A558,'BC.114+320'!$B$13:$X$4876,9,0)/1000</f>
        <v>-0.71</v>
      </c>
      <c r="H558" s="142">
        <f>VLOOKUP($A558,'BC.114+320'!$B$13:$X$4876,14,0)/1000</f>
        <v>2.2679999999999998</v>
      </c>
      <c r="I558" s="142">
        <f>VLOOKUP($A558,'BC.114+320'!$B$13:$X$4876,15,0)/1000</f>
        <v>-0.73199999999999998</v>
      </c>
      <c r="J558" s="142">
        <f>VLOOKUP($A558,'BC.114+320'!$B$13:$X$4876,20,0)/1000</f>
        <v>2.403</v>
      </c>
      <c r="K558" s="142">
        <f>VLOOKUP($A558,'BC.114+320'!$B$13:$X$4876,21,0)/1000</f>
        <v>-0.59699999999999998</v>
      </c>
      <c r="L558" s="140">
        <f t="shared" si="32"/>
        <v>-530</v>
      </c>
      <c r="M558" s="141">
        <f t="shared" si="33"/>
        <v>-552</v>
      </c>
      <c r="N558" s="140">
        <f t="shared" si="34"/>
        <v>-477</v>
      </c>
      <c r="O558" s="140"/>
    </row>
    <row r="559" spans="1:15">
      <c r="A559" s="76">
        <f>'BC.114+320'!B558</f>
        <v>45588</v>
      </c>
      <c r="B559" s="140">
        <f t="shared" si="35"/>
        <v>545</v>
      </c>
      <c r="C559" s="142">
        <f>'BC.114+320'!M558/1000</f>
        <v>3.5289999999999999</v>
      </c>
      <c r="D559" s="142">
        <f>'BC.114+320'!AA558</f>
        <v>4.0990000000000002</v>
      </c>
      <c r="E559" s="143">
        <f>'BC.114+320'!AB558</f>
        <v>3.1480000000000001</v>
      </c>
      <c r="F559" s="142">
        <f>VLOOKUP($A559,'BC.114+320'!$B$13:$X$4876,8,0)/1000</f>
        <v>2.2810000000000001</v>
      </c>
      <c r="G559" s="142">
        <f>VLOOKUP($A559,'BC.114+320'!$B$13:$X$4876,9,0)/1000</f>
        <v>-0.71899999999999997</v>
      </c>
      <c r="H559" s="142">
        <f>VLOOKUP($A559,'BC.114+320'!$B$13:$X$4876,14,0)/1000</f>
        <v>2.2589999999999999</v>
      </c>
      <c r="I559" s="142">
        <f>VLOOKUP($A559,'BC.114+320'!$B$13:$X$4876,15,0)/1000</f>
        <v>-0.74099999999999999</v>
      </c>
      <c r="J559" s="142">
        <f>VLOOKUP($A559,'BC.114+320'!$B$13:$X$4876,20,0)/1000</f>
        <v>2.3940000000000001</v>
      </c>
      <c r="K559" s="142">
        <f>VLOOKUP($A559,'BC.114+320'!$B$13:$X$4876,21,0)/1000</f>
        <v>-0.60599999999999998</v>
      </c>
      <c r="L559" s="140">
        <f t="shared" si="32"/>
        <v>-538.99999999999989</v>
      </c>
      <c r="M559" s="141">
        <f t="shared" si="33"/>
        <v>-561</v>
      </c>
      <c r="N559" s="140">
        <f t="shared" si="34"/>
        <v>-486</v>
      </c>
      <c r="O559" s="140"/>
    </row>
    <row r="560" spans="1:15">
      <c r="A560" s="76">
        <f>'BC.114+320'!B559</f>
        <v>45589</v>
      </c>
      <c r="B560" s="140">
        <f t="shared" si="35"/>
        <v>546</v>
      </c>
      <c r="C560" s="142">
        <f>'BC.114+320'!M559/1000</f>
        <v>3.5209999999999999</v>
      </c>
      <c r="D560" s="142">
        <f>'BC.114+320'!AA559</f>
        <v>4.0990000000000002</v>
      </c>
      <c r="E560" s="143">
        <f>'BC.114+320'!AB559</f>
        <v>3.1320000000000001</v>
      </c>
      <c r="F560" s="142">
        <f>VLOOKUP($A560,'BC.114+320'!$B$13:$X$4876,8,0)/1000</f>
        <v>2.2730000000000001</v>
      </c>
      <c r="G560" s="142">
        <f>VLOOKUP($A560,'BC.114+320'!$B$13:$X$4876,9,0)/1000</f>
        <v>-0.72699999999999998</v>
      </c>
      <c r="H560" s="142">
        <f>VLOOKUP($A560,'BC.114+320'!$B$13:$X$4876,14,0)/1000</f>
        <v>2.2509999999999999</v>
      </c>
      <c r="I560" s="142">
        <f>VLOOKUP($A560,'BC.114+320'!$B$13:$X$4876,15,0)/1000</f>
        <v>-0.749</v>
      </c>
      <c r="J560" s="142">
        <f>VLOOKUP($A560,'BC.114+320'!$B$13:$X$4876,20,0)/1000</f>
        <v>2.3860000000000001</v>
      </c>
      <c r="K560" s="142">
        <f>VLOOKUP($A560,'BC.114+320'!$B$13:$X$4876,21,0)/1000</f>
        <v>-0.61399999999999999</v>
      </c>
      <c r="L560" s="140">
        <f t="shared" si="32"/>
        <v>-546.99999999999989</v>
      </c>
      <c r="M560" s="141">
        <f t="shared" si="33"/>
        <v>-569</v>
      </c>
      <c r="N560" s="140">
        <f t="shared" si="34"/>
        <v>-494</v>
      </c>
      <c r="O560" s="140"/>
    </row>
    <row r="561" spans="1:15">
      <c r="A561" s="76">
        <f>'BC.114+320'!B560</f>
        <v>45590</v>
      </c>
      <c r="B561" s="140">
        <f t="shared" si="35"/>
        <v>547</v>
      </c>
      <c r="C561" s="142">
        <f>'BC.114+320'!M560/1000</f>
        <v>3.512</v>
      </c>
      <c r="D561" s="142">
        <f>'BC.114+320'!AA560</f>
        <v>4.0990000000000002</v>
      </c>
      <c r="E561" s="143">
        <f>'BC.114+320'!AB560</f>
        <v>3.1139999999999999</v>
      </c>
      <c r="F561" s="142">
        <f>VLOOKUP($A561,'BC.114+320'!$B$13:$X$4876,8,0)/1000</f>
        <v>2.2639999999999998</v>
      </c>
      <c r="G561" s="142">
        <f>VLOOKUP($A561,'BC.114+320'!$B$13:$X$4876,9,0)/1000</f>
        <v>-0.73599999999999999</v>
      </c>
      <c r="H561" s="142">
        <f>VLOOKUP($A561,'BC.114+320'!$B$13:$X$4876,14,0)/1000</f>
        <v>2.242</v>
      </c>
      <c r="I561" s="142">
        <f>VLOOKUP($A561,'BC.114+320'!$B$13:$X$4876,15,0)/1000</f>
        <v>-0.75800000000000001</v>
      </c>
      <c r="J561" s="142">
        <f>VLOOKUP($A561,'BC.114+320'!$B$13:$X$4876,20,0)/1000</f>
        <v>2.379</v>
      </c>
      <c r="K561" s="142">
        <f>VLOOKUP($A561,'BC.114+320'!$B$13:$X$4876,21,0)/1000</f>
        <v>-0.621</v>
      </c>
      <c r="L561" s="140">
        <f t="shared" si="32"/>
        <v>-556</v>
      </c>
      <c r="M561" s="141">
        <f t="shared" si="33"/>
        <v>-578.00000000000011</v>
      </c>
      <c r="N561" s="140">
        <f t="shared" si="34"/>
        <v>-501</v>
      </c>
      <c r="O561" s="140"/>
    </row>
    <row r="562" spans="1:15">
      <c r="A562" s="76">
        <f>'BC.114+320'!B561</f>
        <v>45591</v>
      </c>
      <c r="B562" s="140">
        <f t="shared" si="35"/>
        <v>548</v>
      </c>
      <c r="C562" s="142">
        <f>'BC.114+320'!M561/1000</f>
        <v>3.504</v>
      </c>
      <c r="D562" s="142">
        <f>'BC.114+320'!AA561</f>
        <v>4.0990000000000002</v>
      </c>
      <c r="E562" s="143">
        <f>'BC.114+320'!AB561</f>
        <v>3.0979999999999999</v>
      </c>
      <c r="F562" s="142">
        <f>VLOOKUP($A562,'BC.114+320'!$B$13:$X$4876,8,0)/1000</f>
        <v>2.2559999999999998</v>
      </c>
      <c r="G562" s="142">
        <f>VLOOKUP($A562,'BC.114+320'!$B$13:$X$4876,9,0)/1000</f>
        <v>-0.74399999999999999</v>
      </c>
      <c r="H562" s="142">
        <f>VLOOKUP($A562,'BC.114+320'!$B$13:$X$4876,14,0)/1000</f>
        <v>2.234</v>
      </c>
      <c r="I562" s="142">
        <f>VLOOKUP($A562,'BC.114+320'!$B$13:$X$4876,15,0)/1000</f>
        <v>-0.76600000000000001</v>
      </c>
      <c r="J562" s="142">
        <f>VLOOKUP($A562,'BC.114+320'!$B$13:$X$4876,20,0)/1000</f>
        <v>2.3719999999999999</v>
      </c>
      <c r="K562" s="142">
        <f>VLOOKUP($A562,'BC.114+320'!$B$13:$X$4876,21,0)/1000</f>
        <v>-0.628</v>
      </c>
      <c r="L562" s="140">
        <f t="shared" si="32"/>
        <v>-564</v>
      </c>
      <c r="M562" s="141">
        <f t="shared" si="33"/>
        <v>-586.00000000000011</v>
      </c>
      <c r="N562" s="140">
        <f t="shared" si="34"/>
        <v>-508</v>
      </c>
      <c r="O562" s="140"/>
    </row>
    <row r="563" spans="1:15">
      <c r="A563" s="76">
        <f>'BC.114+320'!B562</f>
        <v>45592</v>
      </c>
      <c r="B563" s="140">
        <f t="shared" si="35"/>
        <v>549</v>
      </c>
      <c r="C563" s="142">
        <f>'BC.114+320'!M562/1000</f>
        <v>3.4969999999999999</v>
      </c>
      <c r="D563" s="142">
        <f>'BC.114+320'!AA562</f>
        <v>4.0990000000000002</v>
      </c>
      <c r="E563" s="143">
        <f>'BC.114+320'!AB562</f>
        <v>3.0840000000000001</v>
      </c>
      <c r="F563" s="142">
        <f>VLOOKUP($A563,'BC.114+320'!$B$13:$X$4876,8,0)/1000</f>
        <v>2.2490000000000001</v>
      </c>
      <c r="G563" s="142">
        <f>VLOOKUP($A563,'BC.114+320'!$B$13:$X$4876,9,0)/1000</f>
        <v>-0.751</v>
      </c>
      <c r="H563" s="142">
        <f>VLOOKUP($A563,'BC.114+320'!$B$13:$X$4876,14,0)/1000</f>
        <v>2.2269999999999999</v>
      </c>
      <c r="I563" s="142">
        <f>VLOOKUP($A563,'BC.114+320'!$B$13:$X$4876,15,0)/1000</f>
        <v>-0.77300000000000002</v>
      </c>
      <c r="J563" s="142">
        <f>VLOOKUP($A563,'BC.114+320'!$B$13:$X$4876,20,0)/1000</f>
        <v>2.3650000000000002</v>
      </c>
      <c r="K563" s="142">
        <f>VLOOKUP($A563,'BC.114+320'!$B$13:$X$4876,21,0)/1000</f>
        <v>-0.63500000000000001</v>
      </c>
      <c r="L563" s="140">
        <f t="shared" si="32"/>
        <v>-571</v>
      </c>
      <c r="M563" s="141">
        <f t="shared" si="33"/>
        <v>-593</v>
      </c>
      <c r="N563" s="140">
        <f t="shared" si="34"/>
        <v>-515</v>
      </c>
      <c r="O563" s="140"/>
    </row>
    <row r="564" spans="1:15">
      <c r="A564" s="76">
        <f>'BC.114+320'!B563</f>
        <v>45593</v>
      </c>
      <c r="B564" s="140">
        <f t="shared" si="35"/>
        <v>550</v>
      </c>
      <c r="C564" s="142">
        <f>'BC.114+320'!M563/1000</f>
        <v>3.488</v>
      </c>
      <c r="D564" s="142">
        <f>'BC.114+320'!AA563</f>
        <v>4.0990000000000002</v>
      </c>
      <c r="E564" s="143">
        <f>'BC.114+320'!AB563</f>
        <v>3.0659999999999998</v>
      </c>
      <c r="F564" s="142">
        <f>VLOOKUP($A564,'BC.114+320'!$B$13:$X$4876,8,0)/1000</f>
        <v>2.2440000000000002</v>
      </c>
      <c r="G564" s="142">
        <f>VLOOKUP($A564,'BC.114+320'!$B$13:$X$4876,9,0)/1000</f>
        <v>-0.75600000000000001</v>
      </c>
      <c r="H564" s="142">
        <f>VLOOKUP($A564,'BC.114+320'!$B$13:$X$4876,14,0)/1000</f>
        <v>2.218</v>
      </c>
      <c r="I564" s="142">
        <f>VLOOKUP($A564,'BC.114+320'!$B$13:$X$4876,15,0)/1000</f>
        <v>-0.78200000000000003</v>
      </c>
      <c r="J564" s="142">
        <f>VLOOKUP($A564,'BC.114+320'!$B$13:$X$4876,20,0)/1000</f>
        <v>2.3559999999999999</v>
      </c>
      <c r="K564" s="142">
        <f>VLOOKUP($A564,'BC.114+320'!$B$13:$X$4876,21,0)/1000</f>
        <v>-0.64400000000000002</v>
      </c>
      <c r="L564" s="140">
        <f t="shared" si="32"/>
        <v>-576.00000000000011</v>
      </c>
      <c r="M564" s="141">
        <f t="shared" si="33"/>
        <v>-602.00000000000011</v>
      </c>
      <c r="N564" s="140">
        <f t="shared" si="34"/>
        <v>-524</v>
      </c>
      <c r="O564" s="140"/>
    </row>
    <row r="565" spans="1:15">
      <c r="A565" s="76">
        <f>'BC.114+320'!B564</f>
        <v>45594</v>
      </c>
      <c r="B565" s="140">
        <f t="shared" si="35"/>
        <v>551</v>
      </c>
      <c r="C565" s="142">
        <f>'BC.114+320'!M564/1000</f>
        <v>3.48</v>
      </c>
      <c r="D565" s="142">
        <f>'BC.114+320'!AA564</f>
        <v>4.0990000000000002</v>
      </c>
      <c r="E565" s="143">
        <f>'BC.114+320'!AB564</f>
        <v>3.05</v>
      </c>
      <c r="F565" s="142">
        <f>VLOOKUP($A565,'BC.114+320'!$B$13:$X$4876,8,0)/1000</f>
        <v>2.2389999999999999</v>
      </c>
      <c r="G565" s="142">
        <f>VLOOKUP($A565,'BC.114+320'!$B$13:$X$4876,9,0)/1000</f>
        <v>-0.76100000000000001</v>
      </c>
      <c r="H565" s="142">
        <f>VLOOKUP($A565,'BC.114+320'!$B$13:$X$4876,14,0)/1000</f>
        <v>2.21</v>
      </c>
      <c r="I565" s="142">
        <f>VLOOKUP($A565,'BC.114+320'!$B$13:$X$4876,15,0)/1000</f>
        <v>-0.79</v>
      </c>
      <c r="J565" s="142">
        <f>VLOOKUP($A565,'BC.114+320'!$B$13:$X$4876,20,0)/1000</f>
        <v>2.3479999999999999</v>
      </c>
      <c r="K565" s="142">
        <f>VLOOKUP($A565,'BC.114+320'!$B$13:$X$4876,21,0)/1000</f>
        <v>-0.65200000000000002</v>
      </c>
      <c r="L565" s="140">
        <f t="shared" si="32"/>
        <v>-581</v>
      </c>
      <c r="M565" s="141">
        <f t="shared" si="33"/>
        <v>-610.00000000000011</v>
      </c>
      <c r="N565" s="140">
        <f t="shared" si="34"/>
        <v>-532</v>
      </c>
      <c r="O565" s="140"/>
    </row>
    <row r="566" spans="1:15">
      <c r="A566" s="76">
        <f>'BC.114+320'!B565</f>
        <v>45595</v>
      </c>
      <c r="B566" s="140">
        <f t="shared" si="35"/>
        <v>552</v>
      </c>
      <c r="C566" s="142">
        <f>'BC.114+320'!M565/1000</f>
        <v>3.4729999999999999</v>
      </c>
      <c r="D566" s="142">
        <f>'BC.114+320'!AA565</f>
        <v>4.0990000000000002</v>
      </c>
      <c r="E566" s="143">
        <f>'BC.114+320'!AB565</f>
        <v>3.036</v>
      </c>
      <c r="F566" s="142">
        <f>VLOOKUP($A566,'BC.114+320'!$B$13:$X$4876,8,0)/1000</f>
        <v>2.2349999999999999</v>
      </c>
      <c r="G566" s="142">
        <f>VLOOKUP($A566,'BC.114+320'!$B$13:$X$4876,9,0)/1000</f>
        <v>-0.76500000000000001</v>
      </c>
      <c r="H566" s="142">
        <f>VLOOKUP($A566,'BC.114+320'!$B$13:$X$4876,14,0)/1000</f>
        <v>2.2029999999999998</v>
      </c>
      <c r="I566" s="142">
        <f>VLOOKUP($A566,'BC.114+320'!$B$13:$X$4876,15,0)/1000</f>
        <v>-0.79700000000000004</v>
      </c>
      <c r="J566" s="142">
        <f>VLOOKUP($A566,'BC.114+320'!$B$13:$X$4876,20,0)/1000</f>
        <v>2.3410000000000002</v>
      </c>
      <c r="K566" s="142">
        <f>VLOOKUP($A566,'BC.114+320'!$B$13:$X$4876,21,0)/1000</f>
        <v>-0.65900000000000003</v>
      </c>
      <c r="L566" s="140">
        <f t="shared" si="32"/>
        <v>-585</v>
      </c>
      <c r="M566" s="141">
        <f t="shared" si="33"/>
        <v>-617</v>
      </c>
      <c r="N566" s="140">
        <f t="shared" si="34"/>
        <v>-539</v>
      </c>
      <c r="O566" s="140"/>
    </row>
    <row r="567" spans="1:15">
      <c r="A567" s="76">
        <f>'BC.114+320'!B566</f>
        <v>45596</v>
      </c>
      <c r="B567" s="140">
        <f t="shared" si="35"/>
        <v>553</v>
      </c>
      <c r="C567" s="142">
        <f>'BC.114+320'!M566/1000</f>
        <v>3.4660000000000002</v>
      </c>
      <c r="D567" s="142">
        <f>'BC.114+320'!AA566</f>
        <v>4.0990000000000002</v>
      </c>
      <c r="E567" s="143">
        <f>'BC.114+320'!AB566</f>
        <v>3.0219999999999998</v>
      </c>
      <c r="F567" s="142">
        <f>VLOOKUP($A567,'BC.114+320'!$B$13:$X$4876,8,0)/1000</f>
        <v>2.2320000000000002</v>
      </c>
      <c r="G567" s="142">
        <f>VLOOKUP($A567,'BC.114+320'!$B$13:$X$4876,9,0)/1000</f>
        <v>-0.76800000000000002</v>
      </c>
      <c r="H567" s="142">
        <f>VLOOKUP($A567,'BC.114+320'!$B$13:$X$4876,14,0)/1000</f>
        <v>2.1960000000000002</v>
      </c>
      <c r="I567" s="142">
        <f>VLOOKUP($A567,'BC.114+320'!$B$13:$X$4876,15,0)/1000</f>
        <v>-0.80400000000000005</v>
      </c>
      <c r="J567" s="142">
        <f>VLOOKUP($A567,'BC.114+320'!$B$13:$X$4876,20,0)/1000</f>
        <v>2.3319999999999999</v>
      </c>
      <c r="K567" s="142">
        <f>VLOOKUP($A567,'BC.114+320'!$B$13:$X$4876,21,0)/1000</f>
        <v>-0.66800000000000004</v>
      </c>
      <c r="L567" s="140">
        <f t="shared" si="32"/>
        <v>-588.00000000000011</v>
      </c>
      <c r="M567" s="141">
        <f t="shared" si="33"/>
        <v>-624.00000000000011</v>
      </c>
      <c r="N567" s="140">
        <f t="shared" si="34"/>
        <v>-548</v>
      </c>
      <c r="O567" s="140"/>
    </row>
    <row r="568" spans="1:15">
      <c r="A568" s="76">
        <f>'BC.114+320'!B567</f>
        <v>45597</v>
      </c>
      <c r="B568" s="140">
        <f t="shared" si="35"/>
        <v>554</v>
      </c>
      <c r="C568" s="142">
        <f>'BC.114+320'!M567/1000</f>
        <v>3.46</v>
      </c>
      <c r="D568" s="142">
        <f>'BC.114+320'!AA567</f>
        <v>4.0990000000000002</v>
      </c>
      <c r="E568" s="143">
        <f>'BC.114+320'!AB567</f>
        <v>3.01</v>
      </c>
      <c r="F568" s="142">
        <f>VLOOKUP($A568,'BC.114+320'!$B$13:$X$4876,8,0)/1000</f>
        <v>2.23</v>
      </c>
      <c r="G568" s="142">
        <f>VLOOKUP($A568,'BC.114+320'!$B$13:$X$4876,9,0)/1000</f>
        <v>-0.77</v>
      </c>
      <c r="H568" s="142">
        <f>VLOOKUP($A568,'BC.114+320'!$B$13:$X$4876,14,0)/1000</f>
        <v>2.19</v>
      </c>
      <c r="I568" s="142">
        <f>VLOOKUP($A568,'BC.114+320'!$B$13:$X$4876,15,0)/1000</f>
        <v>-0.81</v>
      </c>
      <c r="J568" s="142">
        <f>VLOOKUP($A568,'BC.114+320'!$B$13:$X$4876,20,0)/1000</f>
        <v>2.3239999999999998</v>
      </c>
      <c r="K568" s="142">
        <f>VLOOKUP($A568,'BC.114+320'!$B$13:$X$4876,21,0)/1000</f>
        <v>-0.67600000000000005</v>
      </c>
      <c r="L568" s="140">
        <f t="shared" si="32"/>
        <v>-590.00000000000011</v>
      </c>
      <c r="M568" s="141">
        <f t="shared" si="33"/>
        <v>-630.00000000000011</v>
      </c>
      <c r="N568" s="140">
        <f t="shared" si="34"/>
        <v>-556</v>
      </c>
      <c r="O568" s="140"/>
    </row>
    <row r="569" spans="1:15">
      <c r="A569" s="76">
        <f>'BC.114+320'!B568</f>
        <v>45598</v>
      </c>
      <c r="B569" s="140">
        <f t="shared" si="35"/>
        <v>555</v>
      </c>
      <c r="C569" s="142">
        <f>'BC.114+320'!M568/1000</f>
        <v>3.452</v>
      </c>
      <c r="D569" s="142">
        <f>'BC.114+320'!AA568</f>
        <v>4.0990000000000002</v>
      </c>
      <c r="E569" s="143">
        <f>'BC.114+320'!AB568</f>
        <v>2.9940000000000002</v>
      </c>
      <c r="F569" s="142">
        <f>VLOOKUP($A569,'BC.114+320'!$B$13:$X$4876,8,0)/1000</f>
        <v>2.226</v>
      </c>
      <c r="G569" s="142">
        <f>VLOOKUP($A569,'BC.114+320'!$B$13:$X$4876,9,0)/1000</f>
        <v>-0.77400000000000002</v>
      </c>
      <c r="H569" s="142">
        <f>VLOOKUP($A569,'BC.114+320'!$B$13:$X$4876,14,0)/1000</f>
        <v>2.1819999999999999</v>
      </c>
      <c r="I569" s="142">
        <f>VLOOKUP($A569,'BC.114+320'!$B$13:$X$4876,15,0)/1000</f>
        <v>-0.81799999999999995</v>
      </c>
      <c r="J569" s="142">
        <f>VLOOKUP($A569,'BC.114+320'!$B$13:$X$4876,20,0)/1000</f>
        <v>2.3170000000000002</v>
      </c>
      <c r="K569" s="142">
        <f>VLOOKUP($A569,'BC.114+320'!$B$13:$X$4876,21,0)/1000</f>
        <v>-0.68300000000000005</v>
      </c>
      <c r="L569" s="140">
        <f t="shared" si="32"/>
        <v>-594.00000000000011</v>
      </c>
      <c r="M569" s="141">
        <f t="shared" si="33"/>
        <v>-637.99999999999989</v>
      </c>
      <c r="N569" s="140">
        <f t="shared" si="34"/>
        <v>-563</v>
      </c>
      <c r="O569" s="140"/>
    </row>
    <row r="570" spans="1:15">
      <c r="A570" s="76">
        <f>'BC.114+320'!B569</f>
        <v>45599</v>
      </c>
      <c r="B570" s="140">
        <f t="shared" si="35"/>
        <v>556</v>
      </c>
      <c r="C570" s="142">
        <f>'BC.114+320'!M569/1000</f>
        <v>3.4449999999999998</v>
      </c>
      <c r="D570" s="142">
        <f>'BC.114+320'!AA569</f>
        <v>4.0990000000000002</v>
      </c>
      <c r="E570" s="143">
        <f>'BC.114+320'!AB569</f>
        <v>2.98</v>
      </c>
      <c r="F570" s="142">
        <f>VLOOKUP($A570,'BC.114+320'!$B$13:$X$4876,8,0)/1000</f>
        <v>2.2189999999999999</v>
      </c>
      <c r="G570" s="142">
        <f>VLOOKUP($A570,'BC.114+320'!$B$13:$X$4876,9,0)/1000</f>
        <v>-0.78100000000000003</v>
      </c>
      <c r="H570" s="142">
        <f>VLOOKUP($A570,'BC.114+320'!$B$13:$X$4876,14,0)/1000</f>
        <v>2.1749999999999998</v>
      </c>
      <c r="I570" s="142">
        <f>VLOOKUP($A570,'BC.114+320'!$B$13:$X$4876,15,0)/1000</f>
        <v>-0.82499999999999996</v>
      </c>
      <c r="J570" s="142">
        <f>VLOOKUP($A570,'BC.114+320'!$B$13:$X$4876,20,0)/1000</f>
        <v>2.3130000000000002</v>
      </c>
      <c r="K570" s="142">
        <f>VLOOKUP($A570,'BC.114+320'!$B$13:$X$4876,21,0)/1000</f>
        <v>-0.68700000000000006</v>
      </c>
      <c r="L570" s="140">
        <f t="shared" si="32"/>
        <v>-601</v>
      </c>
      <c r="M570" s="141">
        <f t="shared" si="33"/>
        <v>-645</v>
      </c>
      <c r="N570" s="140">
        <f t="shared" si="34"/>
        <v>-567.00000000000011</v>
      </c>
      <c r="O570" s="140"/>
    </row>
    <row r="571" spans="1:15">
      <c r="A571" s="76">
        <f>'BC.114+320'!B570</f>
        <v>45600</v>
      </c>
      <c r="B571" s="140">
        <f t="shared" si="35"/>
        <v>557</v>
      </c>
      <c r="C571" s="142">
        <f>'BC.114+320'!M570/1000</f>
        <v>3.4359999999999999</v>
      </c>
      <c r="D571" s="142">
        <f>'BC.114+320'!AA570</f>
        <v>4.0990000000000002</v>
      </c>
      <c r="E571" s="143">
        <f>'BC.114+320'!AB570</f>
        <v>2.9620000000000002</v>
      </c>
      <c r="F571" s="142">
        <f>VLOOKUP($A571,'BC.114+320'!$B$13:$X$4876,8,0)/1000</f>
        <v>2.214</v>
      </c>
      <c r="G571" s="142">
        <f>VLOOKUP($A571,'BC.114+320'!$B$13:$X$4876,9,0)/1000</f>
        <v>-0.78600000000000003</v>
      </c>
      <c r="H571" s="142">
        <f>VLOOKUP($A571,'BC.114+320'!$B$13:$X$4876,14,0)/1000</f>
        <v>2.1659999999999999</v>
      </c>
      <c r="I571" s="142">
        <f>VLOOKUP($A571,'BC.114+320'!$B$13:$X$4876,15,0)/1000</f>
        <v>-0.83399999999999996</v>
      </c>
      <c r="J571" s="142">
        <f>VLOOKUP($A571,'BC.114+320'!$B$13:$X$4876,20,0)/1000</f>
        <v>2.31</v>
      </c>
      <c r="K571" s="142">
        <f>VLOOKUP($A571,'BC.114+320'!$B$13:$X$4876,21,0)/1000</f>
        <v>-0.69</v>
      </c>
      <c r="L571" s="140">
        <f t="shared" si="32"/>
        <v>-606.00000000000011</v>
      </c>
      <c r="M571" s="141">
        <f t="shared" si="33"/>
        <v>-653.99999999999989</v>
      </c>
      <c r="N571" s="140">
        <f t="shared" si="34"/>
        <v>-570</v>
      </c>
      <c r="O571" s="140"/>
    </row>
    <row r="572" spans="1:15">
      <c r="A572" s="76">
        <f>'BC.114+320'!B571</f>
        <v>45601</v>
      </c>
      <c r="B572" s="140">
        <f t="shared" si="35"/>
        <v>558</v>
      </c>
      <c r="C572" s="142">
        <f>'BC.114+320'!M571/1000</f>
        <v>3.4279999999999999</v>
      </c>
      <c r="D572" s="142">
        <f>'BC.114+320'!AA571</f>
        <v>4.0990000000000002</v>
      </c>
      <c r="E572" s="143">
        <f>'BC.114+320'!AB571</f>
        <v>2.9460000000000002</v>
      </c>
      <c r="F572" s="142">
        <f>VLOOKUP($A572,'BC.114+320'!$B$13:$X$4876,8,0)/1000</f>
        <v>2.2090000000000001</v>
      </c>
      <c r="G572" s="142">
        <f>VLOOKUP($A572,'BC.114+320'!$B$13:$X$4876,9,0)/1000</f>
        <v>-0.79100000000000004</v>
      </c>
      <c r="H572" s="142">
        <f>VLOOKUP($A572,'BC.114+320'!$B$13:$X$4876,14,0)/1000</f>
        <v>2.1579999999999999</v>
      </c>
      <c r="I572" s="142">
        <f>VLOOKUP($A572,'BC.114+320'!$B$13:$X$4876,15,0)/1000</f>
        <v>-0.84199999999999997</v>
      </c>
      <c r="J572" s="142">
        <f>VLOOKUP($A572,'BC.114+320'!$B$13:$X$4876,20,0)/1000</f>
        <v>2.3079999999999998</v>
      </c>
      <c r="K572" s="142">
        <f>VLOOKUP($A572,'BC.114+320'!$B$13:$X$4876,21,0)/1000</f>
        <v>-0.69199999999999995</v>
      </c>
      <c r="L572" s="140">
        <f t="shared" si="32"/>
        <v>-611</v>
      </c>
      <c r="M572" s="141">
        <f t="shared" si="33"/>
        <v>-661.99999999999989</v>
      </c>
      <c r="N572" s="140">
        <f t="shared" si="34"/>
        <v>-572</v>
      </c>
      <c r="O572" s="140"/>
    </row>
    <row r="573" spans="1:15">
      <c r="A573" s="76">
        <f>'BC.114+320'!B572</f>
        <v>45602</v>
      </c>
      <c r="B573" s="140">
        <f t="shared" si="35"/>
        <v>559</v>
      </c>
      <c r="C573" s="142">
        <f>'BC.114+320'!M572/1000</f>
        <v>3.42</v>
      </c>
      <c r="D573" s="142">
        <f>'BC.114+320'!AA572</f>
        <v>4.0990000000000002</v>
      </c>
      <c r="E573" s="143">
        <f>'BC.114+320'!AB572</f>
        <v>2.93</v>
      </c>
      <c r="F573" s="142">
        <f>VLOOKUP($A573,'BC.114+320'!$B$13:$X$4876,8,0)/1000</f>
        <v>2.2050000000000001</v>
      </c>
      <c r="G573" s="142">
        <f>VLOOKUP($A573,'BC.114+320'!$B$13:$X$4876,9,0)/1000</f>
        <v>-0.79500000000000004</v>
      </c>
      <c r="H573" s="142">
        <f>VLOOKUP($A573,'BC.114+320'!$B$13:$X$4876,14,0)/1000</f>
        <v>2.15</v>
      </c>
      <c r="I573" s="142">
        <f>VLOOKUP($A573,'BC.114+320'!$B$13:$X$4876,15,0)/1000</f>
        <v>-0.85</v>
      </c>
      <c r="J573" s="142">
        <f>VLOOKUP($A573,'BC.114+320'!$B$13:$X$4876,20,0)/1000</f>
        <v>2.3039999999999998</v>
      </c>
      <c r="K573" s="142">
        <f>VLOOKUP($A573,'BC.114+320'!$B$13:$X$4876,21,0)/1000</f>
        <v>-0.69599999999999995</v>
      </c>
      <c r="L573" s="140">
        <f t="shared" si="32"/>
        <v>-615</v>
      </c>
      <c r="M573" s="141">
        <f t="shared" si="33"/>
        <v>-669.99999999999989</v>
      </c>
      <c r="N573" s="140">
        <f t="shared" si="34"/>
        <v>-576</v>
      </c>
      <c r="O573" s="140"/>
    </row>
    <row r="574" spans="1:15">
      <c r="A574" s="76">
        <f>'BC.114+320'!B573</f>
        <v>45603</v>
      </c>
      <c r="B574" s="140">
        <f t="shared" si="35"/>
        <v>560</v>
      </c>
      <c r="C574" s="142">
        <f>'BC.114+320'!M573/1000</f>
        <v>3.411</v>
      </c>
      <c r="D574" s="142">
        <f>'BC.114+320'!AA573</f>
        <v>4.0990000000000002</v>
      </c>
      <c r="E574" s="143">
        <f>'BC.114+320'!AB573</f>
        <v>2.9119999999999999</v>
      </c>
      <c r="F574" s="142">
        <f>VLOOKUP($A574,'BC.114+320'!$B$13:$X$4876,8,0)/1000</f>
        <v>2.202</v>
      </c>
      <c r="G574" s="142">
        <f>VLOOKUP($A574,'BC.114+320'!$B$13:$X$4876,9,0)/1000</f>
        <v>-0.79800000000000004</v>
      </c>
      <c r="H574" s="142">
        <f>VLOOKUP($A574,'BC.114+320'!$B$13:$X$4876,14,0)/1000</f>
        <v>2.141</v>
      </c>
      <c r="I574" s="142">
        <f>VLOOKUP($A574,'BC.114+320'!$B$13:$X$4876,15,0)/1000</f>
        <v>-0.85899999999999999</v>
      </c>
      <c r="J574" s="142">
        <f>VLOOKUP($A574,'BC.114+320'!$B$13:$X$4876,20,0)/1000</f>
        <v>2.2970000000000002</v>
      </c>
      <c r="K574" s="142">
        <f>VLOOKUP($A574,'BC.114+320'!$B$13:$X$4876,21,0)/1000</f>
        <v>-0.70299999999999996</v>
      </c>
      <c r="L574" s="140">
        <f t="shared" si="32"/>
        <v>-618.00000000000011</v>
      </c>
      <c r="M574" s="141">
        <f t="shared" si="33"/>
        <v>-679</v>
      </c>
      <c r="N574" s="140">
        <f t="shared" si="34"/>
        <v>-583</v>
      </c>
      <c r="O574" s="140"/>
    </row>
    <row r="575" spans="1:15">
      <c r="A575" s="76">
        <f>'BC.114+320'!B574</f>
        <v>45604</v>
      </c>
      <c r="B575" s="140">
        <f t="shared" si="35"/>
        <v>561</v>
      </c>
      <c r="C575" s="142">
        <f>'BC.114+320'!M574/1000</f>
        <v>3.403</v>
      </c>
      <c r="D575" s="142">
        <f>'BC.114+320'!AA574</f>
        <v>4.0990000000000002</v>
      </c>
      <c r="E575" s="143">
        <f>'BC.114+320'!AB574</f>
        <v>2.8959999999999999</v>
      </c>
      <c r="F575" s="142">
        <f>VLOOKUP($A575,'BC.114+320'!$B$13:$X$4876,8,0)/1000</f>
        <v>2.2000000000000002</v>
      </c>
      <c r="G575" s="142">
        <f>VLOOKUP($A575,'BC.114+320'!$B$13:$X$4876,9,0)/1000</f>
        <v>-0.8</v>
      </c>
      <c r="H575" s="142">
        <f>VLOOKUP($A575,'BC.114+320'!$B$13:$X$4876,14,0)/1000</f>
        <v>2.133</v>
      </c>
      <c r="I575" s="142">
        <f>VLOOKUP($A575,'BC.114+320'!$B$13:$X$4876,15,0)/1000</f>
        <v>-0.86699999999999999</v>
      </c>
      <c r="J575" s="142">
        <f>VLOOKUP($A575,'BC.114+320'!$B$13:$X$4876,20,0)/1000</f>
        <v>2.2919999999999998</v>
      </c>
      <c r="K575" s="142">
        <f>VLOOKUP($A575,'BC.114+320'!$B$13:$X$4876,21,0)/1000</f>
        <v>-0.70799999999999996</v>
      </c>
      <c r="L575" s="140">
        <f t="shared" si="32"/>
        <v>-620.00000000000011</v>
      </c>
      <c r="M575" s="141">
        <f t="shared" si="33"/>
        <v>-687</v>
      </c>
      <c r="N575" s="140">
        <f t="shared" si="34"/>
        <v>-588</v>
      </c>
      <c r="O575" s="140"/>
    </row>
    <row r="576" spans="1:15">
      <c r="A576" s="76">
        <f>'BC.114+320'!B575</f>
        <v>45605</v>
      </c>
      <c r="B576" s="140">
        <f t="shared" si="35"/>
        <v>562</v>
      </c>
      <c r="C576" s="142">
        <f>'BC.114+320'!M575/1000</f>
        <v>3.3940000000000001</v>
      </c>
      <c r="D576" s="142">
        <f>'BC.114+320'!AA575</f>
        <v>4.0990000000000002</v>
      </c>
      <c r="E576" s="143">
        <f>'BC.114+320'!AB575</f>
        <v>2.8780000000000001</v>
      </c>
      <c r="F576" s="142">
        <f>VLOOKUP($A576,'BC.114+320'!$B$13:$X$4876,8,0)/1000</f>
        <v>2.1960000000000002</v>
      </c>
      <c r="G576" s="142">
        <f>VLOOKUP($A576,'BC.114+320'!$B$13:$X$4876,9,0)/1000</f>
        <v>-0.80400000000000005</v>
      </c>
      <c r="H576" s="142">
        <f>VLOOKUP($A576,'BC.114+320'!$B$13:$X$4876,14,0)/1000</f>
        <v>2.1240000000000001</v>
      </c>
      <c r="I576" s="142">
        <f>VLOOKUP($A576,'BC.114+320'!$B$13:$X$4876,15,0)/1000</f>
        <v>-0.876</v>
      </c>
      <c r="J576" s="142">
        <f>VLOOKUP($A576,'BC.114+320'!$B$13:$X$4876,20,0)/1000</f>
        <v>2.2869999999999999</v>
      </c>
      <c r="K576" s="142">
        <f>VLOOKUP($A576,'BC.114+320'!$B$13:$X$4876,21,0)/1000</f>
        <v>-0.71299999999999997</v>
      </c>
      <c r="L576" s="140">
        <f t="shared" si="32"/>
        <v>-624.00000000000011</v>
      </c>
      <c r="M576" s="141">
        <f t="shared" si="33"/>
        <v>-696</v>
      </c>
      <c r="N576" s="140">
        <f t="shared" si="34"/>
        <v>-593</v>
      </c>
      <c r="O576" s="140"/>
    </row>
    <row r="577" spans="1:15">
      <c r="A577" s="76">
        <f>'BC.114+320'!B576</f>
        <v>45606</v>
      </c>
      <c r="B577" s="140">
        <f t="shared" si="35"/>
        <v>563</v>
      </c>
      <c r="C577" s="142">
        <f>'BC.114+320'!M576/1000</f>
        <v>3.3860000000000001</v>
      </c>
      <c r="D577" s="142">
        <f>'BC.114+320'!AA576</f>
        <v>4.0990000000000002</v>
      </c>
      <c r="E577" s="143">
        <f>'BC.114+320'!AB576</f>
        <v>2.8620000000000001</v>
      </c>
      <c r="F577" s="142">
        <f>VLOOKUP($A577,'BC.114+320'!$B$13:$X$4876,8,0)/1000</f>
        <v>2.1930000000000001</v>
      </c>
      <c r="G577" s="142">
        <f>VLOOKUP($A577,'BC.114+320'!$B$13:$X$4876,9,0)/1000</f>
        <v>-0.80700000000000005</v>
      </c>
      <c r="H577" s="142">
        <f>VLOOKUP($A577,'BC.114+320'!$B$13:$X$4876,14,0)/1000</f>
        <v>2.1160000000000001</v>
      </c>
      <c r="I577" s="142">
        <f>VLOOKUP($A577,'BC.114+320'!$B$13:$X$4876,15,0)/1000</f>
        <v>-0.88400000000000001</v>
      </c>
      <c r="J577" s="142">
        <f>VLOOKUP($A577,'BC.114+320'!$B$13:$X$4876,20,0)/1000</f>
        <v>2.2829999999999999</v>
      </c>
      <c r="K577" s="142">
        <f>VLOOKUP($A577,'BC.114+320'!$B$13:$X$4876,21,0)/1000</f>
        <v>-0.71699999999999997</v>
      </c>
      <c r="L577" s="140">
        <f t="shared" si="32"/>
        <v>-627</v>
      </c>
      <c r="M577" s="141">
        <f t="shared" si="33"/>
        <v>-704</v>
      </c>
      <c r="N577" s="140">
        <f t="shared" si="34"/>
        <v>-597</v>
      </c>
      <c r="O577" s="140"/>
    </row>
    <row r="578" spans="1:15">
      <c r="A578" s="76">
        <f>'BC.114+320'!B577</f>
        <v>45607</v>
      </c>
      <c r="B578" s="140">
        <f t="shared" si="35"/>
        <v>564</v>
      </c>
      <c r="C578" s="142">
        <f>'BC.114+320'!M577/1000</f>
        <v>3.379</v>
      </c>
      <c r="D578" s="142">
        <f>'BC.114+320'!AA577</f>
        <v>4.0990000000000002</v>
      </c>
      <c r="E578" s="143">
        <f>'BC.114+320'!AB577</f>
        <v>2.8479999999999999</v>
      </c>
      <c r="F578" s="142">
        <f>VLOOKUP($A578,'BC.114+320'!$B$13:$X$4876,8,0)/1000</f>
        <v>2.1909999999999998</v>
      </c>
      <c r="G578" s="142">
        <f>VLOOKUP($A578,'BC.114+320'!$B$13:$X$4876,9,0)/1000</f>
        <v>-0.80900000000000005</v>
      </c>
      <c r="H578" s="142">
        <f>VLOOKUP($A578,'BC.114+320'!$B$13:$X$4876,14,0)/1000</f>
        <v>2.109</v>
      </c>
      <c r="I578" s="142">
        <f>VLOOKUP($A578,'BC.114+320'!$B$13:$X$4876,15,0)/1000</f>
        <v>-0.89100000000000001</v>
      </c>
      <c r="J578" s="142">
        <f>VLOOKUP($A578,'BC.114+320'!$B$13:$X$4876,20,0)/1000</f>
        <v>2.2799999999999998</v>
      </c>
      <c r="K578" s="142">
        <f>VLOOKUP($A578,'BC.114+320'!$B$13:$X$4876,21,0)/1000</f>
        <v>-0.72</v>
      </c>
      <c r="L578" s="140">
        <f t="shared" si="32"/>
        <v>-629</v>
      </c>
      <c r="M578" s="141">
        <f t="shared" si="33"/>
        <v>-711.00000000000011</v>
      </c>
      <c r="N578" s="140">
        <f t="shared" si="34"/>
        <v>-600</v>
      </c>
      <c r="O578" s="140"/>
    </row>
    <row r="579" spans="1:15">
      <c r="A579" s="76">
        <f>'BC.114+320'!B578</f>
        <v>45608</v>
      </c>
      <c r="B579" s="140">
        <f t="shared" si="35"/>
        <v>565</v>
      </c>
      <c r="C579" s="142">
        <f>'BC.114+320'!M578/1000</f>
        <v>3.37</v>
      </c>
      <c r="D579" s="142">
        <f>'BC.114+320'!AA578</f>
        <v>4.0990000000000002</v>
      </c>
      <c r="E579" s="143">
        <f>'BC.114+320'!AB578</f>
        <v>2.83</v>
      </c>
      <c r="F579" s="142">
        <f>VLOOKUP($A579,'BC.114+320'!$B$13:$X$4876,8,0)/1000</f>
        <v>2.1869999999999998</v>
      </c>
      <c r="G579" s="142">
        <f>VLOOKUP($A579,'BC.114+320'!$B$13:$X$4876,9,0)/1000</f>
        <v>-0.81299999999999994</v>
      </c>
      <c r="H579" s="142">
        <f>VLOOKUP($A579,'BC.114+320'!$B$13:$X$4876,14,0)/1000</f>
        <v>2.1</v>
      </c>
      <c r="I579" s="142">
        <f>VLOOKUP($A579,'BC.114+320'!$B$13:$X$4876,15,0)/1000</f>
        <v>-0.9</v>
      </c>
      <c r="J579" s="142">
        <f>VLOOKUP($A579,'BC.114+320'!$B$13:$X$4876,20,0)/1000</f>
        <v>2.278</v>
      </c>
      <c r="K579" s="142">
        <f>VLOOKUP($A579,'BC.114+320'!$B$13:$X$4876,21,0)/1000</f>
        <v>-0.72199999999999998</v>
      </c>
      <c r="L579" s="140">
        <f t="shared" si="32"/>
        <v>-633</v>
      </c>
      <c r="M579" s="141">
        <f t="shared" si="33"/>
        <v>-720</v>
      </c>
      <c r="N579" s="140">
        <f t="shared" si="34"/>
        <v>-602</v>
      </c>
      <c r="O579" s="140"/>
    </row>
    <row r="580" spans="1:15">
      <c r="A580" s="76">
        <f>'BC.114+320'!B579</f>
        <v>45609</v>
      </c>
      <c r="B580" s="140">
        <f t="shared" si="35"/>
        <v>566</v>
      </c>
      <c r="C580" s="142">
        <f>'BC.114+320'!M579/1000</f>
        <v>3.3620000000000001</v>
      </c>
      <c r="D580" s="142">
        <f>'BC.114+320'!AA579</f>
        <v>4.0990000000000002</v>
      </c>
      <c r="E580" s="143">
        <f>'BC.114+320'!AB579</f>
        <v>2.8140000000000001</v>
      </c>
      <c r="F580" s="142">
        <f>VLOOKUP($A580,'BC.114+320'!$B$13:$X$4876,8,0)/1000</f>
        <v>2.1800000000000002</v>
      </c>
      <c r="G580" s="142">
        <f>VLOOKUP($A580,'BC.114+320'!$B$13:$X$4876,9,0)/1000</f>
        <v>-0.82</v>
      </c>
      <c r="H580" s="142">
        <f>VLOOKUP($A580,'BC.114+320'!$B$13:$X$4876,14,0)/1000</f>
        <v>2.0920000000000001</v>
      </c>
      <c r="I580" s="142">
        <f>VLOOKUP($A580,'BC.114+320'!$B$13:$X$4876,15,0)/1000</f>
        <v>-0.90800000000000003</v>
      </c>
      <c r="J580" s="142">
        <f>VLOOKUP($A580,'BC.114+320'!$B$13:$X$4876,20,0)/1000</f>
        <v>2.274</v>
      </c>
      <c r="K580" s="142">
        <f>VLOOKUP($A580,'BC.114+320'!$B$13:$X$4876,21,0)/1000</f>
        <v>-0.72599999999999998</v>
      </c>
      <c r="L580" s="140">
        <f t="shared" si="32"/>
        <v>-639.99999999999989</v>
      </c>
      <c r="M580" s="141">
        <f t="shared" si="33"/>
        <v>-728</v>
      </c>
      <c r="N580" s="140">
        <f t="shared" si="34"/>
        <v>-606</v>
      </c>
      <c r="O580" s="140"/>
    </row>
    <row r="581" spans="1:15">
      <c r="A581" s="76">
        <f>'BC.114+320'!B580</f>
        <v>45610</v>
      </c>
      <c r="B581" s="140">
        <f t="shared" si="35"/>
        <v>567</v>
      </c>
      <c r="C581" s="142">
        <f>'BC.114+320'!M580/1000</f>
        <v>3.355</v>
      </c>
      <c r="D581" s="142">
        <f>'BC.114+320'!AA580</f>
        <v>4.0990000000000002</v>
      </c>
      <c r="E581" s="143">
        <f>'BC.114+320'!AB580</f>
        <v>2.8</v>
      </c>
      <c r="F581" s="142">
        <f>VLOOKUP($A581,'BC.114+320'!$B$13:$X$4876,8,0)/1000</f>
        <v>2.1749999999999998</v>
      </c>
      <c r="G581" s="142">
        <f>VLOOKUP($A581,'BC.114+320'!$B$13:$X$4876,9,0)/1000</f>
        <v>-0.82499999999999996</v>
      </c>
      <c r="H581" s="142">
        <f>VLOOKUP($A581,'BC.114+320'!$B$13:$X$4876,14,0)/1000</f>
        <v>2.085</v>
      </c>
      <c r="I581" s="142">
        <f>VLOOKUP($A581,'BC.114+320'!$B$13:$X$4876,15,0)/1000</f>
        <v>-0.91500000000000004</v>
      </c>
      <c r="J581" s="142">
        <f>VLOOKUP($A581,'BC.114+320'!$B$13:$X$4876,20,0)/1000</f>
        <v>2.2709999999999999</v>
      </c>
      <c r="K581" s="142">
        <f>VLOOKUP($A581,'BC.114+320'!$B$13:$X$4876,21,0)/1000</f>
        <v>-0.72899999999999998</v>
      </c>
      <c r="L581" s="140">
        <f t="shared" si="32"/>
        <v>-645</v>
      </c>
      <c r="M581" s="141">
        <f t="shared" si="33"/>
        <v>-735.00000000000011</v>
      </c>
      <c r="N581" s="140">
        <f t="shared" si="34"/>
        <v>-609</v>
      </c>
      <c r="O581" s="140"/>
    </row>
    <row r="582" spans="1:15">
      <c r="A582" s="76">
        <f>'BC.114+320'!B581</f>
        <v>45611</v>
      </c>
      <c r="B582" s="140">
        <f t="shared" si="35"/>
        <v>568</v>
      </c>
      <c r="C582" s="142">
        <f>'BC.114+320'!M581/1000</f>
        <v>3.3479999999999999</v>
      </c>
      <c r="D582" s="142">
        <f>'BC.114+320'!AA581</f>
        <v>4.0990000000000002</v>
      </c>
      <c r="E582" s="143">
        <f>'BC.114+320'!AB581</f>
        <v>2.786</v>
      </c>
      <c r="F582" s="142">
        <f>VLOOKUP($A582,'BC.114+320'!$B$13:$X$4876,8,0)/1000</f>
        <v>2.17</v>
      </c>
      <c r="G582" s="142">
        <f>VLOOKUP($A582,'BC.114+320'!$B$13:$X$4876,9,0)/1000</f>
        <v>-0.83</v>
      </c>
      <c r="H582" s="142">
        <f>VLOOKUP($A582,'BC.114+320'!$B$13:$X$4876,14,0)/1000</f>
        <v>2.0779999999999998</v>
      </c>
      <c r="I582" s="142">
        <f>VLOOKUP($A582,'BC.114+320'!$B$13:$X$4876,15,0)/1000</f>
        <v>-0.92200000000000004</v>
      </c>
      <c r="J582" s="142">
        <f>VLOOKUP($A582,'BC.114+320'!$B$13:$X$4876,20,0)/1000</f>
        <v>2.2690000000000001</v>
      </c>
      <c r="K582" s="142">
        <f>VLOOKUP($A582,'BC.114+320'!$B$13:$X$4876,21,0)/1000</f>
        <v>-0.73099999999999998</v>
      </c>
      <c r="L582" s="140">
        <f t="shared" si="32"/>
        <v>-649.99999999999989</v>
      </c>
      <c r="M582" s="141">
        <f t="shared" si="33"/>
        <v>-742</v>
      </c>
      <c r="N582" s="140">
        <f t="shared" si="34"/>
        <v>-611</v>
      </c>
      <c r="O582" s="140"/>
    </row>
    <row r="583" spans="1:15">
      <c r="A583" s="76">
        <f>'BC.114+320'!B582</f>
        <v>45612</v>
      </c>
      <c r="B583" s="140">
        <f t="shared" si="35"/>
        <v>569</v>
      </c>
      <c r="C583" s="142">
        <f>'BC.114+320'!M582/1000</f>
        <v>3.3420000000000001</v>
      </c>
      <c r="D583" s="142">
        <f>'BC.114+320'!AA582</f>
        <v>4.0990000000000002</v>
      </c>
      <c r="E583" s="143">
        <f>'BC.114+320'!AB582</f>
        <v>2.774</v>
      </c>
      <c r="F583" s="142">
        <f>VLOOKUP($A583,'BC.114+320'!$B$13:$X$4876,8,0)/1000</f>
        <v>2.1659999999999999</v>
      </c>
      <c r="G583" s="142">
        <f>VLOOKUP($A583,'BC.114+320'!$B$13:$X$4876,9,0)/1000</f>
        <v>-0.83399999999999996</v>
      </c>
      <c r="H583" s="142">
        <f>VLOOKUP($A583,'BC.114+320'!$B$13:$X$4876,14,0)/1000</f>
        <v>2.0720000000000001</v>
      </c>
      <c r="I583" s="142">
        <f>VLOOKUP($A583,'BC.114+320'!$B$13:$X$4876,15,0)/1000</f>
        <v>-0.92800000000000005</v>
      </c>
      <c r="J583" s="142">
        <f>VLOOKUP($A583,'BC.114+320'!$B$13:$X$4876,20,0)/1000</f>
        <v>2.2650000000000001</v>
      </c>
      <c r="K583" s="142">
        <f>VLOOKUP($A583,'BC.114+320'!$B$13:$X$4876,21,0)/1000</f>
        <v>-0.73499999999999999</v>
      </c>
      <c r="L583" s="140">
        <f t="shared" si="32"/>
        <v>-653.99999999999989</v>
      </c>
      <c r="M583" s="141">
        <f t="shared" si="33"/>
        <v>-748</v>
      </c>
      <c r="N583" s="140">
        <f t="shared" si="34"/>
        <v>-615</v>
      </c>
      <c r="O583" s="140"/>
    </row>
    <row r="584" spans="1:15">
      <c r="A584" s="76">
        <f>'BC.114+320'!B583</f>
        <v>45613</v>
      </c>
      <c r="B584" s="140">
        <f t="shared" si="35"/>
        <v>570</v>
      </c>
      <c r="C584" s="142">
        <f>'BC.114+320'!M583/1000</f>
        <v>3.339</v>
      </c>
      <c r="D584" s="142">
        <f>'BC.114+320'!AA583</f>
        <v>4.0990000000000002</v>
      </c>
      <c r="E584" s="143">
        <f>'BC.114+320'!AB583</f>
        <v>2.7679999999999998</v>
      </c>
      <c r="F584" s="142">
        <f>VLOOKUP($A584,'BC.114+320'!$B$13:$X$4876,8,0)/1000</f>
        <v>2.1629999999999998</v>
      </c>
      <c r="G584" s="142">
        <f>VLOOKUP($A584,'BC.114+320'!$B$13:$X$4876,9,0)/1000</f>
        <v>-0.83699999999999997</v>
      </c>
      <c r="H584" s="142">
        <f>VLOOKUP($A584,'BC.114+320'!$B$13:$X$4876,14,0)/1000</f>
        <v>2.069</v>
      </c>
      <c r="I584" s="142">
        <f>VLOOKUP($A584,'BC.114+320'!$B$13:$X$4876,15,0)/1000</f>
        <v>-0.93100000000000005</v>
      </c>
      <c r="J584" s="142">
        <f>VLOOKUP($A584,'BC.114+320'!$B$13:$X$4876,20,0)/1000</f>
        <v>2.258</v>
      </c>
      <c r="K584" s="142">
        <f>VLOOKUP($A584,'BC.114+320'!$B$13:$X$4876,21,0)/1000</f>
        <v>-0.74199999999999999</v>
      </c>
      <c r="L584" s="140">
        <f t="shared" si="32"/>
        <v>-657</v>
      </c>
      <c r="M584" s="141">
        <f t="shared" si="33"/>
        <v>-751.00000000000011</v>
      </c>
      <c r="N584" s="140">
        <f t="shared" si="34"/>
        <v>-622</v>
      </c>
      <c r="O584" s="140"/>
    </row>
    <row r="585" spans="1:15">
      <c r="A585" s="76">
        <f>'BC.114+320'!B584</f>
        <v>45614</v>
      </c>
      <c r="B585" s="140">
        <f t="shared" si="35"/>
        <v>571</v>
      </c>
      <c r="C585" s="142">
        <f>'BC.114+320'!M584/1000</f>
        <v>3.3370000000000002</v>
      </c>
      <c r="D585" s="142">
        <f>'BC.114+320'!AA584</f>
        <v>4.0990000000000002</v>
      </c>
      <c r="E585" s="143">
        <f>'BC.114+320'!AB584</f>
        <v>2.7639999999999998</v>
      </c>
      <c r="F585" s="142">
        <f>VLOOKUP($A585,'BC.114+320'!$B$13:$X$4876,8,0)/1000</f>
        <v>2.161</v>
      </c>
      <c r="G585" s="142">
        <f>VLOOKUP($A585,'BC.114+320'!$B$13:$X$4876,9,0)/1000</f>
        <v>-0.83899999999999997</v>
      </c>
      <c r="H585" s="142">
        <f>VLOOKUP($A585,'BC.114+320'!$B$13:$X$4876,14,0)/1000</f>
        <v>2.0670000000000002</v>
      </c>
      <c r="I585" s="142">
        <f>VLOOKUP($A585,'BC.114+320'!$B$13:$X$4876,15,0)/1000</f>
        <v>-0.93300000000000005</v>
      </c>
      <c r="J585" s="142">
        <f>VLOOKUP($A585,'BC.114+320'!$B$13:$X$4876,20,0)/1000</f>
        <v>2.2530000000000001</v>
      </c>
      <c r="K585" s="142">
        <f>VLOOKUP($A585,'BC.114+320'!$B$13:$X$4876,21,0)/1000</f>
        <v>-0.747</v>
      </c>
      <c r="L585" s="140">
        <f t="shared" si="32"/>
        <v>-659</v>
      </c>
      <c r="M585" s="141">
        <f t="shared" si="33"/>
        <v>-753.00000000000011</v>
      </c>
      <c r="N585" s="140">
        <f t="shared" si="34"/>
        <v>-627</v>
      </c>
      <c r="O585" s="140"/>
    </row>
    <row r="586" spans="1:15">
      <c r="A586" s="76">
        <f>'BC.114+320'!B585</f>
        <v>45615</v>
      </c>
      <c r="B586" s="140">
        <f t="shared" si="35"/>
        <v>572</v>
      </c>
      <c r="C586" s="142">
        <f>'BC.114+320'!M585/1000</f>
        <v>3.3330000000000002</v>
      </c>
      <c r="D586" s="142">
        <f>'BC.114+320'!AA585</f>
        <v>4.0990000000000002</v>
      </c>
      <c r="E586" s="143">
        <f>'BC.114+320'!AB585</f>
        <v>2.7559999999999998</v>
      </c>
      <c r="F586" s="142">
        <f>VLOOKUP($A586,'BC.114+320'!$B$13:$X$4876,8,0)/1000</f>
        <v>2.157</v>
      </c>
      <c r="G586" s="142">
        <f>VLOOKUP($A586,'BC.114+320'!$B$13:$X$4876,9,0)/1000</f>
        <v>-0.84299999999999997</v>
      </c>
      <c r="H586" s="142">
        <f>VLOOKUP($A586,'BC.114+320'!$B$13:$X$4876,14,0)/1000</f>
        <v>2.0630000000000002</v>
      </c>
      <c r="I586" s="142">
        <f>VLOOKUP($A586,'BC.114+320'!$B$13:$X$4876,15,0)/1000</f>
        <v>-0.93700000000000006</v>
      </c>
      <c r="J586" s="142">
        <f>VLOOKUP($A586,'BC.114+320'!$B$13:$X$4876,20,0)/1000</f>
        <v>2.2480000000000002</v>
      </c>
      <c r="K586" s="142">
        <f>VLOOKUP($A586,'BC.114+320'!$B$13:$X$4876,21,0)/1000</f>
        <v>-0.752</v>
      </c>
      <c r="L586" s="140">
        <f t="shared" si="32"/>
        <v>-663</v>
      </c>
      <c r="M586" s="141">
        <f t="shared" si="33"/>
        <v>-757.00000000000011</v>
      </c>
      <c r="N586" s="140">
        <f t="shared" si="34"/>
        <v>-632</v>
      </c>
      <c r="O586" s="140"/>
    </row>
    <row r="587" spans="1:15">
      <c r="A587" s="76">
        <f>'BC.114+320'!B586</f>
        <v>45616</v>
      </c>
      <c r="B587" s="140">
        <f t="shared" si="35"/>
        <v>573</v>
      </c>
      <c r="C587" s="142">
        <f>'BC.114+320'!M586/1000</f>
        <v>3.33</v>
      </c>
      <c r="D587" s="142">
        <f>'BC.114+320'!AA586</f>
        <v>4.0990000000000002</v>
      </c>
      <c r="E587" s="143">
        <f>'BC.114+320'!AB586</f>
        <v>2.75</v>
      </c>
      <c r="F587" s="142">
        <f>VLOOKUP($A587,'BC.114+320'!$B$13:$X$4876,8,0)/1000</f>
        <v>2.1539999999999999</v>
      </c>
      <c r="G587" s="142">
        <f>VLOOKUP($A587,'BC.114+320'!$B$13:$X$4876,9,0)/1000</f>
        <v>-0.84599999999999997</v>
      </c>
      <c r="H587" s="142">
        <f>VLOOKUP($A587,'BC.114+320'!$B$13:$X$4876,14,0)/1000</f>
        <v>2.06</v>
      </c>
      <c r="I587" s="142">
        <f>VLOOKUP($A587,'BC.114+320'!$B$13:$X$4876,15,0)/1000</f>
        <v>-0.94</v>
      </c>
      <c r="J587" s="142">
        <f>VLOOKUP($A587,'BC.114+320'!$B$13:$X$4876,20,0)/1000</f>
        <v>2.2440000000000002</v>
      </c>
      <c r="K587" s="142">
        <f>VLOOKUP($A587,'BC.114+320'!$B$13:$X$4876,21,0)/1000</f>
        <v>-0.75600000000000001</v>
      </c>
      <c r="L587" s="140">
        <f t="shared" si="32"/>
        <v>-665.99999999999989</v>
      </c>
      <c r="M587" s="141">
        <f t="shared" si="33"/>
        <v>-760</v>
      </c>
      <c r="N587" s="140">
        <f t="shared" si="34"/>
        <v>-636</v>
      </c>
      <c r="O587" s="140"/>
    </row>
    <row r="588" spans="1:15">
      <c r="A588" s="76">
        <f>'BC.114+320'!B587</f>
        <v>45617</v>
      </c>
      <c r="B588" s="140">
        <f t="shared" si="35"/>
        <v>574</v>
      </c>
      <c r="C588" s="142">
        <f>'BC.114+320'!M587/1000</f>
        <v>3.3260000000000001</v>
      </c>
      <c r="D588" s="142">
        <f>'BC.114+320'!AA587</f>
        <v>4.0990000000000002</v>
      </c>
      <c r="E588" s="143">
        <f>'BC.114+320'!AB587</f>
        <v>2.742</v>
      </c>
      <c r="F588" s="142">
        <f>VLOOKUP($A588,'BC.114+320'!$B$13:$X$4876,8,0)/1000</f>
        <v>2.15</v>
      </c>
      <c r="G588" s="142">
        <f>VLOOKUP($A588,'BC.114+320'!$B$13:$X$4876,9,0)/1000</f>
        <v>-0.85</v>
      </c>
      <c r="H588" s="142">
        <f>VLOOKUP($A588,'BC.114+320'!$B$13:$X$4876,14,0)/1000</f>
        <v>2.056</v>
      </c>
      <c r="I588" s="142">
        <f>VLOOKUP($A588,'BC.114+320'!$B$13:$X$4876,15,0)/1000</f>
        <v>-0.94399999999999995</v>
      </c>
      <c r="J588" s="142">
        <f>VLOOKUP($A588,'BC.114+320'!$B$13:$X$4876,20,0)/1000</f>
        <v>2.2410000000000001</v>
      </c>
      <c r="K588" s="142">
        <f>VLOOKUP($A588,'BC.114+320'!$B$13:$X$4876,21,0)/1000</f>
        <v>-0.75900000000000001</v>
      </c>
      <c r="L588" s="140">
        <f t="shared" si="32"/>
        <v>-669.99999999999989</v>
      </c>
      <c r="M588" s="141">
        <f t="shared" si="33"/>
        <v>-764</v>
      </c>
      <c r="N588" s="140">
        <f t="shared" si="34"/>
        <v>-639</v>
      </c>
      <c r="O588" s="140"/>
    </row>
    <row r="589" spans="1:15">
      <c r="A589" s="76">
        <f>'BC.114+320'!B588</f>
        <v>45618</v>
      </c>
      <c r="B589" s="140">
        <f t="shared" si="35"/>
        <v>575</v>
      </c>
      <c r="C589" s="142">
        <f>'BC.114+320'!M588/1000</f>
        <v>3.323</v>
      </c>
      <c r="D589" s="142">
        <f>'BC.114+320'!AA588</f>
        <v>4.0990000000000002</v>
      </c>
      <c r="E589" s="143">
        <f>'BC.114+320'!AB588</f>
        <v>2.7360000000000002</v>
      </c>
      <c r="F589" s="142">
        <f>VLOOKUP($A589,'BC.114+320'!$B$13:$X$4876,8,0)/1000</f>
        <v>2.1429999999999998</v>
      </c>
      <c r="G589" s="142">
        <f>VLOOKUP($A589,'BC.114+320'!$B$13:$X$4876,9,0)/1000</f>
        <v>-0.85699999999999998</v>
      </c>
      <c r="H589" s="142">
        <f>VLOOKUP($A589,'BC.114+320'!$B$13:$X$4876,14,0)/1000</f>
        <v>2.0529999999999999</v>
      </c>
      <c r="I589" s="142">
        <f>VLOOKUP($A589,'BC.114+320'!$B$13:$X$4876,15,0)/1000</f>
        <v>-0.94699999999999995</v>
      </c>
      <c r="J589" s="142">
        <f>VLOOKUP($A589,'BC.114+320'!$B$13:$X$4876,20,0)/1000</f>
        <v>2.2389999999999999</v>
      </c>
      <c r="K589" s="142">
        <f>VLOOKUP($A589,'BC.114+320'!$B$13:$X$4876,21,0)/1000</f>
        <v>-0.76100000000000001</v>
      </c>
      <c r="L589" s="140">
        <f t="shared" si="32"/>
        <v>-677</v>
      </c>
      <c r="M589" s="141">
        <f t="shared" si="33"/>
        <v>-766.99999999999989</v>
      </c>
      <c r="N589" s="140">
        <f t="shared" si="34"/>
        <v>-641</v>
      </c>
      <c r="O589" s="140"/>
    </row>
    <row r="590" spans="1:15">
      <c r="A590" s="76">
        <f>'BC.114+320'!B589</f>
        <v>45619</v>
      </c>
      <c r="B590" s="140">
        <f t="shared" si="35"/>
        <v>576</v>
      </c>
      <c r="C590" s="142">
        <f>'BC.114+320'!M589/1000</f>
        <v>3.3210000000000002</v>
      </c>
      <c r="D590" s="142">
        <f>'BC.114+320'!AA589</f>
        <v>4.0990000000000002</v>
      </c>
      <c r="E590" s="143">
        <f>'BC.114+320'!AB589</f>
        <v>2.7320000000000002</v>
      </c>
      <c r="F590" s="142">
        <f>VLOOKUP($A590,'BC.114+320'!$B$13:$X$4876,8,0)/1000</f>
        <v>2.1379999999999999</v>
      </c>
      <c r="G590" s="142">
        <f>VLOOKUP($A590,'BC.114+320'!$B$13:$X$4876,9,0)/1000</f>
        <v>-0.86199999999999999</v>
      </c>
      <c r="H590" s="142">
        <f>VLOOKUP($A590,'BC.114+320'!$B$13:$X$4876,14,0)/1000</f>
        <v>2.0510000000000002</v>
      </c>
      <c r="I590" s="142">
        <f>VLOOKUP($A590,'BC.114+320'!$B$13:$X$4876,15,0)/1000</f>
        <v>-0.94899999999999995</v>
      </c>
      <c r="J590" s="142">
        <f>VLOOKUP($A590,'BC.114+320'!$B$13:$X$4876,20,0)/1000</f>
        <v>2.2349999999999999</v>
      </c>
      <c r="K590" s="142">
        <f>VLOOKUP($A590,'BC.114+320'!$B$13:$X$4876,21,0)/1000</f>
        <v>-0.76500000000000001</v>
      </c>
      <c r="L590" s="140">
        <f t="shared" ref="L590:L653" si="36">(G590-$G$14)*1000</f>
        <v>-681.99999999999989</v>
      </c>
      <c r="M590" s="141">
        <f t="shared" ref="M590:M653" si="37">(I590-$I$14)*1000</f>
        <v>-768.99999999999989</v>
      </c>
      <c r="N590" s="140">
        <f t="shared" si="34"/>
        <v>-645</v>
      </c>
      <c r="O590" s="140"/>
    </row>
    <row r="591" spans="1:15">
      <c r="A591" s="76">
        <f>'BC.114+320'!B590</f>
        <v>45620</v>
      </c>
      <c r="B591" s="140">
        <f t="shared" si="35"/>
        <v>577</v>
      </c>
      <c r="C591" s="142">
        <f>'BC.114+320'!M590/1000</f>
        <v>3.3170000000000002</v>
      </c>
      <c r="D591" s="142">
        <f>'BC.114+320'!AA590</f>
        <v>4.0990000000000002</v>
      </c>
      <c r="E591" s="143">
        <f>'BC.114+320'!AB590</f>
        <v>2.7240000000000002</v>
      </c>
      <c r="F591" s="142">
        <f>VLOOKUP($A591,'BC.114+320'!$B$13:$X$4876,8,0)/1000</f>
        <v>2.133</v>
      </c>
      <c r="G591" s="142">
        <f>VLOOKUP($A591,'BC.114+320'!$B$13:$X$4876,9,0)/1000</f>
        <v>-0.86699999999999999</v>
      </c>
      <c r="H591" s="142">
        <f>VLOOKUP($A591,'BC.114+320'!$B$13:$X$4876,14,0)/1000</f>
        <v>2.0470000000000002</v>
      </c>
      <c r="I591" s="142">
        <f>VLOOKUP($A591,'BC.114+320'!$B$13:$X$4876,15,0)/1000</f>
        <v>-0.95299999999999996</v>
      </c>
      <c r="J591" s="142">
        <f>VLOOKUP($A591,'BC.114+320'!$B$13:$X$4876,20,0)/1000</f>
        <v>2.2320000000000002</v>
      </c>
      <c r="K591" s="142">
        <f>VLOOKUP($A591,'BC.114+320'!$B$13:$X$4876,21,0)/1000</f>
        <v>-0.76800000000000002</v>
      </c>
      <c r="L591" s="140">
        <f t="shared" si="36"/>
        <v>-687</v>
      </c>
      <c r="M591" s="141">
        <f t="shared" si="37"/>
        <v>-772.99999999999989</v>
      </c>
      <c r="N591" s="140">
        <f t="shared" ref="N591:N654" si="38">(K591-$K$14)*1000</f>
        <v>-648</v>
      </c>
      <c r="O591" s="140"/>
    </row>
    <row r="592" spans="1:15">
      <c r="A592" s="76">
        <f>'BC.114+320'!B591</f>
        <v>45621</v>
      </c>
      <c r="B592" s="140">
        <f t="shared" ref="B592:B655" si="39">+B591+1</f>
        <v>578</v>
      </c>
      <c r="C592" s="142">
        <f>'BC.114+320'!M591/1000</f>
        <v>3.31</v>
      </c>
      <c r="D592" s="142">
        <f>'BC.114+320'!AA591</f>
        <v>4.0990000000000002</v>
      </c>
      <c r="E592" s="143">
        <f>'BC.114+320'!AB591</f>
        <v>2.71</v>
      </c>
      <c r="F592" s="142">
        <f>VLOOKUP($A592,'BC.114+320'!$B$13:$X$4876,8,0)/1000</f>
        <v>2.129</v>
      </c>
      <c r="G592" s="142">
        <f>VLOOKUP($A592,'BC.114+320'!$B$13:$X$4876,9,0)/1000</f>
        <v>-0.871</v>
      </c>
      <c r="H592" s="142">
        <f>VLOOKUP($A592,'BC.114+320'!$B$13:$X$4876,14,0)/1000</f>
        <v>2.04</v>
      </c>
      <c r="I592" s="142">
        <f>VLOOKUP($A592,'BC.114+320'!$B$13:$X$4876,15,0)/1000</f>
        <v>-0.96</v>
      </c>
      <c r="J592" s="142">
        <f>VLOOKUP($A592,'BC.114+320'!$B$13:$X$4876,20,0)/1000</f>
        <v>2.2280000000000002</v>
      </c>
      <c r="K592" s="142">
        <f>VLOOKUP($A592,'BC.114+320'!$B$13:$X$4876,21,0)/1000</f>
        <v>-0.77200000000000002</v>
      </c>
      <c r="L592" s="140">
        <f t="shared" si="36"/>
        <v>-691.00000000000011</v>
      </c>
      <c r="M592" s="141">
        <f t="shared" si="37"/>
        <v>-780</v>
      </c>
      <c r="N592" s="140">
        <f t="shared" si="38"/>
        <v>-652</v>
      </c>
      <c r="O592" s="140"/>
    </row>
    <row r="593" spans="1:15">
      <c r="A593" s="76">
        <f>'BC.114+320'!B592</f>
        <v>45622</v>
      </c>
      <c r="B593" s="140">
        <f t="shared" si="39"/>
        <v>579</v>
      </c>
      <c r="C593" s="142">
        <f>'BC.114+320'!M592/1000</f>
        <v>3.3050000000000002</v>
      </c>
      <c r="D593" s="142">
        <f>'BC.114+320'!AA592</f>
        <v>4.0990000000000002</v>
      </c>
      <c r="E593" s="143">
        <f>'BC.114+320'!AB592</f>
        <v>2.7</v>
      </c>
      <c r="F593" s="142">
        <f>VLOOKUP($A593,'BC.114+320'!$B$13:$X$4876,8,0)/1000</f>
        <v>2.1259999999999999</v>
      </c>
      <c r="G593" s="142">
        <f>VLOOKUP($A593,'BC.114+320'!$B$13:$X$4876,9,0)/1000</f>
        <v>-0.874</v>
      </c>
      <c r="H593" s="142">
        <f>VLOOKUP($A593,'BC.114+320'!$B$13:$X$4876,14,0)/1000</f>
        <v>2.0350000000000001</v>
      </c>
      <c r="I593" s="142">
        <f>VLOOKUP($A593,'BC.114+320'!$B$13:$X$4876,15,0)/1000</f>
        <v>-0.96499999999999997</v>
      </c>
      <c r="J593" s="142">
        <f>VLOOKUP($A593,'BC.114+320'!$B$13:$X$4876,20,0)/1000</f>
        <v>2.2210000000000001</v>
      </c>
      <c r="K593" s="142">
        <f>VLOOKUP($A593,'BC.114+320'!$B$13:$X$4876,21,0)/1000</f>
        <v>-0.77900000000000003</v>
      </c>
      <c r="L593" s="140">
        <f t="shared" si="36"/>
        <v>-694</v>
      </c>
      <c r="M593" s="141">
        <f t="shared" si="37"/>
        <v>-784.99999999999989</v>
      </c>
      <c r="N593" s="140">
        <f t="shared" si="38"/>
        <v>-659</v>
      </c>
      <c r="O593" s="140"/>
    </row>
    <row r="594" spans="1:15">
      <c r="A594" s="76">
        <f>'BC.114+320'!B593</f>
        <v>45623</v>
      </c>
      <c r="B594" s="140">
        <f t="shared" si="39"/>
        <v>580</v>
      </c>
      <c r="C594" s="142">
        <f>'BC.114+320'!M593/1000</f>
        <v>3.3</v>
      </c>
      <c r="D594" s="142">
        <f>'BC.114+320'!AA593</f>
        <v>4.0990000000000002</v>
      </c>
      <c r="E594" s="143">
        <f>'BC.114+320'!AB593</f>
        <v>2.69</v>
      </c>
      <c r="F594" s="142">
        <f>VLOOKUP($A594,'BC.114+320'!$B$13:$X$4876,8,0)/1000</f>
        <v>2.1240000000000001</v>
      </c>
      <c r="G594" s="142">
        <f>VLOOKUP($A594,'BC.114+320'!$B$13:$X$4876,9,0)/1000</f>
        <v>-0.876</v>
      </c>
      <c r="H594" s="142">
        <f>VLOOKUP($A594,'BC.114+320'!$B$13:$X$4876,14,0)/1000</f>
        <v>2.0299999999999998</v>
      </c>
      <c r="I594" s="142">
        <f>VLOOKUP($A594,'BC.114+320'!$B$13:$X$4876,15,0)/1000</f>
        <v>-0.97</v>
      </c>
      <c r="J594" s="142">
        <f>VLOOKUP($A594,'BC.114+320'!$B$13:$X$4876,20,0)/1000</f>
        <v>2.2160000000000002</v>
      </c>
      <c r="K594" s="142">
        <f>VLOOKUP($A594,'BC.114+320'!$B$13:$X$4876,21,0)/1000</f>
        <v>-0.78400000000000003</v>
      </c>
      <c r="L594" s="140">
        <f t="shared" si="36"/>
        <v>-696</v>
      </c>
      <c r="M594" s="141">
        <f t="shared" si="37"/>
        <v>-790</v>
      </c>
      <c r="N594" s="140">
        <f t="shared" si="38"/>
        <v>-664</v>
      </c>
      <c r="O594" s="140"/>
    </row>
    <row r="595" spans="1:15">
      <c r="A595" s="76">
        <f>'BC.114+320'!B594</f>
        <v>45624</v>
      </c>
      <c r="B595" s="140">
        <f t="shared" si="39"/>
        <v>581</v>
      </c>
      <c r="C595" s="142">
        <f>'BC.114+320'!M594/1000</f>
        <v>3.2959999999999998</v>
      </c>
      <c r="D595" s="142">
        <f>'BC.114+320'!AA594</f>
        <v>4.0990000000000002</v>
      </c>
      <c r="E595" s="143">
        <f>'BC.114+320'!AB594</f>
        <v>2.6819999999999999</v>
      </c>
      <c r="F595" s="142">
        <f>VLOOKUP($A595,'BC.114+320'!$B$13:$X$4876,8,0)/1000</f>
        <v>2.12</v>
      </c>
      <c r="G595" s="142">
        <f>VLOOKUP($A595,'BC.114+320'!$B$13:$X$4876,9,0)/1000</f>
        <v>-0.88</v>
      </c>
      <c r="H595" s="142">
        <f>VLOOKUP($A595,'BC.114+320'!$B$13:$X$4876,14,0)/1000</f>
        <v>2.0259999999999998</v>
      </c>
      <c r="I595" s="142">
        <f>VLOOKUP($A595,'BC.114+320'!$B$13:$X$4876,15,0)/1000</f>
        <v>-0.97399999999999998</v>
      </c>
      <c r="J595" s="142">
        <f>VLOOKUP($A595,'BC.114+320'!$B$13:$X$4876,20,0)/1000</f>
        <v>2.2109999999999999</v>
      </c>
      <c r="K595" s="142">
        <f>VLOOKUP($A595,'BC.114+320'!$B$13:$X$4876,21,0)/1000</f>
        <v>-0.78900000000000003</v>
      </c>
      <c r="L595" s="140">
        <f t="shared" si="36"/>
        <v>-700</v>
      </c>
      <c r="M595" s="141">
        <f t="shared" si="37"/>
        <v>-794</v>
      </c>
      <c r="N595" s="140">
        <f t="shared" si="38"/>
        <v>-669</v>
      </c>
      <c r="O595" s="140"/>
    </row>
    <row r="596" spans="1:15">
      <c r="A596" s="76">
        <f>'BC.114+320'!B595</f>
        <v>45625</v>
      </c>
      <c r="B596" s="140">
        <f t="shared" si="39"/>
        <v>582</v>
      </c>
      <c r="C596" s="142">
        <f>'BC.114+320'!M595/1000</f>
        <v>3.2930000000000001</v>
      </c>
      <c r="D596" s="142">
        <f>'BC.114+320'!AA595</f>
        <v>4.0990000000000002</v>
      </c>
      <c r="E596" s="143">
        <f>'BC.114+320'!AB595</f>
        <v>2.6760000000000002</v>
      </c>
      <c r="F596" s="142">
        <f>VLOOKUP($A596,'BC.114+320'!$B$13:$X$4876,8,0)/1000</f>
        <v>2.117</v>
      </c>
      <c r="G596" s="142">
        <f>VLOOKUP($A596,'BC.114+320'!$B$13:$X$4876,9,0)/1000</f>
        <v>-0.88300000000000001</v>
      </c>
      <c r="H596" s="142">
        <f>VLOOKUP($A596,'BC.114+320'!$B$13:$X$4876,14,0)/1000</f>
        <v>2.0230000000000001</v>
      </c>
      <c r="I596" s="142">
        <f>VLOOKUP($A596,'BC.114+320'!$B$13:$X$4876,15,0)/1000</f>
        <v>-0.97699999999999998</v>
      </c>
      <c r="J596" s="142">
        <f>VLOOKUP($A596,'BC.114+320'!$B$13:$X$4876,20,0)/1000</f>
        <v>2.2069999999999999</v>
      </c>
      <c r="K596" s="142">
        <f>VLOOKUP($A596,'BC.114+320'!$B$13:$X$4876,21,0)/1000</f>
        <v>-0.79300000000000004</v>
      </c>
      <c r="L596" s="140">
        <f t="shared" si="36"/>
        <v>-703.00000000000011</v>
      </c>
      <c r="M596" s="141">
        <f t="shared" si="37"/>
        <v>-796.99999999999989</v>
      </c>
      <c r="N596" s="140">
        <f t="shared" si="38"/>
        <v>-673</v>
      </c>
      <c r="O596" s="140"/>
    </row>
    <row r="597" spans="1:15">
      <c r="A597" s="76">
        <f>'BC.114+320'!B596</f>
        <v>45626</v>
      </c>
      <c r="B597" s="140">
        <f t="shared" si="39"/>
        <v>583</v>
      </c>
      <c r="C597" s="142">
        <f>'BC.114+320'!M596/1000</f>
        <v>3.2909999999999999</v>
      </c>
      <c r="D597" s="142">
        <f>'BC.114+320'!AA596</f>
        <v>4.0990000000000002</v>
      </c>
      <c r="E597" s="143">
        <f>'BC.114+320'!AB596</f>
        <v>2.6720000000000002</v>
      </c>
      <c r="F597" s="142">
        <f>VLOOKUP($A597,'BC.114+320'!$B$13:$X$4876,8,0)/1000</f>
        <v>2.1150000000000002</v>
      </c>
      <c r="G597" s="142">
        <f>VLOOKUP($A597,'BC.114+320'!$B$13:$X$4876,9,0)/1000</f>
        <v>-0.88500000000000001</v>
      </c>
      <c r="H597" s="142">
        <f>VLOOKUP($A597,'BC.114+320'!$B$13:$X$4876,14,0)/1000</f>
        <v>2.0209999999999999</v>
      </c>
      <c r="I597" s="142">
        <f>VLOOKUP($A597,'BC.114+320'!$B$13:$X$4876,15,0)/1000</f>
        <v>-0.97899999999999998</v>
      </c>
      <c r="J597" s="142">
        <f>VLOOKUP($A597,'BC.114+320'!$B$13:$X$4876,20,0)/1000</f>
        <v>2.2040000000000002</v>
      </c>
      <c r="K597" s="142">
        <f>VLOOKUP($A597,'BC.114+320'!$B$13:$X$4876,21,0)/1000</f>
        <v>-0.79600000000000004</v>
      </c>
      <c r="L597" s="140">
        <f t="shared" si="36"/>
        <v>-705.00000000000011</v>
      </c>
      <c r="M597" s="141">
        <f t="shared" si="37"/>
        <v>-798.99999999999989</v>
      </c>
      <c r="N597" s="140">
        <f t="shared" si="38"/>
        <v>-676</v>
      </c>
      <c r="O597" s="140"/>
    </row>
    <row r="598" spans="1:15">
      <c r="A598" s="76">
        <f>'BC.114+320'!B597</f>
        <v>45627</v>
      </c>
      <c r="B598" s="140">
        <f t="shared" si="39"/>
        <v>584</v>
      </c>
      <c r="C598" s="142">
        <f>'BC.114+320'!M597/1000</f>
        <v>3.2869999999999999</v>
      </c>
      <c r="D598" s="142">
        <f>'BC.114+320'!AA597</f>
        <v>4.0990000000000002</v>
      </c>
      <c r="E598" s="143">
        <f>'BC.114+320'!AB597</f>
        <v>2.6640000000000001</v>
      </c>
      <c r="F598" s="142">
        <f>VLOOKUP($A598,'BC.114+320'!$B$13:$X$4876,8,0)/1000</f>
        <v>2.1110000000000002</v>
      </c>
      <c r="G598" s="142">
        <f>VLOOKUP($A598,'BC.114+320'!$B$13:$X$4876,9,0)/1000</f>
        <v>-0.88900000000000001</v>
      </c>
      <c r="H598" s="142">
        <f>VLOOKUP($A598,'BC.114+320'!$B$13:$X$4876,14,0)/1000</f>
        <v>2.0169999999999999</v>
      </c>
      <c r="I598" s="142">
        <f>VLOOKUP($A598,'BC.114+320'!$B$13:$X$4876,15,0)/1000</f>
        <v>-0.98299999999999998</v>
      </c>
      <c r="J598" s="142">
        <f>VLOOKUP($A598,'BC.114+320'!$B$13:$X$4876,20,0)/1000</f>
        <v>2.202</v>
      </c>
      <c r="K598" s="142">
        <f>VLOOKUP($A598,'BC.114+320'!$B$13:$X$4876,21,0)/1000</f>
        <v>-0.79800000000000004</v>
      </c>
      <c r="L598" s="140">
        <f t="shared" si="36"/>
        <v>-709.00000000000011</v>
      </c>
      <c r="M598" s="141">
        <f t="shared" si="37"/>
        <v>-802.99999999999989</v>
      </c>
      <c r="N598" s="140">
        <f t="shared" si="38"/>
        <v>-678</v>
      </c>
      <c r="O598" s="140"/>
    </row>
    <row r="599" spans="1:15">
      <c r="A599" s="76">
        <f>'BC.114+320'!B598</f>
        <v>45628</v>
      </c>
      <c r="B599" s="140">
        <f t="shared" si="39"/>
        <v>585</v>
      </c>
      <c r="C599" s="142">
        <f>'BC.114+320'!M598/1000</f>
        <v>3.28</v>
      </c>
      <c r="D599" s="142">
        <f>'BC.114+320'!AA598</f>
        <v>4.0990000000000002</v>
      </c>
      <c r="E599" s="143">
        <f>'BC.114+320'!AB598</f>
        <v>2.65</v>
      </c>
      <c r="F599" s="142">
        <f>VLOOKUP($A599,'BC.114+320'!$B$13:$X$4876,8,0)/1000</f>
        <v>2.109</v>
      </c>
      <c r="G599" s="142">
        <f>VLOOKUP($A599,'BC.114+320'!$B$13:$X$4876,9,0)/1000</f>
        <v>-0.89100000000000001</v>
      </c>
      <c r="H599" s="142">
        <f>VLOOKUP($A599,'BC.114+320'!$B$13:$X$4876,14,0)/1000</f>
        <v>2.0099999999999998</v>
      </c>
      <c r="I599" s="142">
        <f>VLOOKUP($A599,'BC.114+320'!$B$13:$X$4876,15,0)/1000</f>
        <v>-0.99</v>
      </c>
      <c r="J599" s="142">
        <f>VLOOKUP($A599,'BC.114+320'!$B$13:$X$4876,20,0)/1000</f>
        <v>2.198</v>
      </c>
      <c r="K599" s="142">
        <f>VLOOKUP($A599,'BC.114+320'!$B$13:$X$4876,21,0)/1000</f>
        <v>-0.80200000000000005</v>
      </c>
      <c r="L599" s="140">
        <f t="shared" si="36"/>
        <v>-711.00000000000011</v>
      </c>
      <c r="M599" s="141">
        <f t="shared" si="37"/>
        <v>-810</v>
      </c>
      <c r="N599" s="140">
        <f t="shared" si="38"/>
        <v>-682</v>
      </c>
      <c r="O599" s="140"/>
    </row>
    <row r="600" spans="1:15">
      <c r="A600" s="76">
        <f>'BC.114+320'!B599</f>
        <v>45629</v>
      </c>
      <c r="B600" s="140">
        <f t="shared" si="39"/>
        <v>586</v>
      </c>
      <c r="C600" s="142">
        <f>'BC.114+320'!M599/1000</f>
        <v>3.2749999999999999</v>
      </c>
      <c r="D600" s="142">
        <f>'BC.114+320'!AA599</f>
        <v>4.0990000000000002</v>
      </c>
      <c r="E600" s="143">
        <f>'BC.114+320'!AB599</f>
        <v>2.64</v>
      </c>
      <c r="F600" s="142">
        <f>VLOOKUP($A600,'BC.114+320'!$B$13:$X$4876,8,0)/1000</f>
        <v>2.1070000000000002</v>
      </c>
      <c r="G600" s="142">
        <f>VLOOKUP($A600,'BC.114+320'!$B$13:$X$4876,9,0)/1000</f>
        <v>-0.89300000000000002</v>
      </c>
      <c r="H600" s="142">
        <f>VLOOKUP($A600,'BC.114+320'!$B$13:$X$4876,14,0)/1000</f>
        <v>2.0049999999999999</v>
      </c>
      <c r="I600" s="142">
        <f>VLOOKUP($A600,'BC.114+320'!$B$13:$X$4876,15,0)/1000</f>
        <v>-0.995</v>
      </c>
      <c r="J600" s="142">
        <f>VLOOKUP($A600,'BC.114+320'!$B$13:$X$4876,20,0)/1000</f>
        <v>2.1949999999999998</v>
      </c>
      <c r="K600" s="142">
        <f>VLOOKUP($A600,'BC.114+320'!$B$13:$X$4876,21,0)/1000</f>
        <v>-0.80500000000000005</v>
      </c>
      <c r="L600" s="140">
        <f t="shared" si="36"/>
        <v>-713.00000000000011</v>
      </c>
      <c r="M600" s="141">
        <f t="shared" si="37"/>
        <v>-815</v>
      </c>
      <c r="N600" s="140">
        <f t="shared" si="38"/>
        <v>-685</v>
      </c>
      <c r="O600" s="140"/>
    </row>
    <row r="601" spans="1:15">
      <c r="A601" s="76">
        <f>'BC.114+320'!B600</f>
        <v>45630</v>
      </c>
      <c r="B601" s="140">
        <f t="shared" si="39"/>
        <v>587</v>
      </c>
      <c r="C601" s="142">
        <f>'BC.114+320'!M600/1000</f>
        <v>3.27</v>
      </c>
      <c r="D601" s="142">
        <f>'BC.114+320'!AA600</f>
        <v>4.0990000000000002</v>
      </c>
      <c r="E601" s="143">
        <f>'BC.114+320'!AB600</f>
        <v>2.63</v>
      </c>
      <c r="F601" s="142">
        <f>VLOOKUP($A601,'BC.114+320'!$B$13:$X$4876,8,0)/1000</f>
        <v>2.1040000000000001</v>
      </c>
      <c r="G601" s="142">
        <f>VLOOKUP($A601,'BC.114+320'!$B$13:$X$4876,9,0)/1000</f>
        <v>-0.89600000000000002</v>
      </c>
      <c r="H601" s="142">
        <f>VLOOKUP($A601,'BC.114+320'!$B$13:$X$4876,14,0)/1000</f>
        <v>2</v>
      </c>
      <c r="I601" s="142">
        <f>VLOOKUP($A601,'BC.114+320'!$B$13:$X$4876,15,0)/1000</f>
        <v>-1</v>
      </c>
      <c r="J601" s="142">
        <f>VLOOKUP($A601,'BC.114+320'!$B$13:$X$4876,20,0)/1000</f>
        <v>2.1930000000000001</v>
      </c>
      <c r="K601" s="142">
        <f>VLOOKUP($A601,'BC.114+320'!$B$13:$X$4876,21,0)/1000</f>
        <v>-0.80700000000000005</v>
      </c>
      <c r="L601" s="140">
        <f t="shared" si="36"/>
        <v>-716</v>
      </c>
      <c r="M601" s="141">
        <f t="shared" si="37"/>
        <v>-820.00000000000011</v>
      </c>
      <c r="N601" s="140">
        <f t="shared" si="38"/>
        <v>-687</v>
      </c>
      <c r="O601" s="140"/>
    </row>
    <row r="602" spans="1:15">
      <c r="A602" s="76">
        <f>'BC.114+320'!B601</f>
        <v>45631</v>
      </c>
      <c r="B602" s="140">
        <f t="shared" si="39"/>
        <v>588</v>
      </c>
      <c r="C602" s="142">
        <f>'BC.114+320'!M601/1000</f>
        <v>3.266</v>
      </c>
      <c r="D602" s="142">
        <f>'BC.114+320'!AA601</f>
        <v>4.0990000000000002</v>
      </c>
      <c r="E602" s="143">
        <f>'BC.114+320'!AB601</f>
        <v>2.6219999999999999</v>
      </c>
      <c r="F602" s="142">
        <f>VLOOKUP($A602,'BC.114+320'!$B$13:$X$4876,8,0)/1000</f>
        <v>2.1</v>
      </c>
      <c r="G602" s="142">
        <f>VLOOKUP($A602,'BC.114+320'!$B$13:$X$4876,9,0)/1000</f>
        <v>-0.9</v>
      </c>
      <c r="H602" s="142">
        <f>VLOOKUP($A602,'BC.114+320'!$B$13:$X$4876,14,0)/1000</f>
        <v>1.996</v>
      </c>
      <c r="I602" s="142">
        <f>VLOOKUP($A602,'BC.114+320'!$B$13:$X$4876,15,0)/1000</f>
        <v>-1.004</v>
      </c>
      <c r="J602" s="142">
        <f>VLOOKUP($A602,'BC.114+320'!$B$13:$X$4876,20,0)/1000</f>
        <v>2.1890000000000001</v>
      </c>
      <c r="K602" s="142">
        <f>VLOOKUP($A602,'BC.114+320'!$B$13:$X$4876,21,0)/1000</f>
        <v>-0.81100000000000005</v>
      </c>
      <c r="L602" s="140">
        <f t="shared" si="36"/>
        <v>-720</v>
      </c>
      <c r="M602" s="141">
        <f t="shared" si="37"/>
        <v>-824.00000000000011</v>
      </c>
      <c r="N602" s="140">
        <f t="shared" si="38"/>
        <v>-691.00000000000011</v>
      </c>
      <c r="O602" s="140"/>
    </row>
    <row r="603" spans="1:15">
      <c r="A603" s="76">
        <f>'BC.114+320'!B602</f>
        <v>45632</v>
      </c>
      <c r="B603" s="140">
        <f t="shared" si="39"/>
        <v>589</v>
      </c>
      <c r="C603" s="142">
        <f>'BC.114+320'!M602/1000</f>
        <v>3.2629999999999999</v>
      </c>
      <c r="D603" s="142">
        <f>'BC.114+320'!AA602</f>
        <v>4.0990000000000002</v>
      </c>
      <c r="E603" s="143">
        <f>'BC.114+320'!AB602</f>
        <v>2.6160000000000001</v>
      </c>
      <c r="F603" s="142">
        <f>VLOOKUP($A603,'BC.114+320'!$B$13:$X$4876,8,0)/1000</f>
        <v>2.097</v>
      </c>
      <c r="G603" s="142">
        <f>VLOOKUP($A603,'BC.114+320'!$B$13:$X$4876,9,0)/1000</f>
        <v>-0.90300000000000002</v>
      </c>
      <c r="H603" s="142">
        <f>VLOOKUP($A603,'BC.114+320'!$B$13:$X$4876,14,0)/1000</f>
        <v>1.9930000000000001</v>
      </c>
      <c r="I603" s="142">
        <f>VLOOKUP($A603,'BC.114+320'!$B$13:$X$4876,15,0)/1000</f>
        <v>-1.0069999999999999</v>
      </c>
      <c r="J603" s="142">
        <f>VLOOKUP($A603,'BC.114+320'!$B$13:$X$4876,20,0)/1000</f>
        <v>2.1819999999999999</v>
      </c>
      <c r="K603" s="142">
        <f>VLOOKUP($A603,'BC.114+320'!$B$13:$X$4876,21,0)/1000</f>
        <v>-0.81799999999999995</v>
      </c>
      <c r="L603" s="140">
        <f t="shared" si="36"/>
        <v>-723.00000000000011</v>
      </c>
      <c r="M603" s="141">
        <f t="shared" si="37"/>
        <v>-827</v>
      </c>
      <c r="N603" s="140">
        <f t="shared" si="38"/>
        <v>-698</v>
      </c>
      <c r="O603" s="140"/>
    </row>
    <row r="604" spans="1:15">
      <c r="A604" s="76">
        <f>'BC.114+320'!B603</f>
        <v>45633</v>
      </c>
      <c r="B604" s="140">
        <f t="shared" si="39"/>
        <v>590</v>
      </c>
      <c r="C604" s="142">
        <f>'BC.114+320'!M603/1000</f>
        <v>3.2610000000000001</v>
      </c>
      <c r="D604" s="142">
        <f>'BC.114+320'!AA603</f>
        <v>4.0990000000000002</v>
      </c>
      <c r="E604" s="143">
        <f>'BC.114+320'!AB603</f>
        <v>2.6120000000000001</v>
      </c>
      <c r="F604" s="142">
        <f>VLOOKUP($A604,'BC.114+320'!$B$13:$X$4876,8,0)/1000</f>
        <v>2.0950000000000002</v>
      </c>
      <c r="G604" s="142">
        <f>VLOOKUP($A604,'BC.114+320'!$B$13:$X$4876,9,0)/1000</f>
        <v>-0.90500000000000003</v>
      </c>
      <c r="H604" s="142">
        <f>VLOOKUP($A604,'BC.114+320'!$B$13:$X$4876,14,0)/1000</f>
        <v>1.9910000000000001</v>
      </c>
      <c r="I604" s="142">
        <f>VLOOKUP($A604,'BC.114+320'!$B$13:$X$4876,15,0)/1000</f>
        <v>-1.0089999999999999</v>
      </c>
      <c r="J604" s="142">
        <f>VLOOKUP($A604,'BC.114+320'!$B$13:$X$4876,20,0)/1000</f>
        <v>2.177</v>
      </c>
      <c r="K604" s="142">
        <f>VLOOKUP($A604,'BC.114+320'!$B$13:$X$4876,21,0)/1000</f>
        <v>-0.82299999999999995</v>
      </c>
      <c r="L604" s="140">
        <f t="shared" si="36"/>
        <v>-725.00000000000011</v>
      </c>
      <c r="M604" s="141">
        <f t="shared" si="37"/>
        <v>-829</v>
      </c>
      <c r="N604" s="140">
        <f t="shared" si="38"/>
        <v>-703</v>
      </c>
      <c r="O604" s="140"/>
    </row>
    <row r="605" spans="1:15">
      <c r="A605" s="76">
        <f>'BC.114+320'!B604</f>
        <v>45634</v>
      </c>
      <c r="B605" s="140">
        <f t="shared" si="39"/>
        <v>591</v>
      </c>
      <c r="C605" s="142">
        <f>'BC.114+320'!M604/1000</f>
        <v>3.2570000000000001</v>
      </c>
      <c r="D605" s="142">
        <f>'BC.114+320'!AA604</f>
        <v>4.0990000000000002</v>
      </c>
      <c r="E605" s="143">
        <f>'BC.114+320'!AB604</f>
        <v>2.6040000000000001</v>
      </c>
      <c r="F605" s="142">
        <f>VLOOKUP($A605,'BC.114+320'!$B$13:$X$4876,8,0)/1000</f>
        <v>2.0910000000000002</v>
      </c>
      <c r="G605" s="142">
        <f>VLOOKUP($A605,'BC.114+320'!$B$13:$X$4876,9,0)/1000</f>
        <v>-0.90900000000000003</v>
      </c>
      <c r="H605" s="142">
        <f>VLOOKUP($A605,'BC.114+320'!$B$13:$X$4876,14,0)/1000</f>
        <v>1.9870000000000001</v>
      </c>
      <c r="I605" s="142">
        <f>VLOOKUP($A605,'BC.114+320'!$B$13:$X$4876,15,0)/1000</f>
        <v>-1.0129999999999999</v>
      </c>
      <c r="J605" s="142">
        <f>VLOOKUP($A605,'BC.114+320'!$B$13:$X$4876,20,0)/1000</f>
        <v>2.1720000000000002</v>
      </c>
      <c r="K605" s="142">
        <f>VLOOKUP($A605,'BC.114+320'!$B$13:$X$4876,21,0)/1000</f>
        <v>-0.82799999999999996</v>
      </c>
      <c r="L605" s="140">
        <f t="shared" si="36"/>
        <v>-729.00000000000011</v>
      </c>
      <c r="M605" s="141">
        <f t="shared" si="37"/>
        <v>-833</v>
      </c>
      <c r="N605" s="140">
        <f t="shared" si="38"/>
        <v>-708</v>
      </c>
      <c r="O605" s="140"/>
    </row>
    <row r="606" spans="1:15">
      <c r="A606" s="76">
        <f>'BC.114+320'!B605</f>
        <v>45635</v>
      </c>
      <c r="B606" s="140">
        <f t="shared" si="39"/>
        <v>592</v>
      </c>
      <c r="C606" s="142">
        <f>'BC.114+320'!M605/1000</f>
        <v>3.254</v>
      </c>
      <c r="D606" s="142">
        <f>'BC.114+320'!AA605</f>
        <v>4.0990000000000002</v>
      </c>
      <c r="E606" s="143">
        <f>'BC.114+320'!AB605</f>
        <v>2.5979999999999999</v>
      </c>
      <c r="F606" s="142">
        <f>VLOOKUP($A606,'BC.114+320'!$B$13:$X$4876,8,0)/1000</f>
        <v>2.0880000000000001</v>
      </c>
      <c r="G606" s="142">
        <f>VLOOKUP($A606,'BC.114+320'!$B$13:$X$4876,9,0)/1000</f>
        <v>-0.91200000000000003</v>
      </c>
      <c r="H606" s="142">
        <f>VLOOKUP($A606,'BC.114+320'!$B$13:$X$4876,14,0)/1000</f>
        <v>1.984</v>
      </c>
      <c r="I606" s="142">
        <f>VLOOKUP($A606,'BC.114+320'!$B$13:$X$4876,15,0)/1000</f>
        <v>-1.016</v>
      </c>
      <c r="J606" s="142">
        <f>VLOOKUP($A606,'BC.114+320'!$B$13:$X$4876,20,0)/1000</f>
        <v>2.1680000000000001</v>
      </c>
      <c r="K606" s="142">
        <f>VLOOKUP($A606,'BC.114+320'!$B$13:$X$4876,21,0)/1000</f>
        <v>-0.83199999999999996</v>
      </c>
      <c r="L606" s="140">
        <f t="shared" si="36"/>
        <v>-732</v>
      </c>
      <c r="M606" s="141">
        <f t="shared" si="37"/>
        <v>-836.00000000000011</v>
      </c>
      <c r="N606" s="140">
        <f t="shared" si="38"/>
        <v>-712</v>
      </c>
      <c r="O606" s="140"/>
    </row>
    <row r="607" spans="1:15">
      <c r="A607" s="76">
        <f>'BC.114+320'!B606</f>
        <v>45636</v>
      </c>
      <c r="B607" s="140">
        <f t="shared" si="39"/>
        <v>593</v>
      </c>
      <c r="C607" s="142">
        <f>'BC.114+320'!M606/1000</f>
        <v>3.25</v>
      </c>
      <c r="D607" s="142">
        <f>'BC.114+320'!AA606</f>
        <v>4.0990000000000002</v>
      </c>
      <c r="E607" s="143">
        <f>'BC.114+320'!AB606</f>
        <v>2.59</v>
      </c>
      <c r="F607" s="142">
        <f>VLOOKUP($A607,'BC.114+320'!$B$13:$X$4876,8,0)/1000</f>
        <v>2.0840000000000001</v>
      </c>
      <c r="G607" s="142">
        <f>VLOOKUP($A607,'BC.114+320'!$B$13:$X$4876,9,0)/1000</f>
        <v>-0.91600000000000004</v>
      </c>
      <c r="H607" s="142">
        <f>VLOOKUP($A607,'BC.114+320'!$B$13:$X$4876,14,0)/1000</f>
        <v>1.98</v>
      </c>
      <c r="I607" s="142">
        <f>VLOOKUP($A607,'BC.114+320'!$B$13:$X$4876,15,0)/1000</f>
        <v>-1.02</v>
      </c>
      <c r="J607" s="142">
        <f>VLOOKUP($A607,'BC.114+320'!$B$13:$X$4876,20,0)/1000</f>
        <v>2.165</v>
      </c>
      <c r="K607" s="142">
        <f>VLOOKUP($A607,'BC.114+320'!$B$13:$X$4876,21,0)/1000</f>
        <v>-0.83499999999999996</v>
      </c>
      <c r="L607" s="140">
        <f t="shared" si="36"/>
        <v>-736</v>
      </c>
      <c r="M607" s="141">
        <f t="shared" si="37"/>
        <v>-840.00000000000011</v>
      </c>
      <c r="N607" s="140">
        <f t="shared" si="38"/>
        <v>-715</v>
      </c>
      <c r="O607" s="140"/>
    </row>
    <row r="608" spans="1:15">
      <c r="A608" s="76">
        <f>'BC.114+320'!B607</f>
        <v>45637</v>
      </c>
      <c r="B608" s="140">
        <f t="shared" si="39"/>
        <v>594</v>
      </c>
      <c r="C608" s="142">
        <f>'BC.114+320'!M607/1000</f>
        <v>3.2469999999999999</v>
      </c>
      <c r="D608" s="142">
        <f>'BC.114+320'!AA607</f>
        <v>4.0990000000000002</v>
      </c>
      <c r="E608" s="143">
        <f>'BC.114+320'!AB607</f>
        <v>2.5840000000000001</v>
      </c>
      <c r="F608" s="142">
        <f>VLOOKUP($A608,'BC.114+320'!$B$13:$X$4876,8,0)/1000</f>
        <v>2.077</v>
      </c>
      <c r="G608" s="142">
        <f>VLOOKUP($A608,'BC.114+320'!$B$13:$X$4876,9,0)/1000</f>
        <v>-0.92300000000000004</v>
      </c>
      <c r="H608" s="142">
        <f>VLOOKUP($A608,'BC.114+320'!$B$13:$X$4876,14,0)/1000</f>
        <v>1.9770000000000001</v>
      </c>
      <c r="I608" s="142">
        <f>VLOOKUP($A608,'BC.114+320'!$B$13:$X$4876,15,0)/1000</f>
        <v>-1.0229999999999999</v>
      </c>
      <c r="J608" s="142">
        <f>VLOOKUP($A608,'BC.114+320'!$B$13:$X$4876,20,0)/1000</f>
        <v>2.1629999999999998</v>
      </c>
      <c r="K608" s="142">
        <f>VLOOKUP($A608,'BC.114+320'!$B$13:$X$4876,21,0)/1000</f>
        <v>-0.83699999999999997</v>
      </c>
      <c r="L608" s="140">
        <f t="shared" si="36"/>
        <v>-743.00000000000011</v>
      </c>
      <c r="M608" s="141">
        <f t="shared" si="37"/>
        <v>-843</v>
      </c>
      <c r="N608" s="140">
        <f t="shared" si="38"/>
        <v>-717</v>
      </c>
      <c r="O608" s="140"/>
    </row>
    <row r="609" spans="1:15">
      <c r="A609" s="76">
        <f>'BC.114+320'!B608</f>
        <v>45638</v>
      </c>
      <c r="B609" s="140">
        <f t="shared" si="39"/>
        <v>595</v>
      </c>
      <c r="C609" s="142">
        <f>'BC.114+320'!M608/1000</f>
        <v>3.2450000000000001</v>
      </c>
      <c r="D609" s="142">
        <f>'BC.114+320'!AA608</f>
        <v>4.0990000000000002</v>
      </c>
      <c r="E609" s="143">
        <f>'BC.114+320'!AB608</f>
        <v>2.58</v>
      </c>
      <c r="F609" s="142">
        <f>VLOOKUP($A609,'BC.114+320'!$B$13:$X$4876,8,0)/1000</f>
        <v>2.0720000000000001</v>
      </c>
      <c r="G609" s="142">
        <f>VLOOKUP($A609,'BC.114+320'!$B$13:$X$4876,9,0)/1000</f>
        <v>-0.92800000000000005</v>
      </c>
      <c r="H609" s="142">
        <f>VLOOKUP($A609,'BC.114+320'!$B$13:$X$4876,14,0)/1000</f>
        <v>1.9750000000000001</v>
      </c>
      <c r="I609" s="142">
        <f>VLOOKUP($A609,'BC.114+320'!$B$13:$X$4876,15,0)/1000</f>
        <v>-1.0249999999999999</v>
      </c>
      <c r="J609" s="142">
        <f>VLOOKUP($A609,'BC.114+320'!$B$13:$X$4876,20,0)/1000</f>
        <v>2.1589999999999998</v>
      </c>
      <c r="K609" s="142">
        <f>VLOOKUP($A609,'BC.114+320'!$B$13:$X$4876,21,0)/1000</f>
        <v>-0.84099999999999997</v>
      </c>
      <c r="L609" s="140">
        <f t="shared" si="36"/>
        <v>-748</v>
      </c>
      <c r="M609" s="141">
        <f t="shared" si="37"/>
        <v>-845</v>
      </c>
      <c r="N609" s="140">
        <f t="shared" si="38"/>
        <v>-721</v>
      </c>
      <c r="O609" s="140"/>
    </row>
    <row r="610" spans="1:15">
      <c r="A610" s="76">
        <f>'BC.114+320'!B609</f>
        <v>45639</v>
      </c>
      <c r="B610" s="140">
        <f t="shared" si="39"/>
        <v>596</v>
      </c>
      <c r="C610" s="142">
        <f>'BC.114+320'!M609/1000</f>
        <v>3.2410000000000001</v>
      </c>
      <c r="D610" s="142">
        <f>'BC.114+320'!AA609</f>
        <v>4.0990000000000002</v>
      </c>
      <c r="E610" s="143">
        <f>'BC.114+320'!AB609</f>
        <v>2.5720000000000001</v>
      </c>
      <c r="F610" s="142">
        <f>VLOOKUP($A610,'BC.114+320'!$B$13:$X$4876,8,0)/1000</f>
        <v>2.0670000000000002</v>
      </c>
      <c r="G610" s="142">
        <f>VLOOKUP($A610,'BC.114+320'!$B$13:$X$4876,9,0)/1000</f>
        <v>-0.93300000000000005</v>
      </c>
      <c r="H610" s="142">
        <f>VLOOKUP($A610,'BC.114+320'!$B$13:$X$4876,14,0)/1000</f>
        <v>1.9710000000000001</v>
      </c>
      <c r="I610" s="142">
        <f>VLOOKUP($A610,'BC.114+320'!$B$13:$X$4876,15,0)/1000</f>
        <v>-1.0289999999999999</v>
      </c>
      <c r="J610" s="142">
        <f>VLOOKUP($A610,'BC.114+320'!$B$13:$X$4876,20,0)/1000</f>
        <v>2.1560000000000001</v>
      </c>
      <c r="K610" s="142">
        <f>VLOOKUP($A610,'BC.114+320'!$B$13:$X$4876,21,0)/1000</f>
        <v>-0.84399999999999997</v>
      </c>
      <c r="L610" s="140">
        <f t="shared" si="36"/>
        <v>-753.00000000000011</v>
      </c>
      <c r="M610" s="141">
        <f t="shared" si="37"/>
        <v>-849</v>
      </c>
      <c r="N610" s="140">
        <f t="shared" si="38"/>
        <v>-724</v>
      </c>
      <c r="O610" s="140"/>
    </row>
    <row r="611" spans="1:15">
      <c r="A611" s="76">
        <f>'BC.114+320'!B610</f>
        <v>45640</v>
      </c>
      <c r="B611" s="140">
        <f t="shared" si="39"/>
        <v>597</v>
      </c>
      <c r="C611" s="142">
        <f>'BC.114+320'!M610/1000</f>
        <v>3.234</v>
      </c>
      <c r="D611" s="142">
        <f>'BC.114+320'!AA610</f>
        <v>4.0990000000000002</v>
      </c>
      <c r="E611" s="143">
        <f>'BC.114+320'!AB610</f>
        <v>2.5579999999999998</v>
      </c>
      <c r="F611" s="142">
        <f>VLOOKUP($A611,'BC.114+320'!$B$13:$X$4876,8,0)/1000</f>
        <v>2.0630000000000002</v>
      </c>
      <c r="G611" s="142">
        <f>VLOOKUP($A611,'BC.114+320'!$B$13:$X$4876,9,0)/1000</f>
        <v>-0.93700000000000006</v>
      </c>
      <c r="H611" s="142">
        <f>VLOOKUP($A611,'BC.114+320'!$B$13:$X$4876,14,0)/1000</f>
        <v>1.964</v>
      </c>
      <c r="I611" s="142">
        <f>VLOOKUP($A611,'BC.114+320'!$B$13:$X$4876,15,0)/1000</f>
        <v>-1.036</v>
      </c>
      <c r="J611" s="142">
        <f>VLOOKUP($A611,'BC.114+320'!$B$13:$X$4876,20,0)/1000</f>
        <v>2.1520000000000001</v>
      </c>
      <c r="K611" s="142">
        <f>VLOOKUP($A611,'BC.114+320'!$B$13:$X$4876,21,0)/1000</f>
        <v>-0.84799999999999998</v>
      </c>
      <c r="L611" s="140">
        <f t="shared" si="36"/>
        <v>-757.00000000000011</v>
      </c>
      <c r="M611" s="141">
        <f t="shared" si="37"/>
        <v>-856.00000000000011</v>
      </c>
      <c r="N611" s="140">
        <f t="shared" si="38"/>
        <v>-728</v>
      </c>
      <c r="O611" s="140"/>
    </row>
    <row r="612" spans="1:15">
      <c r="A612" s="76">
        <f>'BC.114+320'!B611</f>
        <v>45641</v>
      </c>
      <c r="B612" s="140">
        <f t="shared" si="39"/>
        <v>598</v>
      </c>
      <c r="C612" s="142">
        <f>'BC.114+320'!M611/1000</f>
        <v>3.2290000000000001</v>
      </c>
      <c r="D612" s="142">
        <f>'BC.114+320'!AA611</f>
        <v>4.0990000000000002</v>
      </c>
      <c r="E612" s="143">
        <f>'BC.114+320'!AB611</f>
        <v>2.548</v>
      </c>
      <c r="F612" s="142">
        <f>VLOOKUP($A612,'BC.114+320'!$B$13:$X$4876,8,0)/1000</f>
        <v>2.06</v>
      </c>
      <c r="G612" s="142">
        <f>VLOOKUP($A612,'BC.114+320'!$B$13:$X$4876,9,0)/1000</f>
        <v>-0.94</v>
      </c>
      <c r="H612" s="142">
        <f>VLOOKUP($A612,'BC.114+320'!$B$13:$X$4876,14,0)/1000</f>
        <v>1.9590000000000001</v>
      </c>
      <c r="I612" s="142">
        <f>VLOOKUP($A612,'BC.114+320'!$B$13:$X$4876,15,0)/1000</f>
        <v>-1.0409999999999999</v>
      </c>
      <c r="J612" s="142">
        <f>VLOOKUP($A612,'BC.114+320'!$B$13:$X$4876,20,0)/1000</f>
        <v>2.145</v>
      </c>
      <c r="K612" s="142">
        <f>VLOOKUP($A612,'BC.114+320'!$B$13:$X$4876,21,0)/1000</f>
        <v>-0.85499999999999998</v>
      </c>
      <c r="L612" s="140">
        <f t="shared" si="36"/>
        <v>-760</v>
      </c>
      <c r="M612" s="141">
        <f t="shared" si="37"/>
        <v>-861</v>
      </c>
      <c r="N612" s="140">
        <f t="shared" si="38"/>
        <v>-735</v>
      </c>
      <c r="O612" s="140"/>
    </row>
    <row r="613" spans="1:15">
      <c r="A613" s="76">
        <f>'BC.114+320'!B612</f>
        <v>45642</v>
      </c>
      <c r="B613" s="140">
        <f t="shared" si="39"/>
        <v>599</v>
      </c>
      <c r="C613" s="142">
        <f>'BC.114+320'!M612/1000</f>
        <v>3.2240000000000002</v>
      </c>
      <c r="D613" s="142">
        <f>'BC.114+320'!AA612</f>
        <v>4.0990000000000002</v>
      </c>
      <c r="E613" s="143">
        <f>'BC.114+320'!AB612</f>
        <v>2.5379999999999998</v>
      </c>
      <c r="F613" s="142">
        <f>VLOOKUP($A613,'BC.114+320'!$B$13:$X$4876,8,0)/1000</f>
        <v>2.0579999999999998</v>
      </c>
      <c r="G613" s="142">
        <f>VLOOKUP($A613,'BC.114+320'!$B$13:$X$4876,9,0)/1000</f>
        <v>-0.94199999999999995</v>
      </c>
      <c r="H613" s="142">
        <f>VLOOKUP($A613,'BC.114+320'!$B$13:$X$4876,14,0)/1000</f>
        <v>1.954</v>
      </c>
      <c r="I613" s="142">
        <f>VLOOKUP($A613,'BC.114+320'!$B$13:$X$4876,15,0)/1000</f>
        <v>-1.046</v>
      </c>
      <c r="J613" s="142">
        <f>VLOOKUP($A613,'BC.114+320'!$B$13:$X$4876,20,0)/1000</f>
        <v>2.14</v>
      </c>
      <c r="K613" s="142">
        <f>VLOOKUP($A613,'BC.114+320'!$B$13:$X$4876,21,0)/1000</f>
        <v>-0.86</v>
      </c>
      <c r="L613" s="140">
        <f t="shared" si="36"/>
        <v>-762</v>
      </c>
      <c r="M613" s="141">
        <f t="shared" si="37"/>
        <v>-866.00000000000011</v>
      </c>
      <c r="N613" s="140">
        <f t="shared" si="38"/>
        <v>-740</v>
      </c>
      <c r="O613" s="140"/>
    </row>
    <row r="614" spans="1:15">
      <c r="A614" s="76">
        <f>'BC.114+320'!B613</f>
        <v>45643</v>
      </c>
      <c r="B614" s="140">
        <f t="shared" si="39"/>
        <v>600</v>
      </c>
      <c r="C614" s="142">
        <f>'BC.114+320'!M613/1000</f>
        <v>3.22</v>
      </c>
      <c r="D614" s="142">
        <f>'BC.114+320'!AA613</f>
        <v>4.0990000000000002</v>
      </c>
      <c r="E614" s="143">
        <f>'BC.114+320'!AB613</f>
        <v>2.5299999999999998</v>
      </c>
      <c r="F614" s="142">
        <f>VLOOKUP($A614,'BC.114+320'!$B$13:$X$4876,8,0)/1000</f>
        <v>2.0539999999999998</v>
      </c>
      <c r="G614" s="142">
        <f>VLOOKUP($A614,'BC.114+320'!$B$13:$X$4876,9,0)/1000</f>
        <v>-0.94599999999999995</v>
      </c>
      <c r="H614" s="142">
        <f>VLOOKUP($A614,'BC.114+320'!$B$13:$X$4876,14,0)/1000</f>
        <v>1.95</v>
      </c>
      <c r="I614" s="142">
        <f>VLOOKUP($A614,'BC.114+320'!$B$13:$X$4876,15,0)/1000</f>
        <v>-1.05</v>
      </c>
      <c r="J614" s="142">
        <f>VLOOKUP($A614,'BC.114+320'!$B$13:$X$4876,20,0)/1000</f>
        <v>2.1349999999999998</v>
      </c>
      <c r="K614" s="142">
        <f>VLOOKUP($A614,'BC.114+320'!$B$13:$X$4876,21,0)/1000</f>
        <v>-0.86499999999999999</v>
      </c>
      <c r="L614" s="140">
        <f t="shared" si="36"/>
        <v>-766</v>
      </c>
      <c r="M614" s="141">
        <f t="shared" si="37"/>
        <v>-870.00000000000011</v>
      </c>
      <c r="N614" s="140">
        <f t="shared" si="38"/>
        <v>-745</v>
      </c>
      <c r="O614" s="140"/>
    </row>
    <row r="615" spans="1:15">
      <c r="A615" s="76">
        <f>'BC.114+320'!B614</f>
        <v>45644</v>
      </c>
      <c r="B615" s="140">
        <f t="shared" si="39"/>
        <v>601</v>
      </c>
      <c r="C615" s="142">
        <f>'BC.114+320'!M614/1000</f>
        <v>3.2170000000000001</v>
      </c>
      <c r="D615" s="142">
        <f>'BC.114+320'!AA614</f>
        <v>4.0990000000000002</v>
      </c>
      <c r="E615" s="143">
        <f>'BC.114+320'!AB614</f>
        <v>2.524</v>
      </c>
      <c r="F615" s="142">
        <f>VLOOKUP($A615,'BC.114+320'!$B$13:$X$4876,8,0)/1000</f>
        <v>2.0510000000000002</v>
      </c>
      <c r="G615" s="142">
        <f>VLOOKUP($A615,'BC.114+320'!$B$13:$X$4876,9,0)/1000</f>
        <v>-0.94899999999999995</v>
      </c>
      <c r="H615" s="142">
        <f>VLOOKUP($A615,'BC.114+320'!$B$13:$X$4876,14,0)/1000</f>
        <v>1.9470000000000001</v>
      </c>
      <c r="I615" s="142">
        <f>VLOOKUP($A615,'BC.114+320'!$B$13:$X$4876,15,0)/1000</f>
        <v>-1.0529999999999999</v>
      </c>
      <c r="J615" s="142">
        <f>VLOOKUP($A615,'BC.114+320'!$B$13:$X$4876,20,0)/1000</f>
        <v>2.1309999999999998</v>
      </c>
      <c r="K615" s="142">
        <f>VLOOKUP($A615,'BC.114+320'!$B$13:$X$4876,21,0)/1000</f>
        <v>-0.86899999999999999</v>
      </c>
      <c r="L615" s="140">
        <f t="shared" si="36"/>
        <v>-768.99999999999989</v>
      </c>
      <c r="M615" s="141">
        <f t="shared" si="37"/>
        <v>-873</v>
      </c>
      <c r="N615" s="140">
        <f t="shared" si="38"/>
        <v>-749</v>
      </c>
      <c r="O615" s="140"/>
    </row>
    <row r="616" spans="1:15">
      <c r="A616" s="76">
        <f>'BC.114+320'!B615</f>
        <v>45645</v>
      </c>
      <c r="B616" s="140">
        <f t="shared" si="39"/>
        <v>602</v>
      </c>
      <c r="C616" s="142">
        <f>'BC.114+320'!M615/1000</f>
        <v>3.2149999999999999</v>
      </c>
      <c r="D616" s="142">
        <f>'BC.114+320'!AA615</f>
        <v>4.0990000000000002</v>
      </c>
      <c r="E616" s="143">
        <f>'BC.114+320'!AB615</f>
        <v>2.52</v>
      </c>
      <c r="F616" s="142">
        <f>VLOOKUP($A616,'BC.114+320'!$B$13:$X$4876,8,0)/1000</f>
        <v>2.0489999999999999</v>
      </c>
      <c r="G616" s="142">
        <f>VLOOKUP($A616,'BC.114+320'!$B$13:$X$4876,9,0)/1000</f>
        <v>-0.95099999999999996</v>
      </c>
      <c r="H616" s="142">
        <f>VLOOKUP($A616,'BC.114+320'!$B$13:$X$4876,14,0)/1000</f>
        <v>1.9450000000000001</v>
      </c>
      <c r="I616" s="142">
        <f>VLOOKUP($A616,'BC.114+320'!$B$13:$X$4876,15,0)/1000</f>
        <v>-1.0549999999999999</v>
      </c>
      <c r="J616" s="142">
        <f>VLOOKUP($A616,'BC.114+320'!$B$13:$X$4876,20,0)/1000</f>
        <v>2.1280000000000001</v>
      </c>
      <c r="K616" s="142">
        <f>VLOOKUP($A616,'BC.114+320'!$B$13:$X$4876,21,0)/1000</f>
        <v>-0.872</v>
      </c>
      <c r="L616" s="140">
        <f t="shared" si="36"/>
        <v>-770.99999999999989</v>
      </c>
      <c r="M616" s="141">
        <f t="shared" si="37"/>
        <v>-875</v>
      </c>
      <c r="N616" s="140">
        <f t="shared" si="38"/>
        <v>-752</v>
      </c>
      <c r="O616" s="140"/>
    </row>
    <row r="617" spans="1:15">
      <c r="A617" s="76">
        <f>'BC.114+320'!B616</f>
        <v>45646</v>
      </c>
      <c r="B617" s="140">
        <f t="shared" si="39"/>
        <v>603</v>
      </c>
      <c r="C617" s="142">
        <f>'BC.114+320'!M616/1000</f>
        <v>3.2109999999999999</v>
      </c>
      <c r="D617" s="142">
        <f>'BC.114+320'!AA616</f>
        <v>4.0990000000000002</v>
      </c>
      <c r="E617" s="143">
        <f>'BC.114+320'!AB616</f>
        <v>2.512</v>
      </c>
      <c r="F617" s="142">
        <f>VLOOKUP($A617,'BC.114+320'!$B$13:$X$4876,8,0)/1000</f>
        <v>2.0449999999999999</v>
      </c>
      <c r="G617" s="142">
        <f>VLOOKUP($A617,'BC.114+320'!$B$13:$X$4876,9,0)/1000</f>
        <v>-0.95499999999999996</v>
      </c>
      <c r="H617" s="142">
        <f>VLOOKUP($A617,'BC.114+320'!$B$13:$X$4876,14,0)/1000</f>
        <v>1.9410000000000001</v>
      </c>
      <c r="I617" s="142">
        <f>VLOOKUP($A617,'BC.114+320'!$B$13:$X$4876,15,0)/1000</f>
        <v>-1.0589999999999999</v>
      </c>
      <c r="J617" s="142">
        <f>VLOOKUP($A617,'BC.114+320'!$B$13:$X$4876,20,0)/1000</f>
        <v>2.1259999999999999</v>
      </c>
      <c r="K617" s="142">
        <f>VLOOKUP($A617,'BC.114+320'!$B$13:$X$4876,21,0)/1000</f>
        <v>-0.874</v>
      </c>
      <c r="L617" s="140">
        <f t="shared" si="36"/>
        <v>-774.99999999999989</v>
      </c>
      <c r="M617" s="141">
        <f t="shared" si="37"/>
        <v>-879</v>
      </c>
      <c r="N617" s="140">
        <f t="shared" si="38"/>
        <v>-754</v>
      </c>
      <c r="O617" s="140"/>
    </row>
    <row r="618" spans="1:15">
      <c r="A618" s="76">
        <f>'BC.114+320'!B617</f>
        <v>45647</v>
      </c>
      <c r="B618" s="140">
        <f t="shared" si="39"/>
        <v>604</v>
      </c>
      <c r="C618" s="142">
        <f>'BC.114+320'!M617/1000</f>
        <v>3.2040000000000002</v>
      </c>
      <c r="D618" s="142">
        <f>'BC.114+320'!AA617</f>
        <v>4.0990000000000002</v>
      </c>
      <c r="E618" s="143">
        <f>'BC.114+320'!AB617</f>
        <v>2.4980000000000002</v>
      </c>
      <c r="F618" s="142">
        <f>VLOOKUP($A618,'BC.114+320'!$B$13:$X$4876,8,0)/1000</f>
        <v>2.0379999999999998</v>
      </c>
      <c r="G618" s="142">
        <f>VLOOKUP($A618,'BC.114+320'!$B$13:$X$4876,9,0)/1000</f>
        <v>-0.96199999999999997</v>
      </c>
      <c r="H618" s="142">
        <f>VLOOKUP($A618,'BC.114+320'!$B$13:$X$4876,14,0)/1000</f>
        <v>1.9339999999999999</v>
      </c>
      <c r="I618" s="142">
        <f>VLOOKUP($A618,'BC.114+320'!$B$13:$X$4876,15,0)/1000</f>
        <v>-1.0660000000000001</v>
      </c>
      <c r="J618" s="142">
        <f>VLOOKUP($A618,'BC.114+320'!$B$13:$X$4876,20,0)/1000</f>
        <v>2.1219999999999999</v>
      </c>
      <c r="K618" s="142">
        <f>VLOOKUP($A618,'BC.114+320'!$B$13:$X$4876,21,0)/1000</f>
        <v>-0.878</v>
      </c>
      <c r="L618" s="140">
        <f t="shared" si="36"/>
        <v>-782</v>
      </c>
      <c r="M618" s="141">
        <f t="shared" si="37"/>
        <v>-886.00000000000011</v>
      </c>
      <c r="N618" s="140">
        <f t="shared" si="38"/>
        <v>-758</v>
      </c>
      <c r="O618" s="140"/>
    </row>
    <row r="619" spans="1:15">
      <c r="A619" s="76">
        <f>'BC.114+320'!B618</f>
        <v>45648</v>
      </c>
      <c r="B619" s="140">
        <f t="shared" si="39"/>
        <v>605</v>
      </c>
      <c r="C619" s="142">
        <f>'BC.114+320'!M618/1000</f>
        <v>3.1989999999999998</v>
      </c>
      <c r="D619" s="142">
        <f>'BC.114+320'!AA618</f>
        <v>4.0990000000000002</v>
      </c>
      <c r="E619" s="143">
        <f>'BC.114+320'!AB618</f>
        <v>2.488</v>
      </c>
      <c r="F619" s="142">
        <f>VLOOKUP($A619,'BC.114+320'!$B$13:$X$4876,8,0)/1000</f>
        <v>2.0329999999999999</v>
      </c>
      <c r="G619" s="142">
        <f>VLOOKUP($A619,'BC.114+320'!$B$13:$X$4876,9,0)/1000</f>
        <v>-0.96699999999999997</v>
      </c>
      <c r="H619" s="142">
        <f>VLOOKUP($A619,'BC.114+320'!$B$13:$X$4876,14,0)/1000</f>
        <v>1.929</v>
      </c>
      <c r="I619" s="142">
        <f>VLOOKUP($A619,'BC.114+320'!$B$13:$X$4876,15,0)/1000</f>
        <v>-1.071</v>
      </c>
      <c r="J619" s="142">
        <f>VLOOKUP($A619,'BC.114+320'!$B$13:$X$4876,20,0)/1000</f>
        <v>2.1190000000000002</v>
      </c>
      <c r="K619" s="142">
        <f>VLOOKUP($A619,'BC.114+320'!$B$13:$X$4876,21,0)/1000</f>
        <v>-0.88100000000000001</v>
      </c>
      <c r="L619" s="140">
        <f t="shared" si="36"/>
        <v>-786.99999999999989</v>
      </c>
      <c r="M619" s="141">
        <f t="shared" si="37"/>
        <v>-891</v>
      </c>
      <c r="N619" s="140">
        <f t="shared" si="38"/>
        <v>-761</v>
      </c>
      <c r="O619" s="140"/>
    </row>
    <row r="620" spans="1:15">
      <c r="A620" s="76">
        <f>'BC.114+320'!B619</f>
        <v>45649</v>
      </c>
      <c r="B620" s="140">
        <f t="shared" si="39"/>
        <v>606</v>
      </c>
      <c r="C620" s="142">
        <f>'BC.114+320'!M619/1000</f>
        <v>3.194</v>
      </c>
      <c r="D620" s="142">
        <f>'BC.114+320'!AA619</f>
        <v>4.0990000000000002</v>
      </c>
      <c r="E620" s="143">
        <f>'BC.114+320'!AB619</f>
        <v>2.4780000000000002</v>
      </c>
      <c r="F620" s="142">
        <f>VLOOKUP($A620,'BC.114+320'!$B$13:$X$4876,8,0)/1000</f>
        <v>2.028</v>
      </c>
      <c r="G620" s="142">
        <f>VLOOKUP($A620,'BC.114+320'!$B$13:$X$4876,9,0)/1000</f>
        <v>-0.97199999999999998</v>
      </c>
      <c r="H620" s="142">
        <f>VLOOKUP($A620,'BC.114+320'!$B$13:$X$4876,14,0)/1000</f>
        <v>1.9239999999999999</v>
      </c>
      <c r="I620" s="142">
        <f>VLOOKUP($A620,'BC.114+320'!$B$13:$X$4876,15,0)/1000</f>
        <v>-1.0760000000000001</v>
      </c>
      <c r="J620" s="142">
        <f>VLOOKUP($A620,'BC.114+320'!$B$13:$X$4876,20,0)/1000</f>
        <v>2.117</v>
      </c>
      <c r="K620" s="142">
        <f>VLOOKUP($A620,'BC.114+320'!$B$13:$X$4876,21,0)/1000</f>
        <v>-0.88300000000000001</v>
      </c>
      <c r="L620" s="140">
        <f t="shared" si="36"/>
        <v>-792</v>
      </c>
      <c r="M620" s="141">
        <f t="shared" si="37"/>
        <v>-896.00000000000011</v>
      </c>
      <c r="N620" s="140">
        <f t="shared" si="38"/>
        <v>-763</v>
      </c>
      <c r="O620" s="140"/>
    </row>
    <row r="621" spans="1:15">
      <c r="A621" s="76">
        <f>'BC.114+320'!B620</f>
        <v>45650</v>
      </c>
      <c r="B621" s="140">
        <f t="shared" si="39"/>
        <v>607</v>
      </c>
      <c r="C621" s="142">
        <f>'BC.114+320'!M620/1000</f>
        <v>3.19</v>
      </c>
      <c r="D621" s="142">
        <f>'BC.114+320'!AA620</f>
        <v>4.0990000000000002</v>
      </c>
      <c r="E621" s="143">
        <f>'BC.114+320'!AB620</f>
        <v>2.4700000000000002</v>
      </c>
      <c r="F621" s="142">
        <f>VLOOKUP($A621,'BC.114+320'!$B$13:$X$4876,8,0)/1000</f>
        <v>2.024</v>
      </c>
      <c r="G621" s="142">
        <f>VLOOKUP($A621,'BC.114+320'!$B$13:$X$4876,9,0)/1000</f>
        <v>-0.97599999999999998</v>
      </c>
      <c r="H621" s="142">
        <f>VLOOKUP($A621,'BC.114+320'!$B$13:$X$4876,14,0)/1000</f>
        <v>1.92</v>
      </c>
      <c r="I621" s="142">
        <f>VLOOKUP($A621,'BC.114+320'!$B$13:$X$4876,15,0)/1000</f>
        <v>-1.08</v>
      </c>
      <c r="J621" s="142">
        <f>VLOOKUP($A621,'BC.114+320'!$B$13:$X$4876,20,0)/1000</f>
        <v>2.113</v>
      </c>
      <c r="K621" s="142">
        <f>VLOOKUP($A621,'BC.114+320'!$B$13:$X$4876,21,0)/1000</f>
        <v>-0.88700000000000001</v>
      </c>
      <c r="L621" s="140">
        <f t="shared" si="36"/>
        <v>-796</v>
      </c>
      <c r="M621" s="141">
        <f t="shared" si="37"/>
        <v>-900.00000000000011</v>
      </c>
      <c r="N621" s="140">
        <f t="shared" si="38"/>
        <v>-767</v>
      </c>
      <c r="O621" s="140"/>
    </row>
    <row r="622" spans="1:15">
      <c r="A622" s="76">
        <f>'BC.114+320'!B621</f>
        <v>45651</v>
      </c>
      <c r="B622" s="140">
        <f t="shared" si="39"/>
        <v>608</v>
      </c>
      <c r="C622" s="142">
        <f>'BC.114+320'!M621/1000</f>
        <v>3.1869999999999998</v>
      </c>
      <c r="D622" s="142">
        <f>'BC.114+320'!AA621</f>
        <v>4.0990000000000002</v>
      </c>
      <c r="E622" s="143">
        <f>'BC.114+320'!AB621</f>
        <v>2.464</v>
      </c>
      <c r="F622" s="142">
        <f>VLOOKUP($A622,'BC.114+320'!$B$13:$X$4876,8,0)/1000</f>
        <v>2.0209999999999999</v>
      </c>
      <c r="G622" s="142">
        <f>VLOOKUP($A622,'BC.114+320'!$B$13:$X$4876,9,0)/1000</f>
        <v>-0.97899999999999998</v>
      </c>
      <c r="H622" s="142">
        <f>VLOOKUP($A622,'BC.114+320'!$B$13:$X$4876,14,0)/1000</f>
        <v>1.917</v>
      </c>
      <c r="I622" s="142">
        <f>VLOOKUP($A622,'BC.114+320'!$B$13:$X$4876,15,0)/1000</f>
        <v>-1.083</v>
      </c>
      <c r="J622" s="142">
        <f>VLOOKUP($A622,'BC.114+320'!$B$13:$X$4876,20,0)/1000</f>
        <v>2.1059999999999999</v>
      </c>
      <c r="K622" s="142">
        <f>VLOOKUP($A622,'BC.114+320'!$B$13:$X$4876,21,0)/1000</f>
        <v>-0.89400000000000002</v>
      </c>
      <c r="L622" s="140">
        <f t="shared" si="36"/>
        <v>-798.99999999999989</v>
      </c>
      <c r="M622" s="141">
        <f t="shared" si="37"/>
        <v>-903</v>
      </c>
      <c r="N622" s="140">
        <f t="shared" si="38"/>
        <v>-774</v>
      </c>
      <c r="O622" s="140"/>
    </row>
    <row r="623" spans="1:15">
      <c r="A623" s="76">
        <f>'BC.114+320'!B622</f>
        <v>45652</v>
      </c>
      <c r="B623" s="140">
        <f t="shared" si="39"/>
        <v>609</v>
      </c>
      <c r="C623" s="142">
        <f>'BC.114+320'!M622/1000</f>
        <v>3.1850000000000001</v>
      </c>
      <c r="D623" s="142">
        <f>'BC.114+320'!AA622</f>
        <v>4.0990000000000002</v>
      </c>
      <c r="E623" s="143">
        <f>'BC.114+320'!AB622</f>
        <v>2.46</v>
      </c>
      <c r="F623" s="142">
        <f>VLOOKUP($A623,'BC.114+320'!$B$13:$X$4876,8,0)/1000</f>
        <v>2.0190000000000001</v>
      </c>
      <c r="G623" s="142">
        <f>VLOOKUP($A623,'BC.114+320'!$B$13:$X$4876,9,0)/1000</f>
        <v>-0.98099999999999998</v>
      </c>
      <c r="H623" s="142">
        <f>VLOOKUP($A623,'BC.114+320'!$B$13:$X$4876,14,0)/1000</f>
        <v>1.915</v>
      </c>
      <c r="I623" s="142">
        <f>VLOOKUP($A623,'BC.114+320'!$B$13:$X$4876,15,0)/1000</f>
        <v>-1.085</v>
      </c>
      <c r="J623" s="142">
        <f>VLOOKUP($A623,'BC.114+320'!$B$13:$X$4876,20,0)/1000</f>
        <v>2.101</v>
      </c>
      <c r="K623" s="142">
        <f>VLOOKUP($A623,'BC.114+320'!$B$13:$X$4876,21,0)/1000</f>
        <v>-0.89900000000000002</v>
      </c>
      <c r="L623" s="140">
        <f t="shared" si="36"/>
        <v>-800.99999999999989</v>
      </c>
      <c r="M623" s="141">
        <f t="shared" si="37"/>
        <v>-905</v>
      </c>
      <c r="N623" s="140">
        <f t="shared" si="38"/>
        <v>-779</v>
      </c>
      <c r="O623" s="140"/>
    </row>
    <row r="624" spans="1:15">
      <c r="A624" s="76">
        <f>'BC.114+320'!B623</f>
        <v>45653</v>
      </c>
      <c r="B624" s="140">
        <f t="shared" si="39"/>
        <v>610</v>
      </c>
      <c r="C624" s="142">
        <f>'BC.114+320'!M623/1000</f>
        <v>3.181</v>
      </c>
      <c r="D624" s="142">
        <f>'BC.114+320'!AA623</f>
        <v>4.0990000000000002</v>
      </c>
      <c r="E624" s="143">
        <f>'BC.114+320'!AB623</f>
        <v>2.452</v>
      </c>
      <c r="F624" s="142">
        <f>VLOOKUP($A624,'BC.114+320'!$B$13:$X$4876,8,0)/1000</f>
        <v>2.0150000000000001</v>
      </c>
      <c r="G624" s="142">
        <f>VLOOKUP($A624,'BC.114+320'!$B$13:$X$4876,9,0)/1000</f>
        <v>-0.98499999999999999</v>
      </c>
      <c r="H624" s="142">
        <f>VLOOKUP($A624,'BC.114+320'!$B$13:$X$4876,14,0)/1000</f>
        <v>1.911</v>
      </c>
      <c r="I624" s="142">
        <f>VLOOKUP($A624,'BC.114+320'!$B$13:$X$4876,15,0)/1000</f>
        <v>-1.089</v>
      </c>
      <c r="J624" s="142">
        <f>VLOOKUP($A624,'BC.114+320'!$B$13:$X$4876,20,0)/1000</f>
        <v>2.0960000000000001</v>
      </c>
      <c r="K624" s="142">
        <f>VLOOKUP($A624,'BC.114+320'!$B$13:$X$4876,21,0)/1000</f>
        <v>-0.90400000000000003</v>
      </c>
      <c r="L624" s="140">
        <f t="shared" si="36"/>
        <v>-804.99999999999989</v>
      </c>
      <c r="M624" s="141">
        <f t="shared" si="37"/>
        <v>-909</v>
      </c>
      <c r="N624" s="140">
        <f t="shared" si="38"/>
        <v>-784</v>
      </c>
      <c r="O624" s="140"/>
    </row>
    <row r="625" spans="1:15">
      <c r="A625" s="76">
        <f>'BC.114+320'!B624</f>
        <v>45654</v>
      </c>
      <c r="B625" s="140">
        <f t="shared" si="39"/>
        <v>611</v>
      </c>
      <c r="C625" s="142">
        <f>'BC.114+320'!M624/1000</f>
        <v>3.1789999999999998</v>
      </c>
      <c r="D625" s="142">
        <f>'BC.114+320'!AA624</f>
        <v>4.0990000000000002</v>
      </c>
      <c r="E625" s="143">
        <f>'BC.114+320'!AB624</f>
        <v>2.448</v>
      </c>
      <c r="F625" s="142">
        <f>VLOOKUP($A625,'BC.114+320'!$B$13:$X$4876,8,0)/1000</f>
        <v>2.012</v>
      </c>
      <c r="G625" s="142">
        <f>VLOOKUP($A625,'BC.114+320'!$B$13:$X$4876,9,0)/1000</f>
        <v>-0.98799999999999999</v>
      </c>
      <c r="H625" s="142">
        <f>VLOOKUP($A625,'BC.114+320'!$B$13:$X$4876,14,0)/1000</f>
        <v>1.909</v>
      </c>
      <c r="I625" s="142">
        <f>VLOOKUP($A625,'BC.114+320'!$B$13:$X$4876,15,0)/1000</f>
        <v>-1.091</v>
      </c>
      <c r="J625" s="142">
        <f>VLOOKUP($A625,'BC.114+320'!$B$13:$X$4876,20,0)/1000</f>
        <v>2.0920000000000001</v>
      </c>
      <c r="K625" s="142">
        <f>VLOOKUP($A625,'BC.114+320'!$B$13:$X$4876,21,0)/1000</f>
        <v>-0.90800000000000003</v>
      </c>
      <c r="L625" s="140">
        <f t="shared" si="36"/>
        <v>-808</v>
      </c>
      <c r="M625" s="141">
        <f t="shared" si="37"/>
        <v>-911</v>
      </c>
      <c r="N625" s="140">
        <f t="shared" si="38"/>
        <v>-788</v>
      </c>
      <c r="O625" s="140"/>
    </row>
    <row r="626" spans="1:15">
      <c r="A626" s="76">
        <f>'BC.114+320'!B625</f>
        <v>45655</v>
      </c>
      <c r="B626" s="140">
        <f t="shared" si="39"/>
        <v>612</v>
      </c>
      <c r="C626" s="142">
        <f>'BC.114+320'!M625/1000</f>
        <v>3.1749999999999998</v>
      </c>
      <c r="D626" s="142">
        <f>'BC.114+320'!AA625</f>
        <v>4.0990000000000002</v>
      </c>
      <c r="E626" s="143">
        <f>'BC.114+320'!AB625</f>
        <v>2.44</v>
      </c>
      <c r="F626" s="142">
        <f>VLOOKUP($A626,'BC.114+320'!$B$13:$X$4876,8,0)/1000</f>
        <v>2.008</v>
      </c>
      <c r="G626" s="142">
        <f>VLOOKUP($A626,'BC.114+320'!$B$13:$X$4876,9,0)/1000</f>
        <v>-0.99199999999999999</v>
      </c>
      <c r="H626" s="142">
        <f>VLOOKUP($A626,'BC.114+320'!$B$13:$X$4876,14,0)/1000</f>
        <v>1.905</v>
      </c>
      <c r="I626" s="142">
        <f>VLOOKUP($A626,'BC.114+320'!$B$13:$X$4876,15,0)/1000</f>
        <v>-1.095</v>
      </c>
      <c r="J626" s="142">
        <f>VLOOKUP($A626,'BC.114+320'!$B$13:$X$4876,20,0)/1000</f>
        <v>2.089</v>
      </c>
      <c r="K626" s="142">
        <f>VLOOKUP($A626,'BC.114+320'!$B$13:$X$4876,21,0)/1000</f>
        <v>-0.91100000000000003</v>
      </c>
      <c r="L626" s="140">
        <f t="shared" si="36"/>
        <v>-812</v>
      </c>
      <c r="M626" s="141">
        <f t="shared" si="37"/>
        <v>-915</v>
      </c>
      <c r="N626" s="140">
        <f t="shared" si="38"/>
        <v>-791</v>
      </c>
      <c r="O626" s="140"/>
    </row>
    <row r="627" spans="1:15">
      <c r="A627" s="76">
        <f>'BC.114+320'!B626</f>
        <v>45656</v>
      </c>
      <c r="B627" s="140">
        <f t="shared" si="39"/>
        <v>613</v>
      </c>
      <c r="C627" s="142">
        <f>'BC.114+320'!M626/1000</f>
        <v>3.1739999999999999</v>
      </c>
      <c r="D627" s="142">
        <f>'BC.114+320'!AA626</f>
        <v>4.0990000000000002</v>
      </c>
      <c r="E627" s="143">
        <f>'BC.114+320'!AB626</f>
        <v>2.4380000000000002</v>
      </c>
      <c r="F627" s="142">
        <f>VLOOKUP($A627,'BC.114+320'!$B$13:$X$4876,8,0)/1000</f>
        <v>2.0070000000000001</v>
      </c>
      <c r="G627" s="142">
        <f>VLOOKUP($A627,'BC.114+320'!$B$13:$X$4876,9,0)/1000</f>
        <v>-0.99299999999999999</v>
      </c>
      <c r="H627" s="142">
        <f>VLOOKUP($A627,'BC.114+320'!$B$13:$X$4876,14,0)/1000</f>
        <v>1.9039999999999999</v>
      </c>
      <c r="I627" s="142">
        <f>VLOOKUP($A627,'BC.114+320'!$B$13:$X$4876,15,0)/1000</f>
        <v>-1.0960000000000001</v>
      </c>
      <c r="J627" s="142">
        <f>VLOOKUP($A627,'BC.114+320'!$B$13:$X$4876,20,0)/1000</f>
        <v>2.0870000000000002</v>
      </c>
      <c r="K627" s="142">
        <f>VLOOKUP($A627,'BC.114+320'!$B$13:$X$4876,21,0)/1000</f>
        <v>-0.91300000000000003</v>
      </c>
      <c r="L627" s="140">
        <f t="shared" si="36"/>
        <v>-813</v>
      </c>
      <c r="M627" s="141">
        <f t="shared" si="37"/>
        <v>-916.00000000000011</v>
      </c>
      <c r="N627" s="140">
        <f t="shared" si="38"/>
        <v>-793</v>
      </c>
      <c r="O627" s="140"/>
    </row>
    <row r="628" spans="1:15">
      <c r="A628" s="76">
        <f>'BC.114+320'!B627</f>
        <v>45657</v>
      </c>
      <c r="B628" s="140">
        <f t="shared" si="39"/>
        <v>614</v>
      </c>
      <c r="C628" s="142">
        <f>'BC.114+320'!M627/1000</f>
        <v>3.173</v>
      </c>
      <c r="D628" s="142">
        <f>'BC.114+320'!AA627</f>
        <v>4.0990000000000002</v>
      </c>
      <c r="E628" s="143">
        <f>'BC.114+320'!AB627</f>
        <v>2.4359999999999999</v>
      </c>
      <c r="F628" s="142">
        <f>VLOOKUP($A628,'BC.114+320'!$B$13:$X$4876,8,0)/1000</f>
        <v>2.0030000000000001</v>
      </c>
      <c r="G628" s="142">
        <f>VLOOKUP($A628,'BC.114+320'!$B$13:$X$4876,9,0)/1000</f>
        <v>-0.997</v>
      </c>
      <c r="H628" s="142">
        <f>VLOOKUP($A628,'BC.114+320'!$B$13:$X$4876,14,0)/1000</f>
        <v>1.903</v>
      </c>
      <c r="I628" s="142">
        <f>VLOOKUP($A628,'BC.114+320'!$B$13:$X$4876,15,0)/1000</f>
        <v>-1.097</v>
      </c>
      <c r="J628" s="142">
        <f>VLOOKUP($A628,'BC.114+320'!$B$13:$X$4876,20,0)/1000</f>
        <v>2.0830000000000002</v>
      </c>
      <c r="K628" s="142">
        <f>VLOOKUP($A628,'BC.114+320'!$B$13:$X$4876,21,0)/1000</f>
        <v>-0.91700000000000004</v>
      </c>
      <c r="L628" s="140">
        <f t="shared" si="36"/>
        <v>-817</v>
      </c>
      <c r="M628" s="141">
        <f t="shared" si="37"/>
        <v>-917</v>
      </c>
      <c r="N628" s="140">
        <f t="shared" si="38"/>
        <v>-797</v>
      </c>
      <c r="O628" s="140"/>
    </row>
    <row r="629" spans="1:15">
      <c r="A629" s="76">
        <f>'BC.114+320'!B628</f>
        <v>45658</v>
      </c>
      <c r="B629" s="140">
        <f t="shared" si="39"/>
        <v>615</v>
      </c>
      <c r="C629" s="142">
        <f>'BC.114+320'!M628/1000</f>
        <v>3.1720000000000002</v>
      </c>
      <c r="D629" s="142">
        <f>'BC.114+320'!AA628</f>
        <v>4.0990000000000002</v>
      </c>
      <c r="E629" s="143">
        <f>'BC.114+320'!AB628</f>
        <v>2.4340000000000002</v>
      </c>
      <c r="F629" s="142">
        <f>VLOOKUP($A629,'BC.114+320'!$B$13:$X$4876,8,0)/1000</f>
        <v>2.0030000000000001</v>
      </c>
      <c r="G629" s="142">
        <f>VLOOKUP($A629,'BC.114+320'!$B$13:$X$4876,9,0)/1000</f>
        <v>-0.997</v>
      </c>
      <c r="H629" s="142">
        <f>VLOOKUP($A629,'BC.114+320'!$B$13:$X$4876,14,0)/1000</f>
        <v>1.9019999999999999</v>
      </c>
      <c r="I629" s="142">
        <f>VLOOKUP($A629,'BC.114+320'!$B$13:$X$4876,15,0)/1000</f>
        <v>-1.0980000000000001</v>
      </c>
      <c r="J629" s="142">
        <f>VLOOKUP($A629,'BC.114+320'!$B$13:$X$4876,20,0)/1000</f>
        <v>2.081</v>
      </c>
      <c r="K629" s="142">
        <f>VLOOKUP($A629,'BC.114+320'!$B$13:$X$4876,21,0)/1000</f>
        <v>-0.91900000000000004</v>
      </c>
      <c r="L629" s="140">
        <f t="shared" si="36"/>
        <v>-817</v>
      </c>
      <c r="M629" s="141">
        <f t="shared" si="37"/>
        <v>-918.00000000000011</v>
      </c>
      <c r="N629" s="140">
        <f t="shared" si="38"/>
        <v>-799</v>
      </c>
      <c r="O629" s="140"/>
    </row>
    <row r="630" spans="1:15">
      <c r="A630" s="76">
        <f>'BC.114+320'!B629</f>
        <v>45659</v>
      </c>
      <c r="B630" s="140">
        <f t="shared" si="39"/>
        <v>616</v>
      </c>
      <c r="C630" s="142">
        <f>'BC.114+320'!M629/1000</f>
        <v>3.169</v>
      </c>
      <c r="D630" s="142">
        <f>'BC.114+320'!AA629</f>
        <v>4.0990000000000002</v>
      </c>
      <c r="E630" s="143">
        <f>'BC.114+320'!AB629</f>
        <v>2.4279999999999999</v>
      </c>
      <c r="F630" s="142">
        <f>VLOOKUP($A630,'BC.114+320'!$B$13:$X$4876,8,0)/1000</f>
        <v>2.0009999999999999</v>
      </c>
      <c r="G630" s="142">
        <f>VLOOKUP($A630,'BC.114+320'!$B$13:$X$4876,9,0)/1000</f>
        <v>-0.999</v>
      </c>
      <c r="H630" s="142">
        <f>VLOOKUP($A630,'BC.114+320'!$B$13:$X$4876,14,0)/1000</f>
        <v>1.899</v>
      </c>
      <c r="I630" s="142">
        <f>VLOOKUP($A630,'BC.114+320'!$B$13:$X$4876,15,0)/1000</f>
        <v>-1.101</v>
      </c>
      <c r="J630" s="142">
        <f>VLOOKUP($A630,'BC.114+320'!$B$13:$X$4876,20,0)/1000</f>
        <v>2.077</v>
      </c>
      <c r="K630" s="142">
        <f>VLOOKUP($A630,'BC.114+320'!$B$13:$X$4876,21,0)/1000</f>
        <v>-0.92300000000000004</v>
      </c>
      <c r="L630" s="140">
        <f t="shared" si="36"/>
        <v>-819</v>
      </c>
      <c r="M630" s="141">
        <f t="shared" si="37"/>
        <v>-921</v>
      </c>
      <c r="N630" s="140">
        <f t="shared" si="38"/>
        <v>-803</v>
      </c>
      <c r="O630" s="140"/>
    </row>
    <row r="631" spans="1:15">
      <c r="A631" s="76">
        <f>'BC.114+320'!B630</f>
        <v>45660</v>
      </c>
      <c r="B631" s="140">
        <f t="shared" si="39"/>
        <v>617</v>
      </c>
      <c r="C631" s="142">
        <f>'BC.114+320'!M630/1000</f>
        <v>3.1680000000000001</v>
      </c>
      <c r="D631" s="142">
        <f>'BC.114+320'!AA630</f>
        <v>4.0990000000000002</v>
      </c>
      <c r="E631" s="143">
        <f>'BC.114+320'!AB630</f>
        <v>2.4260000000000002</v>
      </c>
      <c r="F631" s="142">
        <f>VLOOKUP($A631,'BC.114+320'!$B$13:$X$4876,8,0)/1000</f>
        <v>1.9970000000000001</v>
      </c>
      <c r="G631" s="142">
        <f>VLOOKUP($A631,'BC.114+320'!$B$13:$X$4876,9,0)/1000</f>
        <v>-1.0029999999999999</v>
      </c>
      <c r="H631" s="142">
        <f>VLOOKUP($A631,'BC.114+320'!$B$13:$X$4876,14,0)/1000</f>
        <v>1.8979999999999999</v>
      </c>
      <c r="I631" s="142">
        <f>VLOOKUP($A631,'BC.114+320'!$B$13:$X$4876,15,0)/1000</f>
        <v>-1.1020000000000001</v>
      </c>
      <c r="J631" s="142">
        <f>VLOOKUP($A631,'BC.114+320'!$B$13:$X$4876,20,0)/1000</f>
        <v>2.0760000000000001</v>
      </c>
      <c r="K631" s="142">
        <f>VLOOKUP($A631,'BC.114+320'!$B$13:$X$4876,21,0)/1000</f>
        <v>-0.92400000000000004</v>
      </c>
      <c r="L631" s="140">
        <f t="shared" si="36"/>
        <v>-823</v>
      </c>
      <c r="M631" s="141">
        <f t="shared" si="37"/>
        <v>-922.00000000000011</v>
      </c>
      <c r="N631" s="140">
        <f t="shared" si="38"/>
        <v>-804</v>
      </c>
      <c r="O631" s="140"/>
    </row>
    <row r="632" spans="1:15">
      <c r="A632" s="76">
        <f>'BC.114+320'!B631</f>
        <v>45661</v>
      </c>
      <c r="B632" s="140">
        <f t="shared" si="39"/>
        <v>618</v>
      </c>
      <c r="C632" s="142">
        <f>'BC.114+320'!M631/1000</f>
        <v>3.1659999999999999</v>
      </c>
      <c r="D632" s="142">
        <f>'BC.114+320'!AA631</f>
        <v>4.0990000000000002</v>
      </c>
      <c r="E632" s="143">
        <f>'BC.114+320'!AB631</f>
        <v>2.4220000000000002</v>
      </c>
      <c r="F632" s="142">
        <f>VLOOKUP($A632,'BC.114+320'!$B$13:$X$4876,8,0)/1000</f>
        <v>1.996</v>
      </c>
      <c r="G632" s="142">
        <f>VLOOKUP($A632,'BC.114+320'!$B$13:$X$4876,9,0)/1000</f>
        <v>-1.004</v>
      </c>
      <c r="H632" s="142">
        <f>VLOOKUP($A632,'BC.114+320'!$B$13:$X$4876,14,0)/1000</f>
        <v>1.8959999999999999</v>
      </c>
      <c r="I632" s="142">
        <f>VLOOKUP($A632,'BC.114+320'!$B$13:$X$4876,15,0)/1000</f>
        <v>-1.1040000000000001</v>
      </c>
      <c r="J632" s="142">
        <f>VLOOKUP($A632,'BC.114+320'!$B$13:$X$4876,20,0)/1000</f>
        <v>2.0750000000000002</v>
      </c>
      <c r="K632" s="142">
        <f>VLOOKUP($A632,'BC.114+320'!$B$13:$X$4876,21,0)/1000</f>
        <v>-0.92500000000000004</v>
      </c>
      <c r="L632" s="140">
        <f t="shared" si="36"/>
        <v>-824.00000000000011</v>
      </c>
      <c r="M632" s="141">
        <f t="shared" si="37"/>
        <v>-924.00000000000011</v>
      </c>
      <c r="N632" s="140">
        <f t="shared" si="38"/>
        <v>-805</v>
      </c>
      <c r="O632" s="140"/>
    </row>
    <row r="633" spans="1:15">
      <c r="A633" s="76">
        <f>'BC.114+320'!B632</f>
        <v>45662</v>
      </c>
      <c r="B633" s="140">
        <f t="shared" si="39"/>
        <v>619</v>
      </c>
      <c r="C633" s="142">
        <f>'BC.114+320'!M632/1000</f>
        <v>3.165</v>
      </c>
      <c r="D633" s="142">
        <f>'BC.114+320'!AA632</f>
        <v>4.0990000000000002</v>
      </c>
      <c r="E633" s="143">
        <f>'BC.114+320'!AB632</f>
        <v>2.42</v>
      </c>
      <c r="F633" s="142">
        <f>VLOOKUP($A633,'BC.114+320'!$B$13:$X$4876,8,0)/1000</f>
        <v>1.9950000000000001</v>
      </c>
      <c r="G633" s="142">
        <f>VLOOKUP($A633,'BC.114+320'!$B$13:$X$4876,9,0)/1000</f>
        <v>-1.0049999999999999</v>
      </c>
      <c r="H633" s="142">
        <f>VLOOKUP($A633,'BC.114+320'!$B$13:$X$4876,14,0)/1000</f>
        <v>1.895</v>
      </c>
      <c r="I633" s="142">
        <f>VLOOKUP($A633,'BC.114+320'!$B$13:$X$4876,15,0)/1000</f>
        <v>-1.105</v>
      </c>
      <c r="J633" s="142">
        <f>VLOOKUP($A633,'BC.114+320'!$B$13:$X$4876,20,0)/1000</f>
        <v>2.0739999999999998</v>
      </c>
      <c r="K633" s="142">
        <f>VLOOKUP($A633,'BC.114+320'!$B$13:$X$4876,21,0)/1000</f>
        <v>-0.92600000000000005</v>
      </c>
      <c r="L633" s="140">
        <f t="shared" si="36"/>
        <v>-825</v>
      </c>
      <c r="M633" s="141">
        <f t="shared" si="37"/>
        <v>-925</v>
      </c>
      <c r="N633" s="140">
        <f t="shared" si="38"/>
        <v>-806</v>
      </c>
      <c r="O633" s="140"/>
    </row>
    <row r="634" spans="1:15">
      <c r="A634" s="76">
        <f>'BC.114+320'!B633</f>
        <v>45663</v>
      </c>
      <c r="B634" s="140">
        <f t="shared" si="39"/>
        <v>620</v>
      </c>
      <c r="C634" s="142">
        <f>'BC.114+320'!M633/1000</f>
        <v>3.1629999999999998</v>
      </c>
      <c r="D634" s="142">
        <f>'BC.114+320'!AA633</f>
        <v>4.0990000000000002</v>
      </c>
      <c r="E634" s="143">
        <f>'BC.114+320'!AB633</f>
        <v>2.4159999999999999</v>
      </c>
      <c r="F634" s="142">
        <f>VLOOKUP($A634,'BC.114+320'!$B$13:$X$4876,8,0)/1000</f>
        <v>1.994</v>
      </c>
      <c r="G634" s="142">
        <f>VLOOKUP($A634,'BC.114+320'!$B$13:$X$4876,9,0)/1000</f>
        <v>-1.006</v>
      </c>
      <c r="H634" s="142">
        <f>VLOOKUP($A634,'BC.114+320'!$B$13:$X$4876,14,0)/1000</f>
        <v>1.893</v>
      </c>
      <c r="I634" s="142">
        <f>VLOOKUP($A634,'BC.114+320'!$B$13:$X$4876,15,0)/1000</f>
        <v>-1.107</v>
      </c>
      <c r="J634" s="142">
        <f>VLOOKUP($A634,'BC.114+320'!$B$13:$X$4876,20,0)/1000</f>
        <v>2.0710000000000002</v>
      </c>
      <c r="K634" s="142">
        <f>VLOOKUP($A634,'BC.114+320'!$B$13:$X$4876,21,0)/1000</f>
        <v>-0.92900000000000005</v>
      </c>
      <c r="L634" s="140">
        <f t="shared" si="36"/>
        <v>-826.00000000000011</v>
      </c>
      <c r="M634" s="141">
        <f t="shared" si="37"/>
        <v>-927</v>
      </c>
      <c r="N634" s="140">
        <f t="shared" si="38"/>
        <v>-809</v>
      </c>
      <c r="O634" s="140"/>
    </row>
    <row r="635" spans="1:15">
      <c r="A635" s="76">
        <f>'BC.114+320'!B634</f>
        <v>45664</v>
      </c>
      <c r="B635" s="140">
        <f t="shared" si="39"/>
        <v>621</v>
      </c>
      <c r="C635" s="142">
        <f>'BC.114+320'!M634/1000</f>
        <v>3.161</v>
      </c>
      <c r="D635" s="142">
        <f>'BC.114+320'!AA634</f>
        <v>4.0990000000000002</v>
      </c>
      <c r="E635" s="143">
        <f>'BC.114+320'!AB634</f>
        <v>2.4119999999999999</v>
      </c>
      <c r="F635" s="142">
        <f>VLOOKUP($A635,'BC.114+320'!$B$13:$X$4876,8,0)/1000</f>
        <v>1.9910000000000001</v>
      </c>
      <c r="G635" s="142">
        <f>VLOOKUP($A635,'BC.114+320'!$B$13:$X$4876,9,0)/1000</f>
        <v>-1.0089999999999999</v>
      </c>
      <c r="H635" s="142">
        <f>VLOOKUP($A635,'BC.114+320'!$B$13:$X$4876,14,0)/1000</f>
        <v>1.891</v>
      </c>
      <c r="I635" s="142">
        <f>VLOOKUP($A635,'BC.114+320'!$B$13:$X$4876,15,0)/1000</f>
        <v>-1.109</v>
      </c>
      <c r="J635" s="142">
        <f>VLOOKUP($A635,'BC.114+320'!$B$13:$X$4876,20,0)/1000</f>
        <v>2.0699999999999998</v>
      </c>
      <c r="K635" s="142">
        <f>VLOOKUP($A635,'BC.114+320'!$B$13:$X$4876,21,0)/1000</f>
        <v>-0.93</v>
      </c>
      <c r="L635" s="140">
        <f t="shared" si="36"/>
        <v>-829</v>
      </c>
      <c r="M635" s="141">
        <f t="shared" si="37"/>
        <v>-929</v>
      </c>
      <c r="N635" s="140">
        <f t="shared" si="38"/>
        <v>-810</v>
      </c>
      <c r="O635" s="140"/>
    </row>
    <row r="636" spans="1:15">
      <c r="A636" s="76">
        <f>'BC.114+320'!B635</f>
        <v>45665</v>
      </c>
      <c r="B636" s="140">
        <f t="shared" si="39"/>
        <v>622</v>
      </c>
      <c r="C636" s="142">
        <f>'BC.114+320'!M635/1000</f>
        <v>3.1579999999999999</v>
      </c>
      <c r="D636" s="142">
        <f>'BC.114+320'!AA635</f>
        <v>4.0990000000000002</v>
      </c>
      <c r="E636" s="143">
        <f>'BC.114+320'!AB635</f>
        <v>2.4060000000000001</v>
      </c>
      <c r="F636" s="142">
        <f>VLOOKUP($A636,'BC.114+320'!$B$13:$X$4876,8,0)/1000</f>
        <v>1.99</v>
      </c>
      <c r="G636" s="142">
        <f>VLOOKUP($A636,'BC.114+320'!$B$13:$X$4876,9,0)/1000</f>
        <v>-1.01</v>
      </c>
      <c r="H636" s="142">
        <f>VLOOKUP($A636,'BC.114+320'!$B$13:$X$4876,14,0)/1000</f>
        <v>1.8879999999999999</v>
      </c>
      <c r="I636" s="142">
        <f>VLOOKUP($A636,'BC.114+320'!$B$13:$X$4876,15,0)/1000</f>
        <v>-1.1120000000000001</v>
      </c>
      <c r="J636" s="142">
        <f>VLOOKUP($A636,'BC.114+320'!$B$13:$X$4876,20,0)/1000</f>
        <v>2.0680000000000001</v>
      </c>
      <c r="K636" s="142">
        <f>VLOOKUP($A636,'BC.114+320'!$B$13:$X$4876,21,0)/1000</f>
        <v>-0.93200000000000005</v>
      </c>
      <c r="L636" s="140">
        <f t="shared" si="36"/>
        <v>-830.00000000000011</v>
      </c>
      <c r="M636" s="141">
        <f t="shared" si="37"/>
        <v>-932.00000000000011</v>
      </c>
      <c r="N636" s="140">
        <f t="shared" si="38"/>
        <v>-812</v>
      </c>
      <c r="O636" s="140"/>
    </row>
    <row r="637" spans="1:15">
      <c r="A637" s="76">
        <f>'BC.114+320'!B636</f>
        <v>45666</v>
      </c>
      <c r="B637" s="140">
        <f t="shared" si="39"/>
        <v>623</v>
      </c>
      <c r="C637" s="142">
        <f>'BC.114+320'!M636/1000</f>
        <v>3.157</v>
      </c>
      <c r="D637" s="142">
        <f>'BC.114+320'!AA636</f>
        <v>4.0990000000000002</v>
      </c>
      <c r="E637" s="143">
        <f>'BC.114+320'!AB636</f>
        <v>2.4039999999999999</v>
      </c>
      <c r="F637" s="142">
        <f>VLOOKUP($A637,'BC.114+320'!$B$13:$X$4876,8,0)/1000</f>
        <v>1.988</v>
      </c>
      <c r="G637" s="142">
        <f>VLOOKUP($A637,'BC.114+320'!$B$13:$X$4876,9,0)/1000</f>
        <v>-1.012</v>
      </c>
      <c r="H637" s="142">
        <f>VLOOKUP($A637,'BC.114+320'!$B$13:$X$4876,14,0)/1000</f>
        <v>1.887</v>
      </c>
      <c r="I637" s="142">
        <f>VLOOKUP($A637,'BC.114+320'!$B$13:$X$4876,15,0)/1000</f>
        <v>-1.113</v>
      </c>
      <c r="J637" s="142">
        <f>VLOOKUP($A637,'BC.114+320'!$B$13:$X$4876,20,0)/1000</f>
        <v>2.0670000000000002</v>
      </c>
      <c r="K637" s="142">
        <f>VLOOKUP($A637,'BC.114+320'!$B$13:$X$4876,21,0)/1000</f>
        <v>-0.93300000000000005</v>
      </c>
      <c r="L637" s="140">
        <f t="shared" si="36"/>
        <v>-832.00000000000011</v>
      </c>
      <c r="M637" s="141">
        <f t="shared" si="37"/>
        <v>-933</v>
      </c>
      <c r="N637" s="140">
        <f t="shared" si="38"/>
        <v>-813</v>
      </c>
      <c r="O637" s="140"/>
    </row>
    <row r="638" spans="1:15">
      <c r="A638" s="76">
        <f>'BC.114+320'!B637</f>
        <v>45667</v>
      </c>
      <c r="B638" s="140">
        <f t="shared" si="39"/>
        <v>624</v>
      </c>
      <c r="C638" s="142">
        <f>'BC.114+320'!M637/1000</f>
        <v>3.1549999999999998</v>
      </c>
      <c r="D638" s="142">
        <f>'BC.114+320'!AA637</f>
        <v>4.0990000000000002</v>
      </c>
      <c r="E638" s="143">
        <f>'BC.114+320'!AB637</f>
        <v>2.4</v>
      </c>
      <c r="F638" s="142">
        <f>VLOOKUP($A638,'BC.114+320'!$B$13:$X$4876,8,0)/1000</f>
        <v>1.9870000000000001</v>
      </c>
      <c r="G638" s="142">
        <f>VLOOKUP($A638,'BC.114+320'!$B$13:$X$4876,9,0)/1000</f>
        <v>-1.0129999999999999</v>
      </c>
      <c r="H638" s="142">
        <f>VLOOKUP($A638,'BC.114+320'!$B$13:$X$4876,14,0)/1000</f>
        <v>1.885</v>
      </c>
      <c r="I638" s="142">
        <f>VLOOKUP($A638,'BC.114+320'!$B$13:$X$4876,15,0)/1000</f>
        <v>-1.115</v>
      </c>
      <c r="J638" s="142">
        <f>VLOOKUP($A638,'BC.114+320'!$B$13:$X$4876,20,0)/1000</f>
        <v>2.0649999999999999</v>
      </c>
      <c r="K638" s="142">
        <f>VLOOKUP($A638,'BC.114+320'!$B$13:$X$4876,21,0)/1000</f>
        <v>-0.93500000000000005</v>
      </c>
      <c r="L638" s="140">
        <f t="shared" si="36"/>
        <v>-833</v>
      </c>
      <c r="M638" s="141">
        <f t="shared" si="37"/>
        <v>-935</v>
      </c>
      <c r="N638" s="140">
        <f t="shared" si="38"/>
        <v>-815.00000000000011</v>
      </c>
      <c r="O638" s="140"/>
    </row>
    <row r="639" spans="1:15">
      <c r="A639" s="76">
        <f>'BC.114+320'!B638</f>
        <v>45668</v>
      </c>
      <c r="B639" s="140">
        <f t="shared" si="39"/>
        <v>625</v>
      </c>
      <c r="C639" s="142">
        <f>'BC.114+320'!M638/1000</f>
        <v>3.153</v>
      </c>
      <c r="D639" s="142">
        <f>'BC.114+320'!AA638</f>
        <v>4.0990000000000002</v>
      </c>
      <c r="E639" s="143">
        <f>'BC.114+320'!AB638</f>
        <v>2.3959999999999999</v>
      </c>
      <c r="F639" s="142">
        <f>VLOOKUP($A639,'BC.114+320'!$B$13:$X$4876,8,0)/1000</f>
        <v>1.9850000000000001</v>
      </c>
      <c r="G639" s="142">
        <f>VLOOKUP($A639,'BC.114+320'!$B$13:$X$4876,9,0)/1000</f>
        <v>-1.0149999999999999</v>
      </c>
      <c r="H639" s="142">
        <f>VLOOKUP($A639,'BC.114+320'!$B$13:$X$4876,14,0)/1000</f>
        <v>1.883</v>
      </c>
      <c r="I639" s="142">
        <f>VLOOKUP($A639,'BC.114+320'!$B$13:$X$4876,15,0)/1000</f>
        <v>-1.117</v>
      </c>
      <c r="J639" s="142">
        <f>VLOOKUP($A639,'BC.114+320'!$B$13:$X$4876,20,0)/1000</f>
        <v>2.0630000000000002</v>
      </c>
      <c r="K639" s="142">
        <f>VLOOKUP($A639,'BC.114+320'!$B$13:$X$4876,21,0)/1000</f>
        <v>-0.93700000000000006</v>
      </c>
      <c r="L639" s="140">
        <f t="shared" si="36"/>
        <v>-835</v>
      </c>
      <c r="M639" s="141">
        <f t="shared" si="37"/>
        <v>-937</v>
      </c>
      <c r="N639" s="140">
        <f t="shared" si="38"/>
        <v>-817.00000000000011</v>
      </c>
      <c r="O639" s="140"/>
    </row>
    <row r="640" spans="1:15">
      <c r="A640" s="76">
        <f>'BC.114+320'!B639</f>
        <v>45669</v>
      </c>
      <c r="B640" s="140">
        <f t="shared" si="39"/>
        <v>626</v>
      </c>
      <c r="C640" s="142">
        <f>'BC.114+320'!M639/1000</f>
        <v>3.1520000000000001</v>
      </c>
      <c r="D640" s="142">
        <f>'BC.114+320'!AA639</f>
        <v>4.0990000000000002</v>
      </c>
      <c r="E640" s="143">
        <f>'BC.114+320'!AB639</f>
        <v>2.3940000000000001</v>
      </c>
      <c r="F640" s="142">
        <f>VLOOKUP($A640,'BC.114+320'!$B$13:$X$4876,8,0)/1000</f>
        <v>1.9830000000000001</v>
      </c>
      <c r="G640" s="142">
        <f>VLOOKUP($A640,'BC.114+320'!$B$13:$X$4876,9,0)/1000</f>
        <v>-1.0169999999999999</v>
      </c>
      <c r="H640" s="142">
        <f>VLOOKUP($A640,'BC.114+320'!$B$13:$X$4876,14,0)/1000</f>
        <v>1.8819999999999999</v>
      </c>
      <c r="I640" s="142">
        <f>VLOOKUP($A640,'BC.114+320'!$B$13:$X$4876,15,0)/1000</f>
        <v>-1.1180000000000001</v>
      </c>
      <c r="J640" s="142">
        <f>VLOOKUP($A640,'BC.114+320'!$B$13:$X$4876,20,0)/1000</f>
        <v>2.06</v>
      </c>
      <c r="K640" s="142">
        <f>VLOOKUP($A640,'BC.114+320'!$B$13:$X$4876,21,0)/1000</f>
        <v>-0.94</v>
      </c>
      <c r="L640" s="140">
        <f t="shared" si="36"/>
        <v>-837</v>
      </c>
      <c r="M640" s="141">
        <f t="shared" si="37"/>
        <v>-938.00000000000011</v>
      </c>
      <c r="N640" s="140">
        <f t="shared" si="38"/>
        <v>-820</v>
      </c>
      <c r="O640" s="140"/>
    </row>
    <row r="641" spans="1:15">
      <c r="A641" s="76">
        <f>'BC.114+320'!B640</f>
        <v>45670</v>
      </c>
      <c r="B641" s="140">
        <f t="shared" si="39"/>
        <v>627</v>
      </c>
      <c r="C641" s="142">
        <f>'BC.114+320'!M640/1000</f>
        <v>3.15</v>
      </c>
      <c r="D641" s="142">
        <f>'BC.114+320'!AA640</f>
        <v>4.0990000000000002</v>
      </c>
      <c r="E641" s="143">
        <f>'BC.114+320'!AB640</f>
        <v>2.39</v>
      </c>
      <c r="F641" s="142">
        <f>VLOOKUP($A641,'BC.114+320'!$B$13:$X$4876,8,0)/1000</f>
        <v>1.98</v>
      </c>
      <c r="G641" s="142">
        <f>VLOOKUP($A641,'BC.114+320'!$B$13:$X$4876,9,0)/1000</f>
        <v>-1.02</v>
      </c>
      <c r="H641" s="142">
        <f>VLOOKUP($A641,'BC.114+320'!$B$13:$X$4876,14,0)/1000</f>
        <v>1.88</v>
      </c>
      <c r="I641" s="142">
        <f>VLOOKUP($A641,'BC.114+320'!$B$13:$X$4876,15,0)/1000</f>
        <v>-1.1200000000000001</v>
      </c>
      <c r="J641" s="142">
        <f>VLOOKUP($A641,'BC.114+320'!$B$13:$X$4876,20,0)/1000</f>
        <v>2.0590000000000002</v>
      </c>
      <c r="K641" s="142">
        <f>VLOOKUP($A641,'BC.114+320'!$B$13:$X$4876,21,0)/1000</f>
        <v>-0.94099999999999995</v>
      </c>
      <c r="L641" s="140">
        <f t="shared" si="36"/>
        <v>-840.00000000000011</v>
      </c>
      <c r="M641" s="141">
        <f t="shared" si="37"/>
        <v>-940.00000000000011</v>
      </c>
      <c r="N641" s="140">
        <f t="shared" si="38"/>
        <v>-821</v>
      </c>
      <c r="O641" s="140"/>
    </row>
    <row r="642" spans="1:15">
      <c r="A642" s="76">
        <f>'BC.114+320'!B641</f>
        <v>45671</v>
      </c>
      <c r="B642" s="140">
        <f t="shared" si="39"/>
        <v>628</v>
      </c>
      <c r="C642" s="142">
        <f>'BC.114+320'!M641/1000</f>
        <v>3.1459999999999999</v>
      </c>
      <c r="D642" s="142">
        <f>'BC.114+320'!AA641</f>
        <v>4.0990000000000002</v>
      </c>
      <c r="E642" s="143">
        <f>'BC.114+320'!AB641</f>
        <v>2.3820000000000001</v>
      </c>
      <c r="F642" s="142">
        <f>VLOOKUP($A642,'BC.114+320'!$B$13:$X$4876,8,0)/1000</f>
        <v>1.9790000000000001</v>
      </c>
      <c r="G642" s="142">
        <f>VLOOKUP($A642,'BC.114+320'!$B$13:$X$4876,9,0)/1000</f>
        <v>-1.0209999999999999</v>
      </c>
      <c r="H642" s="142">
        <f>VLOOKUP($A642,'BC.114+320'!$B$13:$X$4876,14,0)/1000</f>
        <v>1.8759999999999999</v>
      </c>
      <c r="I642" s="142">
        <f>VLOOKUP($A642,'BC.114+320'!$B$13:$X$4876,15,0)/1000</f>
        <v>-1.1240000000000001</v>
      </c>
      <c r="J642" s="142">
        <f>VLOOKUP($A642,'BC.114+320'!$B$13:$X$4876,20,0)/1000</f>
        <v>2.0569999999999999</v>
      </c>
      <c r="K642" s="142">
        <f>VLOOKUP($A642,'BC.114+320'!$B$13:$X$4876,21,0)/1000</f>
        <v>-0.94299999999999995</v>
      </c>
      <c r="L642" s="140">
        <f t="shared" si="36"/>
        <v>-841</v>
      </c>
      <c r="M642" s="141">
        <f t="shared" si="37"/>
        <v>-944.00000000000023</v>
      </c>
      <c r="N642" s="140">
        <f t="shared" si="38"/>
        <v>-823</v>
      </c>
      <c r="O642" s="140"/>
    </row>
    <row r="643" spans="1:15">
      <c r="A643" s="76">
        <f>'BC.114+320'!B642</f>
        <v>45672</v>
      </c>
      <c r="B643" s="140">
        <f t="shared" si="39"/>
        <v>629</v>
      </c>
      <c r="C643" s="142">
        <f>'BC.114+320'!M642/1000</f>
        <v>3.1440000000000001</v>
      </c>
      <c r="D643" s="142">
        <f>'BC.114+320'!AA642</f>
        <v>4.0990000000000002</v>
      </c>
      <c r="E643" s="143">
        <f>'BC.114+320'!AB642</f>
        <v>2.3780000000000001</v>
      </c>
      <c r="F643" s="142">
        <f>VLOOKUP($A643,'BC.114+320'!$B$13:$X$4876,8,0)/1000</f>
        <v>1.9770000000000001</v>
      </c>
      <c r="G643" s="142">
        <f>VLOOKUP($A643,'BC.114+320'!$B$13:$X$4876,9,0)/1000</f>
        <v>-1.0229999999999999</v>
      </c>
      <c r="H643" s="142">
        <f>VLOOKUP($A643,'BC.114+320'!$B$13:$X$4876,14,0)/1000</f>
        <v>1.8740000000000001</v>
      </c>
      <c r="I643" s="142">
        <f>VLOOKUP($A643,'BC.114+320'!$B$13:$X$4876,15,0)/1000</f>
        <v>-1.1259999999999999</v>
      </c>
      <c r="J643" s="142">
        <f>VLOOKUP($A643,'BC.114+320'!$B$13:$X$4876,20,0)/1000</f>
        <v>2.0550000000000002</v>
      </c>
      <c r="K643" s="142">
        <f>VLOOKUP($A643,'BC.114+320'!$B$13:$X$4876,21,0)/1000</f>
        <v>-0.94499999999999995</v>
      </c>
      <c r="L643" s="140">
        <f t="shared" si="36"/>
        <v>-843</v>
      </c>
      <c r="M643" s="141">
        <f t="shared" si="37"/>
        <v>-946</v>
      </c>
      <c r="N643" s="140">
        <f t="shared" si="38"/>
        <v>-825</v>
      </c>
      <c r="O643" s="140"/>
    </row>
    <row r="644" spans="1:15">
      <c r="A644" s="76">
        <f>'BC.114+320'!B643</f>
        <v>45673</v>
      </c>
      <c r="B644" s="140">
        <f t="shared" si="39"/>
        <v>630</v>
      </c>
      <c r="C644" s="142">
        <f>'BC.114+320'!M643/1000</f>
        <v>3.1419999999999999</v>
      </c>
      <c r="D644" s="142">
        <f>'BC.114+320'!AA643</f>
        <v>4.0990000000000002</v>
      </c>
      <c r="E644" s="143">
        <f>'BC.114+320'!AB643</f>
        <v>2.3740000000000001</v>
      </c>
      <c r="F644" s="142">
        <f>VLOOKUP($A644,'BC.114+320'!$B$13:$X$4876,8,0)/1000</f>
        <v>1.9750000000000001</v>
      </c>
      <c r="G644" s="142">
        <f>VLOOKUP($A644,'BC.114+320'!$B$13:$X$4876,9,0)/1000</f>
        <v>-1.0249999999999999</v>
      </c>
      <c r="H644" s="142">
        <f>VLOOKUP($A644,'BC.114+320'!$B$13:$X$4876,14,0)/1000</f>
        <v>1.8720000000000001</v>
      </c>
      <c r="I644" s="142">
        <f>VLOOKUP($A644,'BC.114+320'!$B$13:$X$4876,15,0)/1000</f>
        <v>-1.1279999999999999</v>
      </c>
      <c r="J644" s="142">
        <f>VLOOKUP($A644,'BC.114+320'!$B$13:$X$4876,20,0)/1000</f>
        <v>2.0539999999999998</v>
      </c>
      <c r="K644" s="142">
        <f>VLOOKUP($A644,'BC.114+320'!$B$13:$X$4876,21,0)/1000</f>
        <v>-0.94599999999999995</v>
      </c>
      <c r="L644" s="140">
        <f t="shared" si="36"/>
        <v>-845</v>
      </c>
      <c r="M644" s="141">
        <f t="shared" si="37"/>
        <v>-948</v>
      </c>
      <c r="N644" s="140">
        <f t="shared" si="38"/>
        <v>-826</v>
      </c>
      <c r="O644" s="140"/>
    </row>
    <row r="645" spans="1:15">
      <c r="A645" s="76">
        <f>'BC.114+320'!B644</f>
        <v>45674</v>
      </c>
      <c r="B645" s="140">
        <f t="shared" si="39"/>
        <v>631</v>
      </c>
      <c r="C645" s="142">
        <f>'BC.114+320'!M644/1000</f>
        <v>3.141</v>
      </c>
      <c r="D645" s="142">
        <f>'BC.114+320'!AA644</f>
        <v>4.0990000000000002</v>
      </c>
      <c r="E645" s="143">
        <f>'BC.114+320'!AB644</f>
        <v>2.3719999999999999</v>
      </c>
      <c r="F645" s="142">
        <f>VLOOKUP($A645,'BC.114+320'!$B$13:$X$4876,8,0)/1000</f>
        <v>1.974</v>
      </c>
      <c r="G645" s="142">
        <f>VLOOKUP($A645,'BC.114+320'!$B$13:$X$4876,9,0)/1000</f>
        <v>-1.026</v>
      </c>
      <c r="H645" s="142">
        <f>VLOOKUP($A645,'BC.114+320'!$B$13:$X$4876,14,0)/1000</f>
        <v>1.871</v>
      </c>
      <c r="I645" s="142">
        <f>VLOOKUP($A645,'BC.114+320'!$B$13:$X$4876,15,0)/1000</f>
        <v>-1.129</v>
      </c>
      <c r="J645" s="142">
        <f>VLOOKUP($A645,'BC.114+320'!$B$13:$X$4876,20,0)/1000</f>
        <v>2.052</v>
      </c>
      <c r="K645" s="142">
        <f>VLOOKUP($A645,'BC.114+320'!$B$13:$X$4876,21,0)/1000</f>
        <v>-0.94799999999999995</v>
      </c>
      <c r="L645" s="140">
        <f t="shared" si="36"/>
        <v>-846.00000000000011</v>
      </c>
      <c r="M645" s="141">
        <f t="shared" si="37"/>
        <v>-949.00000000000011</v>
      </c>
      <c r="N645" s="140">
        <f t="shared" si="38"/>
        <v>-828</v>
      </c>
      <c r="O645" s="140"/>
    </row>
    <row r="646" spans="1:15">
      <c r="A646" s="76">
        <f>'BC.114+320'!B645</f>
        <v>45675</v>
      </c>
      <c r="B646" s="140">
        <f t="shared" si="39"/>
        <v>632</v>
      </c>
      <c r="C646" s="142">
        <f>'BC.114+320'!M645/1000</f>
        <v>3.1389999999999998</v>
      </c>
      <c r="D646" s="142">
        <f>'BC.114+320'!AA645</f>
        <v>4.0990000000000002</v>
      </c>
      <c r="E646" s="143">
        <f>'BC.114+320'!AB645</f>
        <v>2.3679999999999999</v>
      </c>
      <c r="F646" s="142">
        <f>VLOOKUP($A646,'BC.114+320'!$B$13:$X$4876,8,0)/1000</f>
        <v>1.972</v>
      </c>
      <c r="G646" s="142">
        <f>VLOOKUP($A646,'BC.114+320'!$B$13:$X$4876,9,0)/1000</f>
        <v>-1.028</v>
      </c>
      <c r="H646" s="142">
        <f>VLOOKUP($A646,'BC.114+320'!$B$13:$X$4876,14,0)/1000</f>
        <v>1.869</v>
      </c>
      <c r="I646" s="142">
        <f>VLOOKUP($A646,'BC.114+320'!$B$13:$X$4876,15,0)/1000</f>
        <v>-1.131</v>
      </c>
      <c r="J646" s="142">
        <f>VLOOKUP($A646,'BC.114+320'!$B$13:$X$4876,20,0)/1000</f>
        <v>2.048</v>
      </c>
      <c r="K646" s="142">
        <f>VLOOKUP($A646,'BC.114+320'!$B$13:$X$4876,21,0)/1000</f>
        <v>-0.95199999999999996</v>
      </c>
      <c r="L646" s="140">
        <f t="shared" si="36"/>
        <v>-848.00000000000011</v>
      </c>
      <c r="M646" s="141">
        <f t="shared" si="37"/>
        <v>-951.00000000000011</v>
      </c>
      <c r="N646" s="140">
        <f t="shared" si="38"/>
        <v>-832</v>
      </c>
      <c r="O646" s="140"/>
    </row>
    <row r="647" spans="1:15">
      <c r="A647" s="76">
        <f>'BC.114+320'!B646</f>
        <v>45676</v>
      </c>
      <c r="B647" s="140">
        <f t="shared" si="39"/>
        <v>633</v>
      </c>
      <c r="C647" s="142">
        <f>'BC.114+320'!M646/1000</f>
        <v>3.1360000000000001</v>
      </c>
      <c r="D647" s="142">
        <f>'BC.114+320'!AA646</f>
        <v>4.0990000000000002</v>
      </c>
      <c r="E647" s="143">
        <f>'BC.114+320'!AB646</f>
        <v>2.3620000000000001</v>
      </c>
      <c r="F647" s="142">
        <f>VLOOKUP($A647,'BC.114+320'!$B$13:$X$4876,8,0)/1000</f>
        <v>1.968</v>
      </c>
      <c r="G647" s="142">
        <f>VLOOKUP($A647,'BC.114+320'!$B$13:$X$4876,9,0)/1000</f>
        <v>-1.032</v>
      </c>
      <c r="H647" s="142">
        <f>VLOOKUP($A647,'BC.114+320'!$B$13:$X$4876,14,0)/1000</f>
        <v>1.8660000000000001</v>
      </c>
      <c r="I647" s="142">
        <f>VLOOKUP($A647,'BC.114+320'!$B$13:$X$4876,15,0)/1000</f>
        <v>-1.1339999999999999</v>
      </c>
      <c r="J647" s="142">
        <f>VLOOKUP($A647,'BC.114+320'!$B$13:$X$4876,20,0)/1000</f>
        <v>2.0459999999999998</v>
      </c>
      <c r="K647" s="142">
        <f>VLOOKUP($A647,'BC.114+320'!$B$13:$X$4876,21,0)/1000</f>
        <v>-0.95399999999999996</v>
      </c>
      <c r="L647" s="140">
        <f t="shared" si="36"/>
        <v>-852.00000000000011</v>
      </c>
      <c r="M647" s="141">
        <f t="shared" si="37"/>
        <v>-954</v>
      </c>
      <c r="N647" s="140">
        <f t="shared" si="38"/>
        <v>-834</v>
      </c>
      <c r="O647" s="140"/>
    </row>
    <row r="648" spans="1:15">
      <c r="A648" s="76">
        <f>'BC.114+320'!B647</f>
        <v>45677</v>
      </c>
      <c r="B648" s="140">
        <f t="shared" si="39"/>
        <v>634</v>
      </c>
      <c r="C648" s="142">
        <f>'BC.114+320'!M647/1000</f>
        <v>3.1339999999999999</v>
      </c>
      <c r="D648" s="142">
        <f>'BC.114+320'!AA647</f>
        <v>4.0990000000000002</v>
      </c>
      <c r="E648" s="143">
        <f>'BC.114+320'!AB647</f>
        <v>2.3580000000000001</v>
      </c>
      <c r="F648" s="142">
        <f>VLOOKUP($A648,'BC.114+320'!$B$13:$X$4876,8,0)/1000</f>
        <v>1.966</v>
      </c>
      <c r="G648" s="142">
        <f>VLOOKUP($A648,'BC.114+320'!$B$13:$X$4876,9,0)/1000</f>
        <v>-1.034</v>
      </c>
      <c r="H648" s="142">
        <f>VLOOKUP($A648,'BC.114+320'!$B$13:$X$4876,14,0)/1000</f>
        <v>1.8640000000000001</v>
      </c>
      <c r="I648" s="142">
        <f>VLOOKUP($A648,'BC.114+320'!$B$13:$X$4876,15,0)/1000</f>
        <v>-1.1359999999999999</v>
      </c>
      <c r="J648" s="142">
        <f>VLOOKUP($A648,'BC.114+320'!$B$13:$X$4876,20,0)/1000</f>
        <v>2.044</v>
      </c>
      <c r="K648" s="142">
        <f>VLOOKUP($A648,'BC.114+320'!$B$13:$X$4876,21,0)/1000</f>
        <v>-0.95599999999999996</v>
      </c>
      <c r="L648" s="140">
        <f t="shared" si="36"/>
        <v>-854.00000000000011</v>
      </c>
      <c r="M648" s="141">
        <f t="shared" si="37"/>
        <v>-956</v>
      </c>
      <c r="N648" s="140">
        <f t="shared" si="38"/>
        <v>-836</v>
      </c>
      <c r="O648" s="140"/>
    </row>
    <row r="649" spans="1:15">
      <c r="A649" s="76">
        <f>'BC.114+320'!B648</f>
        <v>45678</v>
      </c>
      <c r="B649" s="140">
        <f t="shared" si="39"/>
        <v>635</v>
      </c>
      <c r="C649" s="142">
        <f>'BC.114+320'!M648/1000</f>
        <v>3.1309999999999998</v>
      </c>
      <c r="D649" s="142">
        <f>'BC.114+320'!AA648</f>
        <v>4.0990000000000002</v>
      </c>
      <c r="E649" s="143">
        <f>'BC.114+320'!AB648</f>
        <v>2.3519999999999999</v>
      </c>
      <c r="F649" s="142">
        <f>VLOOKUP($A649,'BC.114+320'!$B$13:$X$4876,8,0)/1000</f>
        <v>1.964</v>
      </c>
      <c r="G649" s="142">
        <f>VLOOKUP($A649,'BC.114+320'!$B$13:$X$4876,9,0)/1000</f>
        <v>-1.036</v>
      </c>
      <c r="H649" s="142">
        <f>VLOOKUP($A649,'BC.114+320'!$B$13:$X$4876,14,0)/1000</f>
        <v>1.861</v>
      </c>
      <c r="I649" s="142">
        <f>VLOOKUP($A649,'BC.114+320'!$B$13:$X$4876,15,0)/1000</f>
        <v>-1.139</v>
      </c>
      <c r="J649" s="142">
        <f>VLOOKUP($A649,'BC.114+320'!$B$13:$X$4876,20,0)/1000</f>
        <v>2.0430000000000001</v>
      </c>
      <c r="K649" s="142">
        <f>VLOOKUP($A649,'BC.114+320'!$B$13:$X$4876,21,0)/1000</f>
        <v>-0.95699999999999996</v>
      </c>
      <c r="L649" s="140">
        <f t="shared" si="36"/>
        <v>-856.00000000000011</v>
      </c>
      <c r="M649" s="141">
        <f t="shared" si="37"/>
        <v>-959.00000000000011</v>
      </c>
      <c r="N649" s="140">
        <f t="shared" si="38"/>
        <v>-837</v>
      </c>
      <c r="O649" s="140"/>
    </row>
    <row r="650" spans="1:15">
      <c r="A650" s="76">
        <f>'BC.114+320'!B649</f>
        <v>45679</v>
      </c>
      <c r="B650" s="140">
        <f t="shared" si="39"/>
        <v>636</v>
      </c>
      <c r="C650" s="142">
        <f>'BC.114+320'!M649/1000</f>
        <v>3.1269999999999998</v>
      </c>
      <c r="D650" s="142">
        <f>'BC.114+320'!AA649</f>
        <v>4.0990000000000002</v>
      </c>
      <c r="E650" s="143">
        <f>'BC.114+320'!AB649</f>
        <v>2.3439999999999999</v>
      </c>
      <c r="F650" s="142">
        <f>VLOOKUP($A650,'BC.114+320'!$B$13:$X$4876,8,0)/1000</f>
        <v>1.9630000000000001</v>
      </c>
      <c r="G650" s="142">
        <f>VLOOKUP($A650,'BC.114+320'!$B$13:$X$4876,9,0)/1000</f>
        <v>-1.0369999999999999</v>
      </c>
      <c r="H650" s="142">
        <f>VLOOKUP($A650,'BC.114+320'!$B$13:$X$4876,14,0)/1000</f>
        <v>1.857</v>
      </c>
      <c r="I650" s="142">
        <f>VLOOKUP($A650,'BC.114+320'!$B$13:$X$4876,15,0)/1000</f>
        <v>-1.143</v>
      </c>
      <c r="J650" s="142">
        <f>VLOOKUP($A650,'BC.114+320'!$B$13:$X$4876,20,0)/1000</f>
        <v>2.0409999999999999</v>
      </c>
      <c r="K650" s="142">
        <f>VLOOKUP($A650,'BC.114+320'!$B$13:$X$4876,21,0)/1000</f>
        <v>-0.95899999999999996</v>
      </c>
      <c r="L650" s="140">
        <f t="shared" si="36"/>
        <v>-857</v>
      </c>
      <c r="M650" s="141">
        <f t="shared" si="37"/>
        <v>-963.00000000000011</v>
      </c>
      <c r="N650" s="140">
        <f t="shared" si="38"/>
        <v>-839</v>
      </c>
      <c r="O650" s="140"/>
    </row>
    <row r="651" spans="1:15">
      <c r="A651" s="76">
        <f>'BC.114+320'!B650</f>
        <v>45680</v>
      </c>
      <c r="B651" s="140">
        <f t="shared" si="39"/>
        <v>637</v>
      </c>
      <c r="C651" s="142">
        <f>'BC.114+320'!M650/1000</f>
        <v>3.1240000000000001</v>
      </c>
      <c r="D651" s="142">
        <f>'BC.114+320'!AA650</f>
        <v>4.0990000000000002</v>
      </c>
      <c r="E651" s="143">
        <f>'BC.114+320'!AB650</f>
        <v>2.3380000000000001</v>
      </c>
      <c r="F651" s="142">
        <f>VLOOKUP($A651,'BC.114+320'!$B$13:$X$4876,8,0)/1000</f>
        <v>1.9610000000000001</v>
      </c>
      <c r="G651" s="142">
        <f>VLOOKUP($A651,'BC.114+320'!$B$13:$X$4876,9,0)/1000</f>
        <v>-1.0389999999999999</v>
      </c>
      <c r="H651" s="142">
        <f>VLOOKUP($A651,'BC.114+320'!$B$13:$X$4876,14,0)/1000</f>
        <v>1.8540000000000001</v>
      </c>
      <c r="I651" s="142">
        <f>VLOOKUP($A651,'BC.114+320'!$B$13:$X$4876,15,0)/1000</f>
        <v>-1.1459999999999999</v>
      </c>
      <c r="J651" s="142">
        <f>VLOOKUP($A651,'BC.114+320'!$B$13:$X$4876,20,0)/1000</f>
        <v>2.0379999999999998</v>
      </c>
      <c r="K651" s="142">
        <f>VLOOKUP($A651,'BC.114+320'!$B$13:$X$4876,21,0)/1000</f>
        <v>-0.96199999999999997</v>
      </c>
      <c r="L651" s="140">
        <f t="shared" si="36"/>
        <v>-859</v>
      </c>
      <c r="M651" s="141">
        <f t="shared" si="37"/>
        <v>-966</v>
      </c>
      <c r="N651" s="140">
        <f t="shared" si="38"/>
        <v>-842</v>
      </c>
      <c r="O651" s="140"/>
    </row>
    <row r="652" spans="1:15">
      <c r="A652" s="76">
        <f>'BC.114+320'!B651</f>
        <v>45681</v>
      </c>
      <c r="B652" s="140">
        <f t="shared" si="39"/>
        <v>638</v>
      </c>
      <c r="C652" s="142">
        <f>'BC.114+320'!M651/1000</f>
        <v>3.1230000000000002</v>
      </c>
      <c r="D652" s="142">
        <f>'BC.114+320'!AA651</f>
        <v>4.0990000000000002</v>
      </c>
      <c r="E652" s="143">
        <f>'BC.114+320'!AB651</f>
        <v>2.3359999999999999</v>
      </c>
      <c r="F652" s="142">
        <f>VLOOKUP($A652,'BC.114+320'!$B$13:$X$4876,8,0)/1000</f>
        <v>1.958</v>
      </c>
      <c r="G652" s="142">
        <f>VLOOKUP($A652,'BC.114+320'!$B$13:$X$4876,9,0)/1000</f>
        <v>-1.042</v>
      </c>
      <c r="H652" s="142">
        <f>VLOOKUP($A652,'BC.114+320'!$B$13:$X$4876,14,0)/1000</f>
        <v>1.853</v>
      </c>
      <c r="I652" s="142">
        <f>VLOOKUP($A652,'BC.114+320'!$B$13:$X$4876,15,0)/1000</f>
        <v>-1.147</v>
      </c>
      <c r="J652" s="142">
        <f>VLOOKUP($A652,'BC.114+320'!$B$13:$X$4876,20,0)/1000</f>
        <v>2.036</v>
      </c>
      <c r="K652" s="142">
        <f>VLOOKUP($A652,'BC.114+320'!$B$13:$X$4876,21,0)/1000</f>
        <v>-0.96399999999999997</v>
      </c>
      <c r="L652" s="140">
        <f t="shared" si="36"/>
        <v>-862.00000000000011</v>
      </c>
      <c r="M652" s="141">
        <f t="shared" si="37"/>
        <v>-967.00000000000011</v>
      </c>
      <c r="N652" s="140">
        <f t="shared" si="38"/>
        <v>-844</v>
      </c>
      <c r="O652" s="140"/>
    </row>
    <row r="653" spans="1:15">
      <c r="A653" s="76">
        <f>'BC.114+320'!B652</f>
        <v>45682</v>
      </c>
      <c r="B653" s="140">
        <f t="shared" si="39"/>
        <v>639</v>
      </c>
      <c r="C653" s="142">
        <f>'BC.114+320'!M652/1000</f>
        <v>3.121</v>
      </c>
      <c r="D653" s="142">
        <f>'BC.114+320'!AA652</f>
        <v>4.0990000000000002</v>
      </c>
      <c r="E653" s="143">
        <f>'BC.114+320'!AB652</f>
        <v>2.3319999999999999</v>
      </c>
      <c r="F653" s="142">
        <f>VLOOKUP($A653,'BC.114+320'!$B$13:$X$4876,8,0)/1000</f>
        <v>1.956</v>
      </c>
      <c r="G653" s="142">
        <f>VLOOKUP($A653,'BC.114+320'!$B$13:$X$4876,9,0)/1000</f>
        <v>-1.044</v>
      </c>
      <c r="H653" s="142">
        <f>VLOOKUP($A653,'BC.114+320'!$B$13:$X$4876,14,0)/1000</f>
        <v>1.851</v>
      </c>
      <c r="I653" s="142">
        <f>VLOOKUP($A653,'BC.114+320'!$B$13:$X$4876,15,0)/1000</f>
        <v>-1.149</v>
      </c>
      <c r="J653" s="142">
        <f>VLOOKUP($A653,'BC.114+320'!$B$13:$X$4876,20,0)/1000</f>
        <v>2.0329999999999999</v>
      </c>
      <c r="K653" s="142">
        <f>VLOOKUP($A653,'BC.114+320'!$B$13:$X$4876,21,0)/1000</f>
        <v>-0.96699999999999997</v>
      </c>
      <c r="L653" s="140">
        <f t="shared" si="36"/>
        <v>-864.00000000000011</v>
      </c>
      <c r="M653" s="141">
        <f t="shared" si="37"/>
        <v>-969.00000000000011</v>
      </c>
      <c r="N653" s="140">
        <f t="shared" si="38"/>
        <v>-847</v>
      </c>
      <c r="O653" s="140"/>
    </row>
    <row r="654" spans="1:15">
      <c r="A654" s="76">
        <f>'BC.114+320'!B653</f>
        <v>45683</v>
      </c>
      <c r="B654" s="140">
        <f t="shared" si="39"/>
        <v>640</v>
      </c>
      <c r="C654" s="142">
        <f>'BC.114+320'!M653/1000</f>
        <v>3.1179999999999999</v>
      </c>
      <c r="D654" s="142">
        <f>'BC.114+320'!AA653</f>
        <v>4.0990000000000002</v>
      </c>
      <c r="E654" s="143">
        <f>'BC.114+320'!AB653</f>
        <v>2.3260000000000001</v>
      </c>
      <c r="F654" s="142">
        <f>VLOOKUP($A654,'BC.114+320'!$B$13:$X$4876,8,0)/1000</f>
        <v>1.9530000000000001</v>
      </c>
      <c r="G654" s="142">
        <f>VLOOKUP($A654,'BC.114+320'!$B$13:$X$4876,9,0)/1000</f>
        <v>-1.0469999999999999</v>
      </c>
      <c r="H654" s="142">
        <f>VLOOKUP($A654,'BC.114+320'!$B$13:$X$4876,14,0)/1000</f>
        <v>1.8480000000000001</v>
      </c>
      <c r="I654" s="142">
        <f>VLOOKUP($A654,'BC.114+320'!$B$13:$X$4876,15,0)/1000</f>
        <v>-1.1519999999999999</v>
      </c>
      <c r="J654" s="142">
        <f>VLOOKUP($A654,'BC.114+320'!$B$13:$X$4876,20,0)/1000</f>
        <v>2.0289999999999999</v>
      </c>
      <c r="K654" s="142">
        <f>VLOOKUP($A654,'BC.114+320'!$B$13:$X$4876,21,0)/1000</f>
        <v>-0.97099999999999997</v>
      </c>
      <c r="L654" s="140">
        <f t="shared" ref="L654:L718" si="40">(G654-$G$14)*1000</f>
        <v>-867</v>
      </c>
      <c r="M654" s="141">
        <f t="shared" ref="M654:M718" si="41">(I654-$I$14)*1000</f>
        <v>-972</v>
      </c>
      <c r="N654" s="140">
        <f t="shared" si="38"/>
        <v>-851</v>
      </c>
      <c r="O654" s="140"/>
    </row>
    <row r="655" spans="1:15">
      <c r="A655" s="76">
        <f>'BC.114+320'!B654</f>
        <v>45684</v>
      </c>
      <c r="B655" s="140">
        <f t="shared" si="39"/>
        <v>641</v>
      </c>
      <c r="C655" s="142">
        <f>'BC.114+320'!M654/1000</f>
        <v>3.1150000000000002</v>
      </c>
      <c r="D655" s="142">
        <f>'BC.114+320'!AA654</f>
        <v>4.0990000000000002</v>
      </c>
      <c r="E655" s="143">
        <f>'BC.114+320'!AB654</f>
        <v>2.3199999999999998</v>
      </c>
      <c r="F655" s="142">
        <f>VLOOKUP($A655,'BC.114+320'!$B$13:$X$4876,8,0)/1000</f>
        <v>1.9490000000000001</v>
      </c>
      <c r="G655" s="142">
        <f>VLOOKUP($A655,'BC.114+320'!$B$13:$X$4876,9,0)/1000</f>
        <v>-1.0509999999999999</v>
      </c>
      <c r="H655" s="142">
        <f>VLOOKUP($A655,'BC.114+320'!$B$13:$X$4876,14,0)/1000</f>
        <v>1.845</v>
      </c>
      <c r="I655" s="142">
        <f>VLOOKUP($A655,'BC.114+320'!$B$13:$X$4876,15,0)/1000</f>
        <v>-1.155</v>
      </c>
      <c r="J655" s="142">
        <f>VLOOKUP($A655,'BC.114+320'!$B$13:$X$4876,20,0)/1000</f>
        <v>2.0259999999999998</v>
      </c>
      <c r="K655" s="142">
        <f>VLOOKUP($A655,'BC.114+320'!$B$13:$X$4876,21,0)/1000</f>
        <v>-0.97399999999999998</v>
      </c>
      <c r="L655" s="140">
        <f t="shared" si="40"/>
        <v>-871</v>
      </c>
      <c r="M655" s="141">
        <f t="shared" si="41"/>
        <v>-975.00000000000011</v>
      </c>
      <c r="N655" s="140">
        <f t="shared" ref="N655:N718" si="42">(K655-$K$14)*1000</f>
        <v>-854</v>
      </c>
      <c r="O655" s="140"/>
    </row>
    <row r="656" spans="1:15">
      <c r="A656" s="76">
        <f>'BC.114+320'!B655</f>
        <v>45685</v>
      </c>
      <c r="B656" s="140">
        <f t="shared" ref="B656:B718" si="43">+B655+1</f>
        <v>642</v>
      </c>
      <c r="C656" s="142">
        <f>'BC.114+320'!M655/1000</f>
        <v>3.1110000000000002</v>
      </c>
      <c r="D656" s="142">
        <f>'BC.114+320'!AA655</f>
        <v>4.0990000000000002</v>
      </c>
      <c r="E656" s="143">
        <f>'BC.114+320'!AB655</f>
        <v>2.3119999999999998</v>
      </c>
      <c r="F656" s="142">
        <f>VLOOKUP($A656,'BC.114+320'!$B$13:$X$4876,8,0)/1000</f>
        <v>1.946</v>
      </c>
      <c r="G656" s="142">
        <f>VLOOKUP($A656,'BC.114+320'!$B$13:$X$4876,9,0)/1000</f>
        <v>-1.054</v>
      </c>
      <c r="H656" s="142">
        <f>VLOOKUP($A656,'BC.114+320'!$B$13:$X$4876,14,0)/1000</f>
        <v>1.841</v>
      </c>
      <c r="I656" s="142">
        <f>VLOOKUP($A656,'BC.114+320'!$B$13:$X$4876,15,0)/1000</f>
        <v>-1.159</v>
      </c>
      <c r="J656" s="142">
        <f>VLOOKUP($A656,'BC.114+320'!$B$13:$X$4876,20,0)/1000</f>
        <v>2.0249999999999999</v>
      </c>
      <c r="K656" s="142">
        <f>VLOOKUP($A656,'BC.114+320'!$B$13:$X$4876,21,0)/1000</f>
        <v>-0.97499999999999998</v>
      </c>
      <c r="L656" s="140">
        <f t="shared" si="40"/>
        <v>-874.00000000000011</v>
      </c>
      <c r="M656" s="141">
        <f t="shared" si="41"/>
        <v>-979.00000000000011</v>
      </c>
      <c r="N656" s="140">
        <f t="shared" si="42"/>
        <v>-855</v>
      </c>
      <c r="O656" s="140"/>
    </row>
    <row r="657" spans="1:15">
      <c r="A657" s="76">
        <f>'BC.114+320'!B656</f>
        <v>45686</v>
      </c>
      <c r="B657" s="140">
        <f t="shared" si="43"/>
        <v>643</v>
      </c>
      <c r="C657" s="142">
        <f>'BC.114+320'!M656/1000</f>
        <v>3.1080000000000001</v>
      </c>
      <c r="D657" s="142">
        <f>'BC.114+320'!AA656</f>
        <v>4.0990000000000002</v>
      </c>
      <c r="E657" s="143">
        <f>'BC.114+320'!AB656</f>
        <v>2.306</v>
      </c>
      <c r="F657" s="142">
        <f>VLOOKUP($A657,'BC.114+320'!$B$13:$X$4876,8,0)/1000</f>
        <v>1.9450000000000001</v>
      </c>
      <c r="G657" s="142">
        <f>VLOOKUP($A657,'BC.114+320'!$B$13:$X$4876,9,0)/1000</f>
        <v>-1.0549999999999999</v>
      </c>
      <c r="H657" s="142">
        <f>VLOOKUP($A657,'BC.114+320'!$B$13:$X$4876,14,0)/1000</f>
        <v>1.8380000000000001</v>
      </c>
      <c r="I657" s="142">
        <f>VLOOKUP($A657,'BC.114+320'!$B$13:$X$4876,15,0)/1000</f>
        <v>-1.1619999999999999</v>
      </c>
      <c r="J657" s="142">
        <f>VLOOKUP($A657,'BC.114+320'!$B$13:$X$4876,20,0)/1000</f>
        <v>2.0230000000000001</v>
      </c>
      <c r="K657" s="142">
        <f>VLOOKUP($A657,'BC.114+320'!$B$13:$X$4876,21,0)/1000</f>
        <v>-0.97699999999999998</v>
      </c>
      <c r="L657" s="140">
        <f t="shared" si="40"/>
        <v>-875</v>
      </c>
      <c r="M657" s="141">
        <f t="shared" si="41"/>
        <v>-982</v>
      </c>
      <c r="N657" s="140">
        <f t="shared" si="42"/>
        <v>-857</v>
      </c>
      <c r="O657" s="140"/>
    </row>
    <row r="658" spans="1:15">
      <c r="A658" s="76">
        <f>'BC.114+320'!B657</f>
        <v>45687</v>
      </c>
      <c r="B658" s="140">
        <f t="shared" si="43"/>
        <v>644</v>
      </c>
      <c r="C658" s="142">
        <f>'BC.114+320'!M657/1000</f>
        <v>3.1040000000000001</v>
      </c>
      <c r="D658" s="142">
        <f>'BC.114+320'!AA657</f>
        <v>4.0990000000000002</v>
      </c>
      <c r="E658" s="143">
        <f>'BC.114+320'!AB657</f>
        <v>2.298</v>
      </c>
      <c r="F658" s="142">
        <f>VLOOKUP($A658,'BC.114+320'!$B$13:$X$4876,8,0)/1000</f>
        <v>1.9430000000000001</v>
      </c>
      <c r="G658" s="142">
        <f>VLOOKUP($A658,'BC.114+320'!$B$13:$X$4876,9,0)/1000</f>
        <v>-1.0569999999999999</v>
      </c>
      <c r="H658" s="142">
        <f>VLOOKUP($A658,'BC.114+320'!$B$13:$X$4876,14,0)/1000</f>
        <v>1.8340000000000001</v>
      </c>
      <c r="I658" s="142">
        <f>VLOOKUP($A658,'BC.114+320'!$B$13:$X$4876,15,0)/1000</f>
        <v>-1.1659999999999999</v>
      </c>
      <c r="J658" s="142">
        <f>VLOOKUP($A658,'BC.114+320'!$B$13:$X$4876,20,0)/1000</f>
        <v>2.02</v>
      </c>
      <c r="K658" s="142">
        <f>VLOOKUP($A658,'BC.114+320'!$B$13:$X$4876,21,0)/1000</f>
        <v>-0.98</v>
      </c>
      <c r="L658" s="140">
        <f t="shared" si="40"/>
        <v>-877</v>
      </c>
      <c r="M658" s="141">
        <f t="shared" si="41"/>
        <v>-986</v>
      </c>
      <c r="N658" s="140">
        <f t="shared" si="42"/>
        <v>-860</v>
      </c>
      <c r="O658" s="140"/>
    </row>
    <row r="659" spans="1:15">
      <c r="A659" s="76">
        <f>'BC.114+320'!B658</f>
        <v>45688</v>
      </c>
      <c r="B659" s="140">
        <f t="shared" si="43"/>
        <v>645</v>
      </c>
      <c r="C659" s="142">
        <f>'BC.114+320'!M658/1000</f>
        <v>3.1</v>
      </c>
      <c r="D659" s="142">
        <f>'BC.114+320'!AA658</f>
        <v>4.0990000000000002</v>
      </c>
      <c r="E659" s="143">
        <f>'BC.114+320'!AB658</f>
        <v>2.29</v>
      </c>
      <c r="F659" s="142">
        <f>VLOOKUP($A659,'BC.114+320'!$B$13:$X$4876,8,0)/1000</f>
        <v>1.94</v>
      </c>
      <c r="G659" s="142">
        <f>VLOOKUP($A659,'BC.114+320'!$B$13:$X$4876,9,0)/1000</f>
        <v>-1.06</v>
      </c>
      <c r="H659" s="142">
        <f>VLOOKUP($A659,'BC.114+320'!$B$13:$X$4876,14,0)/1000</f>
        <v>1.83</v>
      </c>
      <c r="I659" s="142">
        <f>VLOOKUP($A659,'BC.114+320'!$B$13:$X$4876,15,0)/1000</f>
        <v>-1.17</v>
      </c>
      <c r="J659" s="142">
        <f>VLOOKUP($A659,'BC.114+320'!$B$13:$X$4876,20,0)/1000</f>
        <v>2.0169999999999999</v>
      </c>
      <c r="K659" s="142">
        <f>VLOOKUP($A659,'BC.114+320'!$B$13:$X$4876,21,0)/1000</f>
        <v>-0.98299999999999998</v>
      </c>
      <c r="L659" s="140">
        <f t="shared" si="40"/>
        <v>-880.00000000000011</v>
      </c>
      <c r="M659" s="141">
        <f t="shared" si="41"/>
        <v>-990</v>
      </c>
      <c r="N659" s="140">
        <f t="shared" si="42"/>
        <v>-863</v>
      </c>
      <c r="O659" s="140"/>
    </row>
    <row r="660" spans="1:15">
      <c r="A660" s="76">
        <f>'BC.114+320'!B659</f>
        <v>45689</v>
      </c>
      <c r="B660" s="140">
        <f t="shared" si="43"/>
        <v>646</v>
      </c>
      <c r="C660" s="142">
        <f>'BC.114+320'!M659/1000</f>
        <v>3.0990000000000002</v>
      </c>
      <c r="D660" s="142">
        <f>'BC.114+320'!AA659</f>
        <v>4.0990000000000002</v>
      </c>
      <c r="E660" s="143">
        <f>'BC.114+320'!AB659</f>
        <v>2.2879999999999998</v>
      </c>
      <c r="F660" s="142">
        <f>VLOOKUP($A660,'BC.114+320'!$B$13:$X$4876,8,0)/1000</f>
        <v>1.9370000000000001</v>
      </c>
      <c r="G660" s="142">
        <f>VLOOKUP($A660,'BC.114+320'!$B$13:$X$4876,9,0)/1000</f>
        <v>-1.0629999999999999</v>
      </c>
      <c r="H660" s="142">
        <f>VLOOKUP($A660,'BC.114+320'!$B$13:$X$4876,14,0)/1000</f>
        <v>1.829</v>
      </c>
      <c r="I660" s="142">
        <f>VLOOKUP($A660,'BC.114+320'!$B$13:$X$4876,15,0)/1000</f>
        <v>-1.171</v>
      </c>
      <c r="J660" s="142">
        <f>VLOOKUP($A660,'BC.114+320'!$B$13:$X$4876,20,0)/1000</f>
        <v>2.0129999999999999</v>
      </c>
      <c r="K660" s="142">
        <f>VLOOKUP($A660,'BC.114+320'!$B$13:$X$4876,21,0)/1000</f>
        <v>-0.98699999999999999</v>
      </c>
      <c r="L660" s="140">
        <f t="shared" si="40"/>
        <v>-883</v>
      </c>
      <c r="M660" s="141">
        <f t="shared" si="41"/>
        <v>-991.00000000000011</v>
      </c>
      <c r="N660" s="140">
        <f t="shared" si="42"/>
        <v>-867</v>
      </c>
      <c r="O660" s="140"/>
    </row>
    <row r="661" spans="1:15">
      <c r="A661" s="76">
        <f>'BC.114+320'!B660</f>
        <v>45690</v>
      </c>
      <c r="B661" s="140">
        <f t="shared" si="43"/>
        <v>647</v>
      </c>
      <c r="C661" s="142">
        <f>'BC.114+320'!M660/1000</f>
        <v>3.097</v>
      </c>
      <c r="D661" s="142">
        <f>'BC.114+320'!AA660</f>
        <v>4.0990000000000002</v>
      </c>
      <c r="E661" s="143">
        <f>'BC.114+320'!AB660</f>
        <v>2.2839999999999998</v>
      </c>
      <c r="F661" s="142">
        <f>VLOOKUP($A661,'BC.114+320'!$B$13:$X$4876,8,0)/1000</f>
        <v>1.9330000000000001</v>
      </c>
      <c r="G661" s="142">
        <f>VLOOKUP($A661,'BC.114+320'!$B$13:$X$4876,9,0)/1000</f>
        <v>-1.0669999999999999</v>
      </c>
      <c r="H661" s="142">
        <f>VLOOKUP($A661,'BC.114+320'!$B$13:$X$4876,14,0)/1000</f>
        <v>1.827</v>
      </c>
      <c r="I661" s="142">
        <f>VLOOKUP($A661,'BC.114+320'!$B$13:$X$4876,15,0)/1000</f>
        <v>-1.173</v>
      </c>
      <c r="J661" s="142">
        <f>VLOOKUP($A661,'BC.114+320'!$B$13:$X$4876,20,0)/1000</f>
        <v>2.0099999999999998</v>
      </c>
      <c r="K661" s="142">
        <f>VLOOKUP($A661,'BC.114+320'!$B$13:$X$4876,21,0)/1000</f>
        <v>-0.99</v>
      </c>
      <c r="L661" s="140">
        <f t="shared" si="40"/>
        <v>-887</v>
      </c>
      <c r="M661" s="141">
        <f t="shared" si="41"/>
        <v>-993.00000000000011</v>
      </c>
      <c r="N661" s="140">
        <f t="shared" si="42"/>
        <v>-870</v>
      </c>
      <c r="O661" s="140"/>
    </row>
    <row r="662" spans="1:15">
      <c r="A662" s="76">
        <f>'BC.114+320'!B661</f>
        <v>45691</v>
      </c>
      <c r="B662" s="140">
        <f t="shared" si="43"/>
        <v>648</v>
      </c>
      <c r="C662" s="142">
        <f>'BC.114+320'!M661/1000</f>
        <v>3.0960000000000001</v>
      </c>
      <c r="D662" s="142">
        <f>'BC.114+320'!AA661</f>
        <v>4.0990000000000002</v>
      </c>
      <c r="E662" s="143">
        <f>'BC.114+320'!AB661</f>
        <v>2.282</v>
      </c>
      <c r="F662" s="142">
        <f>VLOOKUP($A662,'BC.114+320'!$B$13:$X$4876,8,0)/1000</f>
        <v>1.93</v>
      </c>
      <c r="G662" s="142">
        <f>VLOOKUP($A662,'BC.114+320'!$B$13:$X$4876,9,0)/1000</f>
        <v>-1.07</v>
      </c>
      <c r="H662" s="142">
        <f>VLOOKUP($A662,'BC.114+320'!$B$13:$X$4876,14,0)/1000</f>
        <v>1.8260000000000001</v>
      </c>
      <c r="I662" s="142">
        <f>VLOOKUP($A662,'BC.114+320'!$B$13:$X$4876,15,0)/1000</f>
        <v>-1.1739999999999999</v>
      </c>
      <c r="J662" s="142">
        <f>VLOOKUP($A662,'BC.114+320'!$B$13:$X$4876,20,0)/1000</f>
        <v>2.0059999999999998</v>
      </c>
      <c r="K662" s="142">
        <f>VLOOKUP($A662,'BC.114+320'!$B$13:$X$4876,21,0)/1000</f>
        <v>-0.99399999999999999</v>
      </c>
      <c r="L662" s="140">
        <f t="shared" si="40"/>
        <v>-890.00000000000011</v>
      </c>
      <c r="M662" s="141">
        <f t="shared" si="41"/>
        <v>-994</v>
      </c>
      <c r="N662" s="140">
        <f t="shared" si="42"/>
        <v>-874</v>
      </c>
      <c r="O662" s="140"/>
    </row>
    <row r="663" spans="1:15">
      <c r="A663" s="76">
        <f>'BC.114+320'!B662</f>
        <v>45692</v>
      </c>
      <c r="B663" s="140">
        <f t="shared" si="43"/>
        <v>649</v>
      </c>
      <c r="C663" s="142">
        <f>'BC.114+320'!M662/1000</f>
        <v>3.093</v>
      </c>
      <c r="D663" s="142">
        <f>'BC.114+320'!AA662</f>
        <v>4.0990000000000002</v>
      </c>
      <c r="E663" s="143">
        <f>'BC.114+320'!AB662</f>
        <v>2.2759999999999998</v>
      </c>
      <c r="F663" s="142">
        <f>VLOOKUP($A663,'BC.114+320'!$B$13:$X$4876,8,0)/1000</f>
        <v>1.9259999999999999</v>
      </c>
      <c r="G663" s="142">
        <f>VLOOKUP($A663,'BC.114+320'!$B$13:$X$4876,9,0)/1000</f>
        <v>-1.0740000000000001</v>
      </c>
      <c r="H663" s="142">
        <f>VLOOKUP($A663,'BC.114+320'!$B$13:$X$4876,14,0)/1000</f>
        <v>1.823</v>
      </c>
      <c r="I663" s="142">
        <f>VLOOKUP($A663,'BC.114+320'!$B$13:$X$4876,15,0)/1000</f>
        <v>-1.177</v>
      </c>
      <c r="J663" s="142">
        <f>VLOOKUP($A663,'BC.114+320'!$B$13:$X$4876,20,0)/1000</f>
        <v>2.0019999999999998</v>
      </c>
      <c r="K663" s="142">
        <f>VLOOKUP($A663,'BC.114+320'!$B$13:$X$4876,21,0)/1000</f>
        <v>-0.998</v>
      </c>
      <c r="L663" s="140">
        <f t="shared" si="40"/>
        <v>-894.00000000000011</v>
      </c>
      <c r="M663" s="141">
        <f t="shared" si="41"/>
        <v>-997.00000000000011</v>
      </c>
      <c r="N663" s="140">
        <f t="shared" si="42"/>
        <v>-878</v>
      </c>
      <c r="O663" s="140"/>
    </row>
    <row r="664" spans="1:15">
      <c r="A664" s="76">
        <f>'BC.114+320'!B663</f>
        <v>45693</v>
      </c>
      <c r="B664" s="140">
        <f t="shared" si="43"/>
        <v>650</v>
      </c>
      <c r="C664" s="142">
        <f>'BC.114+320'!M663/1000</f>
        <v>3.0910000000000002</v>
      </c>
      <c r="D664" s="142">
        <f>'BC.114+320'!AA663</f>
        <v>4.0990000000000002</v>
      </c>
      <c r="E664" s="143">
        <f>'BC.114+320'!AB663</f>
        <v>2.2719999999999998</v>
      </c>
      <c r="F664" s="142">
        <f>VLOOKUP($A664,'BC.114+320'!$B$13:$X$4876,8,0)/1000</f>
        <v>1.9219999999999999</v>
      </c>
      <c r="G664" s="142">
        <f>VLOOKUP($A664,'BC.114+320'!$B$13:$X$4876,9,0)/1000</f>
        <v>-1.0780000000000001</v>
      </c>
      <c r="H664" s="142">
        <f>VLOOKUP($A664,'BC.114+320'!$B$13:$X$4876,14,0)/1000</f>
        <v>1.821</v>
      </c>
      <c r="I664" s="142">
        <f>VLOOKUP($A664,'BC.114+320'!$B$13:$X$4876,15,0)/1000</f>
        <v>-1.179</v>
      </c>
      <c r="J664" s="142">
        <f>VLOOKUP($A664,'BC.114+320'!$B$13:$X$4876,20,0)/1000</f>
        <v>2.0009999999999999</v>
      </c>
      <c r="K664" s="142">
        <f>VLOOKUP($A664,'BC.114+320'!$B$13:$X$4876,21,0)/1000</f>
        <v>-0.999</v>
      </c>
      <c r="L664" s="140">
        <f t="shared" si="40"/>
        <v>-898.00000000000011</v>
      </c>
      <c r="M664" s="141">
        <f t="shared" si="41"/>
        <v>-999.00000000000011</v>
      </c>
      <c r="N664" s="140">
        <f t="shared" si="42"/>
        <v>-879</v>
      </c>
      <c r="O664" s="140"/>
    </row>
    <row r="665" spans="1:15">
      <c r="A665" s="76">
        <f>'BC.114+320'!B664</f>
        <v>45694</v>
      </c>
      <c r="B665" s="140">
        <f t="shared" si="43"/>
        <v>651</v>
      </c>
      <c r="C665" s="142">
        <f>'BC.114+320'!M664/1000</f>
        <v>3.09</v>
      </c>
      <c r="D665" s="142">
        <f>'BC.114+320'!AA664</f>
        <v>4.0990000000000002</v>
      </c>
      <c r="E665" s="143">
        <f>'BC.114+320'!AB664</f>
        <v>2.27</v>
      </c>
      <c r="F665" s="142">
        <f>VLOOKUP($A665,'BC.114+320'!$B$13:$X$4876,8,0)/1000</f>
        <v>1.921</v>
      </c>
      <c r="G665" s="142">
        <f>VLOOKUP($A665,'BC.114+320'!$B$13:$X$4876,9,0)/1000</f>
        <v>-1.079</v>
      </c>
      <c r="H665" s="142">
        <f>VLOOKUP($A665,'BC.114+320'!$B$13:$X$4876,14,0)/1000</f>
        <v>1.82</v>
      </c>
      <c r="I665" s="142">
        <f>VLOOKUP($A665,'BC.114+320'!$B$13:$X$4876,15,0)/1000</f>
        <v>-1.18</v>
      </c>
      <c r="J665" s="142">
        <f>VLOOKUP($A665,'BC.114+320'!$B$13:$X$4876,20,0)/1000</f>
        <v>1.9990000000000001</v>
      </c>
      <c r="K665" s="142">
        <f>VLOOKUP($A665,'BC.114+320'!$B$13:$X$4876,21,0)/1000</f>
        <v>-1.0009999999999999</v>
      </c>
      <c r="L665" s="140">
        <f t="shared" si="40"/>
        <v>-899</v>
      </c>
      <c r="M665" s="141">
        <f t="shared" si="41"/>
        <v>-1000</v>
      </c>
      <c r="N665" s="140">
        <f t="shared" si="42"/>
        <v>-880.99999999999989</v>
      </c>
      <c r="O665" s="140"/>
    </row>
    <row r="666" spans="1:15">
      <c r="A666" s="76">
        <f>'BC.114+320'!B665</f>
        <v>45695</v>
      </c>
      <c r="B666" s="140">
        <f t="shared" si="43"/>
        <v>652</v>
      </c>
      <c r="C666" s="142">
        <f>'BC.114+320'!M665/1000</f>
        <v>3.0870000000000002</v>
      </c>
      <c r="D666" s="142">
        <f>'BC.114+320'!AA665</f>
        <v>4.0990000000000002</v>
      </c>
      <c r="E666" s="143">
        <f>'BC.114+320'!AB665</f>
        <v>2.2639999999999998</v>
      </c>
      <c r="F666" s="142">
        <f>VLOOKUP($A666,'BC.114+320'!$B$13:$X$4876,8,0)/1000</f>
        <v>1.919</v>
      </c>
      <c r="G666" s="142">
        <f>VLOOKUP($A666,'BC.114+320'!$B$13:$X$4876,9,0)/1000</f>
        <v>-1.081</v>
      </c>
      <c r="H666" s="142">
        <f>VLOOKUP($A666,'BC.114+320'!$B$13:$X$4876,14,0)/1000</f>
        <v>1.8169999999999999</v>
      </c>
      <c r="I666" s="142">
        <f>VLOOKUP($A666,'BC.114+320'!$B$13:$X$4876,15,0)/1000</f>
        <v>-1.1830000000000001</v>
      </c>
      <c r="J666" s="142">
        <f>VLOOKUP($A666,'BC.114+320'!$B$13:$X$4876,20,0)/1000</f>
        <v>1.998</v>
      </c>
      <c r="K666" s="142">
        <f>VLOOKUP($A666,'BC.114+320'!$B$13:$X$4876,21,0)/1000</f>
        <v>-1.002</v>
      </c>
      <c r="L666" s="140">
        <f t="shared" si="40"/>
        <v>-901</v>
      </c>
      <c r="M666" s="141">
        <f t="shared" si="41"/>
        <v>-1003.0000000000001</v>
      </c>
      <c r="N666" s="140">
        <f t="shared" si="42"/>
        <v>-882</v>
      </c>
      <c r="O666" s="140"/>
    </row>
    <row r="667" spans="1:15">
      <c r="A667" s="76">
        <f>'BC.114+320'!B666</f>
        <v>45696</v>
      </c>
      <c r="B667" s="140">
        <f t="shared" si="43"/>
        <v>653</v>
      </c>
      <c r="C667" s="142">
        <f>'BC.114+320'!M666/1000</f>
        <v>3.0840000000000001</v>
      </c>
      <c r="D667" s="142">
        <f>'BC.114+320'!AA666</f>
        <v>4.0990000000000002</v>
      </c>
      <c r="E667" s="143">
        <f>'BC.114+320'!AB666</f>
        <v>2.258</v>
      </c>
      <c r="F667" s="142">
        <f>VLOOKUP($A667,'BC.114+320'!$B$13:$X$4876,8,0)/1000</f>
        <v>1.9179999999999999</v>
      </c>
      <c r="G667" s="142">
        <f>VLOOKUP($A667,'BC.114+320'!$B$13:$X$4876,9,0)/1000</f>
        <v>-1.0820000000000001</v>
      </c>
      <c r="H667" s="142">
        <f>VLOOKUP($A667,'BC.114+320'!$B$13:$X$4876,14,0)/1000</f>
        <v>1.8140000000000001</v>
      </c>
      <c r="I667" s="142">
        <f>VLOOKUP($A667,'BC.114+320'!$B$13:$X$4876,15,0)/1000</f>
        <v>-1.1859999999999999</v>
      </c>
      <c r="J667" s="142">
        <f>VLOOKUP($A667,'BC.114+320'!$B$13:$X$4876,20,0)/1000</f>
        <v>1.9950000000000001</v>
      </c>
      <c r="K667" s="142">
        <f>VLOOKUP($A667,'BC.114+320'!$B$13:$X$4876,21,0)/1000</f>
        <v>-1.0049999999999999</v>
      </c>
      <c r="L667" s="140">
        <f t="shared" si="40"/>
        <v>-902.00000000000011</v>
      </c>
      <c r="M667" s="141">
        <f t="shared" si="41"/>
        <v>-1006</v>
      </c>
      <c r="N667" s="140">
        <f t="shared" si="42"/>
        <v>-884.99999999999989</v>
      </c>
      <c r="O667" s="140"/>
    </row>
    <row r="668" spans="1:15">
      <c r="A668" s="76">
        <f>'BC.114+320'!B667</f>
        <v>45697</v>
      </c>
      <c r="B668" s="140">
        <f t="shared" si="43"/>
        <v>654</v>
      </c>
      <c r="C668" s="142">
        <f>'BC.114+320'!M667/1000</f>
        <v>3.081</v>
      </c>
      <c r="D668" s="142">
        <f>'BC.114+320'!AA667</f>
        <v>4.0990000000000002</v>
      </c>
      <c r="E668" s="143">
        <f>'BC.114+320'!AB667</f>
        <v>2.2519999999999998</v>
      </c>
      <c r="F668" s="142">
        <f>VLOOKUP($A668,'BC.114+320'!$B$13:$X$4876,8,0)/1000</f>
        <v>1.915</v>
      </c>
      <c r="G668" s="142">
        <f>VLOOKUP($A668,'BC.114+320'!$B$13:$X$4876,9,0)/1000</f>
        <v>-1.085</v>
      </c>
      <c r="H668" s="142">
        <f>VLOOKUP($A668,'BC.114+320'!$B$13:$X$4876,14,0)/1000</f>
        <v>1.8109999999999999</v>
      </c>
      <c r="I668" s="142">
        <f>VLOOKUP($A668,'BC.114+320'!$B$13:$X$4876,15,0)/1000</f>
        <v>-1.1890000000000001</v>
      </c>
      <c r="J668" s="142">
        <f>VLOOKUP($A668,'BC.114+320'!$B$13:$X$4876,20,0)/1000</f>
        <v>1.9930000000000001</v>
      </c>
      <c r="K668" s="142">
        <f>VLOOKUP($A668,'BC.114+320'!$B$13:$X$4876,21,0)/1000</f>
        <v>-1.0069999999999999</v>
      </c>
      <c r="L668" s="140">
        <f t="shared" si="40"/>
        <v>-905</v>
      </c>
      <c r="M668" s="141">
        <f t="shared" si="41"/>
        <v>-1009.0000000000001</v>
      </c>
      <c r="N668" s="140">
        <f t="shared" si="42"/>
        <v>-886.99999999999989</v>
      </c>
      <c r="O668" s="140"/>
    </row>
    <row r="669" spans="1:15">
      <c r="A669" s="76">
        <f>'BC.114+320'!B668</f>
        <v>45698</v>
      </c>
      <c r="B669" s="140">
        <f t="shared" si="43"/>
        <v>655</v>
      </c>
      <c r="C669" s="142">
        <f>'BC.114+320'!M668/1000</f>
        <v>3.0779999999999998</v>
      </c>
      <c r="D669" s="142">
        <f>'BC.114+320'!AA668</f>
        <v>4.0990000000000002</v>
      </c>
      <c r="E669" s="143">
        <f>'BC.114+320'!AB668</f>
        <v>2.246</v>
      </c>
      <c r="F669" s="142">
        <f>VLOOKUP($A669,'BC.114+320'!$B$13:$X$4876,8,0)/1000</f>
        <v>1.913</v>
      </c>
      <c r="G669" s="142">
        <f>VLOOKUP($A669,'BC.114+320'!$B$13:$X$4876,9,0)/1000</f>
        <v>-1.087</v>
      </c>
      <c r="H669" s="142">
        <f>VLOOKUP($A669,'BC.114+320'!$B$13:$X$4876,14,0)/1000</f>
        <v>1.8080000000000001</v>
      </c>
      <c r="I669" s="142">
        <f>VLOOKUP($A669,'BC.114+320'!$B$13:$X$4876,15,0)/1000</f>
        <v>-1.1919999999999999</v>
      </c>
      <c r="J669" s="142">
        <f>VLOOKUP($A669,'BC.114+320'!$B$13:$X$4876,20,0)/1000</f>
        <v>1.992</v>
      </c>
      <c r="K669" s="142">
        <f>VLOOKUP($A669,'BC.114+320'!$B$13:$X$4876,21,0)/1000</f>
        <v>-1.008</v>
      </c>
      <c r="L669" s="140">
        <f t="shared" si="40"/>
        <v>-907</v>
      </c>
      <c r="M669" s="141">
        <f t="shared" si="41"/>
        <v>-1012</v>
      </c>
      <c r="N669" s="140">
        <f t="shared" si="42"/>
        <v>-888</v>
      </c>
      <c r="O669" s="140"/>
    </row>
    <row r="670" spans="1:15">
      <c r="A670" s="76">
        <f>'BC.114+320'!B669</f>
        <v>45699</v>
      </c>
      <c r="B670" s="140">
        <f t="shared" si="43"/>
        <v>656</v>
      </c>
      <c r="C670" s="142">
        <f>'BC.114+320'!M669/1000</f>
        <v>3.0760000000000001</v>
      </c>
      <c r="D670" s="142">
        <f>'BC.114+320'!AA669</f>
        <v>4.0990000000000002</v>
      </c>
      <c r="E670" s="143">
        <f>'BC.114+320'!AB669</f>
        <v>2.242</v>
      </c>
      <c r="F670" s="142">
        <f>VLOOKUP($A670,'BC.114+320'!$B$13:$X$4876,8,0)/1000</f>
        <v>1.9119999999999999</v>
      </c>
      <c r="G670" s="142">
        <f>VLOOKUP($A670,'BC.114+320'!$B$13:$X$4876,9,0)/1000</f>
        <v>-1.0880000000000001</v>
      </c>
      <c r="H670" s="142">
        <f>VLOOKUP($A670,'BC.114+320'!$B$13:$X$4876,14,0)/1000</f>
        <v>1.806</v>
      </c>
      <c r="I670" s="142">
        <f>VLOOKUP($A670,'BC.114+320'!$B$13:$X$4876,15,0)/1000</f>
        <v>-1.194</v>
      </c>
      <c r="J670" s="142">
        <f>VLOOKUP($A670,'BC.114+320'!$B$13:$X$4876,20,0)/1000</f>
        <v>1.9890000000000001</v>
      </c>
      <c r="K670" s="142">
        <f>VLOOKUP($A670,'BC.114+320'!$B$13:$X$4876,21,0)/1000</f>
        <v>-1.0109999999999999</v>
      </c>
      <c r="L670" s="140">
        <f t="shared" si="40"/>
        <v>-908.00000000000011</v>
      </c>
      <c r="M670" s="141">
        <f t="shared" si="41"/>
        <v>-1014</v>
      </c>
      <c r="N670" s="140">
        <f t="shared" si="42"/>
        <v>-890.99999999999989</v>
      </c>
      <c r="O670" s="140"/>
    </row>
    <row r="671" spans="1:15">
      <c r="A671" s="76">
        <f>'BC.114+320'!B670</f>
        <v>45700</v>
      </c>
      <c r="B671" s="140">
        <f t="shared" si="43"/>
        <v>657</v>
      </c>
      <c r="C671" s="142">
        <f>'BC.114+320'!M670/1000</f>
        <v>3.0739999999999998</v>
      </c>
      <c r="D671" s="142">
        <f>'BC.114+320'!AA670</f>
        <v>4.0990000000000002</v>
      </c>
      <c r="E671" s="143">
        <f>'BC.114+320'!AB670</f>
        <v>2.238</v>
      </c>
      <c r="F671" s="142">
        <f>VLOOKUP($A671,'BC.114+320'!$B$13:$X$4876,8,0)/1000</f>
        <v>1.909</v>
      </c>
      <c r="G671" s="142">
        <f>VLOOKUP($A671,'BC.114+320'!$B$13:$X$4876,9,0)/1000</f>
        <v>-1.091</v>
      </c>
      <c r="H671" s="142">
        <f>VLOOKUP($A671,'BC.114+320'!$B$13:$X$4876,14,0)/1000</f>
        <v>1.804</v>
      </c>
      <c r="I671" s="142">
        <f>VLOOKUP($A671,'BC.114+320'!$B$13:$X$4876,15,0)/1000</f>
        <v>-1.196</v>
      </c>
      <c r="J671" s="142">
        <f>VLOOKUP($A671,'BC.114+320'!$B$13:$X$4876,20,0)/1000</f>
        <v>1.986</v>
      </c>
      <c r="K671" s="142">
        <f>VLOOKUP($A671,'BC.114+320'!$B$13:$X$4876,21,0)/1000</f>
        <v>-1.014</v>
      </c>
      <c r="L671" s="140">
        <f t="shared" si="40"/>
        <v>-911</v>
      </c>
      <c r="M671" s="141">
        <f t="shared" si="41"/>
        <v>-1016</v>
      </c>
      <c r="N671" s="140">
        <f t="shared" si="42"/>
        <v>-894</v>
      </c>
      <c r="O671" s="140"/>
    </row>
    <row r="672" spans="1:15">
      <c r="A672" s="76">
        <f>'BC.114+320'!B671</f>
        <v>45701</v>
      </c>
      <c r="B672" s="140">
        <f t="shared" si="43"/>
        <v>658</v>
      </c>
      <c r="C672" s="142">
        <f>'BC.114+320'!M671/1000</f>
        <v>3.0720000000000001</v>
      </c>
      <c r="D672" s="142">
        <f>'BC.114+320'!AA671</f>
        <v>4.0990000000000002</v>
      </c>
      <c r="E672" s="143">
        <f>'BC.114+320'!AB671</f>
        <v>2.234</v>
      </c>
      <c r="F672" s="142">
        <f>VLOOKUP($A672,'BC.114+320'!$B$13:$X$4876,8,0)/1000</f>
        <v>1.9059999999999999</v>
      </c>
      <c r="G672" s="142">
        <f>VLOOKUP($A672,'BC.114+320'!$B$13:$X$4876,9,0)/1000</f>
        <v>-1.0940000000000001</v>
      </c>
      <c r="H672" s="142">
        <f>VLOOKUP($A672,'BC.114+320'!$B$13:$X$4876,14,0)/1000</f>
        <v>1.802</v>
      </c>
      <c r="I672" s="142">
        <f>VLOOKUP($A672,'BC.114+320'!$B$13:$X$4876,15,0)/1000</f>
        <v>-1.198</v>
      </c>
      <c r="J672" s="142">
        <f>VLOOKUP($A672,'BC.114+320'!$B$13:$X$4876,20,0)/1000</f>
        <v>1.9830000000000001</v>
      </c>
      <c r="K672" s="142">
        <f>VLOOKUP($A672,'BC.114+320'!$B$13:$X$4876,21,0)/1000</f>
        <v>-1.0169999999999999</v>
      </c>
      <c r="L672" s="140">
        <f t="shared" si="40"/>
        <v>-914.00000000000011</v>
      </c>
      <c r="M672" s="141">
        <f t="shared" si="41"/>
        <v>-1018</v>
      </c>
      <c r="N672" s="140">
        <f t="shared" si="42"/>
        <v>-896.99999999999989</v>
      </c>
      <c r="O672" s="140"/>
    </row>
    <row r="673" spans="1:15">
      <c r="A673" s="76">
        <f>'BC.114+320'!B672</f>
        <v>45702</v>
      </c>
      <c r="B673" s="140">
        <f t="shared" si="43"/>
        <v>659</v>
      </c>
      <c r="C673" s="142">
        <f>'BC.114+320'!M672/1000</f>
        <v>3.0710000000000002</v>
      </c>
      <c r="D673" s="142">
        <f>'BC.114+320'!AA672</f>
        <v>4.0990000000000002</v>
      </c>
      <c r="E673" s="143">
        <f>'BC.114+320'!AB672</f>
        <v>2.2320000000000002</v>
      </c>
      <c r="F673" s="142">
        <f>VLOOKUP($A673,'BC.114+320'!$B$13:$X$4876,8,0)/1000</f>
        <v>1.903</v>
      </c>
      <c r="G673" s="142">
        <f>VLOOKUP($A673,'BC.114+320'!$B$13:$X$4876,9,0)/1000</f>
        <v>-1.097</v>
      </c>
      <c r="H673" s="142">
        <f>VLOOKUP($A673,'BC.114+320'!$B$13:$X$4876,14,0)/1000</f>
        <v>1.8009999999999999</v>
      </c>
      <c r="I673" s="142">
        <f>VLOOKUP($A673,'BC.114+320'!$B$13:$X$4876,15,0)/1000</f>
        <v>-1.1990000000000001</v>
      </c>
      <c r="J673" s="142">
        <f>VLOOKUP($A673,'BC.114+320'!$B$13:$X$4876,20,0)/1000</f>
        <v>1.98</v>
      </c>
      <c r="K673" s="142">
        <f>VLOOKUP($A673,'BC.114+320'!$B$13:$X$4876,21,0)/1000</f>
        <v>-1.02</v>
      </c>
      <c r="L673" s="140">
        <f t="shared" si="40"/>
        <v>-917</v>
      </c>
      <c r="M673" s="141">
        <f t="shared" si="41"/>
        <v>-1019.0000000000001</v>
      </c>
      <c r="N673" s="140">
        <f t="shared" si="42"/>
        <v>-900</v>
      </c>
      <c r="O673" s="140"/>
    </row>
    <row r="674" spans="1:15">
      <c r="A674" s="76">
        <f>'BC.114+320'!B673</f>
        <v>45703</v>
      </c>
      <c r="B674" s="140">
        <f t="shared" si="43"/>
        <v>660</v>
      </c>
      <c r="C674" s="142">
        <f>'BC.114+320'!M673/1000</f>
        <v>3.0680000000000001</v>
      </c>
      <c r="D674" s="142">
        <f>'BC.114+320'!AA673</f>
        <v>4.0990000000000002</v>
      </c>
      <c r="E674" s="143">
        <f>'BC.114+320'!AB673</f>
        <v>2.226</v>
      </c>
      <c r="F674" s="142">
        <f>VLOOKUP($A674,'BC.114+320'!$B$13:$X$4876,8,0)/1000</f>
        <v>1.9</v>
      </c>
      <c r="G674" s="142">
        <f>VLOOKUP($A674,'BC.114+320'!$B$13:$X$4876,9,0)/1000</f>
        <v>-1.1000000000000001</v>
      </c>
      <c r="H674" s="142">
        <f>VLOOKUP($A674,'BC.114+320'!$B$13:$X$4876,14,0)/1000</f>
        <v>1.798</v>
      </c>
      <c r="I674" s="142">
        <f>VLOOKUP($A674,'BC.114+320'!$B$13:$X$4876,15,0)/1000</f>
        <v>-1.202</v>
      </c>
      <c r="J674" s="142">
        <f>VLOOKUP($A674,'BC.114+320'!$B$13:$X$4876,20,0)/1000</f>
        <v>1.978</v>
      </c>
      <c r="K674" s="142">
        <f>VLOOKUP($A674,'BC.114+320'!$B$13:$X$4876,21,0)/1000</f>
        <v>-1.022</v>
      </c>
      <c r="L674" s="140">
        <f t="shared" si="40"/>
        <v>-920.00000000000011</v>
      </c>
      <c r="M674" s="141">
        <f t="shared" si="41"/>
        <v>-1022</v>
      </c>
      <c r="N674" s="140">
        <f t="shared" si="42"/>
        <v>-902</v>
      </c>
      <c r="O674" s="140"/>
    </row>
    <row r="675" spans="1:15">
      <c r="A675" s="76">
        <f>'BC.114+320'!B674</f>
        <v>45704</v>
      </c>
      <c r="B675" s="140">
        <f t="shared" si="43"/>
        <v>661</v>
      </c>
      <c r="C675" s="142">
        <f>'BC.114+320'!M674/1000</f>
        <v>3.0659999999999998</v>
      </c>
      <c r="D675" s="142">
        <f>'BC.114+320'!AA674</f>
        <v>4.0990000000000002</v>
      </c>
      <c r="E675" s="143">
        <f>'BC.114+320'!AB674</f>
        <v>2.222</v>
      </c>
      <c r="F675" s="142">
        <f>VLOOKUP($A675,'BC.114+320'!$B$13:$X$4876,8,0)/1000</f>
        <v>1.8979999999999999</v>
      </c>
      <c r="G675" s="142">
        <f>VLOOKUP($A675,'BC.114+320'!$B$13:$X$4876,9,0)/1000</f>
        <v>-1.1020000000000001</v>
      </c>
      <c r="H675" s="142">
        <f>VLOOKUP($A675,'BC.114+320'!$B$13:$X$4876,14,0)/1000</f>
        <v>1.796</v>
      </c>
      <c r="I675" s="142">
        <f>VLOOKUP($A675,'BC.114+320'!$B$13:$X$4876,15,0)/1000</f>
        <v>-1.204</v>
      </c>
      <c r="J675" s="142">
        <f>VLOOKUP($A675,'BC.114+320'!$B$13:$X$4876,20,0)/1000</f>
        <v>1.976</v>
      </c>
      <c r="K675" s="142">
        <f>VLOOKUP($A675,'BC.114+320'!$B$13:$X$4876,21,0)/1000</f>
        <v>-1.024</v>
      </c>
      <c r="L675" s="140">
        <f t="shared" si="40"/>
        <v>-922.00000000000011</v>
      </c>
      <c r="M675" s="141">
        <f t="shared" si="41"/>
        <v>-1024</v>
      </c>
      <c r="N675" s="140">
        <f t="shared" si="42"/>
        <v>-904</v>
      </c>
      <c r="O675" s="140"/>
    </row>
    <row r="676" spans="1:15">
      <c r="A676" s="76">
        <f>'BC.114+320'!B675</f>
        <v>45705</v>
      </c>
      <c r="B676" s="140">
        <f t="shared" si="43"/>
        <v>662</v>
      </c>
      <c r="C676" s="142">
        <f>'BC.114+320'!M675/1000</f>
        <v>3.0640000000000001</v>
      </c>
      <c r="D676" s="142">
        <f>'BC.114+320'!AA675</f>
        <v>4.0990000000000002</v>
      </c>
      <c r="E676" s="143">
        <f>'BC.114+320'!AB675</f>
        <v>2.218</v>
      </c>
      <c r="F676" s="142">
        <f>VLOOKUP($A676,'BC.114+320'!$B$13:$X$4876,8,0)/1000</f>
        <v>1.8959999999999999</v>
      </c>
      <c r="G676" s="142">
        <f>VLOOKUP($A676,'BC.114+320'!$B$13:$X$4876,9,0)/1000</f>
        <v>-1.1040000000000001</v>
      </c>
      <c r="H676" s="142">
        <f>VLOOKUP($A676,'BC.114+320'!$B$13:$X$4876,14,0)/1000</f>
        <v>1.794</v>
      </c>
      <c r="I676" s="142">
        <f>VLOOKUP($A676,'BC.114+320'!$B$13:$X$4876,15,0)/1000</f>
        <v>-1.206</v>
      </c>
      <c r="J676" s="142">
        <f>VLOOKUP($A676,'BC.114+320'!$B$13:$X$4876,20,0)/1000</f>
        <v>1.974</v>
      </c>
      <c r="K676" s="142">
        <f>VLOOKUP($A676,'BC.114+320'!$B$13:$X$4876,21,0)/1000</f>
        <v>-1.026</v>
      </c>
      <c r="L676" s="140">
        <f t="shared" si="40"/>
        <v>-924.00000000000011</v>
      </c>
      <c r="M676" s="141">
        <f t="shared" si="41"/>
        <v>-1026</v>
      </c>
      <c r="N676" s="140">
        <f t="shared" si="42"/>
        <v>-906</v>
      </c>
      <c r="O676" s="140"/>
    </row>
    <row r="677" spans="1:15">
      <c r="A677" s="76">
        <f>'BC.114+320'!B676</f>
        <v>45706</v>
      </c>
      <c r="B677" s="140">
        <f t="shared" si="43"/>
        <v>663</v>
      </c>
      <c r="C677" s="142">
        <f>'BC.114+320'!M676/1000</f>
        <v>3.0630000000000002</v>
      </c>
      <c r="D677" s="142">
        <f>'BC.114+320'!AA676</f>
        <v>4.0990000000000002</v>
      </c>
      <c r="E677" s="143">
        <f>'BC.114+320'!AB676</f>
        <v>2.2160000000000002</v>
      </c>
      <c r="F677" s="142">
        <f>VLOOKUP($A677,'BC.114+320'!$B$13:$X$4876,8,0)/1000</f>
        <v>1.8939999999999999</v>
      </c>
      <c r="G677" s="142">
        <f>VLOOKUP($A677,'BC.114+320'!$B$13:$X$4876,9,0)/1000</f>
        <v>-1.1060000000000001</v>
      </c>
      <c r="H677" s="142">
        <f>VLOOKUP($A677,'BC.114+320'!$B$13:$X$4876,14,0)/1000</f>
        <v>1.7929999999999999</v>
      </c>
      <c r="I677" s="142">
        <f>VLOOKUP($A677,'BC.114+320'!$B$13:$X$4876,15,0)/1000</f>
        <v>-1.2070000000000001</v>
      </c>
      <c r="J677" s="142">
        <f>VLOOKUP($A677,'BC.114+320'!$B$13:$X$4876,20,0)/1000</f>
        <v>1.9730000000000001</v>
      </c>
      <c r="K677" s="142">
        <f>VLOOKUP($A677,'BC.114+320'!$B$13:$X$4876,21,0)/1000</f>
        <v>-1.0269999999999999</v>
      </c>
      <c r="L677" s="140">
        <f t="shared" si="40"/>
        <v>-926.00000000000011</v>
      </c>
      <c r="M677" s="141">
        <f t="shared" si="41"/>
        <v>-1027.0000000000002</v>
      </c>
      <c r="N677" s="140">
        <f t="shared" si="42"/>
        <v>-906.99999999999989</v>
      </c>
      <c r="O677" s="140"/>
    </row>
    <row r="678" spans="1:15">
      <c r="A678" s="76">
        <f>'BC.114+320'!B677</f>
        <v>45707</v>
      </c>
      <c r="B678" s="140">
        <f t="shared" si="43"/>
        <v>664</v>
      </c>
      <c r="C678" s="142">
        <f>'BC.114+320'!M677/1000</f>
        <v>3.06</v>
      </c>
      <c r="D678" s="142">
        <f>'BC.114+320'!AA677</f>
        <v>4.0990000000000002</v>
      </c>
      <c r="E678" s="143">
        <f>'BC.114+320'!AB677</f>
        <v>2.21</v>
      </c>
      <c r="F678" s="142">
        <f>VLOOKUP($A678,'BC.114+320'!$B$13:$X$4876,8,0)/1000</f>
        <v>1.893</v>
      </c>
      <c r="G678" s="142">
        <f>VLOOKUP($A678,'BC.114+320'!$B$13:$X$4876,9,0)/1000</f>
        <v>-1.107</v>
      </c>
      <c r="H678" s="142">
        <f>VLOOKUP($A678,'BC.114+320'!$B$13:$X$4876,14,0)/1000</f>
        <v>1.79</v>
      </c>
      <c r="I678" s="142">
        <f>VLOOKUP($A678,'BC.114+320'!$B$13:$X$4876,15,0)/1000</f>
        <v>-1.21</v>
      </c>
      <c r="J678" s="142">
        <f>VLOOKUP($A678,'BC.114+320'!$B$13:$X$4876,20,0)/1000</f>
        <v>1.97</v>
      </c>
      <c r="K678" s="142">
        <f>VLOOKUP($A678,'BC.114+320'!$B$13:$X$4876,21,0)/1000</f>
        <v>-1.03</v>
      </c>
      <c r="L678" s="140">
        <f t="shared" si="40"/>
        <v>-927</v>
      </c>
      <c r="M678" s="141">
        <f t="shared" si="41"/>
        <v>-1030</v>
      </c>
      <c r="N678" s="140">
        <f t="shared" si="42"/>
        <v>-910</v>
      </c>
      <c r="O678" s="140"/>
    </row>
    <row r="679" spans="1:15">
      <c r="A679" s="76">
        <f>'BC.114+320'!B678</f>
        <v>45708</v>
      </c>
      <c r="B679" s="140">
        <f t="shared" si="43"/>
        <v>665</v>
      </c>
      <c r="C679" s="142">
        <f>'BC.114+320'!M678/1000</f>
        <v>3.0569999999999999</v>
      </c>
      <c r="D679" s="142">
        <f>'BC.114+320'!AA678</f>
        <v>4.0990000000000002</v>
      </c>
      <c r="E679" s="143">
        <f>'BC.114+320'!AB678</f>
        <v>2.2040000000000002</v>
      </c>
      <c r="F679" s="142">
        <f>VLOOKUP($A679,'BC.114+320'!$B$13:$X$4876,8,0)/1000</f>
        <v>1.89</v>
      </c>
      <c r="G679" s="142">
        <f>VLOOKUP($A679,'BC.114+320'!$B$13:$X$4876,9,0)/1000</f>
        <v>-1.1100000000000001</v>
      </c>
      <c r="H679" s="142">
        <f>VLOOKUP($A679,'BC.114+320'!$B$13:$X$4876,14,0)/1000</f>
        <v>1.7869999999999999</v>
      </c>
      <c r="I679" s="142">
        <f>VLOOKUP($A679,'BC.114+320'!$B$13:$X$4876,15,0)/1000</f>
        <v>-1.2130000000000001</v>
      </c>
      <c r="J679" s="142">
        <f>VLOOKUP($A679,'BC.114+320'!$B$13:$X$4876,20,0)/1000</f>
        <v>1.968</v>
      </c>
      <c r="K679" s="142">
        <f>VLOOKUP($A679,'BC.114+320'!$B$13:$X$4876,21,0)/1000</f>
        <v>-1.032</v>
      </c>
      <c r="L679" s="140">
        <f t="shared" si="40"/>
        <v>-930.00000000000011</v>
      </c>
      <c r="M679" s="141">
        <f t="shared" si="41"/>
        <v>-1033.0000000000002</v>
      </c>
      <c r="N679" s="140">
        <f t="shared" si="42"/>
        <v>-912</v>
      </c>
      <c r="O679" s="140"/>
    </row>
    <row r="680" spans="1:15">
      <c r="A680" s="76">
        <f>'BC.114+320'!B679</f>
        <v>45709</v>
      </c>
      <c r="B680" s="140">
        <f t="shared" si="43"/>
        <v>666</v>
      </c>
      <c r="C680" s="142">
        <f>'BC.114+320'!M679/1000</f>
        <v>3.0550000000000002</v>
      </c>
      <c r="D680" s="142">
        <f>'BC.114+320'!AA679</f>
        <v>4.0990000000000002</v>
      </c>
      <c r="E680" s="143">
        <f>'BC.114+320'!AB679</f>
        <v>2.2000000000000002</v>
      </c>
      <c r="F680" s="142">
        <f>VLOOKUP($A680,'BC.114+320'!$B$13:$X$4876,8,0)/1000</f>
        <v>1.8879999999999999</v>
      </c>
      <c r="G680" s="142">
        <f>VLOOKUP($A680,'BC.114+320'!$B$13:$X$4876,9,0)/1000</f>
        <v>-1.1120000000000001</v>
      </c>
      <c r="H680" s="142">
        <f>VLOOKUP($A680,'BC.114+320'!$B$13:$X$4876,14,0)/1000</f>
        <v>1.7849999999999999</v>
      </c>
      <c r="I680" s="142">
        <f>VLOOKUP($A680,'BC.114+320'!$B$13:$X$4876,15,0)/1000</f>
        <v>-1.2150000000000001</v>
      </c>
      <c r="J680" s="142">
        <f>VLOOKUP($A680,'BC.114+320'!$B$13:$X$4876,20,0)/1000</f>
        <v>1.966</v>
      </c>
      <c r="K680" s="142">
        <f>VLOOKUP($A680,'BC.114+320'!$B$13:$X$4876,21,0)/1000</f>
        <v>-1.034</v>
      </c>
      <c r="L680" s="140">
        <f t="shared" si="40"/>
        <v>-932.00000000000011</v>
      </c>
      <c r="M680" s="141">
        <f t="shared" si="41"/>
        <v>-1035.0000000000002</v>
      </c>
      <c r="N680" s="140">
        <f t="shared" si="42"/>
        <v>-914</v>
      </c>
      <c r="O680" s="140"/>
    </row>
    <row r="681" spans="1:15">
      <c r="A681" s="76">
        <f>'BC.114+320'!B680</f>
        <v>45710</v>
      </c>
      <c r="B681" s="140">
        <f t="shared" si="43"/>
        <v>667</v>
      </c>
      <c r="C681" s="142">
        <f>'BC.114+320'!M680/1000</f>
        <v>3.0529999999999999</v>
      </c>
      <c r="D681" s="142">
        <f>'BC.114+320'!AA680</f>
        <v>4.0990000000000002</v>
      </c>
      <c r="E681" s="143">
        <f>'BC.114+320'!AB680</f>
        <v>2.1960000000000002</v>
      </c>
      <c r="F681" s="142">
        <f>VLOOKUP($A681,'BC.114+320'!$B$13:$X$4876,8,0)/1000</f>
        <v>1.8859999999999999</v>
      </c>
      <c r="G681" s="142">
        <f>VLOOKUP($A681,'BC.114+320'!$B$13:$X$4876,9,0)/1000</f>
        <v>-1.1140000000000001</v>
      </c>
      <c r="H681" s="142">
        <f>VLOOKUP($A681,'BC.114+320'!$B$13:$X$4876,14,0)/1000</f>
        <v>1.7829999999999999</v>
      </c>
      <c r="I681" s="142">
        <f>VLOOKUP($A681,'BC.114+320'!$B$13:$X$4876,15,0)/1000</f>
        <v>-1.2170000000000001</v>
      </c>
      <c r="J681" s="142">
        <f>VLOOKUP($A681,'BC.114+320'!$B$13:$X$4876,20,0)/1000</f>
        <v>1.9650000000000001</v>
      </c>
      <c r="K681" s="142">
        <f>VLOOKUP($A681,'BC.114+320'!$B$13:$X$4876,21,0)/1000</f>
        <v>-1.0349999999999999</v>
      </c>
      <c r="L681" s="140">
        <f t="shared" si="40"/>
        <v>-934.00000000000011</v>
      </c>
      <c r="M681" s="141">
        <f t="shared" si="41"/>
        <v>-1037.0000000000002</v>
      </c>
      <c r="N681" s="140">
        <f t="shared" si="42"/>
        <v>-914.99999999999989</v>
      </c>
      <c r="O681" s="140"/>
    </row>
    <row r="682" spans="1:15">
      <c r="A682" s="76">
        <f>'BC.114+320'!B681</f>
        <v>45711</v>
      </c>
      <c r="B682" s="140">
        <f t="shared" si="43"/>
        <v>668</v>
      </c>
      <c r="C682" s="142">
        <f>'BC.114+320'!M681/1000</f>
        <v>3.05</v>
      </c>
      <c r="D682" s="142">
        <f>'BC.114+320'!AA681</f>
        <v>4.0990000000000002</v>
      </c>
      <c r="E682" s="143">
        <f>'BC.114+320'!AB681</f>
        <v>2.19</v>
      </c>
      <c r="F682" s="142">
        <f>VLOOKUP($A682,'BC.114+320'!$B$13:$X$4876,8,0)/1000</f>
        <v>1.885</v>
      </c>
      <c r="G682" s="142">
        <f>VLOOKUP($A682,'BC.114+320'!$B$13:$X$4876,9,0)/1000</f>
        <v>-1.115</v>
      </c>
      <c r="H682" s="142">
        <f>VLOOKUP($A682,'BC.114+320'!$B$13:$X$4876,14,0)/1000</f>
        <v>1.78</v>
      </c>
      <c r="I682" s="142">
        <f>VLOOKUP($A682,'BC.114+320'!$B$13:$X$4876,15,0)/1000</f>
        <v>-1.22</v>
      </c>
      <c r="J682" s="142">
        <f>VLOOKUP($A682,'BC.114+320'!$B$13:$X$4876,20,0)/1000</f>
        <v>1.962</v>
      </c>
      <c r="K682" s="142">
        <f>VLOOKUP($A682,'BC.114+320'!$B$13:$X$4876,21,0)/1000</f>
        <v>-1.038</v>
      </c>
      <c r="L682" s="140">
        <f t="shared" si="40"/>
        <v>-935</v>
      </c>
      <c r="M682" s="141">
        <f t="shared" si="41"/>
        <v>-1040</v>
      </c>
      <c r="N682" s="140">
        <f t="shared" si="42"/>
        <v>-918</v>
      </c>
      <c r="O682" s="140"/>
    </row>
    <row r="683" spans="1:15">
      <c r="A683" s="76">
        <f>'BC.114+320'!B682</f>
        <v>45712</v>
      </c>
      <c r="B683" s="140">
        <f t="shared" si="43"/>
        <v>669</v>
      </c>
      <c r="C683" s="142">
        <f>'BC.114+320'!M682/1000</f>
        <v>3.0470000000000002</v>
      </c>
      <c r="D683" s="142">
        <f>'BC.114+320'!AA682</f>
        <v>4.0990000000000002</v>
      </c>
      <c r="E683" s="143">
        <f>'BC.114+320'!AB682</f>
        <v>2.1840000000000002</v>
      </c>
      <c r="F683" s="142">
        <f>VLOOKUP($A683,'BC.114+320'!$B$13:$X$4876,8,0)/1000</f>
        <v>1.8819999999999999</v>
      </c>
      <c r="G683" s="142">
        <f>VLOOKUP($A683,'BC.114+320'!$B$13:$X$4876,9,0)/1000</f>
        <v>-1.1180000000000001</v>
      </c>
      <c r="H683" s="142">
        <f>VLOOKUP($A683,'BC.114+320'!$B$13:$X$4876,14,0)/1000</f>
        <v>1.7769999999999999</v>
      </c>
      <c r="I683" s="142">
        <f>VLOOKUP($A683,'BC.114+320'!$B$13:$X$4876,15,0)/1000</f>
        <v>-1.2230000000000001</v>
      </c>
      <c r="J683" s="142">
        <f>VLOOKUP($A683,'BC.114+320'!$B$13:$X$4876,20,0)/1000</f>
        <v>1.9590000000000001</v>
      </c>
      <c r="K683" s="142">
        <f>VLOOKUP($A683,'BC.114+320'!$B$13:$X$4876,21,0)/1000</f>
        <v>-1.0409999999999999</v>
      </c>
      <c r="L683" s="140">
        <f t="shared" si="40"/>
        <v>-938.00000000000011</v>
      </c>
      <c r="M683" s="141">
        <f t="shared" si="41"/>
        <v>-1043.0000000000002</v>
      </c>
      <c r="N683" s="140">
        <f t="shared" si="42"/>
        <v>-920.99999999999989</v>
      </c>
      <c r="O683" s="140"/>
    </row>
    <row r="684" spans="1:15">
      <c r="A684" s="76">
        <f>'BC.114+320'!B683</f>
        <v>45713</v>
      </c>
      <c r="B684" s="140">
        <f t="shared" si="43"/>
        <v>670</v>
      </c>
      <c r="C684" s="142">
        <f>'BC.114+320'!M683/1000</f>
        <v>3.0449999999999999</v>
      </c>
      <c r="D684" s="142">
        <f>'BC.114+320'!AA683</f>
        <v>4.0990000000000002</v>
      </c>
      <c r="E684" s="143">
        <f>'BC.114+320'!AB683</f>
        <v>2.1800000000000002</v>
      </c>
      <c r="F684" s="142">
        <f>VLOOKUP($A684,'BC.114+320'!$B$13:$X$4876,8,0)/1000</f>
        <v>1.879</v>
      </c>
      <c r="G684" s="142">
        <f>VLOOKUP($A684,'BC.114+320'!$B$13:$X$4876,9,0)/1000</f>
        <v>-1.121</v>
      </c>
      <c r="H684" s="142">
        <f>VLOOKUP($A684,'BC.114+320'!$B$13:$X$4876,14,0)/1000</f>
        <v>1.7749999999999999</v>
      </c>
      <c r="I684" s="142">
        <f>VLOOKUP($A684,'BC.114+320'!$B$13:$X$4876,15,0)/1000</f>
        <v>-1.2250000000000001</v>
      </c>
      <c r="J684" s="142">
        <f>VLOOKUP($A684,'BC.114+320'!$B$13:$X$4876,20,0)/1000</f>
        <v>1.9570000000000001</v>
      </c>
      <c r="K684" s="142">
        <f>VLOOKUP($A684,'BC.114+320'!$B$13:$X$4876,21,0)/1000</f>
        <v>-1.0429999999999999</v>
      </c>
      <c r="L684" s="140">
        <f t="shared" si="40"/>
        <v>-941.00000000000011</v>
      </c>
      <c r="M684" s="141">
        <f t="shared" si="41"/>
        <v>-1045.0000000000002</v>
      </c>
      <c r="N684" s="140">
        <f t="shared" si="42"/>
        <v>-922.99999999999989</v>
      </c>
      <c r="O684" s="140"/>
    </row>
    <row r="685" spans="1:15">
      <c r="A685" s="76">
        <f>'BC.114+320'!B684</f>
        <v>45714</v>
      </c>
      <c r="B685" s="140">
        <f t="shared" si="43"/>
        <v>671</v>
      </c>
      <c r="C685" s="142">
        <f>'BC.114+320'!M684/1000</f>
        <v>3.0430000000000001</v>
      </c>
      <c r="D685" s="142">
        <f>'BC.114+320'!AA684</f>
        <v>4.0990000000000002</v>
      </c>
      <c r="E685" s="143">
        <f>'BC.114+320'!AB684</f>
        <v>2.1760000000000002</v>
      </c>
      <c r="F685" s="142">
        <f>VLOOKUP($A685,'BC.114+320'!$B$13:$X$4876,8,0)/1000</f>
        <v>1.877</v>
      </c>
      <c r="G685" s="142">
        <f>VLOOKUP($A685,'BC.114+320'!$B$13:$X$4876,9,0)/1000</f>
        <v>-1.123</v>
      </c>
      <c r="H685" s="142">
        <f>VLOOKUP($A685,'BC.114+320'!$B$13:$X$4876,14,0)/1000</f>
        <v>1.7729999999999999</v>
      </c>
      <c r="I685" s="142">
        <f>VLOOKUP($A685,'BC.114+320'!$B$13:$X$4876,15,0)/1000</f>
        <v>-1.2270000000000001</v>
      </c>
      <c r="J685" s="142">
        <f>VLOOKUP($A685,'BC.114+320'!$B$13:$X$4876,20,0)/1000</f>
        <v>1.9550000000000001</v>
      </c>
      <c r="K685" s="142">
        <f>VLOOKUP($A685,'BC.114+320'!$B$13:$X$4876,21,0)/1000</f>
        <v>-1.0449999999999999</v>
      </c>
      <c r="L685" s="140">
        <f t="shared" si="40"/>
        <v>-943.00000000000011</v>
      </c>
      <c r="M685" s="141">
        <f t="shared" si="41"/>
        <v>-1047.0000000000002</v>
      </c>
      <c r="N685" s="140">
        <f t="shared" si="42"/>
        <v>-924.99999999999989</v>
      </c>
      <c r="O685" s="140"/>
    </row>
    <row r="686" spans="1:15">
      <c r="A686" s="76">
        <f>'BC.114+320'!B685</f>
        <v>45715</v>
      </c>
      <c r="B686" s="140">
        <f t="shared" si="43"/>
        <v>672</v>
      </c>
      <c r="C686" s="142">
        <f>'BC.114+320'!M685/1000</f>
        <v>3.0419999999999998</v>
      </c>
      <c r="D686" s="142">
        <f>'BC.114+320'!AA685</f>
        <v>4.0990000000000002</v>
      </c>
      <c r="E686" s="143">
        <f>'BC.114+320'!AB685</f>
        <v>2.1739999999999999</v>
      </c>
      <c r="F686" s="142">
        <f>VLOOKUP($A686,'BC.114+320'!$B$13:$X$4876,8,0)/1000</f>
        <v>1.875</v>
      </c>
      <c r="G686" s="142">
        <f>VLOOKUP($A686,'BC.114+320'!$B$13:$X$4876,9,0)/1000</f>
        <v>-1.125</v>
      </c>
      <c r="H686" s="142">
        <f>VLOOKUP($A686,'BC.114+320'!$B$13:$X$4876,14,0)/1000</f>
        <v>1.772</v>
      </c>
      <c r="I686" s="142">
        <f>VLOOKUP($A686,'BC.114+320'!$B$13:$X$4876,15,0)/1000</f>
        <v>-1.228</v>
      </c>
      <c r="J686" s="142">
        <f>VLOOKUP($A686,'BC.114+320'!$B$13:$X$4876,20,0)/1000</f>
        <v>1.952</v>
      </c>
      <c r="K686" s="142">
        <f>VLOOKUP($A686,'BC.114+320'!$B$13:$X$4876,21,0)/1000</f>
        <v>-1.048</v>
      </c>
      <c r="L686" s="140">
        <f t="shared" si="40"/>
        <v>-945.00000000000011</v>
      </c>
      <c r="M686" s="141">
        <f t="shared" si="41"/>
        <v>-1048</v>
      </c>
      <c r="N686" s="140">
        <f t="shared" si="42"/>
        <v>-928</v>
      </c>
      <c r="O686" s="140"/>
    </row>
    <row r="687" spans="1:15">
      <c r="A687" s="76">
        <f>'BC.114+320'!B686</f>
        <v>45716</v>
      </c>
      <c r="B687" s="140">
        <f t="shared" si="43"/>
        <v>673</v>
      </c>
      <c r="C687" s="142">
        <f>'BC.114+320'!M686/1000</f>
        <v>3.04</v>
      </c>
      <c r="D687" s="142">
        <f>'BC.114+320'!AA686</f>
        <v>4.0990000000000002</v>
      </c>
      <c r="E687" s="143">
        <f>'BC.114+320'!AB686</f>
        <v>2.17</v>
      </c>
      <c r="F687" s="142">
        <f>VLOOKUP($A687,'BC.114+320'!$B$13:$X$4876,8,0)/1000</f>
        <v>1.8720000000000001</v>
      </c>
      <c r="G687" s="142">
        <f>VLOOKUP($A687,'BC.114+320'!$B$13:$X$4876,9,0)/1000</f>
        <v>-1.1279999999999999</v>
      </c>
      <c r="H687" s="142">
        <f>VLOOKUP($A687,'BC.114+320'!$B$13:$X$4876,14,0)/1000</f>
        <v>1.77</v>
      </c>
      <c r="I687" s="142">
        <f>VLOOKUP($A687,'BC.114+320'!$B$13:$X$4876,15,0)/1000</f>
        <v>-1.23</v>
      </c>
      <c r="J687" s="142">
        <f>VLOOKUP($A687,'BC.114+320'!$B$13:$X$4876,20,0)/1000</f>
        <v>1.9510000000000001</v>
      </c>
      <c r="K687" s="142">
        <f>VLOOKUP($A687,'BC.114+320'!$B$13:$X$4876,21,0)/1000</f>
        <v>-1.0489999999999999</v>
      </c>
      <c r="L687" s="140">
        <f t="shared" si="40"/>
        <v>-948</v>
      </c>
      <c r="M687" s="141">
        <f t="shared" si="41"/>
        <v>-1050</v>
      </c>
      <c r="N687" s="140">
        <f t="shared" si="42"/>
        <v>-928.99999999999989</v>
      </c>
      <c r="O687" s="140"/>
    </row>
    <row r="688" spans="1:15">
      <c r="A688" s="76">
        <f>'BC.114+320'!B687</f>
        <v>45717</v>
      </c>
      <c r="B688" s="140">
        <f t="shared" si="43"/>
        <v>674</v>
      </c>
      <c r="C688" s="142">
        <f>'BC.114+320'!M687/1000</f>
        <v>3.0390000000000001</v>
      </c>
      <c r="D688" s="142">
        <f>'BC.114+320'!AA687</f>
        <v>4.0990000000000002</v>
      </c>
      <c r="E688" s="143">
        <f>'BC.114+320'!AB687</f>
        <v>2.1680000000000001</v>
      </c>
      <c r="F688" s="142">
        <f>VLOOKUP($A688,'BC.114+320'!$B$13:$X$4876,8,0)/1000</f>
        <v>1.8680000000000001</v>
      </c>
      <c r="G688" s="142">
        <f>VLOOKUP($A688,'BC.114+320'!$B$13:$X$4876,9,0)/1000</f>
        <v>-1.1319999999999999</v>
      </c>
      <c r="H688" s="142">
        <f>VLOOKUP($A688,'BC.114+320'!$B$13:$X$4876,14,0)/1000</f>
        <v>1.7689999999999999</v>
      </c>
      <c r="I688" s="142">
        <f>VLOOKUP($A688,'BC.114+320'!$B$13:$X$4876,15,0)/1000</f>
        <v>-1.2310000000000001</v>
      </c>
      <c r="J688" s="142">
        <f>VLOOKUP($A688,'BC.114+320'!$B$13:$X$4876,20,0)/1000</f>
        <v>1.9490000000000001</v>
      </c>
      <c r="K688" s="142">
        <f>VLOOKUP($A688,'BC.114+320'!$B$13:$X$4876,21,0)/1000</f>
        <v>-1.0509999999999999</v>
      </c>
      <c r="L688" s="140">
        <f t="shared" si="40"/>
        <v>-952</v>
      </c>
      <c r="M688" s="141">
        <f t="shared" si="41"/>
        <v>-1051.0000000000002</v>
      </c>
      <c r="N688" s="140">
        <f t="shared" si="42"/>
        <v>-930.99999999999989</v>
      </c>
      <c r="O688" s="140"/>
    </row>
    <row r="689" spans="1:15">
      <c r="A689" s="76">
        <f>'BC.114+320'!B688</f>
        <v>45718</v>
      </c>
      <c r="B689" s="140">
        <f t="shared" si="43"/>
        <v>675</v>
      </c>
      <c r="C689" s="142">
        <f>'BC.114+320'!M688/1000</f>
        <v>3.0379999999999998</v>
      </c>
      <c r="D689" s="142">
        <f>'BC.114+320'!AA688</f>
        <v>4.0990000000000002</v>
      </c>
      <c r="E689" s="143">
        <f>'BC.114+320'!AB688</f>
        <v>2.1659999999999999</v>
      </c>
      <c r="F689" s="142">
        <f>VLOOKUP($A689,'BC.114+320'!$B$13:$X$4876,8,0)/1000</f>
        <v>1.8660000000000001</v>
      </c>
      <c r="G689" s="142">
        <f>VLOOKUP($A689,'BC.114+320'!$B$13:$X$4876,9,0)/1000</f>
        <v>-1.1339999999999999</v>
      </c>
      <c r="H689" s="142">
        <f>VLOOKUP($A689,'BC.114+320'!$B$13:$X$4876,14,0)/1000</f>
        <v>1.768</v>
      </c>
      <c r="I689" s="142">
        <f>VLOOKUP($A689,'BC.114+320'!$B$13:$X$4876,15,0)/1000</f>
        <v>-1.232</v>
      </c>
      <c r="J689" s="142">
        <f>VLOOKUP($A689,'BC.114+320'!$B$13:$X$4876,20,0)/1000</f>
        <v>1.9470000000000001</v>
      </c>
      <c r="K689" s="142">
        <f>VLOOKUP($A689,'BC.114+320'!$B$13:$X$4876,21,0)/1000</f>
        <v>-1.0529999999999999</v>
      </c>
      <c r="L689" s="140">
        <f t="shared" si="40"/>
        <v>-954</v>
      </c>
      <c r="M689" s="141">
        <f t="shared" si="41"/>
        <v>-1052</v>
      </c>
      <c r="N689" s="140">
        <f t="shared" si="42"/>
        <v>-932.99999999999989</v>
      </c>
      <c r="O689" s="140"/>
    </row>
    <row r="690" spans="1:15">
      <c r="A690" s="76">
        <f>'BC.114+320'!B689</f>
        <v>45719</v>
      </c>
      <c r="B690" s="140">
        <f t="shared" si="43"/>
        <v>676</v>
      </c>
      <c r="C690" s="142">
        <f>'BC.114+320'!M689/1000</f>
        <v>3.036</v>
      </c>
      <c r="D690" s="142">
        <f>'BC.114+320'!AA689</f>
        <v>4.0990000000000002</v>
      </c>
      <c r="E690" s="143">
        <f>'BC.114+320'!AB689</f>
        <v>2.1619999999999999</v>
      </c>
      <c r="F690" s="142">
        <f>VLOOKUP($A690,'BC.114+320'!$B$13:$X$4876,8,0)/1000</f>
        <v>1.8640000000000001</v>
      </c>
      <c r="G690" s="142">
        <f>VLOOKUP($A690,'BC.114+320'!$B$13:$X$4876,9,0)/1000</f>
        <v>-1.1359999999999999</v>
      </c>
      <c r="H690" s="142">
        <f>VLOOKUP($A690,'BC.114+320'!$B$13:$X$4876,14,0)/1000</f>
        <v>1.766</v>
      </c>
      <c r="I690" s="142">
        <f>VLOOKUP($A690,'BC.114+320'!$B$13:$X$4876,15,0)/1000</f>
        <v>-1.234</v>
      </c>
      <c r="J690" s="142">
        <f>VLOOKUP($A690,'BC.114+320'!$B$13:$X$4876,20,0)/1000</f>
        <v>1.946</v>
      </c>
      <c r="K690" s="142">
        <f>VLOOKUP($A690,'BC.114+320'!$B$13:$X$4876,21,0)/1000</f>
        <v>-1.054</v>
      </c>
      <c r="L690" s="140">
        <f t="shared" si="40"/>
        <v>-956</v>
      </c>
      <c r="M690" s="141">
        <f t="shared" si="41"/>
        <v>-1054</v>
      </c>
      <c r="N690" s="140">
        <f t="shared" si="42"/>
        <v>-934</v>
      </c>
      <c r="O690" s="140"/>
    </row>
    <row r="691" spans="1:15">
      <c r="A691" s="76">
        <f>'BC.114+320'!B690</f>
        <v>45720</v>
      </c>
      <c r="B691" s="140">
        <f t="shared" si="43"/>
        <v>677</v>
      </c>
      <c r="C691" s="142">
        <f>'BC.114+320'!M690/1000</f>
        <v>3.0350000000000001</v>
      </c>
      <c r="D691" s="142">
        <f>'BC.114+320'!AA690</f>
        <v>4.0990000000000002</v>
      </c>
      <c r="E691" s="143">
        <f>'BC.114+320'!AB690</f>
        <v>2.16</v>
      </c>
      <c r="F691" s="142">
        <f>VLOOKUP($A691,'BC.114+320'!$B$13:$X$4876,8,0)/1000</f>
        <v>1.863</v>
      </c>
      <c r="G691" s="142">
        <f>VLOOKUP($A691,'BC.114+320'!$B$13:$X$4876,9,0)/1000</f>
        <v>-1.137</v>
      </c>
      <c r="H691" s="142">
        <f>VLOOKUP($A691,'BC.114+320'!$B$13:$X$4876,14,0)/1000</f>
        <v>1.7649999999999999</v>
      </c>
      <c r="I691" s="142">
        <f>VLOOKUP($A691,'BC.114+320'!$B$13:$X$4876,15,0)/1000</f>
        <v>-1.2350000000000001</v>
      </c>
      <c r="J691" s="142">
        <f>VLOOKUP($A691,'BC.114+320'!$B$13:$X$4876,20,0)/1000</f>
        <v>1.944</v>
      </c>
      <c r="K691" s="142">
        <f>VLOOKUP($A691,'BC.114+320'!$B$13:$X$4876,21,0)/1000</f>
        <v>-1.056</v>
      </c>
      <c r="L691" s="140">
        <f t="shared" si="40"/>
        <v>-957.00000000000011</v>
      </c>
      <c r="M691" s="141">
        <f t="shared" si="41"/>
        <v>-1055.0000000000002</v>
      </c>
      <c r="N691" s="140">
        <f t="shared" si="42"/>
        <v>-936</v>
      </c>
      <c r="O691" s="140"/>
    </row>
    <row r="692" spans="1:15">
      <c r="A692" s="76">
        <f>'BC.114+320'!B691</f>
        <v>45721</v>
      </c>
      <c r="B692" s="140">
        <f t="shared" si="43"/>
        <v>678</v>
      </c>
      <c r="C692" s="142">
        <f>'BC.114+320'!M691/1000</f>
        <v>3.0339999999999998</v>
      </c>
      <c r="D692" s="142">
        <f>'BC.114+320'!AA691</f>
        <v>4.0990000000000002</v>
      </c>
      <c r="E692" s="143">
        <f>'BC.114+320'!AB691</f>
        <v>2.1579999999999999</v>
      </c>
      <c r="F692" s="142">
        <f>VLOOKUP($A692,'BC.114+320'!$B$13:$X$4876,8,0)/1000</f>
        <v>1.861</v>
      </c>
      <c r="G692" s="142">
        <f>VLOOKUP($A692,'BC.114+320'!$B$13:$X$4876,9,0)/1000</f>
        <v>-1.139</v>
      </c>
      <c r="H692" s="142">
        <f>VLOOKUP($A692,'BC.114+320'!$B$13:$X$4876,14,0)/1000</f>
        <v>1.764</v>
      </c>
      <c r="I692" s="142">
        <f>VLOOKUP($A692,'BC.114+320'!$B$13:$X$4876,15,0)/1000</f>
        <v>-1.236</v>
      </c>
      <c r="J692" s="142">
        <f>VLOOKUP($A692,'BC.114+320'!$B$13:$X$4876,20,0)/1000</f>
        <v>1.9430000000000001</v>
      </c>
      <c r="K692" s="142">
        <f>VLOOKUP($A692,'BC.114+320'!$B$13:$X$4876,21,0)/1000</f>
        <v>-1.0569999999999999</v>
      </c>
      <c r="L692" s="140">
        <f t="shared" si="40"/>
        <v>-959.00000000000011</v>
      </c>
      <c r="M692" s="141">
        <f t="shared" si="41"/>
        <v>-1056</v>
      </c>
      <c r="N692" s="140">
        <f t="shared" si="42"/>
        <v>-937</v>
      </c>
      <c r="O692" s="140"/>
    </row>
    <row r="693" spans="1:15">
      <c r="A693" s="76">
        <f>'BC.114+320'!B692</f>
        <v>45722</v>
      </c>
      <c r="B693" s="140">
        <f t="shared" si="43"/>
        <v>679</v>
      </c>
      <c r="C693" s="142">
        <f>'BC.114+320'!M692/1000</f>
        <v>3.0310000000000001</v>
      </c>
      <c r="D693" s="142">
        <f>'BC.114+320'!AA692</f>
        <v>4.0990000000000002</v>
      </c>
      <c r="E693" s="143">
        <f>'BC.114+320'!AB692</f>
        <v>2.1520000000000001</v>
      </c>
      <c r="F693" s="142">
        <f>VLOOKUP($A693,'BC.114+320'!$B$13:$X$4876,8,0)/1000</f>
        <v>1.86</v>
      </c>
      <c r="G693" s="142">
        <f>VLOOKUP($A693,'BC.114+320'!$B$13:$X$4876,9,0)/1000</f>
        <v>-1.1399999999999999</v>
      </c>
      <c r="H693" s="142">
        <f>VLOOKUP($A693,'BC.114+320'!$B$13:$X$4876,14,0)/1000</f>
        <v>1.7609999999999999</v>
      </c>
      <c r="I693" s="142">
        <f>VLOOKUP($A693,'BC.114+320'!$B$13:$X$4876,15,0)/1000</f>
        <v>-1.2390000000000001</v>
      </c>
      <c r="J693" s="142">
        <f>VLOOKUP($A693,'BC.114+320'!$B$13:$X$4876,20,0)/1000</f>
        <v>1.9419999999999999</v>
      </c>
      <c r="K693" s="142">
        <f>VLOOKUP($A693,'BC.114+320'!$B$13:$X$4876,21,0)/1000</f>
        <v>-1.0580000000000001</v>
      </c>
      <c r="L693" s="140">
        <f t="shared" si="40"/>
        <v>-960</v>
      </c>
      <c r="M693" s="141">
        <f t="shared" si="41"/>
        <v>-1059.0000000000002</v>
      </c>
      <c r="N693" s="140">
        <f t="shared" si="42"/>
        <v>-938</v>
      </c>
      <c r="O693" s="140"/>
    </row>
    <row r="694" spans="1:15">
      <c r="A694" s="76">
        <f>'BC.114+320'!B693</f>
        <v>45723</v>
      </c>
      <c r="B694" s="140">
        <f t="shared" si="43"/>
        <v>680</v>
      </c>
      <c r="C694" s="142">
        <f>'BC.114+320'!M693/1000</f>
        <v>3.03</v>
      </c>
      <c r="D694" s="142">
        <f>'BC.114+320'!AA693</f>
        <v>4.0990000000000002</v>
      </c>
      <c r="E694" s="143">
        <f>'BC.114+320'!AB693</f>
        <v>2.15</v>
      </c>
      <c r="F694" s="142">
        <f>VLOOKUP($A694,'BC.114+320'!$B$13:$X$4876,8,0)/1000</f>
        <v>1.859</v>
      </c>
      <c r="G694" s="142">
        <f>VLOOKUP($A694,'BC.114+320'!$B$13:$X$4876,9,0)/1000</f>
        <v>-1.141</v>
      </c>
      <c r="H694" s="142">
        <f>VLOOKUP($A694,'BC.114+320'!$B$13:$X$4876,14,0)/1000</f>
        <v>1.76</v>
      </c>
      <c r="I694" s="142">
        <f>VLOOKUP($A694,'BC.114+320'!$B$13:$X$4876,15,0)/1000</f>
        <v>-1.24</v>
      </c>
      <c r="J694" s="142">
        <f>VLOOKUP($A694,'BC.114+320'!$B$13:$X$4876,20,0)/1000</f>
        <v>1.94</v>
      </c>
      <c r="K694" s="142">
        <f>VLOOKUP($A694,'BC.114+320'!$B$13:$X$4876,21,0)/1000</f>
        <v>-1.06</v>
      </c>
      <c r="L694" s="140">
        <f t="shared" si="40"/>
        <v>-961.00000000000011</v>
      </c>
      <c r="M694" s="141">
        <f t="shared" si="41"/>
        <v>-1060</v>
      </c>
      <c r="N694" s="140">
        <f t="shared" si="42"/>
        <v>-940.00000000000011</v>
      </c>
      <c r="O694" s="140"/>
    </row>
    <row r="695" spans="1:15">
      <c r="A695" s="76">
        <f>'BC.114+320'!B694</f>
        <v>45724</v>
      </c>
      <c r="B695" s="140">
        <f t="shared" si="43"/>
        <v>681</v>
      </c>
      <c r="C695" s="142">
        <f>'BC.114+320'!M694/1000</f>
        <v>3.0289999999999999</v>
      </c>
      <c r="D695" s="142">
        <f>'BC.114+320'!AA694</f>
        <v>4.0990000000000002</v>
      </c>
      <c r="E695" s="143">
        <f>'BC.114+320'!AB694</f>
        <v>2.1480000000000001</v>
      </c>
      <c r="F695" s="142">
        <f>VLOOKUP($A695,'BC.114+320'!$B$13:$X$4876,8,0)/1000</f>
        <v>1.857</v>
      </c>
      <c r="G695" s="142">
        <f>VLOOKUP($A695,'BC.114+320'!$B$13:$X$4876,9,0)/1000</f>
        <v>-1.143</v>
      </c>
      <c r="H695" s="142">
        <f>VLOOKUP($A695,'BC.114+320'!$B$13:$X$4876,14,0)/1000</f>
        <v>1.7589999999999999</v>
      </c>
      <c r="I695" s="142">
        <f>VLOOKUP($A695,'BC.114+320'!$B$13:$X$4876,15,0)/1000</f>
        <v>-1.2410000000000001</v>
      </c>
      <c r="J695" s="142">
        <f>VLOOKUP($A695,'BC.114+320'!$B$13:$X$4876,20,0)/1000</f>
        <v>1.9390000000000001</v>
      </c>
      <c r="K695" s="142">
        <f>VLOOKUP($A695,'BC.114+320'!$B$13:$X$4876,21,0)/1000</f>
        <v>-1.0609999999999999</v>
      </c>
      <c r="L695" s="140">
        <f t="shared" si="40"/>
        <v>-963.00000000000011</v>
      </c>
      <c r="M695" s="141">
        <f t="shared" si="41"/>
        <v>-1061.0000000000002</v>
      </c>
      <c r="N695" s="140">
        <f t="shared" si="42"/>
        <v>-941</v>
      </c>
      <c r="O695" s="140"/>
    </row>
    <row r="696" spans="1:15">
      <c r="A696" s="76">
        <f>'BC.114+320'!B695</f>
        <v>45725</v>
      </c>
      <c r="B696" s="140">
        <f t="shared" si="43"/>
        <v>682</v>
      </c>
      <c r="C696" s="142">
        <f>'BC.114+320'!M695/1000</f>
        <v>3.0270000000000001</v>
      </c>
      <c r="D696" s="142">
        <f>'BC.114+320'!AA695</f>
        <v>4.0990000000000002</v>
      </c>
      <c r="E696" s="143">
        <f>'BC.114+320'!AB695</f>
        <v>2.1440000000000001</v>
      </c>
      <c r="F696" s="142">
        <f>VLOOKUP($A696,'BC.114+320'!$B$13:$X$4876,8,0)/1000</f>
        <v>1.8560000000000001</v>
      </c>
      <c r="G696" s="142">
        <f>VLOOKUP($A696,'BC.114+320'!$B$13:$X$4876,9,0)/1000</f>
        <v>-1.1439999999999999</v>
      </c>
      <c r="H696" s="142">
        <f>VLOOKUP($A696,'BC.114+320'!$B$13:$X$4876,14,0)/1000</f>
        <v>1.7569999999999999</v>
      </c>
      <c r="I696" s="142">
        <f>VLOOKUP($A696,'BC.114+320'!$B$13:$X$4876,15,0)/1000</f>
        <v>-1.2430000000000001</v>
      </c>
      <c r="J696" s="142">
        <f>VLOOKUP($A696,'BC.114+320'!$B$13:$X$4876,20,0)/1000</f>
        <v>1.9379999999999999</v>
      </c>
      <c r="K696" s="142">
        <f>VLOOKUP($A696,'BC.114+320'!$B$13:$X$4876,21,0)/1000</f>
        <v>-1.0620000000000001</v>
      </c>
      <c r="L696" s="140">
        <f t="shared" si="40"/>
        <v>-964</v>
      </c>
      <c r="M696" s="141">
        <f t="shared" si="41"/>
        <v>-1063.0000000000002</v>
      </c>
      <c r="N696" s="140">
        <f t="shared" si="42"/>
        <v>-942.00000000000011</v>
      </c>
      <c r="O696" s="140"/>
    </row>
    <row r="697" spans="1:15">
      <c r="A697" s="76">
        <f>'BC.114+320'!B696</f>
        <v>45726</v>
      </c>
      <c r="B697" s="140">
        <f t="shared" si="43"/>
        <v>683</v>
      </c>
      <c r="C697" s="142">
        <f>'BC.114+320'!M696/1000</f>
        <v>3.0259999999999998</v>
      </c>
      <c r="D697" s="142">
        <f>'BC.114+320'!AA696</f>
        <v>4.0990000000000002</v>
      </c>
      <c r="E697" s="143">
        <f>'BC.114+320'!AB696</f>
        <v>2.1419999999999999</v>
      </c>
      <c r="F697" s="142">
        <f>VLOOKUP($A697,'BC.114+320'!$B$13:$X$4876,8,0)/1000</f>
        <v>1.855</v>
      </c>
      <c r="G697" s="142">
        <f>VLOOKUP($A697,'BC.114+320'!$B$13:$X$4876,9,0)/1000</f>
        <v>-1.145</v>
      </c>
      <c r="H697" s="142">
        <f>VLOOKUP($A697,'BC.114+320'!$B$13:$X$4876,14,0)/1000</f>
        <v>1.756</v>
      </c>
      <c r="I697" s="142">
        <f>VLOOKUP($A697,'BC.114+320'!$B$13:$X$4876,15,0)/1000</f>
        <v>-1.244</v>
      </c>
      <c r="J697" s="142">
        <f>VLOOKUP($A697,'BC.114+320'!$B$13:$X$4876,20,0)/1000</f>
        <v>1.9370000000000001</v>
      </c>
      <c r="K697" s="142">
        <f>VLOOKUP($A697,'BC.114+320'!$B$13:$X$4876,21,0)/1000</f>
        <v>-1.0629999999999999</v>
      </c>
      <c r="L697" s="140">
        <f t="shared" si="40"/>
        <v>-965.00000000000011</v>
      </c>
      <c r="M697" s="141">
        <f t="shared" si="41"/>
        <v>-1064</v>
      </c>
      <c r="N697" s="140">
        <f t="shared" si="42"/>
        <v>-943</v>
      </c>
      <c r="O697" s="140"/>
    </row>
    <row r="698" spans="1:15">
      <c r="A698" s="76">
        <f>'BC.114+320'!B697</f>
        <v>45727</v>
      </c>
      <c r="B698" s="140">
        <f t="shared" si="43"/>
        <v>684</v>
      </c>
      <c r="C698" s="142">
        <f>'BC.114+320'!M697/1000</f>
        <v>3.024</v>
      </c>
      <c r="D698" s="142">
        <f>'BC.114+320'!AA697</f>
        <v>4.0990000000000002</v>
      </c>
      <c r="E698" s="143">
        <f>'BC.114+320'!AB697</f>
        <v>2.1379999999999999</v>
      </c>
      <c r="F698" s="142">
        <f>VLOOKUP($A698,'BC.114+320'!$B$13:$X$4876,8,0)/1000</f>
        <v>1.8540000000000001</v>
      </c>
      <c r="G698" s="142">
        <f>VLOOKUP($A698,'BC.114+320'!$B$13:$X$4876,9,0)/1000</f>
        <v>-1.1459999999999999</v>
      </c>
      <c r="H698" s="142">
        <f>VLOOKUP($A698,'BC.114+320'!$B$13:$X$4876,14,0)/1000</f>
        <v>1.754</v>
      </c>
      <c r="I698" s="142">
        <f>VLOOKUP($A698,'BC.114+320'!$B$13:$X$4876,15,0)/1000</f>
        <v>-1.246</v>
      </c>
      <c r="J698" s="142">
        <f>VLOOKUP($A698,'BC.114+320'!$B$13:$X$4876,20,0)/1000</f>
        <v>1.9359999999999999</v>
      </c>
      <c r="K698" s="142">
        <f>VLOOKUP($A698,'BC.114+320'!$B$13:$X$4876,21,0)/1000</f>
        <v>-1.0640000000000001</v>
      </c>
      <c r="L698" s="140">
        <f t="shared" si="40"/>
        <v>-966</v>
      </c>
      <c r="M698" s="141">
        <f t="shared" si="41"/>
        <v>-1066</v>
      </c>
      <c r="N698" s="140">
        <f t="shared" si="42"/>
        <v>-944.00000000000011</v>
      </c>
      <c r="O698" s="140"/>
    </row>
    <row r="699" spans="1:15">
      <c r="A699" s="76">
        <f>'BC.114+320'!B698</f>
        <v>45728</v>
      </c>
      <c r="B699" s="140">
        <f t="shared" si="43"/>
        <v>685</v>
      </c>
      <c r="C699" s="142">
        <f>'BC.114+320'!M698/1000</f>
        <v>3.0230000000000001</v>
      </c>
      <c r="D699" s="142">
        <f>'BC.114+320'!AA698</f>
        <v>4.0990000000000002</v>
      </c>
      <c r="E699" s="143">
        <f>'BC.114+320'!AB698</f>
        <v>2.1360000000000001</v>
      </c>
      <c r="F699" s="142">
        <f>VLOOKUP($A699,'BC.114+320'!$B$13:$X$4876,8,0)/1000</f>
        <v>1.8520000000000001</v>
      </c>
      <c r="G699" s="142">
        <f>VLOOKUP($A699,'BC.114+320'!$B$13:$X$4876,9,0)/1000</f>
        <v>-1.1479999999999999</v>
      </c>
      <c r="H699" s="142">
        <f>VLOOKUP($A699,'BC.114+320'!$B$13:$X$4876,14,0)/1000</f>
        <v>1.7529999999999999</v>
      </c>
      <c r="I699" s="142">
        <f>VLOOKUP($A699,'BC.114+320'!$B$13:$X$4876,15,0)/1000</f>
        <v>-1.2470000000000001</v>
      </c>
      <c r="J699" s="142">
        <f>VLOOKUP($A699,'BC.114+320'!$B$13:$X$4876,20,0)/1000</f>
        <v>1.9350000000000001</v>
      </c>
      <c r="K699" s="142">
        <f>VLOOKUP($A699,'BC.114+320'!$B$13:$X$4876,21,0)/1000</f>
        <v>-1.0649999999999999</v>
      </c>
      <c r="L699" s="140">
        <f t="shared" si="40"/>
        <v>-968</v>
      </c>
      <c r="M699" s="141">
        <f t="shared" si="41"/>
        <v>-1067.0000000000002</v>
      </c>
      <c r="N699" s="140">
        <f t="shared" si="42"/>
        <v>-945</v>
      </c>
      <c r="O699" s="140"/>
    </row>
    <row r="700" spans="1:15">
      <c r="A700" s="76">
        <f>'BC.114+320'!B699</f>
        <v>45729</v>
      </c>
      <c r="B700" s="140">
        <f t="shared" si="43"/>
        <v>686</v>
      </c>
      <c r="C700" s="142">
        <f>'BC.114+320'!M699/1000</f>
        <v>3.0209999999999999</v>
      </c>
      <c r="D700" s="142">
        <f>'BC.114+320'!AA699</f>
        <v>4.0990000000000002</v>
      </c>
      <c r="E700" s="143">
        <f>'BC.114+320'!AB699</f>
        <v>2.1320000000000001</v>
      </c>
      <c r="F700" s="142">
        <f>VLOOKUP($A700,'BC.114+320'!$B$13:$X$4876,8,0)/1000</f>
        <v>1.851</v>
      </c>
      <c r="G700" s="142">
        <f>VLOOKUP($A700,'BC.114+320'!$B$13:$X$4876,9,0)/1000</f>
        <v>-1.149</v>
      </c>
      <c r="H700" s="142">
        <f>VLOOKUP($A700,'BC.114+320'!$B$13:$X$4876,14,0)/1000</f>
        <v>1.7509999999999999</v>
      </c>
      <c r="I700" s="142">
        <f>VLOOKUP($A700,'BC.114+320'!$B$13:$X$4876,15,0)/1000</f>
        <v>-1.2490000000000001</v>
      </c>
      <c r="J700" s="142">
        <f>VLOOKUP($A700,'BC.114+320'!$B$13:$X$4876,20,0)/1000</f>
        <v>1.9330000000000001</v>
      </c>
      <c r="K700" s="142">
        <f>VLOOKUP($A700,'BC.114+320'!$B$13:$X$4876,21,0)/1000</f>
        <v>-1.0669999999999999</v>
      </c>
      <c r="L700" s="140">
        <f t="shared" si="40"/>
        <v>-969.00000000000011</v>
      </c>
      <c r="M700" s="141">
        <f t="shared" si="41"/>
        <v>-1069.0000000000002</v>
      </c>
      <c r="N700" s="140">
        <f t="shared" si="42"/>
        <v>-947</v>
      </c>
      <c r="O700" s="140"/>
    </row>
    <row r="701" spans="1:15">
      <c r="A701" s="76">
        <f>'BC.114+320'!B700</f>
        <v>45730</v>
      </c>
      <c r="B701" s="140">
        <f t="shared" si="43"/>
        <v>687</v>
      </c>
      <c r="C701" s="142">
        <f>'BC.114+320'!M700/1000</f>
        <v>3.0190000000000001</v>
      </c>
      <c r="D701" s="142">
        <f>'BC.114+320'!AA700</f>
        <v>4.0990000000000002</v>
      </c>
      <c r="E701" s="143">
        <f>'BC.114+320'!AB700</f>
        <v>2.1280000000000001</v>
      </c>
      <c r="F701" s="142">
        <f>VLOOKUP($A701,'BC.114+320'!$B$13:$X$4876,8,0)/1000</f>
        <v>1.849</v>
      </c>
      <c r="G701" s="142">
        <f>VLOOKUP($A701,'BC.114+320'!$B$13:$X$4876,9,0)/1000</f>
        <v>-1.151</v>
      </c>
      <c r="H701" s="142">
        <f>VLOOKUP($A701,'BC.114+320'!$B$13:$X$4876,14,0)/1000</f>
        <v>1.7490000000000001</v>
      </c>
      <c r="I701" s="142">
        <f>VLOOKUP($A701,'BC.114+320'!$B$13:$X$4876,15,0)/1000</f>
        <v>-1.2509999999999999</v>
      </c>
      <c r="J701" s="142">
        <f>VLOOKUP($A701,'BC.114+320'!$B$13:$X$4876,20,0)/1000</f>
        <v>1.9319999999999999</v>
      </c>
      <c r="K701" s="142">
        <f>VLOOKUP($A701,'BC.114+320'!$B$13:$X$4876,21,0)/1000</f>
        <v>-1.0680000000000001</v>
      </c>
      <c r="L701" s="140">
        <f t="shared" si="40"/>
        <v>-971.00000000000011</v>
      </c>
      <c r="M701" s="141">
        <f t="shared" si="41"/>
        <v>-1071</v>
      </c>
      <c r="N701" s="140">
        <f t="shared" si="42"/>
        <v>-948.00000000000011</v>
      </c>
      <c r="O701" s="140"/>
    </row>
    <row r="702" spans="1:15">
      <c r="A702" s="76">
        <f>'BC.114+320'!B701</f>
        <v>45731</v>
      </c>
      <c r="B702" s="140">
        <f t="shared" si="43"/>
        <v>688</v>
      </c>
      <c r="C702" s="142">
        <f>'BC.114+320'!M701/1000</f>
        <v>3.0169999999999999</v>
      </c>
      <c r="D702" s="142">
        <f>'BC.114+320'!AA701</f>
        <v>4.0990000000000002</v>
      </c>
      <c r="E702" s="143">
        <f>'BC.114+320'!AB701</f>
        <v>2.1240000000000001</v>
      </c>
      <c r="F702" s="142">
        <f>VLOOKUP($A702,'BC.114+320'!$B$13:$X$4876,8,0)/1000</f>
        <v>1.8480000000000001</v>
      </c>
      <c r="G702" s="142">
        <f>VLOOKUP($A702,'BC.114+320'!$B$13:$X$4876,9,0)/1000</f>
        <v>-1.1519999999999999</v>
      </c>
      <c r="H702" s="142">
        <f>VLOOKUP($A702,'BC.114+320'!$B$13:$X$4876,14,0)/1000</f>
        <v>1.7470000000000001</v>
      </c>
      <c r="I702" s="142">
        <f>VLOOKUP($A702,'BC.114+320'!$B$13:$X$4876,15,0)/1000</f>
        <v>-1.2529999999999999</v>
      </c>
      <c r="J702" s="142">
        <f>VLOOKUP($A702,'BC.114+320'!$B$13:$X$4876,20,0)/1000</f>
        <v>1.93</v>
      </c>
      <c r="K702" s="142">
        <f>VLOOKUP($A702,'BC.114+320'!$B$13:$X$4876,21,0)/1000</f>
        <v>-1.07</v>
      </c>
      <c r="L702" s="140">
        <f t="shared" si="40"/>
        <v>-972</v>
      </c>
      <c r="M702" s="141">
        <f t="shared" si="41"/>
        <v>-1073</v>
      </c>
      <c r="N702" s="140">
        <f t="shared" si="42"/>
        <v>-950.00000000000011</v>
      </c>
      <c r="O702" s="140"/>
    </row>
    <row r="703" spans="1:15">
      <c r="A703" s="76">
        <f>'BC.114+320'!B702</f>
        <v>45732</v>
      </c>
      <c r="B703" s="140">
        <f t="shared" si="43"/>
        <v>689</v>
      </c>
      <c r="C703" s="142">
        <f>'BC.114+320'!M702/1000</f>
        <v>3.0150000000000001</v>
      </c>
      <c r="D703" s="142">
        <f>'BC.114+320'!AA702</f>
        <v>4.0990000000000002</v>
      </c>
      <c r="E703" s="143">
        <f>'BC.114+320'!AB702</f>
        <v>2.12</v>
      </c>
      <c r="F703" s="142">
        <f>VLOOKUP($A703,'BC.114+320'!$B$13:$X$4876,8,0)/1000</f>
        <v>1.8460000000000001</v>
      </c>
      <c r="G703" s="142">
        <f>VLOOKUP($A703,'BC.114+320'!$B$13:$X$4876,9,0)/1000</f>
        <v>-1.1539999999999999</v>
      </c>
      <c r="H703" s="142">
        <f>VLOOKUP($A703,'BC.114+320'!$B$13:$X$4876,14,0)/1000</f>
        <v>1.7450000000000001</v>
      </c>
      <c r="I703" s="142">
        <f>VLOOKUP($A703,'BC.114+320'!$B$13:$X$4876,15,0)/1000</f>
        <v>-1.2549999999999999</v>
      </c>
      <c r="J703" s="142">
        <f>VLOOKUP($A703,'BC.114+320'!$B$13:$X$4876,20,0)/1000</f>
        <v>1.929</v>
      </c>
      <c r="K703" s="142">
        <f>VLOOKUP($A703,'BC.114+320'!$B$13:$X$4876,21,0)/1000</f>
        <v>-1.071</v>
      </c>
      <c r="L703" s="140">
        <f t="shared" si="40"/>
        <v>-974</v>
      </c>
      <c r="M703" s="141">
        <f t="shared" si="41"/>
        <v>-1075</v>
      </c>
      <c r="N703" s="140">
        <f t="shared" si="42"/>
        <v>-951</v>
      </c>
      <c r="O703" s="140"/>
    </row>
    <row r="704" spans="1:15">
      <c r="A704" s="76">
        <f>'BC.114+320'!B703</f>
        <v>45733</v>
      </c>
      <c r="B704" s="140">
        <f t="shared" si="43"/>
        <v>690</v>
      </c>
      <c r="C704" s="142">
        <f>'BC.114+320'!M703/1000</f>
        <v>3.0129999999999999</v>
      </c>
      <c r="D704" s="142">
        <f>'BC.114+320'!AA703</f>
        <v>4.0990000000000002</v>
      </c>
      <c r="E704" s="143">
        <f>'BC.114+320'!AB703</f>
        <v>2.1160000000000001</v>
      </c>
      <c r="F704" s="142">
        <f>VLOOKUP($A704,'BC.114+320'!$B$13:$X$4876,8,0)/1000</f>
        <v>1.845</v>
      </c>
      <c r="G704" s="142">
        <f>VLOOKUP($A704,'BC.114+320'!$B$13:$X$4876,9,0)/1000</f>
        <v>-1.155</v>
      </c>
      <c r="H704" s="142">
        <f>VLOOKUP($A704,'BC.114+320'!$B$13:$X$4876,14,0)/1000</f>
        <v>1.7430000000000001</v>
      </c>
      <c r="I704" s="142">
        <f>VLOOKUP($A704,'BC.114+320'!$B$13:$X$4876,15,0)/1000</f>
        <v>-1.2569999999999999</v>
      </c>
      <c r="J704" s="142">
        <f>VLOOKUP($A704,'BC.114+320'!$B$13:$X$4876,20,0)/1000</f>
        <v>1.927</v>
      </c>
      <c r="K704" s="142">
        <f>VLOOKUP($A704,'BC.114+320'!$B$13:$X$4876,21,0)/1000</f>
        <v>-1.073</v>
      </c>
      <c r="L704" s="140">
        <f t="shared" si="40"/>
        <v>-975.00000000000011</v>
      </c>
      <c r="M704" s="141">
        <f t="shared" si="41"/>
        <v>-1077</v>
      </c>
      <c r="N704" s="140">
        <f t="shared" si="42"/>
        <v>-953</v>
      </c>
      <c r="O704" s="140"/>
    </row>
    <row r="705" spans="1:15">
      <c r="A705" s="76">
        <f>'BC.114+320'!B704</f>
        <v>45734</v>
      </c>
      <c r="B705" s="140">
        <f t="shared" si="43"/>
        <v>691</v>
      </c>
      <c r="C705" s="142">
        <f>'BC.114+320'!M704/1000</f>
        <v>3.0110000000000001</v>
      </c>
      <c r="D705" s="142">
        <f>'BC.114+320'!AA704</f>
        <v>4.0990000000000002</v>
      </c>
      <c r="E705" s="143">
        <f>'BC.114+320'!AB704</f>
        <v>2.1120000000000001</v>
      </c>
      <c r="F705" s="142">
        <f>VLOOKUP($A705,'BC.114+320'!$B$13:$X$4876,8,0)/1000</f>
        <v>1.843</v>
      </c>
      <c r="G705" s="142">
        <f>VLOOKUP($A705,'BC.114+320'!$B$13:$X$4876,9,0)/1000</f>
        <v>-1.157</v>
      </c>
      <c r="H705" s="142">
        <f>VLOOKUP($A705,'BC.114+320'!$B$13:$X$4876,14,0)/1000</f>
        <v>1.7410000000000001</v>
      </c>
      <c r="I705" s="142">
        <f>VLOOKUP($A705,'BC.114+320'!$B$13:$X$4876,15,0)/1000</f>
        <v>-1.2589999999999999</v>
      </c>
      <c r="J705" s="142">
        <f>VLOOKUP($A705,'BC.114+320'!$B$13:$X$4876,20,0)/1000</f>
        <v>1.9259999999999999</v>
      </c>
      <c r="K705" s="142">
        <f>VLOOKUP($A705,'BC.114+320'!$B$13:$X$4876,21,0)/1000</f>
        <v>-1.0740000000000001</v>
      </c>
      <c r="L705" s="140">
        <f t="shared" si="40"/>
        <v>-977.00000000000011</v>
      </c>
      <c r="M705" s="141">
        <f t="shared" si="41"/>
        <v>-1079</v>
      </c>
      <c r="N705" s="140">
        <f t="shared" si="42"/>
        <v>-954.00000000000011</v>
      </c>
      <c r="O705" s="140"/>
    </row>
    <row r="706" spans="1:15">
      <c r="A706" s="76">
        <f>'BC.114+320'!B705</f>
        <v>45735</v>
      </c>
      <c r="B706" s="140">
        <f t="shared" si="43"/>
        <v>692</v>
      </c>
      <c r="C706" s="142">
        <f>'BC.114+320'!M705/1000</f>
        <v>3.008</v>
      </c>
      <c r="D706" s="142">
        <f>'BC.114+320'!AA705</f>
        <v>4.0990000000000002</v>
      </c>
      <c r="E706" s="143">
        <f>'BC.114+320'!AB705</f>
        <v>2.1059999999999999</v>
      </c>
      <c r="F706" s="142">
        <f>VLOOKUP($A706,'BC.114+320'!$B$13:$X$4876,8,0)/1000</f>
        <v>1.841</v>
      </c>
      <c r="G706" s="142">
        <f>VLOOKUP($A706,'BC.114+320'!$B$13:$X$4876,9,0)/1000</f>
        <v>-1.159</v>
      </c>
      <c r="H706" s="142">
        <f>VLOOKUP($A706,'BC.114+320'!$B$13:$X$4876,14,0)/1000</f>
        <v>1.738</v>
      </c>
      <c r="I706" s="142">
        <f>VLOOKUP($A706,'BC.114+320'!$B$13:$X$4876,15,0)/1000</f>
        <v>-1.262</v>
      </c>
      <c r="J706" s="142">
        <f>VLOOKUP($A706,'BC.114+320'!$B$13:$X$4876,20,0)/1000</f>
        <v>1.9239999999999999</v>
      </c>
      <c r="K706" s="142">
        <f>VLOOKUP($A706,'BC.114+320'!$B$13:$X$4876,21,0)/1000</f>
        <v>-1.0760000000000001</v>
      </c>
      <c r="L706" s="140">
        <f t="shared" si="40"/>
        <v>-979.00000000000011</v>
      </c>
      <c r="M706" s="141">
        <f t="shared" si="41"/>
        <v>-1082</v>
      </c>
      <c r="N706" s="140">
        <f t="shared" si="42"/>
        <v>-956.00000000000011</v>
      </c>
      <c r="O706" s="140"/>
    </row>
    <row r="707" spans="1:15">
      <c r="A707" s="76">
        <f>'BC.114+320'!B706</f>
        <v>45736</v>
      </c>
      <c r="B707" s="140">
        <f t="shared" si="43"/>
        <v>693</v>
      </c>
      <c r="C707" s="142">
        <f>'BC.114+320'!M706/1000</f>
        <v>3.0070000000000001</v>
      </c>
      <c r="D707" s="142">
        <f>'BC.114+320'!AA706</f>
        <v>4.0990000000000002</v>
      </c>
      <c r="E707" s="143">
        <f>'BC.114+320'!AB706</f>
        <v>2.1040000000000001</v>
      </c>
      <c r="F707" s="142">
        <f>VLOOKUP($A707,'BC.114+320'!$B$13:$X$4876,8,0)/1000</f>
        <v>1.839</v>
      </c>
      <c r="G707" s="142">
        <f>VLOOKUP($A707,'BC.114+320'!$B$13:$X$4876,9,0)/1000</f>
        <v>-1.161</v>
      </c>
      <c r="H707" s="142">
        <f>VLOOKUP($A707,'BC.114+320'!$B$13:$X$4876,14,0)/1000</f>
        <v>1.7370000000000001</v>
      </c>
      <c r="I707" s="142">
        <f>VLOOKUP($A707,'BC.114+320'!$B$13:$X$4876,15,0)/1000</f>
        <v>-1.2629999999999999</v>
      </c>
      <c r="J707" s="142">
        <f>VLOOKUP($A707,'BC.114+320'!$B$13:$X$4876,20,0)/1000</f>
        <v>1.9239999999999999</v>
      </c>
      <c r="K707" s="142">
        <f>VLOOKUP($A707,'BC.114+320'!$B$13:$X$4876,21,0)/1000</f>
        <v>-1.0760000000000001</v>
      </c>
      <c r="L707" s="140">
        <f t="shared" si="40"/>
        <v>-981.00000000000011</v>
      </c>
      <c r="M707" s="141">
        <f t="shared" si="41"/>
        <v>-1083</v>
      </c>
      <c r="N707" s="140">
        <f t="shared" si="42"/>
        <v>-956.00000000000011</v>
      </c>
      <c r="O707" s="140"/>
    </row>
    <row r="708" spans="1:15">
      <c r="A708" s="76">
        <f>'BC.114+320'!B707</f>
        <v>45737</v>
      </c>
      <c r="B708" s="140">
        <f t="shared" si="43"/>
        <v>694</v>
      </c>
      <c r="C708" s="142">
        <f>'BC.114+320'!M707/1000</f>
        <v>3.0030000000000001</v>
      </c>
      <c r="D708" s="142">
        <f>'BC.114+320'!AA707</f>
        <v>4.0990000000000002</v>
      </c>
      <c r="E708" s="143">
        <f>'BC.114+320'!AB707</f>
        <v>2.0960000000000001</v>
      </c>
      <c r="F708" s="142">
        <f>VLOOKUP($A708,'BC.114+320'!$B$13:$X$4876,8,0)/1000</f>
        <v>1.8380000000000001</v>
      </c>
      <c r="G708" s="142">
        <f>VLOOKUP($A708,'BC.114+320'!$B$13:$X$4876,9,0)/1000</f>
        <v>-1.1619999999999999</v>
      </c>
      <c r="H708" s="142">
        <f>VLOOKUP($A708,'BC.114+320'!$B$13:$X$4876,14,0)/1000</f>
        <v>1.7330000000000001</v>
      </c>
      <c r="I708" s="142">
        <f>VLOOKUP($A708,'BC.114+320'!$B$13:$X$4876,15,0)/1000</f>
        <v>-1.2669999999999999</v>
      </c>
      <c r="J708" s="142">
        <f>VLOOKUP($A708,'BC.114+320'!$B$13:$X$4876,20,0)/1000</f>
        <v>1.9219999999999999</v>
      </c>
      <c r="K708" s="142">
        <f>VLOOKUP($A708,'BC.114+320'!$B$13:$X$4876,21,0)/1000</f>
        <v>-1.0780000000000001</v>
      </c>
      <c r="L708" s="140">
        <f t="shared" si="40"/>
        <v>-982</v>
      </c>
      <c r="M708" s="141">
        <f t="shared" si="41"/>
        <v>-1087</v>
      </c>
      <c r="N708" s="140">
        <f t="shared" si="42"/>
        <v>-958.00000000000011</v>
      </c>
      <c r="O708" s="140"/>
    </row>
    <row r="709" spans="1:15">
      <c r="A709" s="76">
        <f>'BC.114+320'!B708</f>
        <v>45738</v>
      </c>
      <c r="B709" s="140">
        <f t="shared" si="43"/>
        <v>695</v>
      </c>
      <c r="C709" s="142">
        <f>'BC.114+320'!M708/1000</f>
        <v>2.9990000000000001</v>
      </c>
      <c r="D709" s="142">
        <f>'BC.114+320'!AA708</f>
        <v>4.0990000000000002</v>
      </c>
      <c r="E709" s="143">
        <f>'BC.114+320'!AB708</f>
        <v>2.0880000000000001</v>
      </c>
      <c r="F709" s="142">
        <f>VLOOKUP($A709,'BC.114+320'!$B$13:$X$4876,8,0)/1000</f>
        <v>1.8360000000000001</v>
      </c>
      <c r="G709" s="142">
        <f>VLOOKUP($A709,'BC.114+320'!$B$13:$X$4876,9,0)/1000</f>
        <v>-1.1639999999999999</v>
      </c>
      <c r="H709" s="142">
        <f>VLOOKUP($A709,'BC.114+320'!$B$13:$X$4876,14,0)/1000</f>
        <v>1.7290000000000001</v>
      </c>
      <c r="I709" s="142">
        <f>VLOOKUP($A709,'BC.114+320'!$B$13:$X$4876,15,0)/1000</f>
        <v>-1.2709999999999999</v>
      </c>
      <c r="J709" s="142">
        <f>VLOOKUP($A709,'BC.114+320'!$B$13:$X$4876,20,0)/1000</f>
        <v>1.92</v>
      </c>
      <c r="K709" s="142">
        <f>VLOOKUP($A709,'BC.114+320'!$B$13:$X$4876,21,0)/1000</f>
        <v>-1.08</v>
      </c>
      <c r="L709" s="140">
        <f t="shared" si="40"/>
        <v>-984</v>
      </c>
      <c r="M709" s="141">
        <f t="shared" si="41"/>
        <v>-1091</v>
      </c>
      <c r="N709" s="140">
        <f t="shared" si="42"/>
        <v>-960.00000000000011</v>
      </c>
      <c r="O709" s="140"/>
    </row>
    <row r="710" spans="1:15">
      <c r="A710" s="76">
        <f>'BC.114+320'!B709</f>
        <v>45739</v>
      </c>
      <c r="B710" s="140">
        <f t="shared" si="43"/>
        <v>696</v>
      </c>
      <c r="C710" s="142">
        <f>'BC.114+320'!M709/1000</f>
        <v>2.9969999999999999</v>
      </c>
      <c r="D710" s="142">
        <f>'BC.114+320'!AA709</f>
        <v>4.0990000000000002</v>
      </c>
      <c r="E710" s="143">
        <f>'BC.114+320'!AB709</f>
        <v>2.0840000000000001</v>
      </c>
      <c r="F710" s="142">
        <f>VLOOKUP($A710,'BC.114+320'!$B$13:$X$4876,8,0)/1000</f>
        <v>1.835</v>
      </c>
      <c r="G710" s="142">
        <f>VLOOKUP($A710,'BC.114+320'!$B$13:$X$4876,9,0)/1000</f>
        <v>-1.165</v>
      </c>
      <c r="H710" s="142">
        <f>VLOOKUP($A710,'BC.114+320'!$B$13:$X$4876,14,0)/1000</f>
        <v>1.7270000000000001</v>
      </c>
      <c r="I710" s="142">
        <f>VLOOKUP($A710,'BC.114+320'!$B$13:$X$4876,15,0)/1000</f>
        <v>-1.2729999999999999</v>
      </c>
      <c r="J710" s="142">
        <f>VLOOKUP($A710,'BC.114+320'!$B$13:$X$4876,20,0)/1000</f>
        <v>1.9179999999999999</v>
      </c>
      <c r="K710" s="142">
        <f>VLOOKUP($A710,'BC.114+320'!$B$13:$X$4876,21,0)/1000</f>
        <v>-1.0820000000000001</v>
      </c>
      <c r="L710" s="140">
        <f t="shared" si="40"/>
        <v>-985.00000000000011</v>
      </c>
      <c r="M710" s="141">
        <f t="shared" si="41"/>
        <v>-1093</v>
      </c>
      <c r="N710" s="140">
        <f t="shared" si="42"/>
        <v>-962.00000000000011</v>
      </c>
      <c r="O710" s="140"/>
    </row>
    <row r="711" spans="1:15">
      <c r="A711" s="76">
        <f>'BC.114+320'!B710</f>
        <v>45740</v>
      </c>
      <c r="B711" s="140">
        <f t="shared" si="43"/>
        <v>697</v>
      </c>
      <c r="C711" s="142">
        <f>'BC.114+320'!M710/1000</f>
        <v>2.9940000000000002</v>
      </c>
      <c r="D711" s="142">
        <f>'BC.114+320'!AA710</f>
        <v>4.0990000000000002</v>
      </c>
      <c r="E711" s="143">
        <f>'BC.114+320'!AB710</f>
        <v>2.0779999999999998</v>
      </c>
      <c r="F711" s="142">
        <f>VLOOKUP($A711,'BC.114+320'!$B$13:$X$4876,8,0)/1000</f>
        <v>1.833</v>
      </c>
      <c r="G711" s="142">
        <f>VLOOKUP($A711,'BC.114+320'!$B$13:$X$4876,9,0)/1000</f>
        <v>-1.167</v>
      </c>
      <c r="H711" s="142">
        <f>VLOOKUP($A711,'BC.114+320'!$B$13:$X$4876,14,0)/1000</f>
        <v>1.724</v>
      </c>
      <c r="I711" s="142">
        <f>VLOOKUP($A711,'BC.114+320'!$B$13:$X$4876,15,0)/1000</f>
        <v>-1.276</v>
      </c>
      <c r="J711" s="142">
        <f>VLOOKUP($A711,'BC.114+320'!$B$13:$X$4876,20,0)/1000</f>
        <v>1.9159999999999999</v>
      </c>
      <c r="K711" s="142">
        <f>VLOOKUP($A711,'BC.114+320'!$B$13:$X$4876,21,0)/1000</f>
        <v>-1.0840000000000001</v>
      </c>
      <c r="L711" s="140">
        <f t="shared" si="40"/>
        <v>-987.00000000000011</v>
      </c>
      <c r="M711" s="141">
        <f t="shared" si="41"/>
        <v>-1096</v>
      </c>
      <c r="N711" s="140">
        <f t="shared" si="42"/>
        <v>-964.00000000000011</v>
      </c>
      <c r="O711" s="140"/>
    </row>
    <row r="712" spans="1:15">
      <c r="A712" s="76">
        <f>'BC.114+320'!B711</f>
        <v>45741</v>
      </c>
      <c r="B712" s="140">
        <f t="shared" si="43"/>
        <v>698</v>
      </c>
      <c r="C712" s="142">
        <f>'BC.114+320'!M711/1000</f>
        <v>2.9929999999999999</v>
      </c>
      <c r="D712" s="142">
        <f>'BC.114+320'!AA711</f>
        <v>4.0990000000000002</v>
      </c>
      <c r="E712" s="143">
        <f>'BC.114+320'!AB711</f>
        <v>2.0760000000000001</v>
      </c>
      <c r="F712" s="142">
        <f>VLOOKUP($A712,'BC.114+320'!$B$13:$X$4876,8,0)/1000</f>
        <v>1.831</v>
      </c>
      <c r="G712" s="142">
        <f>VLOOKUP($A712,'BC.114+320'!$B$13:$X$4876,9,0)/1000</f>
        <v>-1.169</v>
      </c>
      <c r="H712" s="142">
        <f>VLOOKUP($A712,'BC.114+320'!$B$13:$X$4876,14,0)/1000</f>
        <v>1.7230000000000001</v>
      </c>
      <c r="I712" s="142">
        <f>VLOOKUP($A712,'BC.114+320'!$B$13:$X$4876,15,0)/1000</f>
        <v>-1.2769999999999999</v>
      </c>
      <c r="J712" s="142">
        <f>VLOOKUP($A712,'BC.114+320'!$B$13:$X$4876,20,0)/1000</f>
        <v>1.915</v>
      </c>
      <c r="K712" s="142">
        <f>VLOOKUP($A712,'BC.114+320'!$B$13:$X$4876,21,0)/1000</f>
        <v>-1.085</v>
      </c>
      <c r="L712" s="140">
        <f t="shared" si="40"/>
        <v>-989.00000000000011</v>
      </c>
      <c r="M712" s="141">
        <f t="shared" si="41"/>
        <v>-1097</v>
      </c>
      <c r="N712" s="140">
        <f t="shared" si="42"/>
        <v>-965</v>
      </c>
      <c r="O712" s="140"/>
    </row>
    <row r="713" spans="1:15">
      <c r="A713" s="76">
        <f>'BC.114+320'!B712</f>
        <v>45742</v>
      </c>
      <c r="B713" s="140">
        <f t="shared" si="43"/>
        <v>699</v>
      </c>
      <c r="C713" s="142">
        <f>'BC.114+320'!M712/1000</f>
        <v>2.9910000000000001</v>
      </c>
      <c r="D713" s="142">
        <f>'BC.114+320'!AA712</f>
        <v>4.0990000000000002</v>
      </c>
      <c r="E713" s="143">
        <f>'BC.114+320'!AB712</f>
        <v>2.0720000000000001</v>
      </c>
      <c r="F713" s="142">
        <f>VLOOKUP($A713,'BC.114+320'!$B$13:$X$4876,8,0)/1000</f>
        <v>1.829</v>
      </c>
      <c r="G713" s="142">
        <f>VLOOKUP($A713,'BC.114+320'!$B$13:$X$4876,9,0)/1000</f>
        <v>-1.171</v>
      </c>
      <c r="H713" s="142">
        <f>VLOOKUP($A713,'BC.114+320'!$B$13:$X$4876,14,0)/1000</f>
        <v>1.7210000000000001</v>
      </c>
      <c r="I713" s="142">
        <f>VLOOKUP($A713,'BC.114+320'!$B$13:$X$4876,15,0)/1000</f>
        <v>-1.2789999999999999</v>
      </c>
      <c r="J713" s="142">
        <f>VLOOKUP($A713,'BC.114+320'!$B$13:$X$4876,20,0)/1000</f>
        <v>1.913</v>
      </c>
      <c r="K713" s="142">
        <f>VLOOKUP($A713,'BC.114+320'!$B$13:$X$4876,21,0)/1000</f>
        <v>-1.087</v>
      </c>
      <c r="L713" s="140">
        <f t="shared" si="40"/>
        <v>-991.00000000000011</v>
      </c>
      <c r="M713" s="141">
        <f t="shared" si="41"/>
        <v>-1099</v>
      </c>
      <c r="N713" s="140">
        <f t="shared" si="42"/>
        <v>-967</v>
      </c>
      <c r="O713" s="140"/>
    </row>
    <row r="714" spans="1:15">
      <c r="A714" s="76">
        <f>'BC.114+320'!B713</f>
        <v>45743</v>
      </c>
      <c r="B714" s="140">
        <f t="shared" si="43"/>
        <v>700</v>
      </c>
      <c r="C714" s="142">
        <f>'BC.114+320'!M713/1000</f>
        <v>2.9889999999999999</v>
      </c>
      <c r="D714" s="142">
        <f>'BC.114+320'!AA713</f>
        <v>4.0990000000000002</v>
      </c>
      <c r="E714" s="143">
        <f>'BC.114+320'!AB713</f>
        <v>2.0680000000000001</v>
      </c>
      <c r="F714" s="142">
        <f>VLOOKUP($A714,'BC.114+320'!$B$13:$X$4876,8,0)/1000</f>
        <v>1.827</v>
      </c>
      <c r="G714" s="142">
        <f>VLOOKUP($A714,'BC.114+320'!$B$13:$X$4876,9,0)/1000</f>
        <v>-1.173</v>
      </c>
      <c r="H714" s="142">
        <f>VLOOKUP($A714,'BC.114+320'!$B$13:$X$4876,14,0)/1000</f>
        <v>1.7190000000000001</v>
      </c>
      <c r="I714" s="142">
        <f>VLOOKUP($A714,'BC.114+320'!$B$13:$X$4876,15,0)/1000</f>
        <v>-1.2809999999999999</v>
      </c>
      <c r="J714" s="142">
        <f>VLOOKUP($A714,'BC.114+320'!$B$13:$X$4876,20,0)/1000</f>
        <v>1.9119999999999999</v>
      </c>
      <c r="K714" s="142">
        <f>VLOOKUP($A714,'BC.114+320'!$B$13:$X$4876,21,0)/1000</f>
        <v>-1.0880000000000001</v>
      </c>
      <c r="L714" s="140">
        <f t="shared" si="40"/>
        <v>-993.00000000000011</v>
      </c>
      <c r="M714" s="141">
        <f t="shared" si="41"/>
        <v>-1101</v>
      </c>
      <c r="N714" s="140">
        <f t="shared" si="42"/>
        <v>-968.00000000000011</v>
      </c>
      <c r="O714" s="140"/>
    </row>
    <row r="715" spans="1:15">
      <c r="A715" s="76">
        <f>'BC.114+320'!B714</f>
        <v>45744</v>
      </c>
      <c r="B715" s="140">
        <f t="shared" si="43"/>
        <v>701</v>
      </c>
      <c r="C715" s="142">
        <f>'BC.114+320'!M714/1000</f>
        <v>2.988</v>
      </c>
      <c r="D715" s="142">
        <f>'BC.114+320'!AA714</f>
        <v>4.0990000000000002</v>
      </c>
      <c r="E715" s="143">
        <f>'BC.114+320'!AB714</f>
        <v>2.0659999999999998</v>
      </c>
      <c r="F715" s="142">
        <f>VLOOKUP($A715,'BC.114+320'!$B$13:$X$4876,8,0)/1000</f>
        <v>1.825</v>
      </c>
      <c r="G715" s="142">
        <f>VLOOKUP($A715,'BC.114+320'!$B$13:$X$4876,9,0)/1000</f>
        <v>-1.175</v>
      </c>
      <c r="H715" s="142">
        <f>VLOOKUP($A715,'BC.114+320'!$B$13:$X$4876,14,0)/1000</f>
        <v>1.718</v>
      </c>
      <c r="I715" s="142">
        <f>VLOOKUP($A715,'BC.114+320'!$B$13:$X$4876,15,0)/1000</f>
        <v>-1.282</v>
      </c>
      <c r="J715" s="142">
        <f>VLOOKUP($A715,'BC.114+320'!$B$13:$X$4876,20,0)/1000</f>
        <v>1.91</v>
      </c>
      <c r="K715" s="142">
        <f>VLOOKUP($A715,'BC.114+320'!$B$13:$X$4876,21,0)/1000</f>
        <v>-1.0900000000000001</v>
      </c>
      <c r="L715" s="140">
        <f t="shared" si="40"/>
        <v>-995.00000000000011</v>
      </c>
      <c r="M715" s="141">
        <f t="shared" si="41"/>
        <v>-1102</v>
      </c>
      <c r="N715" s="140">
        <f t="shared" si="42"/>
        <v>-970.00000000000011</v>
      </c>
      <c r="O715" s="140"/>
    </row>
    <row r="716" spans="1:15">
      <c r="A716" s="76">
        <f>'BC.114+320'!B715</f>
        <v>45745</v>
      </c>
      <c r="B716" s="140">
        <f t="shared" si="43"/>
        <v>702</v>
      </c>
      <c r="C716" s="142">
        <f>'BC.114+320'!M715/1000</f>
        <v>2.9860000000000002</v>
      </c>
      <c r="D716" s="142">
        <f>'BC.114+320'!AA715</f>
        <v>4.0990000000000002</v>
      </c>
      <c r="E716" s="143">
        <f>'BC.114+320'!AB715</f>
        <v>2.0619999999999998</v>
      </c>
      <c r="F716" s="142">
        <f>VLOOKUP($A716,'BC.114+320'!$B$13:$X$4876,8,0)/1000</f>
        <v>1.823</v>
      </c>
      <c r="G716" s="142">
        <f>VLOOKUP($A716,'BC.114+320'!$B$13:$X$4876,9,0)/1000</f>
        <v>-1.177</v>
      </c>
      <c r="H716" s="142">
        <f>VLOOKUP($A716,'BC.114+320'!$B$13:$X$4876,14,0)/1000</f>
        <v>1.716</v>
      </c>
      <c r="I716" s="142">
        <f>VLOOKUP($A716,'BC.114+320'!$B$13:$X$4876,15,0)/1000</f>
        <v>-1.284</v>
      </c>
      <c r="J716" s="142">
        <f>VLOOKUP($A716,'BC.114+320'!$B$13:$X$4876,20,0)/1000</f>
        <v>1.9079999999999999</v>
      </c>
      <c r="K716" s="142">
        <f>VLOOKUP($A716,'BC.114+320'!$B$13:$X$4876,21,0)/1000</f>
        <v>-1.0920000000000001</v>
      </c>
      <c r="L716" s="140">
        <f t="shared" si="40"/>
        <v>-997.00000000000011</v>
      </c>
      <c r="M716" s="141">
        <f t="shared" si="41"/>
        <v>-1104</v>
      </c>
      <c r="N716" s="140">
        <f t="shared" si="42"/>
        <v>-972.00000000000011</v>
      </c>
      <c r="O716" s="140"/>
    </row>
    <row r="717" spans="1:15">
      <c r="A717" s="76">
        <f>'BC.114+320'!B716</f>
        <v>45746</v>
      </c>
      <c r="B717" s="140">
        <f t="shared" si="43"/>
        <v>703</v>
      </c>
      <c r="C717" s="142">
        <f>'BC.114+320'!M716/1000</f>
        <v>2.9849999999999999</v>
      </c>
      <c r="D717" s="142">
        <f>'BC.114+320'!AA716</f>
        <v>4.0990000000000002</v>
      </c>
      <c r="E717" s="143">
        <f>'BC.114+320'!AB716</f>
        <v>2.06</v>
      </c>
      <c r="F717" s="142">
        <f>VLOOKUP($A717,'BC.114+320'!$B$13:$X$4876,8,0)/1000</f>
        <v>1.82</v>
      </c>
      <c r="G717" s="142">
        <f>VLOOKUP($A717,'BC.114+320'!$B$13:$X$4876,9,0)/1000</f>
        <v>-1.18</v>
      </c>
      <c r="H717" s="142">
        <f>VLOOKUP($A717,'BC.114+320'!$B$13:$X$4876,14,0)/1000</f>
        <v>1.7150000000000001</v>
      </c>
      <c r="I717" s="142">
        <f>VLOOKUP($A717,'BC.114+320'!$B$13:$X$4876,15,0)/1000</f>
        <v>-1.2849999999999999</v>
      </c>
      <c r="J717" s="142">
        <f>VLOOKUP($A717,'BC.114+320'!$B$13:$X$4876,20,0)/1000</f>
        <v>1.907</v>
      </c>
      <c r="K717" s="142">
        <f>VLOOKUP($A717,'BC.114+320'!$B$13:$X$4876,21,0)/1000</f>
        <v>-1.093</v>
      </c>
      <c r="L717" s="140">
        <f t="shared" si="40"/>
        <v>-1000</v>
      </c>
      <c r="M717" s="141">
        <f t="shared" si="41"/>
        <v>-1105</v>
      </c>
      <c r="N717" s="140">
        <f t="shared" si="42"/>
        <v>-973</v>
      </c>
      <c r="O717" s="140"/>
    </row>
    <row r="718" spans="1:15">
      <c r="A718" s="76">
        <f>'BC.114+320'!B717</f>
        <v>45747</v>
      </c>
      <c r="B718" s="140">
        <f t="shared" si="43"/>
        <v>704</v>
      </c>
      <c r="C718" s="142">
        <f>'BC.114+320'!M717/1000</f>
        <v>2.984</v>
      </c>
      <c r="D718" s="142">
        <f>'BC.114+320'!AA717</f>
        <v>4.0990000000000002</v>
      </c>
      <c r="E718" s="143">
        <f>'BC.114+320'!AB717</f>
        <v>2.0579999999999998</v>
      </c>
      <c r="F718" s="142">
        <f>VLOOKUP($A718,'BC.114+320'!$B$13:$X$4876,8,0)/1000</f>
        <v>1.819</v>
      </c>
      <c r="G718" s="142">
        <f>VLOOKUP($A718,'BC.114+320'!$B$13:$X$4876,9,0)/1000</f>
        <v>-1.181</v>
      </c>
      <c r="H718" s="142">
        <f>VLOOKUP($A718,'BC.114+320'!$B$13:$X$4876,14,0)/1000</f>
        <v>1.714</v>
      </c>
      <c r="I718" s="142">
        <f>VLOOKUP($A718,'BC.114+320'!$B$13:$X$4876,15,0)/1000</f>
        <v>-1.286</v>
      </c>
      <c r="J718" s="142">
        <f>VLOOKUP($A718,'BC.114+320'!$B$13:$X$4876,20,0)/1000</f>
        <v>1.905</v>
      </c>
      <c r="K718" s="142">
        <f>VLOOKUP($A718,'BC.114+320'!$B$13:$X$4876,21,0)/1000</f>
        <v>-1.095</v>
      </c>
      <c r="L718" s="140">
        <f t="shared" si="40"/>
        <v>-1001.0000000000001</v>
      </c>
      <c r="M718" s="141">
        <f t="shared" si="41"/>
        <v>-1106</v>
      </c>
      <c r="N718" s="140">
        <f t="shared" si="42"/>
        <v>-975</v>
      </c>
      <c r="O718" s="140"/>
    </row>
    <row r="719" spans="1:15">
      <c r="A719" s="76">
        <f>'BC.114+320'!B718</f>
        <v>45748</v>
      </c>
      <c r="B719" s="140">
        <f t="shared" ref="B719:B739" si="44">+B718+1</f>
        <v>705</v>
      </c>
      <c r="C719" s="142">
        <f>'BC.114+320'!M718/1000</f>
        <v>2.9780000000000002</v>
      </c>
      <c r="D719" s="142">
        <f>'BC.114+320'!AA718</f>
        <v>4.0990000000000002</v>
      </c>
      <c r="E719" s="143">
        <f>'BC.114+320'!AB718</f>
        <v>2.0459999999999998</v>
      </c>
      <c r="F719" s="142">
        <f>VLOOKUP($A719,'BC.114+320'!$B$13:$X$4876,8,0)/1000</f>
        <v>1.819</v>
      </c>
      <c r="G719" s="142">
        <f>VLOOKUP($A719,'BC.114+320'!$B$13:$X$4876,9,0)/1000</f>
        <v>-1.181</v>
      </c>
      <c r="H719" s="142">
        <f>VLOOKUP($A719,'BC.114+320'!$B$13:$X$4876,14,0)/1000</f>
        <v>1.708</v>
      </c>
      <c r="I719" s="142">
        <f>VLOOKUP($A719,'BC.114+320'!$B$13:$X$4876,15,0)/1000</f>
        <v>-1.292</v>
      </c>
      <c r="J719" s="142">
        <f>VLOOKUP($A719,'BC.114+320'!$B$13:$X$4876,20,0)/1000</f>
        <v>1.905</v>
      </c>
      <c r="K719" s="142">
        <f>VLOOKUP($A719,'BC.114+320'!$B$13:$X$4876,21,0)/1000</f>
        <v>-1.095</v>
      </c>
      <c r="L719" s="140">
        <f t="shared" ref="L719:L739" si="45">(G719-$G$14)*1000</f>
        <v>-1001.0000000000001</v>
      </c>
      <c r="M719" s="141">
        <f t="shared" ref="M719:M739" si="46">(I719-$I$14)*1000</f>
        <v>-1112</v>
      </c>
      <c r="N719" s="140">
        <f t="shared" ref="N719:N739" si="47">(K719-$K$14)*1000</f>
        <v>-975</v>
      </c>
      <c r="O719" s="140"/>
    </row>
    <row r="720" spans="1:15">
      <c r="A720" s="76">
        <f>'BC.114+320'!B719</f>
        <v>45749</v>
      </c>
      <c r="B720" s="140">
        <f t="shared" si="44"/>
        <v>706</v>
      </c>
      <c r="C720" s="142">
        <f>'BC.114+320'!M719/1000</f>
        <v>2.9750000000000001</v>
      </c>
      <c r="D720" s="142">
        <f>'BC.114+320'!AA719</f>
        <v>4.0990000000000002</v>
      </c>
      <c r="E720" s="143">
        <f>'BC.114+320'!AB719</f>
        <v>2.04</v>
      </c>
      <c r="F720" s="142">
        <f>VLOOKUP($A720,'BC.114+320'!$B$13:$X$4876,8,0)/1000</f>
        <v>1.819</v>
      </c>
      <c r="G720" s="142">
        <f>VLOOKUP($A720,'BC.114+320'!$B$13:$X$4876,9,0)/1000</f>
        <v>-1.181</v>
      </c>
      <c r="H720" s="142">
        <f>VLOOKUP($A720,'BC.114+320'!$B$13:$X$4876,14,0)/1000</f>
        <v>1.7050000000000001</v>
      </c>
      <c r="I720" s="142">
        <f>VLOOKUP($A720,'BC.114+320'!$B$13:$X$4876,15,0)/1000</f>
        <v>-1.2949999999999999</v>
      </c>
      <c r="J720" s="142">
        <f>VLOOKUP($A720,'BC.114+320'!$B$13:$X$4876,20,0)/1000</f>
        <v>1.905</v>
      </c>
      <c r="K720" s="142">
        <f>VLOOKUP($A720,'BC.114+320'!$B$13:$X$4876,21,0)/1000</f>
        <v>-1.095</v>
      </c>
      <c r="L720" s="140">
        <f t="shared" si="45"/>
        <v>-1001.0000000000001</v>
      </c>
      <c r="M720" s="141">
        <f t="shared" si="46"/>
        <v>-1115</v>
      </c>
      <c r="N720" s="140">
        <f t="shared" si="47"/>
        <v>-975</v>
      </c>
      <c r="O720" s="140"/>
    </row>
    <row r="721" spans="1:15">
      <c r="A721" s="76">
        <f>'BC.114+320'!B720</f>
        <v>45750</v>
      </c>
      <c r="B721" s="140">
        <f t="shared" si="44"/>
        <v>707</v>
      </c>
      <c r="C721" s="142">
        <f>'BC.114+320'!M720/1000</f>
        <v>2.97</v>
      </c>
      <c r="D721" s="142">
        <f>'BC.114+320'!AA720</f>
        <v>4.0990000000000002</v>
      </c>
      <c r="E721" s="143">
        <f>'BC.114+320'!AB720</f>
        <v>2.0299999999999998</v>
      </c>
      <c r="F721" s="142">
        <f>VLOOKUP($A721,'BC.114+320'!$B$13:$X$4876,8,0)/1000</f>
        <v>1.819</v>
      </c>
      <c r="G721" s="142">
        <f>VLOOKUP($A721,'BC.114+320'!$B$13:$X$4876,9,0)/1000</f>
        <v>-1.181</v>
      </c>
      <c r="H721" s="142">
        <f>VLOOKUP($A721,'BC.114+320'!$B$13:$X$4876,14,0)/1000</f>
        <v>1.7</v>
      </c>
      <c r="I721" s="142">
        <f>VLOOKUP($A721,'BC.114+320'!$B$13:$X$4876,15,0)/1000</f>
        <v>-1.3</v>
      </c>
      <c r="J721" s="142">
        <f>VLOOKUP($A721,'BC.114+320'!$B$13:$X$4876,20,0)/1000</f>
        <v>1.905</v>
      </c>
      <c r="K721" s="142">
        <f>VLOOKUP($A721,'BC.114+320'!$B$13:$X$4876,21,0)/1000</f>
        <v>-1.095</v>
      </c>
      <c r="L721" s="140">
        <f t="shared" si="45"/>
        <v>-1001.0000000000001</v>
      </c>
      <c r="M721" s="141">
        <f t="shared" si="46"/>
        <v>-1120</v>
      </c>
      <c r="N721" s="140">
        <f t="shared" si="47"/>
        <v>-975</v>
      </c>
      <c r="O721" s="140"/>
    </row>
    <row r="722" spans="1:15">
      <c r="A722" s="76">
        <f>'BC.114+320'!B721</f>
        <v>45751</v>
      </c>
      <c r="B722" s="140">
        <f t="shared" si="44"/>
        <v>708</v>
      </c>
      <c r="C722" s="142">
        <f>'BC.114+320'!M721/1000</f>
        <v>2.968</v>
      </c>
      <c r="D722" s="142">
        <f>'BC.114+320'!AA721</f>
        <v>4.0990000000000002</v>
      </c>
      <c r="E722" s="143">
        <f>'BC.114+320'!AB721</f>
        <v>2.0259999999999998</v>
      </c>
      <c r="F722" s="142">
        <f>VLOOKUP($A722,'BC.114+320'!$B$13:$X$4876,8,0)/1000</f>
        <v>1.819</v>
      </c>
      <c r="G722" s="142">
        <f>VLOOKUP($A722,'BC.114+320'!$B$13:$X$4876,9,0)/1000</f>
        <v>-1.181</v>
      </c>
      <c r="H722" s="142">
        <f>VLOOKUP($A722,'BC.114+320'!$B$13:$X$4876,14,0)/1000</f>
        <v>1.698</v>
      </c>
      <c r="I722" s="142">
        <f>VLOOKUP($A722,'BC.114+320'!$B$13:$X$4876,15,0)/1000</f>
        <v>-1.302</v>
      </c>
      <c r="J722" s="142">
        <f>VLOOKUP($A722,'BC.114+320'!$B$13:$X$4876,20,0)/1000</f>
        <v>1.905</v>
      </c>
      <c r="K722" s="142">
        <f>VLOOKUP($A722,'BC.114+320'!$B$13:$X$4876,21,0)/1000</f>
        <v>-1.095</v>
      </c>
      <c r="L722" s="140">
        <f t="shared" si="45"/>
        <v>-1001.0000000000001</v>
      </c>
      <c r="M722" s="141">
        <f t="shared" si="46"/>
        <v>-1122</v>
      </c>
      <c r="N722" s="140">
        <f t="shared" si="47"/>
        <v>-975</v>
      </c>
      <c r="O722" s="140"/>
    </row>
    <row r="723" spans="1:15">
      <c r="A723" s="76">
        <f>'BC.114+320'!B722</f>
        <v>45752</v>
      </c>
      <c r="B723" s="140">
        <f t="shared" si="44"/>
        <v>709</v>
      </c>
      <c r="C723" s="142">
        <f>'BC.114+320'!M722/1000</f>
        <v>2.964</v>
      </c>
      <c r="D723" s="142">
        <f>'BC.114+320'!AA722</f>
        <v>4.0990000000000002</v>
      </c>
      <c r="E723" s="143">
        <f>'BC.114+320'!AB722</f>
        <v>2.0179999999999998</v>
      </c>
      <c r="F723" s="142">
        <f>VLOOKUP($A723,'BC.114+320'!$B$13:$X$4876,8,0)/1000</f>
        <v>1.819</v>
      </c>
      <c r="G723" s="142">
        <f>VLOOKUP($A723,'BC.114+320'!$B$13:$X$4876,9,0)/1000</f>
        <v>-1.181</v>
      </c>
      <c r="H723" s="142">
        <f>VLOOKUP($A723,'BC.114+320'!$B$13:$X$4876,14,0)/1000</f>
        <v>1.694</v>
      </c>
      <c r="I723" s="142">
        <f>VLOOKUP($A723,'BC.114+320'!$B$13:$X$4876,15,0)/1000</f>
        <v>-1.306</v>
      </c>
      <c r="J723" s="142">
        <f>VLOOKUP($A723,'BC.114+320'!$B$13:$X$4876,20,0)/1000</f>
        <v>1.905</v>
      </c>
      <c r="K723" s="142">
        <f>VLOOKUP($A723,'BC.114+320'!$B$13:$X$4876,21,0)/1000</f>
        <v>-1.095</v>
      </c>
      <c r="L723" s="140">
        <f t="shared" si="45"/>
        <v>-1001.0000000000001</v>
      </c>
      <c r="M723" s="141">
        <f t="shared" si="46"/>
        <v>-1126</v>
      </c>
      <c r="N723" s="140">
        <f t="shared" si="47"/>
        <v>-975</v>
      </c>
      <c r="O723" s="140"/>
    </row>
    <row r="724" spans="1:15">
      <c r="A724" s="76">
        <f>'BC.114+320'!B723</f>
        <v>45753</v>
      </c>
      <c r="B724" s="140">
        <f t="shared" si="44"/>
        <v>710</v>
      </c>
      <c r="C724" s="142">
        <f>'BC.114+320'!M723/1000</f>
        <v>2.96</v>
      </c>
      <c r="D724" s="142">
        <f>'BC.114+320'!AA723</f>
        <v>4.0990000000000002</v>
      </c>
      <c r="E724" s="143">
        <f>'BC.114+320'!AB723</f>
        <v>2.0099999999999998</v>
      </c>
      <c r="F724" s="142">
        <f>VLOOKUP($A724,'BC.114+320'!$B$13:$X$4876,8,0)/1000</f>
        <v>1.819</v>
      </c>
      <c r="G724" s="142">
        <f>VLOOKUP($A724,'BC.114+320'!$B$13:$X$4876,9,0)/1000</f>
        <v>-1.181</v>
      </c>
      <c r="H724" s="142">
        <f>VLOOKUP($A724,'BC.114+320'!$B$13:$X$4876,14,0)/1000</f>
        <v>1.69</v>
      </c>
      <c r="I724" s="142">
        <f>VLOOKUP($A724,'BC.114+320'!$B$13:$X$4876,15,0)/1000</f>
        <v>-1.31</v>
      </c>
      <c r="J724" s="142">
        <f>VLOOKUP($A724,'BC.114+320'!$B$13:$X$4876,20,0)/1000</f>
        <v>1.905</v>
      </c>
      <c r="K724" s="142">
        <f>VLOOKUP($A724,'BC.114+320'!$B$13:$X$4876,21,0)/1000</f>
        <v>-1.095</v>
      </c>
      <c r="L724" s="140">
        <f t="shared" si="45"/>
        <v>-1001.0000000000001</v>
      </c>
      <c r="M724" s="141">
        <f t="shared" si="46"/>
        <v>-1130.0000000000002</v>
      </c>
      <c r="N724" s="140">
        <f t="shared" si="47"/>
        <v>-975</v>
      </c>
      <c r="O724" s="140"/>
    </row>
    <row r="725" spans="1:15">
      <c r="A725" s="76">
        <f>'BC.114+320'!B724</f>
        <v>45754</v>
      </c>
      <c r="B725" s="140">
        <f t="shared" si="44"/>
        <v>711</v>
      </c>
      <c r="C725" s="142">
        <f>'BC.114+320'!M724/1000</f>
        <v>2.9540000000000002</v>
      </c>
      <c r="D725" s="142">
        <f>'BC.114+320'!AA724</f>
        <v>4.0990000000000002</v>
      </c>
      <c r="E725" s="143">
        <f>'BC.114+320'!AB724</f>
        <v>1.998</v>
      </c>
      <c r="F725" s="142">
        <f>VLOOKUP($A725,'BC.114+320'!$B$13:$X$4876,8,0)/1000</f>
        <v>1.819</v>
      </c>
      <c r="G725" s="142">
        <f>VLOOKUP($A725,'BC.114+320'!$B$13:$X$4876,9,0)/1000</f>
        <v>-1.181</v>
      </c>
      <c r="H725" s="142">
        <f>VLOOKUP($A725,'BC.114+320'!$B$13:$X$4876,14,0)/1000</f>
        <v>1.6839999999999999</v>
      </c>
      <c r="I725" s="142">
        <f>VLOOKUP($A725,'BC.114+320'!$B$13:$X$4876,15,0)/1000</f>
        <v>-1.3160000000000001</v>
      </c>
      <c r="J725" s="142">
        <f>VLOOKUP($A725,'BC.114+320'!$B$13:$X$4876,20,0)/1000</f>
        <v>1.905</v>
      </c>
      <c r="K725" s="142">
        <f>VLOOKUP($A725,'BC.114+320'!$B$13:$X$4876,21,0)/1000</f>
        <v>-1.095</v>
      </c>
      <c r="L725" s="140">
        <f t="shared" si="45"/>
        <v>-1001.0000000000001</v>
      </c>
      <c r="M725" s="141">
        <f t="shared" si="46"/>
        <v>-1136.0000000000002</v>
      </c>
      <c r="N725" s="140">
        <f t="shared" si="47"/>
        <v>-975</v>
      </c>
      <c r="O725" s="140"/>
    </row>
    <row r="726" spans="1:15">
      <c r="A726" s="76">
        <f>'BC.114+320'!B725</f>
        <v>45755</v>
      </c>
      <c r="B726" s="140">
        <f t="shared" si="44"/>
        <v>712</v>
      </c>
      <c r="C726" s="142">
        <f>'BC.114+320'!M725/1000</f>
        <v>2.95</v>
      </c>
      <c r="D726" s="142">
        <f>'BC.114+320'!AA725</f>
        <v>4.0990000000000002</v>
      </c>
      <c r="E726" s="143">
        <f>'BC.114+320'!AB725</f>
        <v>1.99</v>
      </c>
      <c r="F726" s="142">
        <f>VLOOKUP($A726,'BC.114+320'!$B$13:$X$4876,8,0)/1000</f>
        <v>1.819</v>
      </c>
      <c r="G726" s="142">
        <f>VLOOKUP($A726,'BC.114+320'!$B$13:$X$4876,9,0)/1000</f>
        <v>-1.181</v>
      </c>
      <c r="H726" s="142">
        <f>VLOOKUP($A726,'BC.114+320'!$B$13:$X$4876,14,0)/1000</f>
        <v>1.68</v>
      </c>
      <c r="I726" s="142">
        <f>VLOOKUP($A726,'BC.114+320'!$B$13:$X$4876,15,0)/1000</f>
        <v>-1.32</v>
      </c>
      <c r="J726" s="142">
        <f>VLOOKUP($A726,'BC.114+320'!$B$13:$X$4876,20,0)/1000</f>
        <v>1.905</v>
      </c>
      <c r="K726" s="142">
        <f>VLOOKUP($A726,'BC.114+320'!$B$13:$X$4876,21,0)/1000</f>
        <v>-1.095</v>
      </c>
      <c r="L726" s="140">
        <f t="shared" si="45"/>
        <v>-1001.0000000000001</v>
      </c>
      <c r="M726" s="141">
        <f t="shared" si="46"/>
        <v>-1140.0000000000002</v>
      </c>
      <c r="N726" s="140">
        <f t="shared" si="47"/>
        <v>-975</v>
      </c>
      <c r="O726" s="140"/>
    </row>
    <row r="727" spans="1:15">
      <c r="A727" s="76">
        <f>'BC.114+320'!B726</f>
        <v>45756</v>
      </c>
      <c r="B727" s="140">
        <f t="shared" si="44"/>
        <v>713</v>
      </c>
      <c r="C727" s="142">
        <f>'BC.114+320'!M726/1000</f>
        <v>2.9470000000000001</v>
      </c>
      <c r="D727" s="142">
        <f>'BC.114+320'!AA726</f>
        <v>4.0990000000000002</v>
      </c>
      <c r="E727" s="143">
        <f>'BC.114+320'!AB726</f>
        <v>1.984</v>
      </c>
      <c r="F727" s="142">
        <f>VLOOKUP($A727,'BC.114+320'!$B$13:$X$4876,8,0)/1000</f>
        <v>1.819</v>
      </c>
      <c r="G727" s="142">
        <f>VLOOKUP($A727,'BC.114+320'!$B$13:$X$4876,9,0)/1000</f>
        <v>-1.181</v>
      </c>
      <c r="H727" s="142">
        <f>VLOOKUP($A727,'BC.114+320'!$B$13:$X$4876,14,0)/1000</f>
        <v>1.677</v>
      </c>
      <c r="I727" s="142">
        <f>VLOOKUP($A727,'BC.114+320'!$B$13:$X$4876,15,0)/1000</f>
        <v>-1.323</v>
      </c>
      <c r="J727" s="142">
        <f>VLOOKUP($A727,'BC.114+320'!$B$13:$X$4876,20,0)/1000</f>
        <v>1.905</v>
      </c>
      <c r="K727" s="142">
        <f>VLOOKUP($A727,'BC.114+320'!$B$13:$X$4876,21,0)/1000</f>
        <v>-1.095</v>
      </c>
      <c r="L727" s="140">
        <f t="shared" si="45"/>
        <v>-1001.0000000000001</v>
      </c>
      <c r="M727" s="141">
        <f t="shared" si="46"/>
        <v>-1143</v>
      </c>
      <c r="N727" s="140">
        <f t="shared" si="47"/>
        <v>-975</v>
      </c>
      <c r="O727" s="140"/>
    </row>
    <row r="728" spans="1:15">
      <c r="A728" s="76">
        <f>'BC.114+320'!B727</f>
        <v>45757</v>
      </c>
      <c r="B728" s="140">
        <f t="shared" si="44"/>
        <v>714</v>
      </c>
      <c r="C728" s="142">
        <f>'BC.114+320'!M727/1000</f>
        <v>2.9449999999999998</v>
      </c>
      <c r="D728" s="142">
        <f>'BC.114+320'!AA727</f>
        <v>4.0990000000000002</v>
      </c>
      <c r="E728" s="143">
        <f>'BC.114+320'!AB727</f>
        <v>1.98</v>
      </c>
      <c r="F728" s="142">
        <f>VLOOKUP($A728,'BC.114+320'!$B$13:$X$4876,8,0)/1000</f>
        <v>1.819</v>
      </c>
      <c r="G728" s="142">
        <f>VLOOKUP($A728,'BC.114+320'!$B$13:$X$4876,9,0)/1000</f>
        <v>-1.181</v>
      </c>
      <c r="H728" s="142">
        <f>VLOOKUP($A728,'BC.114+320'!$B$13:$X$4876,14,0)/1000</f>
        <v>1.675</v>
      </c>
      <c r="I728" s="142">
        <f>VLOOKUP($A728,'BC.114+320'!$B$13:$X$4876,15,0)/1000</f>
        <v>-1.325</v>
      </c>
      <c r="J728" s="142">
        <f>VLOOKUP($A728,'BC.114+320'!$B$13:$X$4876,20,0)/1000</f>
        <v>1.905</v>
      </c>
      <c r="K728" s="142">
        <f>VLOOKUP($A728,'BC.114+320'!$B$13:$X$4876,21,0)/1000</f>
        <v>-1.095</v>
      </c>
      <c r="L728" s="140">
        <f t="shared" si="45"/>
        <v>-1001.0000000000001</v>
      </c>
      <c r="M728" s="141">
        <f t="shared" si="46"/>
        <v>-1145</v>
      </c>
      <c r="N728" s="140">
        <f t="shared" si="47"/>
        <v>-975</v>
      </c>
      <c r="O728" s="140"/>
    </row>
    <row r="729" spans="1:15">
      <c r="A729" s="76">
        <f>'BC.114+320'!B728</f>
        <v>45758</v>
      </c>
      <c r="B729" s="140">
        <f t="shared" si="44"/>
        <v>715</v>
      </c>
      <c r="C729" s="142">
        <f>'BC.114+320'!M728/1000</f>
        <v>2.94</v>
      </c>
      <c r="D729" s="142">
        <f>'BC.114+320'!AA728</f>
        <v>4.0990000000000002</v>
      </c>
      <c r="E729" s="143">
        <f>'BC.114+320'!AB728</f>
        <v>1.97</v>
      </c>
      <c r="F729" s="142">
        <f>VLOOKUP($A729,'BC.114+320'!$B$13:$X$4876,8,0)/1000</f>
        <v>1.819</v>
      </c>
      <c r="G729" s="142">
        <f>VLOOKUP($A729,'BC.114+320'!$B$13:$X$4876,9,0)/1000</f>
        <v>-1.181</v>
      </c>
      <c r="H729" s="142">
        <f>VLOOKUP($A729,'BC.114+320'!$B$13:$X$4876,14,0)/1000</f>
        <v>1.67</v>
      </c>
      <c r="I729" s="142">
        <f>VLOOKUP($A729,'BC.114+320'!$B$13:$X$4876,15,0)/1000</f>
        <v>-1.33</v>
      </c>
      <c r="J729" s="142">
        <f>VLOOKUP($A729,'BC.114+320'!$B$13:$X$4876,20,0)/1000</f>
        <v>1.905</v>
      </c>
      <c r="K729" s="142">
        <f>VLOOKUP($A729,'BC.114+320'!$B$13:$X$4876,21,0)/1000</f>
        <v>-1.095</v>
      </c>
      <c r="L729" s="140">
        <f t="shared" si="45"/>
        <v>-1001.0000000000001</v>
      </c>
      <c r="M729" s="141">
        <f t="shared" si="46"/>
        <v>-1150.0000000000002</v>
      </c>
      <c r="N729" s="140">
        <f t="shared" si="47"/>
        <v>-975</v>
      </c>
      <c r="O729" s="140"/>
    </row>
    <row r="730" spans="1:15">
      <c r="A730" s="76">
        <f>'BC.114+320'!B729</f>
        <v>45759</v>
      </c>
      <c r="B730" s="140">
        <f t="shared" si="44"/>
        <v>716</v>
      </c>
      <c r="C730" s="142">
        <f>'BC.114+320'!M729/1000</f>
        <v>3.1339999999999999</v>
      </c>
      <c r="D730" s="142">
        <f>'BC.114+320'!AA729</f>
        <v>4.2990000000000004</v>
      </c>
      <c r="E730" s="143">
        <f>'BC.114+320'!AB729</f>
        <v>2.1579999999999999</v>
      </c>
      <c r="F730" s="142">
        <f>VLOOKUP($A730,'BC.114+320'!$B$13:$X$4876,8,0)/1000</f>
        <v>1.819</v>
      </c>
      <c r="G730" s="142">
        <f>VLOOKUP($A730,'BC.114+320'!$B$13:$X$4876,9,0)/1000</f>
        <v>-1.181</v>
      </c>
      <c r="H730" s="142">
        <f>VLOOKUP($A730,'BC.114+320'!$B$13:$X$4876,14,0)/1000</f>
        <v>1.6639999999999999</v>
      </c>
      <c r="I730" s="142">
        <f>VLOOKUP($A730,'BC.114+320'!$B$13:$X$4876,15,0)/1000</f>
        <v>-1.3360000000000001</v>
      </c>
      <c r="J730" s="142">
        <f>VLOOKUP($A730,'BC.114+320'!$B$13:$X$4876,20,0)/1000</f>
        <v>1.905</v>
      </c>
      <c r="K730" s="142">
        <f>VLOOKUP($A730,'BC.114+320'!$B$13:$X$4876,21,0)/1000</f>
        <v>-1.095</v>
      </c>
      <c r="L730" s="140">
        <f t="shared" si="45"/>
        <v>-1001.0000000000001</v>
      </c>
      <c r="M730" s="141">
        <f t="shared" si="46"/>
        <v>-1156.0000000000002</v>
      </c>
      <c r="N730" s="140">
        <f t="shared" si="47"/>
        <v>-975</v>
      </c>
      <c r="O730" s="140"/>
    </row>
    <row r="731" spans="1:15">
      <c r="A731" s="76">
        <f>'BC.114+320'!B730</f>
        <v>45760</v>
      </c>
      <c r="B731" s="140">
        <f t="shared" si="44"/>
        <v>717</v>
      </c>
      <c r="C731" s="142">
        <f>'BC.114+320'!M730/1000</f>
        <v>3.1309999999999998</v>
      </c>
      <c r="D731" s="142">
        <f>'BC.114+320'!AA730</f>
        <v>4.2990000000000004</v>
      </c>
      <c r="E731" s="143">
        <f>'BC.114+320'!AB730</f>
        <v>2.1520000000000001</v>
      </c>
      <c r="F731" s="142">
        <f>VLOOKUP($A731,'BC.114+320'!$B$13:$X$4876,8,0)/1000</f>
        <v>1.819</v>
      </c>
      <c r="G731" s="142">
        <f>VLOOKUP($A731,'BC.114+320'!$B$13:$X$4876,9,0)/1000</f>
        <v>-1.181</v>
      </c>
      <c r="H731" s="142">
        <f>VLOOKUP($A731,'BC.114+320'!$B$13:$X$4876,14,0)/1000</f>
        <v>1.661</v>
      </c>
      <c r="I731" s="142">
        <f>VLOOKUP($A731,'BC.114+320'!$B$13:$X$4876,15,0)/1000</f>
        <v>-1.339</v>
      </c>
      <c r="J731" s="142">
        <f>VLOOKUP($A731,'BC.114+320'!$B$13:$X$4876,20,0)/1000</f>
        <v>1.905</v>
      </c>
      <c r="K731" s="142">
        <f>VLOOKUP($A731,'BC.114+320'!$B$13:$X$4876,21,0)/1000</f>
        <v>-1.095</v>
      </c>
      <c r="L731" s="140">
        <f t="shared" si="45"/>
        <v>-1001.0000000000001</v>
      </c>
      <c r="M731" s="141">
        <f t="shared" si="46"/>
        <v>-1159</v>
      </c>
      <c r="N731" s="140">
        <f t="shared" si="47"/>
        <v>-975</v>
      </c>
      <c r="O731" s="140"/>
    </row>
    <row r="732" spans="1:15">
      <c r="A732" s="76">
        <f>'BC.114+320'!B731</f>
        <v>45761</v>
      </c>
      <c r="B732" s="140">
        <f t="shared" si="44"/>
        <v>718</v>
      </c>
      <c r="C732" s="142">
        <f>'BC.114+320'!M731/1000</f>
        <v>3.125</v>
      </c>
      <c r="D732" s="142">
        <f>'BC.114+320'!AA731</f>
        <v>4.2990000000000004</v>
      </c>
      <c r="E732" s="143">
        <f>'BC.114+320'!AB731</f>
        <v>2.14</v>
      </c>
      <c r="F732" s="142">
        <f>VLOOKUP($A732,'BC.114+320'!$B$13:$X$4876,8,0)/1000</f>
        <v>1.819</v>
      </c>
      <c r="G732" s="142">
        <f>VLOOKUP($A732,'BC.114+320'!$B$13:$X$4876,9,0)/1000</f>
        <v>-1.181</v>
      </c>
      <c r="H732" s="142">
        <f>VLOOKUP($A732,'BC.114+320'!$B$13:$X$4876,14,0)/1000</f>
        <v>1.655</v>
      </c>
      <c r="I732" s="142">
        <f>VLOOKUP($A732,'BC.114+320'!$B$13:$X$4876,15,0)/1000</f>
        <v>-1.345</v>
      </c>
      <c r="J732" s="142">
        <f>VLOOKUP($A732,'BC.114+320'!$B$13:$X$4876,20,0)/1000</f>
        <v>1.905</v>
      </c>
      <c r="K732" s="142">
        <f>VLOOKUP($A732,'BC.114+320'!$B$13:$X$4876,21,0)/1000</f>
        <v>-1.095</v>
      </c>
      <c r="L732" s="140">
        <f t="shared" si="45"/>
        <v>-1001.0000000000001</v>
      </c>
      <c r="M732" s="141">
        <f t="shared" si="46"/>
        <v>-1165</v>
      </c>
      <c r="N732" s="140">
        <f t="shared" si="47"/>
        <v>-975</v>
      </c>
      <c r="O732" s="140"/>
    </row>
    <row r="733" spans="1:15">
      <c r="A733" s="76">
        <f>'BC.114+320'!B732</f>
        <v>45762</v>
      </c>
      <c r="B733" s="140">
        <f t="shared" si="44"/>
        <v>719</v>
      </c>
      <c r="C733" s="142">
        <f>'BC.114+320'!M732/1000</f>
        <v>3.1219999999999999</v>
      </c>
      <c r="D733" s="142">
        <f>'BC.114+320'!AA732</f>
        <v>4.2990000000000004</v>
      </c>
      <c r="E733" s="143">
        <f>'BC.114+320'!AB732</f>
        <v>2.1339999999999999</v>
      </c>
      <c r="F733" s="142">
        <f>VLOOKUP($A733,'BC.114+320'!$B$13:$X$4876,8,0)/1000</f>
        <v>1.819</v>
      </c>
      <c r="G733" s="142">
        <f>VLOOKUP($A733,'BC.114+320'!$B$13:$X$4876,9,0)/1000</f>
        <v>-1.181</v>
      </c>
      <c r="H733" s="142">
        <f>VLOOKUP($A733,'BC.114+320'!$B$13:$X$4876,14,0)/1000</f>
        <v>1.6519999999999999</v>
      </c>
      <c r="I733" s="142">
        <f>VLOOKUP($A733,'BC.114+320'!$B$13:$X$4876,15,0)/1000</f>
        <v>-1.3480000000000001</v>
      </c>
      <c r="J733" s="142">
        <f>VLOOKUP($A733,'BC.114+320'!$B$13:$X$4876,20,0)/1000</f>
        <v>1.905</v>
      </c>
      <c r="K733" s="142">
        <f>VLOOKUP($A733,'BC.114+320'!$B$13:$X$4876,21,0)/1000</f>
        <v>-1.095</v>
      </c>
      <c r="L733" s="140">
        <f t="shared" si="45"/>
        <v>-1001.0000000000001</v>
      </c>
      <c r="M733" s="141">
        <f t="shared" si="46"/>
        <v>-1168.0000000000002</v>
      </c>
      <c r="N733" s="140">
        <f t="shared" si="47"/>
        <v>-975</v>
      </c>
      <c r="O733" s="140"/>
    </row>
    <row r="734" spans="1:15">
      <c r="A734" s="76">
        <f>'BC.114+320'!B733</f>
        <v>45763</v>
      </c>
      <c r="B734" s="140">
        <f t="shared" si="44"/>
        <v>720</v>
      </c>
      <c r="C734" s="142">
        <f>'BC.114+320'!M733/1000</f>
        <v>3.117</v>
      </c>
      <c r="D734" s="142">
        <f>'BC.114+320'!AA733</f>
        <v>4.2990000000000004</v>
      </c>
      <c r="E734" s="143">
        <f>'BC.114+320'!AB733</f>
        <v>2.1240000000000001</v>
      </c>
      <c r="F734" s="142">
        <f>VLOOKUP($A734,'BC.114+320'!$B$13:$X$4876,8,0)/1000</f>
        <v>1.819</v>
      </c>
      <c r="G734" s="142">
        <f>VLOOKUP($A734,'BC.114+320'!$B$13:$X$4876,9,0)/1000</f>
        <v>-1.181</v>
      </c>
      <c r="H734" s="142">
        <f>VLOOKUP($A734,'BC.114+320'!$B$13:$X$4876,14,0)/1000</f>
        <v>1.647</v>
      </c>
      <c r="I734" s="142">
        <f>VLOOKUP($A734,'BC.114+320'!$B$13:$X$4876,15,0)/1000</f>
        <v>-1.353</v>
      </c>
      <c r="J734" s="142">
        <f>VLOOKUP($A734,'BC.114+320'!$B$13:$X$4876,20,0)/1000</f>
        <v>1.905</v>
      </c>
      <c r="K734" s="142">
        <f>VLOOKUP($A734,'BC.114+320'!$B$13:$X$4876,21,0)/1000</f>
        <v>-1.095</v>
      </c>
      <c r="L734" s="140">
        <f t="shared" si="45"/>
        <v>-1001.0000000000001</v>
      </c>
      <c r="M734" s="141">
        <f t="shared" si="46"/>
        <v>-1173</v>
      </c>
      <c r="N734" s="140">
        <f t="shared" si="47"/>
        <v>-975</v>
      </c>
      <c r="O734" s="140"/>
    </row>
    <row r="735" spans="1:15">
      <c r="A735" s="76">
        <f>'BC.114+320'!B734</f>
        <v>45764</v>
      </c>
      <c r="B735" s="140">
        <f t="shared" si="44"/>
        <v>721</v>
      </c>
      <c r="C735" s="142">
        <f>'BC.114+320'!M734/1000</f>
        <v>3.3849999999999998</v>
      </c>
      <c r="D735" s="142">
        <f>'BC.114+320'!AA734</f>
        <v>4.5690000000000008</v>
      </c>
      <c r="E735" s="143">
        <f>'BC.114+320'!AB734</f>
        <v>2.39</v>
      </c>
      <c r="F735" s="142">
        <f>VLOOKUP($A735,'BC.114+320'!$B$13:$X$4876,8,0)/1000</f>
        <v>1.819</v>
      </c>
      <c r="G735" s="142">
        <f>VLOOKUP($A735,'BC.114+320'!$B$13:$X$4876,9,0)/1000</f>
        <v>-1.181</v>
      </c>
      <c r="H735" s="142">
        <f>VLOOKUP($A735,'BC.114+320'!$B$13:$X$4876,14,0)/1000</f>
        <v>1.645</v>
      </c>
      <c r="I735" s="142">
        <f>VLOOKUP($A735,'BC.114+320'!$B$13:$X$4876,15,0)/1000</f>
        <v>-1.355</v>
      </c>
      <c r="J735" s="142">
        <f>VLOOKUP($A735,'BC.114+320'!$B$13:$X$4876,20,0)/1000</f>
        <v>1.905</v>
      </c>
      <c r="K735" s="142">
        <f>VLOOKUP($A735,'BC.114+320'!$B$13:$X$4876,21,0)/1000</f>
        <v>-1.095</v>
      </c>
      <c r="L735" s="140">
        <f t="shared" si="45"/>
        <v>-1001.0000000000001</v>
      </c>
      <c r="M735" s="141">
        <f t="shared" si="46"/>
        <v>-1175</v>
      </c>
      <c r="N735" s="140">
        <f t="shared" si="47"/>
        <v>-975</v>
      </c>
      <c r="O735" s="140"/>
    </row>
    <row r="736" spans="1:15">
      <c r="A736" s="76">
        <f>'BC.114+320'!B735</f>
        <v>45765</v>
      </c>
      <c r="B736" s="140">
        <f t="shared" si="44"/>
        <v>722</v>
      </c>
      <c r="C736" s="142">
        <f>'BC.114+320'!M735/1000</f>
        <v>3.3809999999999998</v>
      </c>
      <c r="D736" s="142">
        <f>'BC.114+320'!AA735</f>
        <v>4.5690000000000008</v>
      </c>
      <c r="E736" s="143">
        <f>'BC.114+320'!AB735</f>
        <v>2.3820000000000001</v>
      </c>
      <c r="F736" s="142">
        <f>VLOOKUP($A736,'BC.114+320'!$B$13:$X$4876,8,0)/1000</f>
        <v>1.819</v>
      </c>
      <c r="G736" s="142">
        <f>VLOOKUP($A736,'BC.114+320'!$B$13:$X$4876,9,0)/1000</f>
        <v>-1.181</v>
      </c>
      <c r="H736" s="142">
        <f>VLOOKUP($A736,'BC.114+320'!$B$13:$X$4876,14,0)/1000</f>
        <v>1.641</v>
      </c>
      <c r="I736" s="142">
        <f>VLOOKUP($A736,'BC.114+320'!$B$13:$X$4876,15,0)/1000</f>
        <v>-1.359</v>
      </c>
      <c r="J736" s="142">
        <f>VLOOKUP($A736,'BC.114+320'!$B$13:$X$4876,20,0)/1000</f>
        <v>1.905</v>
      </c>
      <c r="K736" s="142">
        <f>VLOOKUP($A736,'BC.114+320'!$B$13:$X$4876,21,0)/1000</f>
        <v>-1.095</v>
      </c>
      <c r="L736" s="140">
        <f t="shared" si="45"/>
        <v>-1001.0000000000001</v>
      </c>
      <c r="M736" s="141">
        <f t="shared" si="46"/>
        <v>-1179</v>
      </c>
      <c r="N736" s="140">
        <f t="shared" si="47"/>
        <v>-975</v>
      </c>
      <c r="O736" s="140"/>
    </row>
    <row r="737" spans="1:15">
      <c r="A737" s="76">
        <f>'BC.114+320'!B736</f>
        <v>45766</v>
      </c>
      <c r="B737" s="140">
        <f t="shared" si="44"/>
        <v>723</v>
      </c>
      <c r="C737" s="142">
        <f>'BC.114+320'!M736/1000</f>
        <v>3.3769999999999998</v>
      </c>
      <c r="D737" s="142">
        <f>'BC.114+320'!AA736</f>
        <v>4.5690000000000008</v>
      </c>
      <c r="E737" s="143">
        <f>'BC.114+320'!AB736</f>
        <v>2.3740000000000001</v>
      </c>
      <c r="F737" s="142">
        <f>VLOOKUP($A737,'BC.114+320'!$B$13:$X$4876,8,0)/1000</f>
        <v>1.819</v>
      </c>
      <c r="G737" s="142">
        <f>VLOOKUP($A737,'BC.114+320'!$B$13:$X$4876,9,0)/1000</f>
        <v>-1.181</v>
      </c>
      <c r="H737" s="142">
        <f>VLOOKUP($A737,'BC.114+320'!$B$13:$X$4876,14,0)/1000</f>
        <v>1.637</v>
      </c>
      <c r="I737" s="142">
        <f>VLOOKUP($A737,'BC.114+320'!$B$13:$X$4876,15,0)/1000</f>
        <v>-1.363</v>
      </c>
      <c r="J737" s="142">
        <f>VLOOKUP($A737,'BC.114+320'!$B$13:$X$4876,20,0)/1000</f>
        <v>1.905</v>
      </c>
      <c r="K737" s="142">
        <f>VLOOKUP($A737,'BC.114+320'!$B$13:$X$4876,21,0)/1000</f>
        <v>-1.095</v>
      </c>
      <c r="L737" s="140">
        <f t="shared" si="45"/>
        <v>-1001.0000000000001</v>
      </c>
      <c r="M737" s="141">
        <f t="shared" si="46"/>
        <v>-1183</v>
      </c>
      <c r="N737" s="140">
        <f t="shared" si="47"/>
        <v>-975</v>
      </c>
      <c r="O737" s="140"/>
    </row>
    <row r="738" spans="1:15">
      <c r="A738" s="76">
        <f>'BC.114+320'!B737</f>
        <v>45767</v>
      </c>
      <c r="B738" s="140">
        <f t="shared" si="44"/>
        <v>724</v>
      </c>
      <c r="C738" s="142">
        <f>'BC.114+320'!M737/1000</f>
        <v>3.371</v>
      </c>
      <c r="D738" s="142">
        <f>'BC.114+320'!AA737</f>
        <v>4.5690000000000008</v>
      </c>
      <c r="E738" s="143">
        <f>'BC.114+320'!AB737</f>
        <v>2.3620000000000001</v>
      </c>
      <c r="F738" s="142">
        <f>VLOOKUP($A738,'BC.114+320'!$B$13:$X$4876,8,0)/1000</f>
        <v>1.819</v>
      </c>
      <c r="G738" s="142">
        <f>VLOOKUP($A738,'BC.114+320'!$B$13:$X$4876,9,0)/1000</f>
        <v>-1.181</v>
      </c>
      <c r="H738" s="142">
        <f>VLOOKUP($A738,'BC.114+320'!$B$13:$X$4876,14,0)/1000</f>
        <v>1.631</v>
      </c>
      <c r="I738" s="142">
        <f>VLOOKUP($A738,'BC.114+320'!$B$13:$X$4876,15,0)/1000</f>
        <v>-1.369</v>
      </c>
      <c r="J738" s="142">
        <f>VLOOKUP($A738,'BC.114+320'!$B$13:$X$4876,20,0)/1000</f>
        <v>1.905</v>
      </c>
      <c r="K738" s="142">
        <f>VLOOKUP($A738,'BC.114+320'!$B$13:$X$4876,21,0)/1000</f>
        <v>-1.095</v>
      </c>
      <c r="L738" s="140">
        <f t="shared" si="45"/>
        <v>-1001.0000000000001</v>
      </c>
      <c r="M738" s="141">
        <f t="shared" si="46"/>
        <v>-1189</v>
      </c>
      <c r="N738" s="140">
        <f t="shared" si="47"/>
        <v>-975</v>
      </c>
      <c r="O738" s="140"/>
    </row>
    <row r="739" spans="1:15">
      <c r="A739" s="76">
        <f>'BC.114+320'!B738</f>
        <v>45768</v>
      </c>
      <c r="B739" s="140">
        <f t="shared" si="44"/>
        <v>725</v>
      </c>
      <c r="C739" s="142">
        <f>'BC.114+320'!M738/1000</f>
        <v>3.367</v>
      </c>
      <c r="D739" s="142">
        <f>'BC.114+320'!AA738</f>
        <v>4.5690000000000008</v>
      </c>
      <c r="E739" s="143">
        <f>'BC.114+320'!AB738</f>
        <v>2.3540000000000001</v>
      </c>
      <c r="F739" s="142">
        <f>VLOOKUP($A739,'BC.114+320'!$B$13:$X$4876,8,0)/1000</f>
        <v>1.819</v>
      </c>
      <c r="G739" s="142">
        <f>VLOOKUP($A739,'BC.114+320'!$B$13:$X$4876,9,0)/1000</f>
        <v>-1.181</v>
      </c>
      <c r="H739" s="142">
        <f>VLOOKUP($A739,'BC.114+320'!$B$13:$X$4876,14,0)/1000</f>
        <v>1.627</v>
      </c>
      <c r="I739" s="142">
        <f>VLOOKUP($A739,'BC.114+320'!$B$13:$X$4876,15,0)/1000</f>
        <v>-1.373</v>
      </c>
      <c r="J739" s="142">
        <f>VLOOKUP($A739,'BC.114+320'!$B$13:$X$4876,20,0)/1000</f>
        <v>1.905</v>
      </c>
      <c r="K739" s="142">
        <f>VLOOKUP($A739,'BC.114+320'!$B$13:$X$4876,21,0)/1000</f>
        <v>-1.095</v>
      </c>
      <c r="L739" s="140">
        <f t="shared" si="45"/>
        <v>-1001.0000000000001</v>
      </c>
      <c r="M739" s="141">
        <f t="shared" si="46"/>
        <v>-1193</v>
      </c>
      <c r="N739" s="140">
        <f t="shared" si="47"/>
        <v>-975</v>
      </c>
      <c r="O739" s="140"/>
    </row>
    <row r="740" spans="1:15">
      <c r="A740" s="76">
        <f>'BC.114+320'!B739</f>
        <v>45769</v>
      </c>
      <c r="B740" s="140">
        <f t="shared" ref="B740:B774" si="48">+B739+1</f>
        <v>726</v>
      </c>
      <c r="C740" s="142">
        <f>'BC.114+320'!M739/1000</f>
        <v>3.6640000000000001</v>
      </c>
      <c r="D740" s="142">
        <f>'BC.114+320'!AA739</f>
        <v>4.8690000000000007</v>
      </c>
      <c r="E740" s="143">
        <f>'BC.114+320'!AB739</f>
        <v>2.6480000000000001</v>
      </c>
      <c r="F740" s="142">
        <f>VLOOKUP($A740,'BC.114+320'!$B$13:$X$4876,8,0)/1000</f>
        <v>1.819</v>
      </c>
      <c r="G740" s="142">
        <f>VLOOKUP($A740,'BC.114+320'!$B$13:$X$4876,9,0)/1000</f>
        <v>-1.181</v>
      </c>
      <c r="H740" s="142">
        <f>VLOOKUP($A740,'BC.114+320'!$B$13:$X$4876,14,0)/1000</f>
        <v>1.6240000000000001</v>
      </c>
      <c r="I740" s="142">
        <f>VLOOKUP($A740,'BC.114+320'!$B$13:$X$4876,15,0)/1000</f>
        <v>-1.3759999999999999</v>
      </c>
      <c r="J740" s="142">
        <f>VLOOKUP($A740,'BC.114+320'!$B$13:$X$4876,20,0)/1000</f>
        <v>1.905</v>
      </c>
      <c r="K740" s="142">
        <f>VLOOKUP($A740,'BC.114+320'!$B$13:$X$4876,21,0)/1000</f>
        <v>-1.095</v>
      </c>
      <c r="L740" s="140">
        <f t="shared" ref="L740:L773" si="49">(G740-$G$14)*1000</f>
        <v>-1001.0000000000001</v>
      </c>
      <c r="M740" s="141">
        <f t="shared" ref="M740:M773" si="50">(I740-$I$14)*1000</f>
        <v>-1196</v>
      </c>
      <c r="N740" s="140">
        <f t="shared" ref="N740:N773" si="51">(K740-$K$14)*1000</f>
        <v>-975</v>
      </c>
      <c r="O740" s="140"/>
    </row>
    <row r="741" spans="1:15">
      <c r="A741" s="76">
        <f>'BC.114+320'!B740</f>
        <v>45770</v>
      </c>
      <c r="B741" s="140">
        <f t="shared" si="48"/>
        <v>727</v>
      </c>
      <c r="C741" s="142">
        <f>'BC.114+320'!M740/1000</f>
        <v>3.6619999999999999</v>
      </c>
      <c r="D741" s="142">
        <f>'BC.114+320'!AA740</f>
        <v>4.8690000000000007</v>
      </c>
      <c r="E741" s="143">
        <f>'BC.114+320'!AB740</f>
        <v>2.6440000000000001</v>
      </c>
      <c r="F741" s="142">
        <f>VLOOKUP($A741,'BC.114+320'!$B$13:$X$4876,8,0)/1000</f>
        <v>1.819</v>
      </c>
      <c r="G741" s="142">
        <f>VLOOKUP($A741,'BC.114+320'!$B$13:$X$4876,9,0)/1000</f>
        <v>-1.181</v>
      </c>
      <c r="H741" s="142">
        <f>VLOOKUP($A741,'BC.114+320'!$B$13:$X$4876,14,0)/1000</f>
        <v>1.6220000000000001</v>
      </c>
      <c r="I741" s="142">
        <f>VLOOKUP($A741,'BC.114+320'!$B$13:$X$4876,15,0)/1000</f>
        <v>-1.3779999999999999</v>
      </c>
      <c r="J741" s="142">
        <f>VLOOKUP($A741,'BC.114+320'!$B$13:$X$4876,20,0)/1000</f>
        <v>1.905</v>
      </c>
      <c r="K741" s="142">
        <f>VLOOKUP($A741,'BC.114+320'!$B$13:$X$4876,21,0)/1000</f>
        <v>-1.095</v>
      </c>
      <c r="L741" s="140">
        <f t="shared" si="49"/>
        <v>-1001.0000000000001</v>
      </c>
      <c r="M741" s="141">
        <f t="shared" si="50"/>
        <v>-1198</v>
      </c>
      <c r="N741" s="140">
        <f t="shared" si="51"/>
        <v>-975</v>
      </c>
      <c r="O741" s="140"/>
    </row>
    <row r="742" spans="1:15">
      <c r="A742" s="76">
        <f>'BC.114+320'!B741</f>
        <v>45771</v>
      </c>
      <c r="B742" s="140">
        <f t="shared" si="48"/>
        <v>728</v>
      </c>
      <c r="C742" s="142">
        <f>'BC.114+320'!M741/1000</f>
        <v>3.657</v>
      </c>
      <c r="D742" s="142">
        <f>'BC.114+320'!AA741</f>
        <v>4.8690000000000007</v>
      </c>
      <c r="E742" s="143">
        <f>'BC.114+320'!AB741</f>
        <v>2.6339999999999999</v>
      </c>
      <c r="F742" s="142">
        <f>VLOOKUP($A742,'BC.114+320'!$B$13:$X$4876,8,0)/1000</f>
        <v>1.819</v>
      </c>
      <c r="G742" s="142">
        <f>VLOOKUP($A742,'BC.114+320'!$B$13:$X$4876,9,0)/1000</f>
        <v>-1.181</v>
      </c>
      <c r="H742" s="142">
        <f>VLOOKUP($A742,'BC.114+320'!$B$13:$X$4876,14,0)/1000</f>
        <v>1.617</v>
      </c>
      <c r="I742" s="142">
        <f>VLOOKUP($A742,'BC.114+320'!$B$13:$X$4876,15,0)/1000</f>
        <v>-1.383</v>
      </c>
      <c r="J742" s="142">
        <f>VLOOKUP($A742,'BC.114+320'!$B$13:$X$4876,20,0)/1000</f>
        <v>1.905</v>
      </c>
      <c r="K742" s="142">
        <f>VLOOKUP($A742,'BC.114+320'!$B$13:$X$4876,21,0)/1000</f>
        <v>-1.095</v>
      </c>
      <c r="L742" s="140">
        <f t="shared" si="49"/>
        <v>-1001.0000000000001</v>
      </c>
      <c r="M742" s="141">
        <f t="shared" si="50"/>
        <v>-1203</v>
      </c>
      <c r="N742" s="140">
        <f t="shared" si="51"/>
        <v>-975</v>
      </c>
      <c r="O742" s="140"/>
    </row>
    <row r="743" spans="1:15">
      <c r="A743" s="76">
        <f>'BC.114+320'!B742</f>
        <v>45772</v>
      </c>
      <c r="B743" s="140">
        <f t="shared" si="48"/>
        <v>729</v>
      </c>
      <c r="C743" s="142">
        <f>'BC.114+320'!M742/1000</f>
        <v>3.6549999999999998</v>
      </c>
      <c r="D743" s="142">
        <f>'BC.114+320'!AA742</f>
        <v>4.8690000000000007</v>
      </c>
      <c r="E743" s="143">
        <f>'BC.114+320'!AB742</f>
        <v>2.63</v>
      </c>
      <c r="F743" s="142">
        <f>VLOOKUP($A743,'BC.114+320'!$B$13:$X$4876,8,0)/1000</f>
        <v>1.819</v>
      </c>
      <c r="G743" s="142">
        <f>VLOOKUP($A743,'BC.114+320'!$B$13:$X$4876,9,0)/1000</f>
        <v>-1.181</v>
      </c>
      <c r="H743" s="142">
        <f>VLOOKUP($A743,'BC.114+320'!$B$13:$X$4876,14,0)/1000</f>
        <v>1.615</v>
      </c>
      <c r="I743" s="142">
        <f>VLOOKUP($A743,'BC.114+320'!$B$13:$X$4876,15,0)/1000</f>
        <v>-1.385</v>
      </c>
      <c r="J743" s="142">
        <f>VLOOKUP($A743,'BC.114+320'!$B$13:$X$4876,20,0)/1000</f>
        <v>1.905</v>
      </c>
      <c r="K743" s="142">
        <f>VLOOKUP($A743,'BC.114+320'!$B$13:$X$4876,21,0)/1000</f>
        <v>-1.095</v>
      </c>
      <c r="L743" s="140">
        <f t="shared" si="49"/>
        <v>-1001.0000000000001</v>
      </c>
      <c r="M743" s="141">
        <f t="shared" si="50"/>
        <v>-1205</v>
      </c>
      <c r="N743" s="140">
        <f t="shared" si="51"/>
        <v>-975</v>
      </c>
      <c r="O743" s="140"/>
    </row>
    <row r="744" spans="1:15">
      <c r="A744" s="76">
        <f>'BC.114+320'!B743</f>
        <v>45773</v>
      </c>
      <c r="B744" s="140">
        <f t="shared" si="48"/>
        <v>730</v>
      </c>
      <c r="C744" s="142">
        <f>'BC.114+320'!M743/1000</f>
        <v>3.6520000000000001</v>
      </c>
      <c r="D744" s="142">
        <f>'BC.114+320'!AA743</f>
        <v>4.8690000000000007</v>
      </c>
      <c r="E744" s="143">
        <f>'BC.114+320'!AB743</f>
        <v>2.6240000000000001</v>
      </c>
      <c r="F744" s="142">
        <f>VLOOKUP($A744,'BC.114+320'!$B$13:$X$4876,8,0)/1000</f>
        <v>1.819</v>
      </c>
      <c r="G744" s="142">
        <f>VLOOKUP($A744,'BC.114+320'!$B$13:$X$4876,9,0)/1000</f>
        <v>-1.181</v>
      </c>
      <c r="H744" s="142">
        <f>VLOOKUP($A744,'BC.114+320'!$B$13:$X$4876,14,0)/1000</f>
        <v>1.6120000000000001</v>
      </c>
      <c r="I744" s="142">
        <f>VLOOKUP($A744,'BC.114+320'!$B$13:$X$4876,15,0)/1000</f>
        <v>-1.3879999999999999</v>
      </c>
      <c r="J744" s="142">
        <f>VLOOKUP($A744,'BC.114+320'!$B$13:$X$4876,20,0)/1000</f>
        <v>1.905</v>
      </c>
      <c r="K744" s="142">
        <f>VLOOKUP($A744,'BC.114+320'!$B$13:$X$4876,21,0)/1000</f>
        <v>-1.095</v>
      </c>
      <c r="L744" s="140">
        <f t="shared" si="49"/>
        <v>-1001.0000000000001</v>
      </c>
      <c r="M744" s="141">
        <f t="shared" si="50"/>
        <v>-1208</v>
      </c>
      <c r="N744" s="140">
        <f t="shared" si="51"/>
        <v>-975</v>
      </c>
      <c r="O744" s="140"/>
    </row>
    <row r="745" spans="1:15">
      <c r="A745" s="76">
        <f>'BC.114+320'!B744</f>
        <v>45774</v>
      </c>
      <c r="B745" s="140">
        <f t="shared" si="48"/>
        <v>731</v>
      </c>
      <c r="C745" s="142">
        <f>'BC.114+320'!M744/1000</f>
        <v>3.952</v>
      </c>
      <c r="D745" s="142">
        <f>'BC.114+320'!AA744</f>
        <v>5.1690000000000005</v>
      </c>
      <c r="E745" s="143">
        <f>'BC.114+320'!AB744</f>
        <v>2.9239999999999999</v>
      </c>
      <c r="F745" s="142">
        <f>VLOOKUP($A745,'BC.114+320'!$B$13:$X$4876,8,0)/1000</f>
        <v>1.819</v>
      </c>
      <c r="G745" s="142">
        <f>VLOOKUP($A745,'BC.114+320'!$B$13:$X$4876,9,0)/1000</f>
        <v>-1.181</v>
      </c>
      <c r="H745" s="142">
        <f>VLOOKUP($A745,'BC.114+320'!$B$13:$X$4876,14,0)/1000</f>
        <v>1.6120000000000001</v>
      </c>
      <c r="I745" s="142">
        <f>VLOOKUP($A745,'BC.114+320'!$B$13:$X$4876,15,0)/1000</f>
        <v>-1.3879999999999999</v>
      </c>
      <c r="J745" s="142">
        <f>VLOOKUP($A745,'BC.114+320'!$B$13:$X$4876,20,0)/1000</f>
        <v>1.905</v>
      </c>
      <c r="K745" s="142">
        <f>VLOOKUP($A745,'BC.114+320'!$B$13:$X$4876,21,0)/1000</f>
        <v>-1.095</v>
      </c>
      <c r="L745" s="140">
        <f t="shared" si="49"/>
        <v>-1001.0000000000001</v>
      </c>
      <c r="M745" s="141">
        <f t="shared" si="50"/>
        <v>-1208</v>
      </c>
      <c r="N745" s="140">
        <f t="shared" si="51"/>
        <v>-975</v>
      </c>
      <c r="O745" s="140"/>
    </row>
    <row r="746" spans="1:15">
      <c r="A746" s="76">
        <f>'BC.114+320'!B745</f>
        <v>45775</v>
      </c>
      <c r="B746" s="140">
        <f t="shared" si="48"/>
        <v>732</v>
      </c>
      <c r="C746" s="142">
        <f>'BC.114+320'!M745/1000</f>
        <v>3.95</v>
      </c>
      <c r="D746" s="142">
        <f>'BC.114+320'!AA745</f>
        <v>5.1690000000000005</v>
      </c>
      <c r="E746" s="143">
        <f>'BC.114+320'!AB745</f>
        <v>2.92</v>
      </c>
      <c r="F746" s="142">
        <f>VLOOKUP($A746,'BC.114+320'!$B$13:$X$4876,8,0)/1000</f>
        <v>1.819</v>
      </c>
      <c r="G746" s="142">
        <f>VLOOKUP($A746,'BC.114+320'!$B$13:$X$4876,9,0)/1000</f>
        <v>-1.181</v>
      </c>
      <c r="H746" s="142">
        <f>VLOOKUP($A746,'BC.114+320'!$B$13:$X$4876,14,0)/1000</f>
        <v>1.61</v>
      </c>
      <c r="I746" s="142">
        <f>VLOOKUP($A746,'BC.114+320'!$B$13:$X$4876,15,0)/1000</f>
        <v>-1.39</v>
      </c>
      <c r="J746" s="142">
        <f>VLOOKUP($A746,'BC.114+320'!$B$13:$X$4876,20,0)/1000</f>
        <v>1.905</v>
      </c>
      <c r="K746" s="142">
        <f>VLOOKUP($A746,'BC.114+320'!$B$13:$X$4876,21,0)/1000</f>
        <v>-1.095</v>
      </c>
      <c r="L746" s="140">
        <f t="shared" si="49"/>
        <v>-1001.0000000000001</v>
      </c>
      <c r="M746" s="141">
        <f t="shared" si="50"/>
        <v>-1210</v>
      </c>
      <c r="N746" s="140">
        <f t="shared" si="51"/>
        <v>-975</v>
      </c>
      <c r="O746" s="140"/>
    </row>
    <row r="747" spans="1:15">
      <c r="A747" s="76">
        <f>'BC.114+320'!B746</f>
        <v>45776</v>
      </c>
      <c r="B747" s="140">
        <f t="shared" si="48"/>
        <v>733</v>
      </c>
      <c r="C747" s="142">
        <f>'BC.114+320'!M746/1000</f>
        <v>3.95</v>
      </c>
      <c r="D747" s="142">
        <f>'BC.114+320'!AA746</f>
        <v>5.1690000000000005</v>
      </c>
      <c r="E747" s="143">
        <f>'BC.114+320'!AB746</f>
        <v>2.92</v>
      </c>
      <c r="F747" s="142">
        <f>VLOOKUP($A747,'BC.114+320'!$B$13:$X$4876,8,0)/1000</f>
        <v>1.819</v>
      </c>
      <c r="G747" s="142">
        <f>VLOOKUP($A747,'BC.114+320'!$B$13:$X$4876,9,0)/1000</f>
        <v>-1.181</v>
      </c>
      <c r="H747" s="142">
        <f>VLOOKUP($A747,'BC.114+320'!$B$13:$X$4876,14,0)/1000</f>
        <v>1.61</v>
      </c>
      <c r="I747" s="142">
        <f>VLOOKUP($A747,'BC.114+320'!$B$13:$X$4876,15,0)/1000</f>
        <v>-1.39</v>
      </c>
      <c r="J747" s="142">
        <f>VLOOKUP($A747,'BC.114+320'!$B$13:$X$4876,20,0)/1000</f>
        <v>1.905</v>
      </c>
      <c r="K747" s="142">
        <f>VLOOKUP($A747,'BC.114+320'!$B$13:$X$4876,21,0)/1000</f>
        <v>-1.095</v>
      </c>
      <c r="L747" s="140">
        <f t="shared" si="49"/>
        <v>-1001.0000000000001</v>
      </c>
      <c r="M747" s="141">
        <f t="shared" si="50"/>
        <v>-1210</v>
      </c>
      <c r="N747" s="140">
        <f t="shared" si="51"/>
        <v>-975</v>
      </c>
      <c r="O747" s="140"/>
    </row>
    <row r="748" spans="1:15">
      <c r="A748" s="76">
        <f>'BC.114+320'!B747</f>
        <v>45777</v>
      </c>
      <c r="B748" s="140">
        <f t="shared" si="48"/>
        <v>734</v>
      </c>
      <c r="C748" s="142">
        <f>'BC.114+320'!M747/1000</f>
        <v>3.9489999999999998</v>
      </c>
      <c r="D748" s="142">
        <f>'BC.114+320'!AA747</f>
        <v>5.1690000000000005</v>
      </c>
      <c r="E748" s="143">
        <f>'BC.114+320'!AB747</f>
        <v>2.9180000000000001</v>
      </c>
      <c r="F748" s="142">
        <f>VLOOKUP($A748,'BC.114+320'!$B$13:$X$4876,8,0)/1000</f>
        <v>1.819</v>
      </c>
      <c r="G748" s="142">
        <f>VLOOKUP($A748,'BC.114+320'!$B$13:$X$4876,9,0)/1000</f>
        <v>-1.181</v>
      </c>
      <c r="H748" s="142">
        <f>VLOOKUP($A748,'BC.114+320'!$B$13:$X$4876,14,0)/1000</f>
        <v>1.609</v>
      </c>
      <c r="I748" s="142">
        <f>VLOOKUP($A748,'BC.114+320'!$B$13:$X$4876,15,0)/1000</f>
        <v>-1.391</v>
      </c>
      <c r="J748" s="142">
        <f>VLOOKUP($A748,'BC.114+320'!$B$13:$X$4876,20,0)/1000</f>
        <v>1.905</v>
      </c>
      <c r="K748" s="142">
        <f>VLOOKUP($A748,'BC.114+320'!$B$13:$X$4876,21,0)/1000</f>
        <v>-1.095</v>
      </c>
      <c r="L748" s="140">
        <f t="shared" si="49"/>
        <v>-1001.0000000000001</v>
      </c>
      <c r="M748" s="141">
        <f t="shared" si="50"/>
        <v>-1211</v>
      </c>
      <c r="N748" s="140">
        <f t="shared" si="51"/>
        <v>-975</v>
      </c>
      <c r="O748" s="140"/>
    </row>
    <row r="749" spans="1:15">
      <c r="A749" s="76">
        <f>'BC.114+320'!B748</f>
        <v>45778</v>
      </c>
      <c r="B749" s="140">
        <f t="shared" si="48"/>
        <v>735</v>
      </c>
      <c r="C749" s="142">
        <f>'BC.114+320'!M748/1000</f>
        <v>3.9470000000000001</v>
      </c>
      <c r="D749" s="142">
        <f>'BC.114+320'!AA748</f>
        <v>5.1690000000000005</v>
      </c>
      <c r="E749" s="143">
        <f>'BC.114+320'!AB748</f>
        <v>2.9140000000000001</v>
      </c>
      <c r="F749" s="142">
        <f>VLOOKUP($A749,'BC.114+320'!$B$13:$X$4876,8,0)/1000</f>
        <v>1.819</v>
      </c>
      <c r="G749" s="142">
        <f>VLOOKUP($A749,'BC.114+320'!$B$13:$X$4876,9,0)/1000</f>
        <v>-1.181</v>
      </c>
      <c r="H749" s="142">
        <f>VLOOKUP($A749,'BC.114+320'!$B$13:$X$4876,14,0)/1000</f>
        <v>1.607</v>
      </c>
      <c r="I749" s="142">
        <f>VLOOKUP($A749,'BC.114+320'!$B$13:$X$4876,15,0)/1000</f>
        <v>-1.393</v>
      </c>
      <c r="J749" s="142">
        <f>VLOOKUP($A749,'BC.114+320'!$B$13:$X$4876,20,0)/1000</f>
        <v>1.905</v>
      </c>
      <c r="K749" s="142">
        <f>VLOOKUP($A749,'BC.114+320'!$B$13:$X$4876,21,0)/1000</f>
        <v>-1.095</v>
      </c>
      <c r="L749" s="140">
        <f t="shared" si="49"/>
        <v>-1001.0000000000001</v>
      </c>
      <c r="M749" s="141">
        <f t="shared" si="50"/>
        <v>-1213</v>
      </c>
      <c r="N749" s="140">
        <f t="shared" si="51"/>
        <v>-975</v>
      </c>
      <c r="O749" s="140"/>
    </row>
    <row r="750" spans="1:15">
      <c r="A750" s="76">
        <f>'BC.114+320'!B749</f>
        <v>45779</v>
      </c>
      <c r="B750" s="140">
        <f t="shared" si="48"/>
        <v>736</v>
      </c>
      <c r="C750" s="142">
        <f>'BC.114+320'!M749/1000</f>
        <v>4.2389999999999999</v>
      </c>
      <c r="D750" s="142">
        <f>'BC.114+320'!AA749</f>
        <v>5.4690000000000003</v>
      </c>
      <c r="E750" s="143">
        <f>'BC.114+320'!AB749</f>
        <v>3.198</v>
      </c>
      <c r="F750" s="142">
        <f>VLOOKUP($A750,'BC.114+320'!$B$13:$X$4876,8,0)/1000</f>
        <v>1.819</v>
      </c>
      <c r="G750" s="142">
        <f>VLOOKUP($A750,'BC.114+320'!$B$13:$X$4876,9,0)/1000</f>
        <v>-1.181</v>
      </c>
      <c r="H750" s="142">
        <f>VLOOKUP($A750,'BC.114+320'!$B$13:$X$4876,14,0)/1000</f>
        <v>1.599</v>
      </c>
      <c r="I750" s="142">
        <f>VLOOKUP($A750,'BC.114+320'!$B$13:$X$4876,15,0)/1000</f>
        <v>-1.401</v>
      </c>
      <c r="J750" s="142">
        <f>VLOOKUP($A750,'BC.114+320'!$B$13:$X$4876,20,0)/1000</f>
        <v>1.905</v>
      </c>
      <c r="K750" s="142">
        <f>VLOOKUP($A750,'BC.114+320'!$B$13:$X$4876,21,0)/1000</f>
        <v>-1.095</v>
      </c>
      <c r="L750" s="140">
        <f t="shared" si="49"/>
        <v>-1001.0000000000001</v>
      </c>
      <c r="M750" s="141">
        <f t="shared" si="50"/>
        <v>-1221</v>
      </c>
      <c r="N750" s="140">
        <f t="shared" si="51"/>
        <v>-975</v>
      </c>
      <c r="O750" s="140"/>
    </row>
    <row r="751" spans="1:15">
      <c r="A751" s="76">
        <f>'BC.114+320'!B750</f>
        <v>45780</v>
      </c>
      <c r="B751" s="140">
        <f t="shared" si="48"/>
        <v>737</v>
      </c>
      <c r="C751" s="142">
        <f>'BC.114+320'!M750/1000</f>
        <v>4.2329999999999997</v>
      </c>
      <c r="D751" s="142">
        <f>'BC.114+320'!AA750</f>
        <v>5.4690000000000003</v>
      </c>
      <c r="E751" s="143">
        <f>'BC.114+320'!AB750</f>
        <v>3.1859999999999999</v>
      </c>
      <c r="F751" s="142">
        <f>VLOOKUP($A751,'BC.114+320'!$B$13:$X$4876,8,0)/1000</f>
        <v>1.819</v>
      </c>
      <c r="G751" s="142">
        <f>VLOOKUP($A751,'BC.114+320'!$B$13:$X$4876,9,0)/1000</f>
        <v>-1.181</v>
      </c>
      <c r="H751" s="142">
        <f>VLOOKUP($A751,'BC.114+320'!$B$13:$X$4876,14,0)/1000</f>
        <v>1.593</v>
      </c>
      <c r="I751" s="142">
        <f>VLOOKUP($A751,'BC.114+320'!$B$13:$X$4876,15,0)/1000</f>
        <v>-1.407</v>
      </c>
      <c r="J751" s="142">
        <f>VLOOKUP($A751,'BC.114+320'!$B$13:$X$4876,20,0)/1000</f>
        <v>1.905</v>
      </c>
      <c r="K751" s="142">
        <f>VLOOKUP($A751,'BC.114+320'!$B$13:$X$4876,21,0)/1000</f>
        <v>-1.095</v>
      </c>
      <c r="L751" s="140">
        <f t="shared" si="49"/>
        <v>-1001.0000000000001</v>
      </c>
      <c r="M751" s="141">
        <f t="shared" si="50"/>
        <v>-1227</v>
      </c>
      <c r="N751" s="140">
        <f t="shared" si="51"/>
        <v>-975</v>
      </c>
      <c r="O751" s="140"/>
    </row>
    <row r="752" spans="1:15">
      <c r="A752" s="76">
        <f>'BC.114+320'!B751</f>
        <v>45781</v>
      </c>
      <c r="B752" s="140">
        <f t="shared" si="48"/>
        <v>738</v>
      </c>
      <c r="C752" s="142">
        <f>'BC.114+320'!M751/1000</f>
        <v>4.2279999999999998</v>
      </c>
      <c r="D752" s="142">
        <f>'BC.114+320'!AA751</f>
        <v>5.4690000000000003</v>
      </c>
      <c r="E752" s="143">
        <f>'BC.114+320'!AB751</f>
        <v>3.1760000000000002</v>
      </c>
      <c r="F752" s="142">
        <f>VLOOKUP($A752,'BC.114+320'!$B$13:$X$4876,8,0)/1000</f>
        <v>1.819</v>
      </c>
      <c r="G752" s="142">
        <f>VLOOKUP($A752,'BC.114+320'!$B$13:$X$4876,9,0)/1000</f>
        <v>-1.181</v>
      </c>
      <c r="H752" s="142">
        <f>VLOOKUP($A752,'BC.114+320'!$B$13:$X$4876,14,0)/1000</f>
        <v>1.5880000000000001</v>
      </c>
      <c r="I752" s="142">
        <f>VLOOKUP($A752,'BC.114+320'!$B$13:$X$4876,15,0)/1000</f>
        <v>-1.4119999999999999</v>
      </c>
      <c r="J752" s="142">
        <f>VLOOKUP($A752,'BC.114+320'!$B$13:$X$4876,20,0)/1000</f>
        <v>1.905</v>
      </c>
      <c r="K752" s="142">
        <f>VLOOKUP($A752,'BC.114+320'!$B$13:$X$4876,21,0)/1000</f>
        <v>-1.095</v>
      </c>
      <c r="L752" s="140">
        <f t="shared" si="49"/>
        <v>-1001.0000000000001</v>
      </c>
      <c r="M752" s="141">
        <f t="shared" si="50"/>
        <v>-1232</v>
      </c>
      <c r="N752" s="140">
        <f t="shared" si="51"/>
        <v>-975</v>
      </c>
      <c r="O752" s="140"/>
    </row>
    <row r="753" spans="1:16">
      <c r="A753" s="76">
        <f>'BC.114+320'!B752</f>
        <v>45782</v>
      </c>
      <c r="B753" s="140">
        <f t="shared" si="48"/>
        <v>739</v>
      </c>
      <c r="C753" s="142">
        <f>'BC.114+320'!M752/1000</f>
        <v>4.2210000000000001</v>
      </c>
      <c r="D753" s="142">
        <f>'BC.114+320'!AA752</f>
        <v>5.4690000000000003</v>
      </c>
      <c r="E753" s="143">
        <f>'BC.114+320'!AB752</f>
        <v>3.1619999999999999</v>
      </c>
      <c r="F753" s="142">
        <f>VLOOKUP($A753,'BC.114+320'!$B$13:$X$4876,8,0)/1000</f>
        <v>1.819</v>
      </c>
      <c r="G753" s="142">
        <f>VLOOKUP($A753,'BC.114+320'!$B$13:$X$4876,9,0)/1000</f>
        <v>-1.181</v>
      </c>
      <c r="H753" s="142">
        <f>VLOOKUP($A753,'BC.114+320'!$B$13:$X$4876,14,0)/1000</f>
        <v>1.581</v>
      </c>
      <c r="I753" s="142">
        <f>VLOOKUP($A753,'BC.114+320'!$B$13:$X$4876,15,0)/1000</f>
        <v>-1.419</v>
      </c>
      <c r="J753" s="142">
        <f>VLOOKUP($A753,'BC.114+320'!$B$13:$X$4876,20,0)/1000</f>
        <v>1.905</v>
      </c>
      <c r="K753" s="142">
        <f>VLOOKUP($A753,'BC.114+320'!$B$13:$X$4876,21,0)/1000</f>
        <v>-1.095</v>
      </c>
      <c r="L753" s="140">
        <f t="shared" si="49"/>
        <v>-1001.0000000000001</v>
      </c>
      <c r="M753" s="141">
        <f t="shared" si="50"/>
        <v>-1239</v>
      </c>
      <c r="N753" s="140">
        <f t="shared" si="51"/>
        <v>-975</v>
      </c>
      <c r="O753" s="140"/>
    </row>
    <row r="754" spans="1:16">
      <c r="A754" s="76">
        <f>'BC.114+320'!B753</f>
        <v>45783</v>
      </c>
      <c r="B754" s="140">
        <f t="shared" si="48"/>
        <v>740</v>
      </c>
      <c r="C754" s="142">
        <f>'BC.114+320'!M753/1000</f>
        <v>4.2130000000000001</v>
      </c>
      <c r="D754" s="142">
        <f>'BC.114+320'!AA753</f>
        <v>5.4690000000000003</v>
      </c>
      <c r="E754" s="143">
        <f>'BC.114+320'!AB753</f>
        <v>3.1459999999999999</v>
      </c>
      <c r="F754" s="142">
        <f>VLOOKUP($A754,'BC.114+320'!$B$13:$X$4876,8,0)/1000</f>
        <v>1.819</v>
      </c>
      <c r="G754" s="142">
        <f>VLOOKUP($A754,'BC.114+320'!$B$13:$X$4876,9,0)/1000</f>
        <v>-1.181</v>
      </c>
      <c r="H754" s="142">
        <f>VLOOKUP($A754,'BC.114+320'!$B$13:$X$4876,14,0)/1000</f>
        <v>1.573</v>
      </c>
      <c r="I754" s="142">
        <f>VLOOKUP($A754,'BC.114+320'!$B$13:$X$4876,15,0)/1000</f>
        <v>-1.427</v>
      </c>
      <c r="J754" s="142">
        <f>VLOOKUP($A754,'BC.114+320'!$B$13:$X$4876,20,0)/1000</f>
        <v>1.905</v>
      </c>
      <c r="K754" s="142">
        <f>VLOOKUP($A754,'BC.114+320'!$B$13:$X$4876,21,0)/1000</f>
        <v>-1.095</v>
      </c>
      <c r="L754" s="140">
        <f t="shared" si="49"/>
        <v>-1001.0000000000001</v>
      </c>
      <c r="M754" s="141">
        <f t="shared" si="50"/>
        <v>-1247</v>
      </c>
      <c r="N754" s="140">
        <f t="shared" si="51"/>
        <v>-975</v>
      </c>
      <c r="O754" s="140"/>
    </row>
    <row r="755" spans="1:16">
      <c r="A755" s="76">
        <f>'BC.114+320'!B754</f>
        <v>45784</v>
      </c>
      <c r="B755" s="140">
        <f t="shared" si="48"/>
        <v>741</v>
      </c>
      <c r="C755" s="142">
        <f>'BC.114+320'!M754/1000</f>
        <v>4.5030000000000001</v>
      </c>
      <c r="D755" s="142">
        <f>'BC.114+320'!AA754</f>
        <v>5.7690000000000001</v>
      </c>
      <c r="E755" s="143">
        <f>'BC.114+320'!AB754</f>
        <v>3.4260000000000002</v>
      </c>
      <c r="F755" s="142">
        <f>VLOOKUP($A755,'BC.114+320'!$B$13:$X$4876,8,0)/1000</f>
        <v>1.819</v>
      </c>
      <c r="G755" s="142">
        <f>VLOOKUP($A755,'BC.114+320'!$B$13:$X$4876,9,0)/1000</f>
        <v>-1.181</v>
      </c>
      <c r="H755" s="142">
        <f>VLOOKUP($A755,'BC.114+320'!$B$13:$X$4876,14,0)/1000</f>
        <v>1.5629999999999999</v>
      </c>
      <c r="I755" s="142">
        <f>VLOOKUP($A755,'BC.114+320'!$B$13:$X$4876,15,0)/1000</f>
        <v>-1.4370000000000001</v>
      </c>
      <c r="J755" s="142">
        <f>VLOOKUP($A755,'BC.114+320'!$B$13:$X$4876,20,0)/1000</f>
        <v>1.905</v>
      </c>
      <c r="K755" s="142">
        <f>VLOOKUP($A755,'BC.114+320'!$B$13:$X$4876,21,0)/1000</f>
        <v>-1.095</v>
      </c>
      <c r="L755" s="140">
        <f t="shared" si="49"/>
        <v>-1001.0000000000001</v>
      </c>
      <c r="M755" s="141">
        <f t="shared" si="50"/>
        <v>-1257.0000000000002</v>
      </c>
      <c r="N755" s="140">
        <f t="shared" si="51"/>
        <v>-975</v>
      </c>
      <c r="O755" s="140"/>
    </row>
    <row r="756" spans="1:16">
      <c r="A756" s="76">
        <f>'BC.114+320'!B755</f>
        <v>45785</v>
      </c>
      <c r="B756" s="140">
        <f t="shared" si="48"/>
        <v>742</v>
      </c>
      <c r="C756" s="142">
        <f>'BC.114+320'!M755/1000</f>
        <v>4.4969999999999999</v>
      </c>
      <c r="D756" s="142">
        <f>'BC.114+320'!AA755</f>
        <v>5.7690000000000001</v>
      </c>
      <c r="E756" s="143">
        <f>'BC.114+320'!AB755</f>
        <v>3.4140000000000001</v>
      </c>
      <c r="F756" s="142">
        <f>VLOOKUP($A756,'BC.114+320'!$B$13:$X$4876,8,0)/1000</f>
        <v>1.819</v>
      </c>
      <c r="G756" s="142">
        <f>VLOOKUP($A756,'BC.114+320'!$B$13:$X$4876,9,0)/1000</f>
        <v>-1.181</v>
      </c>
      <c r="H756" s="142">
        <f>VLOOKUP($A756,'BC.114+320'!$B$13:$X$4876,14,0)/1000</f>
        <v>1.5569999999999999</v>
      </c>
      <c r="I756" s="142">
        <f>VLOOKUP($A756,'BC.114+320'!$B$13:$X$4876,15,0)/1000</f>
        <v>-1.4430000000000001</v>
      </c>
      <c r="J756" s="142">
        <f>VLOOKUP($A756,'BC.114+320'!$B$13:$X$4876,20,0)/1000</f>
        <v>1.905</v>
      </c>
      <c r="K756" s="142">
        <f>VLOOKUP($A756,'BC.114+320'!$B$13:$X$4876,21,0)/1000</f>
        <v>-1.095</v>
      </c>
      <c r="L756" s="140">
        <f t="shared" si="49"/>
        <v>-1001.0000000000001</v>
      </c>
      <c r="M756" s="141">
        <f t="shared" si="50"/>
        <v>-1263.0000000000002</v>
      </c>
      <c r="N756" s="140">
        <f t="shared" si="51"/>
        <v>-975</v>
      </c>
      <c r="O756" s="140"/>
    </row>
    <row r="757" spans="1:16">
      <c r="A757" s="76">
        <f>'BC.114+320'!B756</f>
        <v>45786</v>
      </c>
      <c r="B757" s="140">
        <f t="shared" si="48"/>
        <v>743</v>
      </c>
      <c r="C757" s="142">
        <f>'BC.114+320'!M756/1000</f>
        <v>4.4880000000000004</v>
      </c>
      <c r="D757" s="142">
        <f>'BC.114+320'!AA756</f>
        <v>5.7690000000000001</v>
      </c>
      <c r="E757" s="143">
        <f>'BC.114+320'!AB756</f>
        <v>3.3959999999999999</v>
      </c>
      <c r="F757" s="142">
        <f>VLOOKUP($A757,'BC.114+320'!$B$13:$X$4876,8,0)/1000</f>
        <v>1.756</v>
      </c>
      <c r="G757" s="142">
        <f>VLOOKUP($A757,'BC.114+320'!$B$13:$X$4876,9,0)/1000</f>
        <v>-1.244</v>
      </c>
      <c r="H757" s="142">
        <f>VLOOKUP($A757,'BC.114+320'!$B$13:$X$4876,14,0)/1000</f>
        <v>1.548</v>
      </c>
      <c r="I757" s="142">
        <f>VLOOKUP($A757,'BC.114+320'!$B$13:$X$4876,15,0)/1000</f>
        <v>-1.452</v>
      </c>
      <c r="J757" s="142">
        <f>VLOOKUP($A757,'BC.114+320'!$B$13:$X$4876,20,0)/1000</f>
        <v>1.905</v>
      </c>
      <c r="K757" s="142">
        <f>VLOOKUP($A757,'BC.114+320'!$B$13:$X$4876,21,0)/1000</f>
        <v>-1.095</v>
      </c>
      <c r="L757" s="140">
        <f t="shared" si="49"/>
        <v>-1064</v>
      </c>
      <c r="M757" s="141">
        <f t="shared" si="50"/>
        <v>-1272</v>
      </c>
      <c r="N757" s="140">
        <f t="shared" si="51"/>
        <v>-975</v>
      </c>
      <c r="O757" s="140"/>
    </row>
    <row r="758" spans="1:16">
      <c r="A758" s="76">
        <f>'BC.114+320'!B757</f>
        <v>45787</v>
      </c>
      <c r="B758" s="140">
        <f t="shared" si="48"/>
        <v>744</v>
      </c>
      <c r="C758" s="142">
        <f>'BC.114+320'!M757/1000</f>
        <v>4.4820000000000002</v>
      </c>
      <c r="D758" s="142">
        <f>'BC.114+320'!AA757</f>
        <v>5.7690000000000001</v>
      </c>
      <c r="E758" s="143">
        <f>'BC.114+320'!AB757</f>
        <v>3.3839999999999999</v>
      </c>
      <c r="F758" s="142">
        <f>VLOOKUP($A758,'BC.114+320'!$B$13:$X$4876,8,0)/1000</f>
        <v>1.756</v>
      </c>
      <c r="G758" s="142">
        <f>VLOOKUP($A758,'BC.114+320'!$B$13:$X$4876,9,0)/1000</f>
        <v>-1.244</v>
      </c>
      <c r="H758" s="142">
        <f>VLOOKUP($A758,'BC.114+320'!$B$13:$X$4876,14,0)/1000</f>
        <v>1.542</v>
      </c>
      <c r="I758" s="142">
        <f>VLOOKUP($A758,'BC.114+320'!$B$13:$X$4876,15,0)/1000</f>
        <v>-1.458</v>
      </c>
      <c r="J758" s="142">
        <f>VLOOKUP($A758,'BC.114+320'!$B$13:$X$4876,20,0)/1000</f>
        <v>1.9039999999999999</v>
      </c>
      <c r="K758" s="142">
        <f>VLOOKUP($A758,'BC.114+320'!$B$13:$X$4876,21,0)/1000</f>
        <v>-1.0960000000000001</v>
      </c>
      <c r="L758" s="140">
        <f t="shared" si="49"/>
        <v>-1064</v>
      </c>
      <c r="M758" s="141">
        <f t="shared" si="50"/>
        <v>-1278</v>
      </c>
      <c r="N758" s="140">
        <f t="shared" si="51"/>
        <v>-976.00000000000011</v>
      </c>
      <c r="O758" s="140"/>
    </row>
    <row r="759" spans="1:16" ht="15.75">
      <c r="A759" s="179">
        <f>'BC.114+320'!B758</f>
        <v>45788</v>
      </c>
      <c r="B759" s="144">
        <f t="shared" si="48"/>
        <v>745</v>
      </c>
      <c r="C759" s="180">
        <f>'BC.114+320'!M758/1000</f>
        <v>4.774</v>
      </c>
      <c r="D759" s="180">
        <f>'BC.114+320'!AA758</f>
        <v>6.069</v>
      </c>
      <c r="E759" s="181">
        <f>'BC.114+320'!AB758</f>
        <v>3.6680000000000001</v>
      </c>
      <c r="F759" s="180">
        <f>VLOOKUP($A759,'BC.114+320'!$B$13:$X$4876,8,0)/1000</f>
        <v>1.756</v>
      </c>
      <c r="G759" s="180">
        <f>VLOOKUP($A759,'BC.114+320'!$B$13:$X$4876,9,0)/1000</f>
        <v>-1.244</v>
      </c>
      <c r="H759" s="180">
        <f>VLOOKUP($A759,'BC.114+320'!$B$13:$X$4876,14,0)/1000</f>
        <v>1.534</v>
      </c>
      <c r="I759" s="180">
        <f>VLOOKUP($A759,'BC.114+320'!$B$13:$X$4876,15,0)/1000</f>
        <v>-1.466</v>
      </c>
      <c r="J759" s="180">
        <f>VLOOKUP($A759,'BC.114+320'!$B$13:$X$4876,20,0)/1000</f>
        <v>1.9039999999999999</v>
      </c>
      <c r="K759" s="180">
        <f>VLOOKUP($A759,'BC.114+320'!$B$13:$X$4876,21,0)/1000</f>
        <v>-1.0960000000000001</v>
      </c>
      <c r="L759" s="144">
        <f t="shared" si="49"/>
        <v>-1064</v>
      </c>
      <c r="M759" s="182">
        <f t="shared" si="50"/>
        <v>-1286</v>
      </c>
      <c r="N759" s="144">
        <f t="shared" si="51"/>
        <v>-976.00000000000011</v>
      </c>
      <c r="O759" s="169" t="s">
        <v>75</v>
      </c>
      <c r="P759" s="133">
        <f>C759-M759/1000</f>
        <v>6.0600000000000005</v>
      </c>
    </row>
    <row r="760" spans="1:16">
      <c r="A760" s="76">
        <f>'BC.114+320'!B759</f>
        <v>45791</v>
      </c>
      <c r="B760" s="140">
        <f t="shared" si="48"/>
        <v>746</v>
      </c>
      <c r="C760" s="142">
        <f>'BC.114+320'!M759/1000</f>
        <v>4.7539999999999996</v>
      </c>
      <c r="D760" s="142">
        <f>'BC.114+320'!AA759</f>
        <v>6.069</v>
      </c>
      <c r="E760" s="143">
        <f>'BC.114+320'!AB759</f>
        <v>3.6280000000000001</v>
      </c>
      <c r="F760" s="142">
        <f>VLOOKUP($A760,'BC.114+320'!$B$13:$X$4876,8,0)/1000</f>
        <v>1.728</v>
      </c>
      <c r="G760" s="142">
        <f>VLOOKUP($A760,'BC.114+320'!$B$13:$X$4876,9,0)/1000</f>
        <v>-1.272</v>
      </c>
      <c r="H760" s="142">
        <f>VLOOKUP($A760,'BC.114+320'!$B$13:$X$4876,14,0)/1000</f>
        <v>1.514</v>
      </c>
      <c r="I760" s="142">
        <f>VLOOKUP($A760,'BC.114+320'!$B$13:$X$4876,15,0)/1000</f>
        <v>-1.486</v>
      </c>
      <c r="J760" s="142">
        <f>VLOOKUP($A760,'BC.114+320'!$B$13:$X$4876,20,0)/1000</f>
        <v>1.8819999999999999</v>
      </c>
      <c r="K760" s="142">
        <f>VLOOKUP($A760,'BC.114+320'!$B$13:$X$4876,21,0)/1000</f>
        <v>-1.1180000000000001</v>
      </c>
      <c r="L760" s="140">
        <f t="shared" si="49"/>
        <v>-1092</v>
      </c>
      <c r="M760" s="141">
        <f t="shared" si="50"/>
        <v>-1306</v>
      </c>
      <c r="N760" s="140">
        <f t="shared" si="51"/>
        <v>-998.00000000000011</v>
      </c>
      <c r="O760" s="140"/>
    </row>
    <row r="761" spans="1:16">
      <c r="A761" s="76">
        <f>'BC.114+320'!B760</f>
        <v>45795</v>
      </c>
      <c r="B761" s="140">
        <f t="shared" si="48"/>
        <v>747</v>
      </c>
      <c r="C761" s="142">
        <f>'BC.114+320'!M760/1000</f>
        <v>4.7290000000000001</v>
      </c>
      <c r="D761" s="142">
        <f>'BC.114+320'!AA760</f>
        <v>6.069</v>
      </c>
      <c r="E761" s="143">
        <f>'BC.114+320'!AB760</f>
        <v>3.5779999999999998</v>
      </c>
      <c r="F761" s="142">
        <f>VLOOKUP($A761,'BC.114+320'!$B$13:$X$4876,8,0)/1000</f>
        <v>1.6950000000000001</v>
      </c>
      <c r="G761" s="142">
        <f>VLOOKUP($A761,'BC.114+320'!$B$13:$X$4876,9,0)/1000</f>
        <v>-1.3049999999999999</v>
      </c>
      <c r="H761" s="142">
        <f>VLOOKUP($A761,'BC.114+320'!$B$13:$X$4876,14,0)/1000</f>
        <v>1.4890000000000001</v>
      </c>
      <c r="I761" s="142">
        <f>VLOOKUP($A761,'BC.114+320'!$B$13:$X$4876,15,0)/1000</f>
        <v>-1.5109999999999999</v>
      </c>
      <c r="J761" s="142">
        <f>VLOOKUP($A761,'BC.114+320'!$B$13:$X$4876,20,0)/1000</f>
        <v>1.8580000000000001</v>
      </c>
      <c r="K761" s="142">
        <f>VLOOKUP($A761,'BC.114+320'!$B$13:$X$4876,21,0)/1000</f>
        <v>-1.1419999999999999</v>
      </c>
      <c r="L761" s="140">
        <f t="shared" si="49"/>
        <v>-1125</v>
      </c>
      <c r="M761" s="141">
        <f t="shared" si="50"/>
        <v>-1331</v>
      </c>
      <c r="N761" s="140">
        <f t="shared" si="51"/>
        <v>-1021.9999999999998</v>
      </c>
      <c r="O761" s="140"/>
    </row>
    <row r="762" spans="1:16">
      <c r="A762" s="76">
        <f>'BC.114+320'!B761</f>
        <v>45798</v>
      </c>
      <c r="B762" s="140">
        <f t="shared" si="48"/>
        <v>748</v>
      </c>
      <c r="C762" s="142">
        <f>'BC.114+320'!M761/1000</f>
        <v>4.71</v>
      </c>
      <c r="D762" s="142">
        <f>'BC.114+320'!AA761</f>
        <v>6.069</v>
      </c>
      <c r="E762" s="143">
        <f>'BC.114+320'!AB761</f>
        <v>3.54</v>
      </c>
      <c r="F762" s="142">
        <f>VLOOKUP($A762,'BC.114+320'!$B$13:$X$4876,8,0)/1000</f>
        <v>1.675</v>
      </c>
      <c r="G762" s="142">
        <f>VLOOKUP($A762,'BC.114+320'!$B$13:$X$4876,9,0)/1000</f>
        <v>-1.325</v>
      </c>
      <c r="H762" s="142">
        <f>VLOOKUP($A762,'BC.114+320'!$B$13:$X$4876,14,0)/1000</f>
        <v>1.47</v>
      </c>
      <c r="I762" s="142">
        <f>VLOOKUP($A762,'BC.114+320'!$B$13:$X$4876,15,0)/1000</f>
        <v>-1.53</v>
      </c>
      <c r="J762" s="142">
        <f>VLOOKUP($A762,'BC.114+320'!$B$13:$X$4876,20,0)/1000</f>
        <v>1.8380000000000001</v>
      </c>
      <c r="K762" s="142">
        <f>VLOOKUP($A762,'BC.114+320'!$B$13:$X$4876,21,0)/1000</f>
        <v>-1.1619999999999999</v>
      </c>
      <c r="L762" s="140">
        <f t="shared" si="49"/>
        <v>-1145</v>
      </c>
      <c r="M762" s="141">
        <f t="shared" si="50"/>
        <v>-1350</v>
      </c>
      <c r="N762" s="140">
        <f t="shared" si="51"/>
        <v>-1041.9999999999998</v>
      </c>
      <c r="O762" s="140"/>
    </row>
    <row r="763" spans="1:16">
      <c r="A763" s="76">
        <f>'BC.114+320'!B762</f>
        <v>45802</v>
      </c>
      <c r="B763" s="140">
        <f t="shared" si="48"/>
        <v>749</v>
      </c>
      <c r="C763" s="142">
        <f>'BC.114+320'!M762/1000</f>
        <v>4.6879999999999997</v>
      </c>
      <c r="D763" s="142">
        <f>'BC.114+320'!AA762</f>
        <v>6.069</v>
      </c>
      <c r="E763" s="143">
        <f>'BC.114+320'!AB762</f>
        <v>3.496</v>
      </c>
      <c r="F763" s="142">
        <f>VLOOKUP($A763,'BC.114+320'!$B$13:$X$4876,8,0)/1000</f>
        <v>1.6479999999999999</v>
      </c>
      <c r="G763" s="142">
        <f>VLOOKUP($A763,'BC.114+320'!$B$13:$X$4876,9,0)/1000</f>
        <v>-1.3520000000000001</v>
      </c>
      <c r="H763" s="142">
        <f>VLOOKUP($A763,'BC.114+320'!$B$13:$X$4876,14,0)/1000</f>
        <v>1.448</v>
      </c>
      <c r="I763" s="142">
        <f>VLOOKUP($A763,'BC.114+320'!$B$13:$X$4876,15,0)/1000</f>
        <v>-1.552</v>
      </c>
      <c r="J763" s="142">
        <f>VLOOKUP($A763,'BC.114+320'!$B$13:$X$4876,20,0)/1000</f>
        <v>1.8140000000000001</v>
      </c>
      <c r="K763" s="142">
        <f>VLOOKUP($A763,'BC.114+320'!$B$13:$X$4876,21,0)/1000</f>
        <v>-1.1859999999999999</v>
      </c>
      <c r="L763" s="140">
        <f t="shared" si="49"/>
        <v>-1172.0000000000002</v>
      </c>
      <c r="M763" s="141">
        <f t="shared" si="50"/>
        <v>-1372</v>
      </c>
      <c r="N763" s="140">
        <f t="shared" si="51"/>
        <v>-1065.9999999999998</v>
      </c>
      <c r="O763" s="140"/>
    </row>
    <row r="764" spans="1:16">
      <c r="A764" s="76">
        <f>'BC.114+320'!B763</f>
        <v>45805</v>
      </c>
      <c r="B764" s="140">
        <f t="shared" si="48"/>
        <v>750</v>
      </c>
      <c r="C764" s="142">
        <f>'BC.114+320'!M763/1000</f>
        <v>4.6719999999999997</v>
      </c>
      <c r="D764" s="142">
        <f>'BC.114+320'!AA763</f>
        <v>6.069</v>
      </c>
      <c r="E764" s="143">
        <f>'BC.114+320'!AB763</f>
        <v>3.464</v>
      </c>
      <c r="F764" s="142">
        <f>VLOOKUP($A764,'BC.114+320'!$B$13:$X$4876,8,0)/1000</f>
        <v>1.63</v>
      </c>
      <c r="G764" s="142">
        <f>VLOOKUP($A764,'BC.114+320'!$B$13:$X$4876,9,0)/1000</f>
        <v>-1.37</v>
      </c>
      <c r="H764" s="142">
        <f>VLOOKUP($A764,'BC.114+320'!$B$13:$X$4876,14,0)/1000</f>
        <v>1.4319999999999999</v>
      </c>
      <c r="I764" s="142">
        <f>VLOOKUP($A764,'BC.114+320'!$B$13:$X$4876,15,0)/1000</f>
        <v>-1.5680000000000001</v>
      </c>
      <c r="J764" s="142">
        <f>VLOOKUP($A764,'BC.114+320'!$B$13:$X$4876,20,0)/1000</f>
        <v>1.798</v>
      </c>
      <c r="K764" s="142">
        <f>VLOOKUP($A764,'BC.114+320'!$B$13:$X$4876,21,0)/1000</f>
        <v>-1.202</v>
      </c>
      <c r="L764" s="140">
        <f t="shared" si="49"/>
        <v>-1190.0000000000002</v>
      </c>
      <c r="M764" s="141">
        <f t="shared" si="50"/>
        <v>-1388.0000000000002</v>
      </c>
      <c r="N764" s="140">
        <f t="shared" si="51"/>
        <v>-1081.9999999999998</v>
      </c>
      <c r="O764" s="140"/>
    </row>
    <row r="765" spans="1:16">
      <c r="A765" s="76">
        <f>'BC.114+320'!B764</f>
        <v>45809</v>
      </c>
      <c r="B765" s="140">
        <f t="shared" si="48"/>
        <v>751</v>
      </c>
      <c r="C765" s="142">
        <f>'BC.114+320'!M764/1000</f>
        <v>4.6520000000000001</v>
      </c>
      <c r="D765" s="142">
        <f>'BC.114+320'!AA764</f>
        <v>6.069</v>
      </c>
      <c r="E765" s="143">
        <f>'BC.114+320'!AB764</f>
        <v>3.4239999999999999</v>
      </c>
      <c r="F765" s="142">
        <f>VLOOKUP($A765,'BC.114+320'!$B$13:$X$4876,8,0)/1000</f>
        <v>1.6040000000000001</v>
      </c>
      <c r="G765" s="142">
        <f>VLOOKUP($A765,'BC.114+320'!$B$13:$X$4876,9,0)/1000</f>
        <v>-1.3959999999999999</v>
      </c>
      <c r="H765" s="142">
        <f>VLOOKUP($A765,'BC.114+320'!$B$13:$X$4876,14,0)/1000</f>
        <v>1.4119999999999999</v>
      </c>
      <c r="I765" s="142">
        <f>VLOOKUP($A765,'BC.114+320'!$B$13:$X$4876,15,0)/1000</f>
        <v>-1.5880000000000001</v>
      </c>
      <c r="J765" s="142">
        <f>VLOOKUP($A765,'BC.114+320'!$B$13:$X$4876,20,0)/1000</f>
        <v>1.774</v>
      </c>
      <c r="K765" s="142">
        <f>VLOOKUP($A765,'BC.114+320'!$B$13:$X$4876,21,0)/1000</f>
        <v>-1.226</v>
      </c>
      <c r="L765" s="140">
        <f t="shared" si="49"/>
        <v>-1216</v>
      </c>
      <c r="M765" s="141">
        <f t="shared" si="50"/>
        <v>-1408.0000000000002</v>
      </c>
      <c r="N765" s="140">
        <f t="shared" si="51"/>
        <v>-1105.9999999999998</v>
      </c>
      <c r="O765" s="140"/>
    </row>
    <row r="766" spans="1:16">
      <c r="A766" s="76">
        <f>'BC.114+320'!B765</f>
        <v>45812</v>
      </c>
      <c r="B766" s="140">
        <f t="shared" si="48"/>
        <v>752</v>
      </c>
      <c r="C766" s="142">
        <f>'BC.114+320'!M765/1000</f>
        <v>4.6399999999999997</v>
      </c>
      <c r="D766" s="142">
        <f>'BC.114+320'!AA765</f>
        <v>6.069</v>
      </c>
      <c r="E766" s="143">
        <f>'BC.114+320'!AB765</f>
        <v>3.4</v>
      </c>
      <c r="F766" s="142">
        <f>VLOOKUP($A766,'BC.114+320'!$B$13:$X$4876,8,0)/1000</f>
        <v>1.595</v>
      </c>
      <c r="G766" s="142">
        <f>VLOOKUP($A766,'BC.114+320'!$B$13:$X$4876,9,0)/1000</f>
        <v>-1.405</v>
      </c>
      <c r="H766" s="142">
        <f>VLOOKUP($A766,'BC.114+320'!$B$13:$X$4876,14,0)/1000</f>
        <v>1.4</v>
      </c>
      <c r="I766" s="142">
        <f>VLOOKUP($A766,'BC.114+320'!$B$13:$X$4876,15,0)/1000</f>
        <v>-1.6</v>
      </c>
      <c r="J766" s="142">
        <f>VLOOKUP($A766,'BC.114+320'!$B$13:$X$4876,20,0)/1000</f>
        <v>1.758</v>
      </c>
      <c r="K766" s="142">
        <f>VLOOKUP($A766,'BC.114+320'!$B$13:$X$4876,21,0)/1000</f>
        <v>-1.242</v>
      </c>
      <c r="L766" s="140">
        <f t="shared" si="49"/>
        <v>-1225</v>
      </c>
      <c r="M766" s="141">
        <f t="shared" si="50"/>
        <v>-1420.0000000000002</v>
      </c>
      <c r="N766" s="140">
        <f t="shared" si="51"/>
        <v>-1122</v>
      </c>
      <c r="O766" s="140"/>
    </row>
    <row r="767" spans="1:16">
      <c r="A767" s="76">
        <f>'BC.114+320'!B766</f>
        <v>45816</v>
      </c>
      <c r="B767" s="140">
        <f t="shared" si="48"/>
        <v>753</v>
      </c>
      <c r="C767" s="142">
        <f>'BC.114+320'!M766/1000</f>
        <v>4.6210000000000004</v>
      </c>
      <c r="D767" s="142">
        <f>'BC.114+320'!AA766</f>
        <v>6.069</v>
      </c>
      <c r="E767" s="143">
        <f>'BC.114+320'!AB766</f>
        <v>3.3620000000000001</v>
      </c>
      <c r="F767" s="142">
        <f>VLOOKUP($A767,'BC.114+320'!$B$13:$X$4876,8,0)/1000</f>
        <v>1.579</v>
      </c>
      <c r="G767" s="142">
        <f>VLOOKUP($A767,'BC.114+320'!$B$13:$X$4876,9,0)/1000</f>
        <v>-1.421</v>
      </c>
      <c r="H767" s="142">
        <f>VLOOKUP($A767,'BC.114+320'!$B$13:$X$4876,14,0)/1000</f>
        <v>1.381</v>
      </c>
      <c r="I767" s="142">
        <f>VLOOKUP($A767,'BC.114+320'!$B$13:$X$4876,15,0)/1000</f>
        <v>-1.619</v>
      </c>
      <c r="J767" s="142">
        <f>VLOOKUP($A767,'BC.114+320'!$B$13:$X$4876,20,0)/1000</f>
        <v>1.736</v>
      </c>
      <c r="K767" s="142">
        <f>VLOOKUP($A767,'BC.114+320'!$B$13:$X$4876,21,0)/1000</f>
        <v>-1.264</v>
      </c>
      <c r="L767" s="140">
        <f t="shared" si="49"/>
        <v>-1241</v>
      </c>
      <c r="M767" s="141">
        <f t="shared" si="50"/>
        <v>-1439</v>
      </c>
      <c r="N767" s="140">
        <f t="shared" si="51"/>
        <v>-1144.0000000000002</v>
      </c>
      <c r="O767" s="140"/>
    </row>
    <row r="768" spans="1:16">
      <c r="A768" s="76">
        <f>'BC.114+320'!B767</f>
        <v>45823</v>
      </c>
      <c r="B768" s="140">
        <f t="shared" si="48"/>
        <v>754</v>
      </c>
      <c r="C768" s="142">
        <f>'BC.114+320'!M767/1000</f>
        <v>4.5979999999999999</v>
      </c>
      <c r="D768" s="142">
        <f>'BC.114+320'!AA767</f>
        <v>6.069</v>
      </c>
      <c r="E768" s="143">
        <f>'BC.114+320'!AB767</f>
        <v>3.3159999999999998</v>
      </c>
      <c r="F768" s="142">
        <f>VLOOKUP($A768,'BC.114+320'!$B$13:$X$4876,8,0)/1000</f>
        <v>1.5489999999999999</v>
      </c>
      <c r="G768" s="142">
        <f>VLOOKUP($A768,'BC.114+320'!$B$13:$X$4876,9,0)/1000</f>
        <v>-1.4510000000000001</v>
      </c>
      <c r="H768" s="142">
        <f>VLOOKUP($A768,'BC.114+320'!$B$13:$X$4876,14,0)/1000</f>
        <v>1.3580000000000001</v>
      </c>
      <c r="I768" s="142">
        <f>VLOOKUP($A768,'BC.114+320'!$B$13:$X$4876,15,0)/1000</f>
        <v>-1.6419999999999999</v>
      </c>
      <c r="J768" s="142">
        <f>VLOOKUP($A768,'BC.114+320'!$B$13:$X$4876,20,0)/1000</f>
        <v>1.71</v>
      </c>
      <c r="K768" s="142">
        <f>VLOOKUP($A768,'BC.114+320'!$B$13:$X$4876,21,0)/1000</f>
        <v>-1.29</v>
      </c>
      <c r="L768" s="140">
        <f t="shared" si="49"/>
        <v>-1271.0000000000002</v>
      </c>
      <c r="M768" s="141">
        <f t="shared" si="50"/>
        <v>-1462</v>
      </c>
      <c r="N768" s="140">
        <f t="shared" si="51"/>
        <v>-1170</v>
      </c>
      <c r="O768" s="140"/>
    </row>
    <row r="769" spans="1:15">
      <c r="A769" s="76">
        <f>'BC.114+320'!B768</f>
        <v>45830</v>
      </c>
      <c r="B769" s="140">
        <f t="shared" si="48"/>
        <v>755</v>
      </c>
      <c r="C769" s="142">
        <f>'BC.114+320'!M768/1000</f>
        <v>4.5780000000000003</v>
      </c>
      <c r="D769" s="142">
        <f>'BC.114+320'!AA768</f>
        <v>6.069</v>
      </c>
      <c r="E769" s="143">
        <f>'BC.114+320'!AB768</f>
        <v>3.2759999999999998</v>
      </c>
      <c r="F769" s="142">
        <f>VLOOKUP($A769,'BC.114+320'!$B$13:$X$4876,8,0)/1000</f>
        <v>1.5289999999999999</v>
      </c>
      <c r="G769" s="142">
        <f>VLOOKUP($A769,'BC.114+320'!$B$13:$X$4876,9,0)/1000</f>
        <v>-1.4710000000000001</v>
      </c>
      <c r="H769" s="142">
        <f>VLOOKUP($A769,'BC.114+320'!$B$13:$X$4876,14,0)/1000</f>
        <v>1.3380000000000001</v>
      </c>
      <c r="I769" s="142">
        <f>VLOOKUP($A769,'BC.114+320'!$B$13:$X$4876,15,0)/1000</f>
        <v>-1.6619999999999999</v>
      </c>
      <c r="J769" s="142">
        <f>VLOOKUP($A769,'BC.114+320'!$B$13:$X$4876,20,0)/1000</f>
        <v>1.6879999999999999</v>
      </c>
      <c r="K769" s="142">
        <f>VLOOKUP($A769,'BC.114+320'!$B$13:$X$4876,21,0)/1000</f>
        <v>-1.3120000000000001</v>
      </c>
      <c r="L769" s="140">
        <f t="shared" si="49"/>
        <v>-1291.0000000000002</v>
      </c>
      <c r="M769" s="141">
        <f t="shared" si="50"/>
        <v>-1482</v>
      </c>
      <c r="N769" s="140">
        <f t="shared" si="51"/>
        <v>-1192.0000000000002</v>
      </c>
      <c r="O769" s="140"/>
    </row>
    <row r="770" spans="1:15">
      <c r="A770" s="76">
        <f>'BC.114+320'!B769</f>
        <v>45837</v>
      </c>
      <c r="B770" s="140">
        <f t="shared" si="48"/>
        <v>756</v>
      </c>
      <c r="C770" s="142">
        <f>'BC.114+320'!M769/1000</f>
        <v>4.5590000000000002</v>
      </c>
      <c r="D770" s="142">
        <f>'BC.114+320'!AA769</f>
        <v>6.069</v>
      </c>
      <c r="E770" s="143">
        <f>'BC.114+320'!AB769</f>
        <v>3.238</v>
      </c>
      <c r="F770" s="142">
        <f>VLOOKUP($A770,'BC.114+320'!$B$13:$X$4876,8,0)/1000</f>
        <v>1.5129999999999999</v>
      </c>
      <c r="G770" s="142">
        <f>VLOOKUP($A770,'BC.114+320'!$B$13:$X$4876,9,0)/1000</f>
        <v>-1.4870000000000001</v>
      </c>
      <c r="H770" s="142">
        <f>VLOOKUP($A770,'BC.114+320'!$B$13:$X$4876,14,0)/1000</f>
        <v>1.319</v>
      </c>
      <c r="I770" s="142">
        <f>VLOOKUP($A770,'BC.114+320'!$B$13:$X$4876,15,0)/1000</f>
        <v>-1.681</v>
      </c>
      <c r="J770" s="142">
        <f>VLOOKUP($A770,'BC.114+320'!$B$13:$X$4876,20,0)/1000</f>
        <v>1.6679999999999999</v>
      </c>
      <c r="K770" s="142">
        <f>VLOOKUP($A770,'BC.114+320'!$B$13:$X$4876,21,0)/1000</f>
        <v>-1.3320000000000001</v>
      </c>
      <c r="L770" s="140">
        <f t="shared" si="49"/>
        <v>-1307.0000000000002</v>
      </c>
      <c r="M770" s="141">
        <f t="shared" si="50"/>
        <v>-1501</v>
      </c>
      <c r="N770" s="140">
        <f t="shared" si="51"/>
        <v>-1212.0000000000002</v>
      </c>
      <c r="O770" s="140"/>
    </row>
    <row r="771" spans="1:15">
      <c r="A771" s="76">
        <f>'BC.114+320'!B770</f>
        <v>45844</v>
      </c>
      <c r="B771" s="140">
        <f t="shared" si="48"/>
        <v>757</v>
      </c>
      <c r="C771" s="142">
        <f>'BC.114+320'!M770/1000</f>
        <v>4.54</v>
      </c>
      <c r="D771" s="142">
        <f>'BC.114+320'!AA770</f>
        <v>6.069</v>
      </c>
      <c r="E771" s="143">
        <f>'BC.114+320'!AB770</f>
        <v>3.2</v>
      </c>
      <c r="F771" s="142">
        <f>VLOOKUP($A771,'BC.114+320'!$B$13:$X$4876,8,0)/1000</f>
        <v>1.4990000000000001</v>
      </c>
      <c r="G771" s="142">
        <f>VLOOKUP($A771,'BC.114+320'!$B$13:$X$4876,9,0)/1000</f>
        <v>-1.5009999999999999</v>
      </c>
      <c r="H771" s="142">
        <f>VLOOKUP($A771,'BC.114+320'!$B$13:$X$4876,14,0)/1000</f>
        <v>1.3</v>
      </c>
      <c r="I771" s="142">
        <f>VLOOKUP($A771,'BC.114+320'!$B$13:$X$4876,15,0)/1000</f>
        <v>-1.7</v>
      </c>
      <c r="J771" s="142">
        <f>VLOOKUP($A771,'BC.114+320'!$B$13:$X$4876,20,0)/1000</f>
        <v>1.653</v>
      </c>
      <c r="K771" s="142">
        <f>VLOOKUP($A771,'BC.114+320'!$B$13:$X$4876,21,0)/1000</f>
        <v>-1.347</v>
      </c>
      <c r="L771" s="140">
        <f t="shared" si="49"/>
        <v>-1321</v>
      </c>
      <c r="M771" s="141">
        <f t="shared" si="50"/>
        <v>-1520</v>
      </c>
      <c r="N771" s="140">
        <f t="shared" si="51"/>
        <v>-1226.9999999999998</v>
      </c>
      <c r="O771" s="140"/>
    </row>
    <row r="772" spans="1:15">
      <c r="A772" s="76">
        <f>'BC.114+320'!B771</f>
        <v>45851</v>
      </c>
      <c r="B772" s="140">
        <f t="shared" si="48"/>
        <v>758</v>
      </c>
      <c r="C772" s="142">
        <f>'BC.114+320'!M771/1000</f>
        <v>4.5229999999999997</v>
      </c>
      <c r="D772" s="142">
        <f>'BC.114+320'!AA771</f>
        <v>6.069</v>
      </c>
      <c r="E772" s="143">
        <f>'BC.114+320'!AB771</f>
        <v>3.1659999999999999</v>
      </c>
      <c r="F772" s="142">
        <f>VLOOKUP($A772,'BC.114+320'!$B$13:$X$4876,8,0)/1000</f>
        <v>1.4850000000000001</v>
      </c>
      <c r="G772" s="142">
        <f>VLOOKUP($A772,'BC.114+320'!$B$13:$X$4876,9,0)/1000</f>
        <v>-1.5149999999999999</v>
      </c>
      <c r="H772" s="142">
        <f>VLOOKUP($A772,'BC.114+320'!$B$13:$X$4876,14,0)/1000</f>
        <v>1.2829999999999999</v>
      </c>
      <c r="I772" s="142">
        <f>VLOOKUP($A772,'BC.114+320'!$B$13:$X$4876,15,0)/1000</f>
        <v>-1.7170000000000001</v>
      </c>
      <c r="J772" s="142">
        <f>VLOOKUP($A772,'BC.114+320'!$B$13:$X$4876,20,0)/1000</f>
        <v>1.64</v>
      </c>
      <c r="K772" s="142">
        <f>VLOOKUP($A772,'BC.114+320'!$B$13:$X$4876,21,0)/1000</f>
        <v>-1.36</v>
      </c>
      <c r="L772" s="140">
        <f t="shared" si="49"/>
        <v>-1335</v>
      </c>
      <c r="M772" s="141">
        <f t="shared" si="50"/>
        <v>-1537.0000000000002</v>
      </c>
      <c r="N772" s="140">
        <f t="shared" si="51"/>
        <v>-1240.0000000000002</v>
      </c>
      <c r="O772" s="140"/>
    </row>
    <row r="773" spans="1:15">
      <c r="A773" s="76">
        <f>'BC.114+320'!B772</f>
        <v>45858</v>
      </c>
      <c r="B773" s="140">
        <f t="shared" si="48"/>
        <v>759</v>
      </c>
      <c r="C773" s="142">
        <f>'BC.114+320'!M772/1000</f>
        <v>4.5090000000000003</v>
      </c>
      <c r="D773" s="142">
        <f>'BC.114+320'!AA772</f>
        <v>6.069</v>
      </c>
      <c r="E773" s="143">
        <f>'BC.114+320'!AB772</f>
        <v>3.1379999999999999</v>
      </c>
      <c r="F773" s="142">
        <f>VLOOKUP($A773,'BC.114+320'!$B$13:$X$4876,8,0)/1000</f>
        <v>1.4710000000000001</v>
      </c>
      <c r="G773" s="142">
        <f>VLOOKUP($A773,'BC.114+320'!$B$13:$X$4876,9,0)/1000</f>
        <v>-1.5289999999999999</v>
      </c>
      <c r="H773" s="142">
        <f>VLOOKUP($A773,'BC.114+320'!$B$13:$X$4876,14,0)/1000</f>
        <v>1.2689999999999999</v>
      </c>
      <c r="I773" s="142">
        <f>VLOOKUP($A773,'BC.114+320'!$B$13:$X$4876,15,0)/1000</f>
        <v>-1.7310000000000001</v>
      </c>
      <c r="J773" s="142">
        <f>VLOOKUP($A773,'BC.114+320'!$B$13:$X$4876,20,0)/1000</f>
        <v>1.6279999999999999</v>
      </c>
      <c r="K773" s="142">
        <f>VLOOKUP($A773,'BC.114+320'!$B$13:$X$4876,21,0)/1000</f>
        <v>-1.3720000000000001</v>
      </c>
      <c r="L773" s="140">
        <f t="shared" si="49"/>
        <v>-1349</v>
      </c>
      <c r="M773" s="141">
        <f t="shared" si="50"/>
        <v>-1551.0000000000002</v>
      </c>
      <c r="N773" s="140">
        <f t="shared" si="51"/>
        <v>-1252.0000000000002</v>
      </c>
      <c r="O773" s="140"/>
    </row>
    <row r="774" spans="1:15">
      <c r="A774" s="76">
        <f>'BC.114+320'!B773</f>
        <v>45865</v>
      </c>
      <c r="B774" s="140">
        <f t="shared" si="48"/>
        <v>760</v>
      </c>
      <c r="C774" s="142">
        <f>'BC.114+320'!M773/1000</f>
        <v>4.4740000000000002</v>
      </c>
      <c r="D774" s="142">
        <f>'BC.114+320'!AA773</f>
        <v>6.069</v>
      </c>
      <c r="E774" s="143">
        <f>'BC.114+320'!AB773</f>
        <v>3.0680000000000001</v>
      </c>
      <c r="F774" s="142">
        <f>VLOOKUP($A774,'BC.114+320'!$B$13:$X$4876,8,0)/1000</f>
        <v>1.4590000000000001</v>
      </c>
      <c r="G774" s="142">
        <f>VLOOKUP($A774,'BC.114+320'!$B$13:$X$4876,9,0)/1000</f>
        <v>-1.5409999999999999</v>
      </c>
      <c r="H774" s="142">
        <f>VLOOKUP($A774,'BC.114+320'!$B$13:$X$4876,14,0)/1000</f>
        <v>1.234</v>
      </c>
      <c r="I774" s="142">
        <f>VLOOKUP($A774,'BC.114+320'!$B$13:$X$4876,15,0)/1000</f>
        <v>-1.766</v>
      </c>
      <c r="J774" s="142">
        <f>VLOOKUP($A774,'BC.114+320'!$B$13:$X$4876,20,0)/1000</f>
        <v>1.6180000000000001</v>
      </c>
      <c r="K774" s="142">
        <f>VLOOKUP($A774,'BC.114+320'!$B$13:$X$4876,21,0)/1000</f>
        <v>-1.3819999999999999</v>
      </c>
      <c r="L774" s="140">
        <f t="shared" ref="L774" si="52">(G774-$G$14)*1000</f>
        <v>-1361</v>
      </c>
      <c r="M774" s="141">
        <f t="shared" ref="M774" si="53">(I774-$I$14)*1000</f>
        <v>-1586</v>
      </c>
      <c r="N774" s="140">
        <f t="shared" ref="N774" si="54">(K774-$K$14)*1000</f>
        <v>-1262</v>
      </c>
      <c r="O774" s="140"/>
    </row>
    <row r="775" spans="1:15">
      <c r="A775" s="76"/>
      <c r="B775" s="140"/>
      <c r="C775" s="142"/>
      <c r="D775" s="142"/>
      <c r="E775" s="143"/>
      <c r="F775" s="142"/>
      <c r="G775" s="142"/>
      <c r="H775" s="142"/>
      <c r="I775" s="142"/>
      <c r="J775" s="142"/>
      <c r="K775" s="142"/>
      <c r="L775" s="140"/>
      <c r="M775" s="141"/>
      <c r="N775" s="140"/>
      <c r="O775" s="140"/>
    </row>
    <row r="776" spans="1:15">
      <c r="A776" s="76"/>
      <c r="B776" s="140"/>
      <c r="C776" s="142"/>
      <c r="D776" s="142"/>
      <c r="E776" s="143"/>
      <c r="F776" s="142"/>
      <c r="G776" s="142"/>
      <c r="H776" s="142"/>
      <c r="I776" s="142"/>
      <c r="J776" s="142"/>
      <c r="K776" s="142"/>
      <c r="L776" s="140"/>
      <c r="M776" s="141"/>
      <c r="N776" s="140"/>
      <c r="O776" s="140"/>
    </row>
    <row r="777" spans="1:15">
      <c r="A777" s="76"/>
      <c r="B777" s="140"/>
      <c r="C777" s="142"/>
      <c r="D777" s="142"/>
      <c r="E777" s="143"/>
      <c r="F777" s="142"/>
      <c r="G777" s="142"/>
      <c r="H777" s="142"/>
      <c r="I777" s="142"/>
      <c r="J777" s="142"/>
      <c r="K777" s="142"/>
      <c r="L777" s="140"/>
      <c r="M777" s="141"/>
      <c r="N777" s="140"/>
      <c r="O777" s="140"/>
    </row>
    <row r="778" spans="1:15">
      <c r="A778" s="76"/>
      <c r="B778" s="140"/>
      <c r="C778" s="142"/>
      <c r="D778" s="142"/>
      <c r="E778" s="143"/>
      <c r="F778" s="142"/>
      <c r="G778" s="142"/>
      <c r="H778" s="142"/>
      <c r="I778" s="142"/>
      <c r="J778" s="142"/>
      <c r="K778" s="142"/>
      <c r="L778" s="140"/>
      <c r="M778" s="141"/>
      <c r="N778" s="140"/>
      <c r="O778" s="140"/>
    </row>
    <row r="779" spans="1:15">
      <c r="A779" s="76"/>
      <c r="B779" s="140"/>
      <c r="C779" s="142"/>
      <c r="D779" s="142"/>
      <c r="E779" s="143"/>
      <c r="F779" s="142"/>
      <c r="G779" s="142"/>
      <c r="H779" s="142"/>
      <c r="I779" s="142"/>
      <c r="J779" s="142"/>
      <c r="K779" s="142"/>
      <c r="L779" s="140"/>
      <c r="M779" s="141"/>
      <c r="N779" s="140"/>
      <c r="O779" s="140"/>
    </row>
    <row r="780" spans="1:15">
      <c r="A780" s="76"/>
      <c r="B780" s="140"/>
      <c r="C780" s="142"/>
      <c r="D780" s="142"/>
      <c r="E780" s="143"/>
      <c r="F780" s="142"/>
      <c r="G780" s="142"/>
      <c r="H780" s="142"/>
      <c r="I780" s="142"/>
      <c r="J780" s="142"/>
      <c r="K780" s="142"/>
      <c r="L780" s="140"/>
      <c r="M780" s="141"/>
      <c r="N780" s="140"/>
      <c r="O780" s="140"/>
    </row>
    <row r="781" spans="1:15">
      <c r="A781" s="76"/>
      <c r="B781" s="140"/>
      <c r="C781" s="142"/>
      <c r="D781" s="142"/>
      <c r="E781" s="143"/>
      <c r="F781" s="142"/>
      <c r="G781" s="142"/>
      <c r="H781" s="142"/>
      <c r="I781" s="142"/>
      <c r="J781" s="142"/>
      <c r="K781" s="142"/>
      <c r="L781" s="140"/>
      <c r="M781" s="141"/>
      <c r="N781" s="140"/>
      <c r="O781" s="140"/>
    </row>
    <row r="782" spans="1:15">
      <c r="A782" s="76"/>
      <c r="B782" s="140"/>
      <c r="C782" s="142"/>
      <c r="D782" s="142"/>
      <c r="E782" s="143"/>
      <c r="F782" s="142"/>
      <c r="G782" s="142"/>
      <c r="H782" s="142"/>
      <c r="I782" s="142"/>
      <c r="J782" s="142"/>
      <c r="K782" s="142"/>
      <c r="L782" s="140"/>
      <c r="M782" s="141"/>
      <c r="N782" s="140"/>
      <c r="O782" s="140"/>
    </row>
    <row r="783" spans="1:15">
      <c r="A783" s="76"/>
      <c r="B783" s="140"/>
      <c r="C783" s="142"/>
      <c r="D783" s="142"/>
      <c r="E783" s="143"/>
      <c r="F783" s="142"/>
      <c r="G783" s="142"/>
      <c r="H783" s="142"/>
      <c r="I783" s="142"/>
      <c r="J783" s="142"/>
      <c r="K783" s="142"/>
      <c r="L783" s="140"/>
      <c r="M783" s="141"/>
      <c r="N783" s="140"/>
      <c r="O783" s="140"/>
    </row>
    <row r="784" spans="1:15">
      <c r="A784" s="76"/>
      <c r="B784" s="140"/>
      <c r="C784" s="142"/>
      <c r="D784" s="142"/>
      <c r="E784" s="143"/>
      <c r="F784" s="142"/>
      <c r="G784" s="142"/>
      <c r="H784" s="142"/>
      <c r="I784" s="142"/>
      <c r="J784" s="142"/>
      <c r="K784" s="142"/>
      <c r="L784" s="140"/>
      <c r="M784" s="141"/>
      <c r="N784" s="140"/>
      <c r="O784" s="140"/>
    </row>
    <row r="785" spans="1:15">
      <c r="A785" s="76"/>
      <c r="B785" s="140"/>
      <c r="C785" s="142"/>
      <c r="D785" s="142"/>
      <c r="E785" s="143"/>
      <c r="F785" s="142"/>
      <c r="G785" s="142"/>
      <c r="H785" s="142"/>
      <c r="I785" s="142"/>
      <c r="J785" s="142"/>
      <c r="K785" s="142"/>
      <c r="L785" s="140"/>
      <c r="M785" s="141"/>
      <c r="N785" s="140"/>
      <c r="O785" s="140"/>
    </row>
    <row r="786" spans="1:15">
      <c r="A786" s="76"/>
      <c r="B786" s="140"/>
      <c r="C786" s="142"/>
      <c r="D786" s="142"/>
      <c r="E786" s="143"/>
      <c r="F786" s="142"/>
      <c r="G786" s="142"/>
      <c r="H786" s="142"/>
      <c r="I786" s="142"/>
      <c r="J786" s="142"/>
      <c r="K786" s="142"/>
      <c r="L786" s="140"/>
      <c r="M786" s="141"/>
      <c r="N786" s="140"/>
      <c r="O786" s="140"/>
    </row>
    <row r="787" spans="1:15">
      <c r="A787" s="76"/>
      <c r="B787" s="140"/>
      <c r="C787" s="142"/>
      <c r="D787" s="142"/>
      <c r="E787" s="143"/>
      <c r="F787" s="142"/>
      <c r="G787" s="142"/>
      <c r="H787" s="142"/>
      <c r="I787" s="142"/>
      <c r="J787" s="142"/>
      <c r="K787" s="142"/>
      <c r="L787" s="140"/>
      <c r="M787" s="141"/>
      <c r="N787" s="140"/>
      <c r="O787" s="140"/>
    </row>
    <row r="788" spans="1:15">
      <c r="A788" s="76"/>
      <c r="B788" s="140"/>
      <c r="C788" s="142"/>
      <c r="D788" s="142"/>
      <c r="E788" s="143"/>
      <c r="F788" s="142"/>
      <c r="G788" s="142"/>
      <c r="H788" s="142"/>
      <c r="I788" s="142"/>
      <c r="J788" s="142"/>
      <c r="K788" s="142"/>
      <c r="L788" s="140"/>
      <c r="M788" s="141"/>
      <c r="N788" s="140"/>
      <c r="O788" s="140"/>
    </row>
    <row r="789" spans="1:15">
      <c r="A789" s="76"/>
      <c r="B789" s="140"/>
      <c r="C789" s="142"/>
      <c r="D789" s="142"/>
      <c r="E789" s="143"/>
      <c r="F789" s="142"/>
      <c r="G789" s="142"/>
      <c r="H789" s="142"/>
      <c r="I789" s="142"/>
      <c r="J789" s="142"/>
      <c r="K789" s="142"/>
      <c r="L789" s="140"/>
      <c r="M789" s="141"/>
      <c r="N789" s="140"/>
      <c r="O789" s="140"/>
    </row>
    <row r="790" spans="1:15">
      <c r="A790" s="76"/>
      <c r="B790" s="140"/>
      <c r="C790" s="142"/>
      <c r="D790" s="142"/>
      <c r="E790" s="143"/>
      <c r="F790" s="142"/>
      <c r="G790" s="142"/>
      <c r="H790" s="142"/>
      <c r="I790" s="142"/>
      <c r="J790" s="142"/>
      <c r="K790" s="142"/>
      <c r="L790" s="140"/>
      <c r="M790" s="141"/>
      <c r="N790" s="140"/>
      <c r="O790" s="140"/>
    </row>
    <row r="791" spans="1:15">
      <c r="A791" s="76"/>
      <c r="B791" s="140"/>
      <c r="C791" s="142"/>
      <c r="D791" s="142"/>
      <c r="E791" s="143"/>
      <c r="F791" s="142"/>
      <c r="G791" s="142"/>
      <c r="H791" s="142"/>
      <c r="I791" s="142"/>
      <c r="J791" s="142"/>
      <c r="K791" s="142"/>
      <c r="L791" s="140"/>
      <c r="M791" s="141"/>
      <c r="N791" s="140"/>
      <c r="O791" s="140"/>
    </row>
    <row r="792" spans="1:15">
      <c r="A792" s="76"/>
      <c r="B792" s="140"/>
      <c r="C792" s="142"/>
      <c r="D792" s="142"/>
      <c r="E792" s="143"/>
      <c r="F792" s="142"/>
      <c r="G792" s="142"/>
      <c r="H792" s="142"/>
      <c r="I792" s="142"/>
      <c r="J792" s="142"/>
      <c r="K792" s="142"/>
      <c r="L792" s="140"/>
      <c r="M792" s="141"/>
      <c r="N792" s="140"/>
      <c r="O792" s="140"/>
    </row>
    <row r="793" spans="1:15">
      <c r="A793" s="76"/>
      <c r="B793" s="140"/>
      <c r="C793" s="142"/>
      <c r="D793" s="142"/>
      <c r="E793" s="143"/>
      <c r="F793" s="142"/>
      <c r="G793" s="142"/>
      <c r="H793" s="142"/>
      <c r="I793" s="142"/>
      <c r="J793" s="142"/>
      <c r="K793" s="142"/>
      <c r="L793" s="140"/>
      <c r="M793" s="141"/>
      <c r="N793" s="140"/>
      <c r="O793" s="140"/>
    </row>
    <row r="794" spans="1:15">
      <c r="A794" s="76"/>
      <c r="B794" s="140"/>
      <c r="C794" s="142"/>
      <c r="D794" s="142"/>
      <c r="E794" s="143"/>
      <c r="F794" s="142"/>
      <c r="G794" s="142"/>
      <c r="H794" s="142"/>
      <c r="I794" s="142"/>
      <c r="J794" s="142"/>
      <c r="K794" s="142"/>
      <c r="L794" s="140"/>
      <c r="M794" s="141"/>
      <c r="N794" s="140"/>
      <c r="O794" s="140"/>
    </row>
    <row r="795" spans="1:15">
      <c r="A795" s="76"/>
      <c r="B795" s="140"/>
      <c r="C795" s="142"/>
      <c r="D795" s="142"/>
      <c r="E795" s="143"/>
      <c r="F795" s="142"/>
      <c r="G795" s="142"/>
      <c r="H795" s="142"/>
      <c r="I795" s="142"/>
      <c r="J795" s="142"/>
      <c r="K795" s="142"/>
      <c r="L795" s="140"/>
      <c r="M795" s="141"/>
      <c r="N795" s="140"/>
      <c r="O795" s="140"/>
    </row>
    <row r="796" spans="1:15">
      <c r="A796" s="76"/>
      <c r="B796" s="140"/>
      <c r="C796" s="142"/>
      <c r="D796" s="142"/>
      <c r="E796" s="143"/>
      <c r="F796" s="142"/>
      <c r="G796" s="142"/>
      <c r="H796" s="142"/>
      <c r="I796" s="142"/>
      <c r="J796" s="142"/>
      <c r="K796" s="142"/>
      <c r="L796" s="140"/>
      <c r="M796" s="141"/>
      <c r="N796" s="140"/>
      <c r="O796" s="140"/>
    </row>
    <row r="797" spans="1:15">
      <c r="A797" s="76"/>
      <c r="B797" s="140"/>
      <c r="C797" s="142"/>
      <c r="D797" s="142"/>
      <c r="E797" s="143"/>
      <c r="F797" s="142"/>
      <c r="G797" s="142"/>
      <c r="H797" s="142"/>
      <c r="I797" s="142"/>
      <c r="J797" s="142"/>
      <c r="K797" s="142"/>
      <c r="L797" s="140"/>
      <c r="M797" s="141"/>
      <c r="N797" s="140"/>
      <c r="O797" s="140"/>
    </row>
    <row r="798" spans="1:15">
      <c r="A798" s="76"/>
      <c r="B798" s="140"/>
      <c r="C798" s="142"/>
      <c r="D798" s="142"/>
      <c r="E798" s="143"/>
      <c r="F798" s="142"/>
      <c r="G798" s="142"/>
      <c r="H798" s="142"/>
      <c r="I798" s="142"/>
      <c r="J798" s="142"/>
      <c r="K798" s="142"/>
      <c r="L798" s="140"/>
      <c r="M798" s="141"/>
      <c r="N798" s="140"/>
      <c r="O798" s="140"/>
    </row>
    <row r="799" spans="1:15">
      <c r="A799" s="76"/>
      <c r="B799" s="140"/>
      <c r="C799" s="142"/>
      <c r="D799" s="142"/>
      <c r="E799" s="143"/>
      <c r="F799" s="142"/>
      <c r="G799" s="142"/>
      <c r="H799" s="142"/>
      <c r="I799" s="142"/>
      <c r="J799" s="142"/>
      <c r="K799" s="142"/>
      <c r="L799" s="140"/>
      <c r="M799" s="141"/>
      <c r="N799" s="140"/>
      <c r="O799" s="140"/>
    </row>
    <row r="800" spans="1:15">
      <c r="A800" s="76"/>
      <c r="B800" s="140"/>
      <c r="C800" s="142"/>
      <c r="D800" s="142"/>
      <c r="E800" s="143"/>
      <c r="F800" s="142"/>
      <c r="G800" s="142"/>
      <c r="H800" s="142"/>
      <c r="I800" s="142"/>
      <c r="J800" s="142"/>
      <c r="K800" s="142"/>
      <c r="L800" s="140"/>
      <c r="M800" s="141"/>
      <c r="N800" s="140"/>
      <c r="O800" s="140"/>
    </row>
    <row r="801" spans="1:15">
      <c r="A801" s="76"/>
      <c r="B801" s="140"/>
      <c r="C801" s="142"/>
      <c r="D801" s="142"/>
      <c r="E801" s="143"/>
      <c r="F801" s="142"/>
      <c r="G801" s="142"/>
      <c r="H801" s="142"/>
      <c r="I801" s="142"/>
      <c r="J801" s="142"/>
      <c r="K801" s="142"/>
      <c r="L801" s="140"/>
      <c r="M801" s="141"/>
      <c r="N801" s="140"/>
      <c r="O801" s="140"/>
    </row>
    <row r="802" spans="1:15">
      <c r="A802" s="76"/>
      <c r="B802" s="140"/>
      <c r="C802" s="142"/>
      <c r="D802" s="142"/>
      <c r="E802" s="143"/>
      <c r="F802" s="142"/>
      <c r="G802" s="142"/>
      <c r="H802" s="142"/>
      <c r="I802" s="142"/>
      <c r="J802" s="142"/>
      <c r="K802" s="142"/>
      <c r="L802" s="140"/>
      <c r="M802" s="141"/>
      <c r="N802" s="140"/>
      <c r="O802" s="140"/>
    </row>
    <row r="803" spans="1:15">
      <c r="A803" s="76"/>
      <c r="B803" s="140"/>
      <c r="C803" s="142"/>
      <c r="D803" s="142"/>
      <c r="E803" s="143"/>
      <c r="F803" s="142"/>
      <c r="G803" s="142"/>
      <c r="H803" s="142"/>
      <c r="I803" s="142"/>
      <c r="J803" s="142"/>
      <c r="K803" s="142"/>
      <c r="L803" s="140"/>
      <c r="M803" s="141"/>
      <c r="N803" s="140"/>
      <c r="O803" s="140"/>
    </row>
    <row r="804" spans="1:15">
      <c r="A804" s="76"/>
      <c r="B804" s="140"/>
      <c r="C804" s="142"/>
      <c r="D804" s="142"/>
      <c r="E804" s="143"/>
      <c r="F804" s="142"/>
      <c r="G804" s="142"/>
      <c r="H804" s="142"/>
      <c r="I804" s="142"/>
      <c r="J804" s="142"/>
      <c r="K804" s="142"/>
      <c r="L804" s="140"/>
      <c r="M804" s="141"/>
      <c r="N804" s="140"/>
      <c r="O804" s="140"/>
    </row>
    <row r="805" spans="1:15">
      <c r="A805" s="76"/>
      <c r="B805" s="140"/>
      <c r="C805" s="142"/>
      <c r="D805" s="142"/>
      <c r="E805" s="143"/>
      <c r="F805" s="142"/>
      <c r="G805" s="142"/>
      <c r="H805" s="142"/>
      <c r="I805" s="142"/>
      <c r="J805" s="142"/>
      <c r="K805" s="142"/>
      <c r="L805" s="140"/>
      <c r="M805" s="141"/>
      <c r="N805" s="140"/>
      <c r="O805" s="140"/>
    </row>
    <row r="806" spans="1:15">
      <c r="A806" s="76"/>
      <c r="B806" s="140"/>
      <c r="C806" s="142"/>
      <c r="D806" s="142"/>
      <c r="E806" s="143"/>
      <c r="F806" s="142"/>
      <c r="G806" s="142"/>
      <c r="H806" s="142"/>
      <c r="I806" s="142"/>
      <c r="J806" s="142"/>
      <c r="K806" s="142"/>
      <c r="L806" s="140"/>
      <c r="M806" s="141"/>
      <c r="N806" s="140"/>
      <c r="O806" s="140"/>
    </row>
    <row r="807" spans="1:15">
      <c r="A807" s="76"/>
      <c r="B807" s="140"/>
      <c r="C807" s="142"/>
      <c r="D807" s="142"/>
      <c r="E807" s="143"/>
      <c r="F807" s="142"/>
      <c r="G807" s="142"/>
      <c r="H807" s="142"/>
      <c r="I807" s="142"/>
      <c r="J807" s="142"/>
      <c r="K807" s="142"/>
      <c r="L807" s="140"/>
      <c r="M807" s="141"/>
      <c r="N807" s="140"/>
      <c r="O807" s="140"/>
    </row>
    <row r="808" spans="1:15">
      <c r="A808" s="76"/>
      <c r="B808" s="140"/>
      <c r="C808" s="142"/>
      <c r="D808" s="142"/>
      <c r="E808" s="143"/>
      <c r="F808" s="142"/>
      <c r="G808" s="142"/>
      <c r="H808" s="142"/>
      <c r="I808" s="142"/>
      <c r="J808" s="142"/>
      <c r="K808" s="142"/>
      <c r="L808" s="140"/>
      <c r="M808" s="141"/>
      <c r="N808" s="140"/>
      <c r="O808" s="140"/>
    </row>
    <row r="809" spans="1:15">
      <c r="A809" s="76"/>
      <c r="B809" s="140"/>
      <c r="C809" s="142"/>
      <c r="D809" s="142"/>
      <c r="E809" s="143"/>
      <c r="F809" s="142"/>
      <c r="G809" s="142"/>
      <c r="H809" s="142"/>
      <c r="I809" s="142"/>
      <c r="J809" s="142"/>
      <c r="K809" s="142"/>
      <c r="L809" s="140"/>
      <c r="M809" s="141"/>
      <c r="N809" s="140"/>
      <c r="O809" s="140"/>
    </row>
    <row r="810" spans="1:15">
      <c r="A810" s="76"/>
      <c r="B810" s="140"/>
      <c r="C810" s="142"/>
      <c r="D810" s="142"/>
      <c r="E810" s="143"/>
      <c r="F810" s="142"/>
      <c r="G810" s="142"/>
      <c r="H810" s="142"/>
      <c r="I810" s="142"/>
      <c r="J810" s="142"/>
      <c r="K810" s="142"/>
      <c r="L810" s="140"/>
      <c r="M810" s="141"/>
      <c r="N810" s="140"/>
      <c r="O810" s="140"/>
    </row>
    <row r="811" spans="1:15">
      <c r="A811" s="76"/>
      <c r="B811" s="140"/>
      <c r="C811" s="142"/>
      <c r="D811" s="142"/>
      <c r="E811" s="143"/>
      <c r="F811" s="142"/>
      <c r="G811" s="142"/>
      <c r="H811" s="142"/>
      <c r="I811" s="142"/>
      <c r="J811" s="142"/>
      <c r="K811" s="142"/>
      <c r="L811" s="140"/>
      <c r="M811" s="141"/>
      <c r="N811" s="140"/>
      <c r="O811" s="140"/>
    </row>
    <row r="812" spans="1:15">
      <c r="A812" s="76"/>
      <c r="B812" s="140"/>
      <c r="C812" s="142"/>
      <c r="D812" s="142"/>
      <c r="E812" s="143"/>
      <c r="F812" s="142"/>
      <c r="G812" s="142"/>
      <c r="H812" s="142"/>
      <c r="I812" s="142"/>
      <c r="J812" s="142"/>
      <c r="K812" s="142"/>
      <c r="L812" s="140"/>
      <c r="M812" s="141"/>
      <c r="N812" s="140"/>
      <c r="O812" s="140"/>
    </row>
    <row r="813" spans="1:15">
      <c r="A813" s="76"/>
      <c r="B813" s="140"/>
      <c r="C813" s="142"/>
      <c r="D813" s="142"/>
      <c r="E813" s="143"/>
      <c r="F813" s="142"/>
      <c r="G813" s="142"/>
      <c r="H813" s="142"/>
      <c r="I813" s="142"/>
      <c r="J813" s="142"/>
      <c r="K813" s="142"/>
      <c r="L813" s="140"/>
      <c r="M813" s="141"/>
      <c r="N813" s="140"/>
      <c r="O813" s="140"/>
    </row>
    <row r="814" spans="1:15">
      <c r="A814" s="76"/>
      <c r="B814" s="140"/>
      <c r="C814" s="142"/>
      <c r="D814" s="142"/>
      <c r="E814" s="143"/>
      <c r="F814" s="142"/>
      <c r="G814" s="142"/>
      <c r="H814" s="142"/>
      <c r="I814" s="142"/>
      <c r="J814" s="142"/>
      <c r="K814" s="142"/>
      <c r="L814" s="140"/>
      <c r="M814" s="141"/>
      <c r="N814" s="140"/>
      <c r="O814" s="140"/>
    </row>
    <row r="815" spans="1:15">
      <c r="A815" s="76"/>
      <c r="B815" s="140"/>
      <c r="C815" s="142"/>
      <c r="D815" s="142"/>
      <c r="E815" s="143"/>
      <c r="F815" s="142"/>
      <c r="G815" s="142"/>
      <c r="H815" s="142"/>
      <c r="I815" s="142"/>
      <c r="J815" s="142"/>
      <c r="K815" s="142"/>
      <c r="L815" s="140"/>
      <c r="M815" s="141"/>
      <c r="N815" s="140"/>
      <c r="O815" s="140"/>
    </row>
    <row r="816" spans="1:15">
      <c r="A816" s="76"/>
      <c r="B816" s="140"/>
      <c r="C816" s="142"/>
      <c r="D816" s="142"/>
      <c r="E816" s="143"/>
      <c r="F816" s="142"/>
      <c r="G816" s="142"/>
      <c r="H816" s="142"/>
      <c r="I816" s="142"/>
      <c r="J816" s="142"/>
      <c r="K816" s="142"/>
      <c r="L816" s="140"/>
      <c r="M816" s="141"/>
      <c r="N816" s="140"/>
      <c r="O816" s="140"/>
    </row>
    <row r="817" spans="1:15">
      <c r="A817" s="76"/>
      <c r="B817" s="140"/>
      <c r="C817" s="142"/>
      <c r="D817" s="142"/>
      <c r="E817" s="143"/>
      <c r="F817" s="142"/>
      <c r="G817" s="142"/>
      <c r="H817" s="142"/>
      <c r="I817" s="142"/>
      <c r="J817" s="142"/>
      <c r="K817" s="142"/>
      <c r="L817" s="140"/>
      <c r="M817" s="141"/>
      <c r="N817" s="140"/>
      <c r="O817" s="140"/>
    </row>
    <row r="818" spans="1:15">
      <c r="A818" s="76"/>
      <c r="B818" s="140"/>
      <c r="C818" s="142"/>
      <c r="D818" s="142"/>
      <c r="E818" s="143"/>
      <c r="F818" s="142"/>
      <c r="G818" s="142"/>
      <c r="H818" s="142"/>
      <c r="I818" s="142"/>
      <c r="J818" s="142"/>
      <c r="K818" s="142"/>
      <c r="L818" s="140"/>
      <c r="M818" s="141"/>
      <c r="N818" s="140"/>
      <c r="O818" s="140"/>
    </row>
    <row r="819" spans="1:15">
      <c r="A819" s="76"/>
      <c r="B819" s="140"/>
      <c r="C819" s="142"/>
      <c r="D819" s="142"/>
      <c r="E819" s="143"/>
      <c r="F819" s="142"/>
      <c r="G819" s="142"/>
      <c r="H819" s="142"/>
      <c r="I819" s="142"/>
      <c r="J819" s="142"/>
      <c r="K819" s="142"/>
      <c r="L819" s="140"/>
      <c r="M819" s="141"/>
      <c r="N819" s="140"/>
      <c r="O819" s="140"/>
    </row>
    <row r="820" spans="1:15">
      <c r="A820" s="76"/>
      <c r="B820" s="140"/>
      <c r="C820" s="142"/>
      <c r="D820" s="142"/>
      <c r="E820" s="143"/>
      <c r="F820" s="142"/>
      <c r="G820" s="142"/>
      <c r="H820" s="142"/>
      <c r="I820" s="142"/>
      <c r="J820" s="142"/>
      <c r="K820" s="142"/>
      <c r="L820" s="140"/>
      <c r="M820" s="141"/>
      <c r="N820" s="140"/>
      <c r="O820" s="140"/>
    </row>
    <row r="821" spans="1:15">
      <c r="A821" s="76"/>
      <c r="B821" s="140"/>
      <c r="C821" s="142"/>
      <c r="D821" s="142"/>
      <c r="E821" s="143"/>
      <c r="F821" s="142"/>
      <c r="G821" s="142"/>
      <c r="H821" s="142"/>
      <c r="I821" s="142"/>
      <c r="J821" s="142"/>
      <c r="K821" s="142"/>
      <c r="L821" s="140"/>
      <c r="M821" s="141"/>
      <c r="N821" s="140"/>
      <c r="O821" s="140"/>
    </row>
    <row r="822" spans="1:15">
      <c r="A822" s="76"/>
      <c r="B822" s="140"/>
      <c r="C822" s="142"/>
      <c r="D822" s="142"/>
      <c r="E822" s="143"/>
      <c r="F822" s="142"/>
      <c r="G822" s="142"/>
      <c r="H822" s="142"/>
      <c r="I822" s="142"/>
      <c r="J822" s="142"/>
      <c r="K822" s="142"/>
      <c r="L822" s="140"/>
      <c r="M822" s="141"/>
      <c r="N822" s="140"/>
      <c r="O822" s="140"/>
    </row>
    <row r="823" spans="1:15">
      <c r="A823" s="76"/>
      <c r="B823" s="140"/>
      <c r="C823" s="142"/>
      <c r="D823" s="142"/>
      <c r="E823" s="143"/>
      <c r="F823" s="142"/>
      <c r="G823" s="142"/>
      <c r="H823" s="142"/>
      <c r="I823" s="142"/>
      <c r="J823" s="142"/>
      <c r="K823" s="142"/>
      <c r="L823" s="140"/>
      <c r="M823" s="141"/>
      <c r="N823" s="140"/>
      <c r="O823" s="140"/>
    </row>
    <row r="824" spans="1:15">
      <c r="A824" s="76"/>
      <c r="B824" s="140"/>
      <c r="C824" s="142"/>
      <c r="D824" s="142"/>
      <c r="E824" s="143"/>
      <c r="F824" s="142"/>
      <c r="G824" s="142"/>
      <c r="H824" s="142"/>
      <c r="I824" s="142"/>
      <c r="J824" s="142"/>
      <c r="K824" s="142"/>
      <c r="L824" s="140"/>
      <c r="M824" s="141"/>
      <c r="N824" s="140"/>
      <c r="O824" s="140"/>
    </row>
    <row r="825" spans="1:15">
      <c r="A825" s="76"/>
      <c r="B825" s="140"/>
      <c r="C825" s="142"/>
      <c r="D825" s="142"/>
      <c r="E825" s="143"/>
      <c r="F825" s="142"/>
      <c r="G825" s="142"/>
      <c r="H825" s="142"/>
      <c r="I825" s="142"/>
      <c r="J825" s="142"/>
      <c r="K825" s="142"/>
      <c r="L825" s="140"/>
      <c r="M825" s="141"/>
      <c r="N825" s="140"/>
      <c r="O825" s="140"/>
    </row>
    <row r="826" spans="1:15">
      <c r="A826" s="76"/>
      <c r="B826" s="140"/>
      <c r="C826" s="142"/>
      <c r="D826" s="142"/>
      <c r="E826" s="143"/>
      <c r="F826" s="142"/>
      <c r="G826" s="142"/>
      <c r="H826" s="142"/>
      <c r="I826" s="142"/>
      <c r="J826" s="142"/>
      <c r="K826" s="142"/>
      <c r="L826" s="140"/>
      <c r="M826" s="141"/>
      <c r="N826" s="140"/>
      <c r="O826" s="140"/>
    </row>
    <row r="827" spans="1:15">
      <c r="A827" s="76"/>
      <c r="B827" s="140"/>
      <c r="C827" s="142"/>
      <c r="D827" s="142"/>
      <c r="E827" s="143"/>
      <c r="F827" s="142"/>
      <c r="G827" s="142"/>
      <c r="H827" s="142"/>
      <c r="I827" s="142"/>
      <c r="J827" s="142"/>
      <c r="K827" s="142"/>
      <c r="L827" s="140"/>
      <c r="M827" s="141"/>
      <c r="N827" s="140"/>
      <c r="O827" s="140"/>
    </row>
    <row r="828" spans="1:15">
      <c r="A828" s="76"/>
      <c r="B828" s="140"/>
      <c r="C828" s="142"/>
      <c r="D828" s="142"/>
      <c r="E828" s="143"/>
      <c r="F828" s="142"/>
      <c r="G828" s="142"/>
      <c r="H828" s="142"/>
      <c r="I828" s="142"/>
      <c r="J828" s="142"/>
      <c r="K828" s="142"/>
      <c r="L828" s="140"/>
      <c r="M828" s="141"/>
      <c r="N828" s="140"/>
      <c r="O828" s="140"/>
    </row>
    <row r="829" spans="1:15">
      <c r="A829" s="76"/>
      <c r="B829" s="140"/>
      <c r="C829" s="142"/>
      <c r="D829" s="142"/>
      <c r="E829" s="143"/>
      <c r="F829" s="142"/>
      <c r="G829" s="142"/>
      <c r="H829" s="142"/>
      <c r="I829" s="142"/>
      <c r="J829" s="142"/>
      <c r="K829" s="142"/>
      <c r="L829" s="140"/>
      <c r="M829" s="141"/>
      <c r="N829" s="140"/>
      <c r="O829" s="140"/>
    </row>
    <row r="830" spans="1:15">
      <c r="A830" s="76"/>
      <c r="B830" s="140"/>
      <c r="C830" s="142"/>
      <c r="D830" s="142"/>
      <c r="E830" s="143"/>
      <c r="F830" s="142"/>
      <c r="G830" s="142"/>
      <c r="H830" s="142"/>
      <c r="I830" s="142"/>
      <c r="J830" s="142"/>
      <c r="K830" s="142"/>
      <c r="L830" s="140"/>
      <c r="M830" s="141"/>
      <c r="N830" s="140"/>
      <c r="O830" s="140"/>
    </row>
    <row r="831" spans="1:15">
      <c r="A831" s="76"/>
      <c r="B831" s="140"/>
      <c r="C831" s="142"/>
      <c r="D831" s="142"/>
      <c r="E831" s="143"/>
      <c r="F831" s="142"/>
      <c r="G831" s="142"/>
      <c r="H831" s="142"/>
      <c r="I831" s="142"/>
      <c r="J831" s="142"/>
      <c r="K831" s="142"/>
      <c r="L831" s="140"/>
      <c r="M831" s="141"/>
      <c r="N831" s="140"/>
      <c r="O831" s="140"/>
    </row>
    <row r="832" spans="1:15">
      <c r="A832" s="76"/>
      <c r="B832" s="140"/>
      <c r="C832" s="142"/>
      <c r="D832" s="142"/>
      <c r="E832" s="143"/>
      <c r="F832" s="142"/>
      <c r="G832" s="142"/>
      <c r="H832" s="142"/>
      <c r="I832" s="142"/>
      <c r="J832" s="142"/>
      <c r="K832" s="142"/>
      <c r="L832" s="140"/>
      <c r="M832" s="141"/>
      <c r="N832" s="140"/>
      <c r="O832" s="140"/>
    </row>
    <row r="833" spans="1:15">
      <c r="A833" s="76"/>
      <c r="B833" s="140"/>
      <c r="C833" s="142"/>
      <c r="D833" s="142"/>
      <c r="E833" s="143"/>
      <c r="F833" s="142"/>
      <c r="G833" s="142"/>
      <c r="H833" s="142"/>
      <c r="I833" s="142"/>
      <c r="J833" s="142"/>
      <c r="K833" s="142"/>
      <c r="L833" s="140"/>
      <c r="M833" s="141"/>
      <c r="N833" s="140"/>
      <c r="O833" s="140"/>
    </row>
    <row r="834" spans="1:15">
      <c r="A834" s="76"/>
      <c r="B834" s="140"/>
      <c r="C834" s="142"/>
      <c r="D834" s="142"/>
      <c r="E834" s="143"/>
      <c r="F834" s="142"/>
      <c r="G834" s="142"/>
      <c r="H834" s="142"/>
      <c r="I834" s="142"/>
      <c r="J834" s="142"/>
      <c r="K834" s="142"/>
      <c r="L834" s="140"/>
      <c r="M834" s="141"/>
      <c r="N834" s="140"/>
      <c r="O834" s="140"/>
    </row>
    <row r="835" spans="1:15">
      <c r="A835" s="76"/>
      <c r="B835" s="140"/>
      <c r="C835" s="142"/>
      <c r="D835" s="142"/>
      <c r="E835" s="143"/>
      <c r="F835" s="142"/>
      <c r="G835" s="142"/>
      <c r="H835" s="142"/>
      <c r="I835" s="142"/>
      <c r="J835" s="142"/>
      <c r="K835" s="142"/>
      <c r="L835" s="140"/>
      <c r="M835" s="141"/>
      <c r="N835" s="140"/>
      <c r="O835" s="140"/>
    </row>
    <row r="836" spans="1:15">
      <c r="A836" s="76"/>
      <c r="B836" s="140"/>
      <c r="C836" s="142"/>
      <c r="D836" s="142"/>
      <c r="E836" s="143"/>
      <c r="F836" s="142"/>
      <c r="G836" s="142"/>
      <c r="H836" s="142"/>
      <c r="I836" s="142"/>
      <c r="J836" s="142"/>
      <c r="K836" s="142"/>
      <c r="L836" s="140"/>
      <c r="M836" s="141"/>
      <c r="N836" s="140"/>
      <c r="O836" s="140"/>
    </row>
    <row r="837" spans="1:15">
      <c r="A837" s="76"/>
      <c r="B837" s="140"/>
      <c r="C837" s="142"/>
      <c r="D837" s="142"/>
      <c r="E837" s="143"/>
      <c r="F837" s="142"/>
      <c r="G837" s="142"/>
      <c r="H837" s="142"/>
      <c r="I837" s="142"/>
      <c r="J837" s="142"/>
      <c r="K837" s="142"/>
      <c r="L837" s="140"/>
      <c r="M837" s="141"/>
      <c r="N837" s="140"/>
      <c r="O837" s="140"/>
    </row>
    <row r="838" spans="1:15">
      <c r="A838" s="76"/>
      <c r="B838" s="140"/>
      <c r="C838" s="142"/>
      <c r="D838" s="142"/>
      <c r="E838" s="143"/>
      <c r="F838" s="142"/>
      <c r="G838" s="142"/>
      <c r="H838" s="142"/>
      <c r="I838" s="142"/>
      <c r="J838" s="142"/>
      <c r="K838" s="142"/>
      <c r="L838" s="140"/>
      <c r="M838" s="141"/>
      <c r="N838" s="140"/>
      <c r="O838" s="140"/>
    </row>
    <row r="839" spans="1:15">
      <c r="A839" s="76"/>
      <c r="B839" s="140"/>
      <c r="C839" s="142"/>
      <c r="D839" s="142"/>
      <c r="E839" s="143"/>
      <c r="F839" s="142"/>
      <c r="G839" s="142"/>
      <c r="H839" s="142"/>
      <c r="I839" s="142"/>
      <c r="J839" s="142"/>
      <c r="K839" s="142"/>
      <c r="L839" s="140"/>
      <c r="M839" s="141"/>
      <c r="N839" s="140"/>
      <c r="O839" s="140"/>
    </row>
    <row r="840" spans="1:15">
      <c r="A840" s="76"/>
      <c r="B840" s="140"/>
      <c r="C840" s="142"/>
      <c r="D840" s="142"/>
      <c r="E840" s="143"/>
      <c r="F840" s="142"/>
      <c r="G840" s="142"/>
      <c r="H840" s="142"/>
      <c r="I840" s="142"/>
      <c r="J840" s="142"/>
      <c r="K840" s="142"/>
      <c r="L840" s="140"/>
      <c r="M840" s="141"/>
      <c r="N840" s="140"/>
      <c r="O840" s="140"/>
    </row>
    <row r="841" spans="1:15">
      <c r="A841" s="76"/>
      <c r="B841" s="140"/>
      <c r="C841" s="142"/>
      <c r="D841" s="142"/>
      <c r="E841" s="143"/>
      <c r="F841" s="142"/>
      <c r="G841" s="142"/>
      <c r="H841" s="142"/>
      <c r="I841" s="142"/>
      <c r="J841" s="142"/>
      <c r="K841" s="142"/>
      <c r="L841" s="140"/>
      <c r="M841" s="141"/>
      <c r="N841" s="140"/>
      <c r="O841" s="140"/>
    </row>
    <row r="842" spans="1:15">
      <c r="A842" s="76"/>
      <c r="B842" s="140"/>
      <c r="C842" s="142"/>
      <c r="D842" s="142"/>
      <c r="E842" s="143"/>
      <c r="F842" s="142"/>
      <c r="G842" s="142"/>
      <c r="H842" s="142"/>
      <c r="I842" s="142"/>
      <c r="J842" s="142"/>
      <c r="K842" s="142"/>
      <c r="L842" s="140"/>
      <c r="M842" s="141"/>
      <c r="N842" s="140"/>
      <c r="O842" s="140"/>
    </row>
    <row r="843" spans="1:15">
      <c r="A843" s="76"/>
      <c r="B843" s="140"/>
      <c r="C843" s="142"/>
      <c r="D843" s="142"/>
      <c r="E843" s="143"/>
      <c r="F843" s="142"/>
      <c r="G843" s="142"/>
      <c r="H843" s="142"/>
      <c r="I843" s="142"/>
      <c r="J843" s="142"/>
      <c r="K843" s="142"/>
      <c r="L843" s="140"/>
      <c r="M843" s="141"/>
      <c r="N843" s="140"/>
      <c r="O843" s="140"/>
    </row>
    <row r="844" spans="1:15">
      <c r="A844" s="76"/>
      <c r="B844" s="140"/>
      <c r="C844" s="142"/>
      <c r="D844" s="142"/>
      <c r="E844" s="143"/>
      <c r="F844" s="142"/>
      <c r="G844" s="142"/>
      <c r="H844" s="142"/>
      <c r="I844" s="142"/>
      <c r="J844" s="142"/>
      <c r="K844" s="142"/>
      <c r="L844" s="140"/>
      <c r="M844" s="141"/>
      <c r="N844" s="140"/>
      <c r="O844" s="140"/>
    </row>
    <row r="845" spans="1:15">
      <c r="A845" s="76"/>
      <c r="B845" s="140"/>
      <c r="C845" s="142"/>
      <c r="D845" s="142"/>
      <c r="E845" s="143"/>
      <c r="F845" s="142"/>
      <c r="G845" s="142"/>
      <c r="H845" s="142"/>
      <c r="I845" s="142"/>
      <c r="J845" s="142"/>
      <c r="K845" s="142"/>
      <c r="L845" s="140"/>
      <c r="M845" s="141"/>
      <c r="N845" s="140"/>
      <c r="O845" s="140"/>
    </row>
    <row r="846" spans="1:15">
      <c r="A846" s="76"/>
      <c r="B846" s="140"/>
      <c r="C846" s="142"/>
      <c r="D846" s="142"/>
      <c r="E846" s="143"/>
      <c r="F846" s="142"/>
      <c r="G846" s="142"/>
      <c r="H846" s="142"/>
      <c r="I846" s="142"/>
      <c r="J846" s="142"/>
      <c r="K846" s="142"/>
      <c r="L846" s="140"/>
      <c r="M846" s="141"/>
      <c r="N846" s="140"/>
      <c r="O846" s="140"/>
    </row>
    <row r="847" spans="1:15">
      <c r="A847" s="76"/>
      <c r="B847" s="140"/>
      <c r="C847" s="142"/>
      <c r="D847" s="142"/>
      <c r="E847" s="143"/>
      <c r="F847" s="142"/>
      <c r="G847" s="142"/>
      <c r="H847" s="142"/>
      <c r="I847" s="142"/>
      <c r="J847" s="142"/>
      <c r="K847" s="142"/>
      <c r="L847" s="140"/>
      <c r="M847" s="141"/>
      <c r="N847" s="140"/>
      <c r="O847" s="140"/>
    </row>
    <row r="848" spans="1:15">
      <c r="A848" s="76"/>
      <c r="B848" s="140"/>
      <c r="C848" s="142"/>
      <c r="D848" s="142"/>
      <c r="E848" s="143"/>
      <c r="F848" s="142"/>
      <c r="G848" s="142"/>
      <c r="H848" s="142"/>
      <c r="I848" s="142"/>
      <c r="J848" s="142"/>
      <c r="K848" s="142"/>
      <c r="L848" s="140"/>
      <c r="M848" s="141"/>
      <c r="N848" s="140"/>
      <c r="O848" s="140"/>
    </row>
    <row r="849" spans="1:15">
      <c r="A849" s="76"/>
      <c r="B849" s="140"/>
      <c r="C849" s="142"/>
      <c r="D849" s="142"/>
      <c r="E849" s="143"/>
      <c r="F849" s="142"/>
      <c r="G849" s="142"/>
      <c r="H849" s="142"/>
      <c r="I849" s="142"/>
      <c r="J849" s="142"/>
      <c r="K849" s="142"/>
      <c r="L849" s="140"/>
      <c r="M849" s="141"/>
      <c r="N849" s="140"/>
      <c r="O849" s="140"/>
    </row>
    <row r="850" spans="1:15">
      <c r="A850" s="76"/>
      <c r="B850" s="140"/>
      <c r="C850" s="142"/>
      <c r="D850" s="142"/>
      <c r="E850" s="143"/>
      <c r="F850" s="142"/>
      <c r="G850" s="142"/>
      <c r="H850" s="142"/>
      <c r="I850" s="142"/>
      <c r="J850" s="142"/>
      <c r="K850" s="142"/>
      <c r="L850" s="140"/>
      <c r="M850" s="141"/>
      <c r="N850" s="140"/>
      <c r="O850" s="140"/>
    </row>
    <row r="851" spans="1:15">
      <c r="A851" s="76"/>
      <c r="B851" s="140"/>
      <c r="C851" s="142"/>
      <c r="D851" s="142"/>
      <c r="E851" s="143"/>
      <c r="F851" s="142"/>
      <c r="G851" s="142"/>
      <c r="H851" s="142"/>
      <c r="I851" s="142"/>
      <c r="J851" s="142"/>
      <c r="K851" s="142"/>
      <c r="L851" s="140"/>
      <c r="M851" s="141"/>
      <c r="N851" s="140"/>
      <c r="O851" s="140"/>
    </row>
    <row r="852" spans="1:15">
      <c r="A852" s="76"/>
      <c r="B852" s="140"/>
      <c r="C852" s="142"/>
      <c r="D852" s="142"/>
      <c r="E852" s="143"/>
      <c r="F852" s="142"/>
      <c r="G852" s="142"/>
      <c r="H852" s="142"/>
      <c r="I852" s="142"/>
      <c r="J852" s="142"/>
      <c r="K852" s="142"/>
      <c r="L852" s="140"/>
      <c r="M852" s="141"/>
      <c r="N852" s="140"/>
      <c r="O852" s="140"/>
    </row>
    <row r="853" spans="1:15">
      <c r="A853" s="76"/>
      <c r="B853" s="140"/>
      <c r="C853" s="142"/>
      <c r="D853" s="142"/>
      <c r="E853" s="143"/>
      <c r="F853" s="142"/>
      <c r="G853" s="142"/>
      <c r="H853" s="142"/>
      <c r="I853" s="142"/>
      <c r="J853" s="142"/>
      <c r="K853" s="142"/>
      <c r="L853" s="140"/>
      <c r="M853" s="141"/>
      <c r="N853" s="140"/>
      <c r="O853" s="140"/>
    </row>
    <row r="854" spans="1:15">
      <c r="A854" s="76"/>
      <c r="B854" s="140"/>
      <c r="C854" s="142"/>
      <c r="D854" s="142"/>
      <c r="E854" s="143"/>
      <c r="F854" s="142"/>
      <c r="G854" s="142"/>
      <c r="H854" s="142"/>
      <c r="I854" s="142"/>
      <c r="J854" s="142"/>
      <c r="K854" s="142"/>
      <c r="L854" s="140"/>
      <c r="M854" s="141"/>
      <c r="N854" s="140"/>
      <c r="O854" s="140"/>
    </row>
    <row r="855" spans="1:15">
      <c r="A855" s="76"/>
      <c r="B855" s="140"/>
      <c r="C855" s="142"/>
      <c r="D855" s="142"/>
      <c r="E855" s="143"/>
      <c r="F855" s="142"/>
      <c r="G855" s="142"/>
      <c r="H855" s="142"/>
      <c r="I855" s="142"/>
      <c r="J855" s="142"/>
      <c r="K855" s="142"/>
      <c r="L855" s="140"/>
      <c r="M855" s="141"/>
      <c r="N855" s="140"/>
      <c r="O855" s="140"/>
    </row>
    <row r="856" spans="1:15">
      <c r="A856" s="76"/>
      <c r="B856" s="140"/>
      <c r="C856" s="142"/>
      <c r="D856" s="142"/>
      <c r="E856" s="143"/>
      <c r="F856" s="142"/>
      <c r="G856" s="142"/>
      <c r="H856" s="142"/>
      <c r="I856" s="142"/>
      <c r="J856" s="142"/>
      <c r="K856" s="142"/>
      <c r="L856" s="140"/>
      <c r="M856" s="141"/>
      <c r="N856" s="140"/>
      <c r="O856" s="140"/>
    </row>
    <row r="857" spans="1:15">
      <c r="A857" s="76"/>
      <c r="B857" s="140"/>
      <c r="C857" s="142"/>
      <c r="D857" s="142"/>
      <c r="E857" s="143"/>
      <c r="F857" s="142"/>
      <c r="G857" s="142"/>
      <c r="H857" s="142"/>
      <c r="I857" s="142"/>
      <c r="J857" s="142"/>
      <c r="K857" s="142"/>
      <c r="L857" s="140"/>
      <c r="M857" s="141"/>
      <c r="N857" s="140"/>
      <c r="O857" s="140"/>
    </row>
    <row r="858" spans="1:15">
      <c r="A858" s="76"/>
      <c r="B858" s="140"/>
      <c r="C858" s="142"/>
      <c r="D858" s="142"/>
      <c r="E858" s="143"/>
      <c r="F858" s="142"/>
      <c r="G858" s="142"/>
      <c r="H858" s="142"/>
      <c r="I858" s="142"/>
      <c r="J858" s="142"/>
      <c r="K858" s="142"/>
      <c r="L858" s="140"/>
      <c r="M858" s="141"/>
      <c r="N858" s="140"/>
      <c r="O858" s="140"/>
    </row>
    <row r="859" spans="1:15">
      <c r="A859" s="76"/>
      <c r="B859" s="140"/>
      <c r="C859" s="142"/>
      <c r="D859" s="142"/>
      <c r="E859" s="143"/>
      <c r="F859" s="142"/>
      <c r="G859" s="142"/>
      <c r="H859" s="142"/>
      <c r="I859" s="142"/>
      <c r="J859" s="142"/>
      <c r="K859" s="142"/>
      <c r="L859" s="140"/>
      <c r="M859" s="141"/>
      <c r="N859" s="140"/>
      <c r="O859" s="140"/>
    </row>
    <row r="860" spans="1:15">
      <c r="A860" s="76"/>
      <c r="B860" s="140"/>
      <c r="C860" s="142"/>
      <c r="D860" s="142"/>
      <c r="E860" s="143"/>
      <c r="F860" s="142"/>
      <c r="G860" s="142"/>
      <c r="H860" s="142"/>
      <c r="I860" s="142"/>
      <c r="J860" s="142"/>
      <c r="K860" s="142"/>
      <c r="L860" s="140"/>
      <c r="M860" s="141"/>
      <c r="N860" s="140"/>
      <c r="O860" s="140"/>
    </row>
    <row r="861" spans="1:15">
      <c r="A861" s="76"/>
      <c r="B861" s="140"/>
      <c r="C861" s="142"/>
      <c r="D861" s="142"/>
      <c r="E861" s="143"/>
      <c r="F861" s="142"/>
      <c r="G861" s="142"/>
      <c r="H861" s="142"/>
      <c r="I861" s="142"/>
      <c r="J861" s="142"/>
      <c r="K861" s="142"/>
      <c r="L861" s="140"/>
      <c r="M861" s="141"/>
      <c r="N861" s="140"/>
      <c r="O861" s="140"/>
    </row>
    <row r="862" spans="1:15">
      <c r="A862" s="76"/>
      <c r="B862" s="140"/>
      <c r="C862" s="142"/>
      <c r="D862" s="142"/>
      <c r="E862" s="143"/>
      <c r="F862" s="142"/>
      <c r="G862" s="142"/>
      <c r="H862" s="142"/>
      <c r="I862" s="142"/>
      <c r="J862" s="142"/>
      <c r="K862" s="142"/>
      <c r="L862" s="140"/>
      <c r="M862" s="141"/>
      <c r="N862" s="140"/>
      <c r="O862" s="140"/>
    </row>
    <row r="863" spans="1:15">
      <c r="A863" s="76"/>
      <c r="B863" s="140"/>
      <c r="C863" s="142"/>
      <c r="D863" s="142"/>
      <c r="E863" s="143"/>
      <c r="F863" s="142"/>
      <c r="G863" s="142"/>
      <c r="H863" s="142"/>
      <c r="I863" s="142"/>
      <c r="J863" s="142"/>
      <c r="K863" s="142"/>
      <c r="L863" s="140"/>
      <c r="M863" s="141"/>
      <c r="N863" s="140"/>
      <c r="O863" s="140"/>
    </row>
    <row r="864" spans="1:15">
      <c r="A864" s="76"/>
      <c r="B864" s="140"/>
      <c r="C864" s="142"/>
      <c r="D864" s="142"/>
      <c r="E864" s="143"/>
      <c r="F864" s="142"/>
      <c r="G864" s="142"/>
      <c r="H864" s="142"/>
      <c r="I864" s="142"/>
      <c r="J864" s="142"/>
      <c r="K864" s="142"/>
      <c r="L864" s="140"/>
      <c r="M864" s="141"/>
      <c r="N864" s="140"/>
      <c r="O864" s="140"/>
    </row>
    <row r="865" spans="1:15">
      <c r="A865" s="76"/>
      <c r="B865" s="140"/>
      <c r="C865" s="142"/>
      <c r="D865" s="142"/>
      <c r="E865" s="143"/>
      <c r="F865" s="142"/>
      <c r="G865" s="142"/>
      <c r="H865" s="142"/>
      <c r="I865" s="142"/>
      <c r="J865" s="142"/>
      <c r="K865" s="142"/>
      <c r="L865" s="140"/>
      <c r="M865" s="141"/>
      <c r="N865" s="140"/>
      <c r="O865" s="140"/>
    </row>
    <row r="866" spans="1:15">
      <c r="A866" s="76"/>
      <c r="B866" s="140"/>
      <c r="C866" s="142"/>
      <c r="D866" s="142"/>
      <c r="E866" s="143"/>
      <c r="F866" s="142"/>
      <c r="G866" s="142"/>
      <c r="H866" s="142"/>
      <c r="I866" s="142"/>
      <c r="J866" s="142"/>
      <c r="K866" s="142"/>
      <c r="L866" s="140"/>
      <c r="M866" s="141"/>
      <c r="N866" s="140"/>
      <c r="O866" s="140"/>
    </row>
    <row r="867" spans="1:15">
      <c r="A867" s="76"/>
      <c r="B867" s="140"/>
      <c r="C867" s="142"/>
      <c r="D867" s="142"/>
      <c r="E867" s="143"/>
      <c r="F867" s="142"/>
      <c r="G867" s="142"/>
      <c r="H867" s="142"/>
      <c r="I867" s="142"/>
      <c r="J867" s="142"/>
      <c r="K867" s="142"/>
      <c r="L867" s="140"/>
      <c r="M867" s="141"/>
      <c r="N867" s="140"/>
      <c r="O867" s="140"/>
    </row>
    <row r="868" spans="1:15">
      <c r="A868" s="76"/>
      <c r="B868" s="140"/>
      <c r="C868" s="142"/>
      <c r="D868" s="142"/>
      <c r="E868" s="143"/>
      <c r="F868" s="142"/>
      <c r="G868" s="142"/>
      <c r="H868" s="142"/>
      <c r="I868" s="142"/>
      <c r="J868" s="142"/>
      <c r="K868" s="142"/>
      <c r="L868" s="140"/>
      <c r="M868" s="141"/>
      <c r="N868" s="140"/>
      <c r="O868" s="140"/>
    </row>
    <row r="869" spans="1:15">
      <c r="A869" s="76"/>
      <c r="B869" s="140"/>
      <c r="C869" s="142"/>
      <c r="D869" s="142"/>
      <c r="E869" s="143"/>
      <c r="F869" s="142"/>
      <c r="G869" s="142"/>
      <c r="H869" s="142"/>
      <c r="I869" s="142"/>
      <c r="J869" s="142"/>
      <c r="K869" s="142"/>
      <c r="L869" s="140"/>
      <c r="M869" s="141"/>
      <c r="N869" s="140"/>
      <c r="O869" s="140"/>
    </row>
    <row r="870" spans="1:15">
      <c r="A870" s="76"/>
      <c r="B870" s="140"/>
      <c r="C870" s="142"/>
      <c r="D870" s="142"/>
      <c r="E870" s="143"/>
      <c r="F870" s="142"/>
      <c r="G870" s="142"/>
      <c r="H870" s="142"/>
      <c r="I870" s="142"/>
      <c r="J870" s="142"/>
      <c r="K870" s="142"/>
      <c r="L870" s="140"/>
      <c r="M870" s="141"/>
      <c r="N870" s="140"/>
      <c r="O870" s="140"/>
    </row>
    <row r="871" spans="1:15">
      <c r="A871" s="76"/>
      <c r="B871" s="140"/>
      <c r="C871" s="142"/>
      <c r="D871" s="142"/>
      <c r="E871" s="143"/>
      <c r="F871" s="142"/>
      <c r="G871" s="142"/>
      <c r="H871" s="142"/>
      <c r="I871" s="142"/>
      <c r="J871" s="142"/>
      <c r="K871" s="142"/>
      <c r="L871" s="140"/>
      <c r="M871" s="141"/>
      <c r="N871" s="140"/>
      <c r="O871" s="140"/>
    </row>
    <row r="872" spans="1:15">
      <c r="A872" s="76"/>
      <c r="B872" s="140"/>
      <c r="C872" s="142"/>
      <c r="D872" s="142"/>
      <c r="E872" s="143"/>
      <c r="F872" s="142"/>
      <c r="G872" s="142"/>
      <c r="H872" s="142"/>
      <c r="I872" s="142"/>
      <c r="J872" s="142"/>
      <c r="K872" s="142"/>
      <c r="L872" s="140"/>
      <c r="M872" s="141"/>
      <c r="N872" s="140"/>
      <c r="O872" s="140"/>
    </row>
    <row r="873" spans="1:15">
      <c r="A873" s="76"/>
      <c r="B873" s="140"/>
      <c r="C873" s="142"/>
      <c r="D873" s="142"/>
      <c r="E873" s="143"/>
      <c r="F873" s="142"/>
      <c r="G873" s="142"/>
      <c r="H873" s="142"/>
      <c r="I873" s="142"/>
      <c r="J873" s="142"/>
      <c r="K873" s="142"/>
      <c r="L873" s="140"/>
      <c r="M873" s="141"/>
      <c r="N873" s="140"/>
      <c r="O873" s="140"/>
    </row>
    <row r="874" spans="1:15">
      <c r="A874" s="76"/>
      <c r="B874" s="140"/>
      <c r="C874" s="142"/>
      <c r="D874" s="142"/>
      <c r="E874" s="143"/>
      <c r="F874" s="142"/>
      <c r="G874" s="142"/>
      <c r="H874" s="142"/>
      <c r="I874" s="142"/>
      <c r="J874" s="142"/>
      <c r="K874" s="142"/>
      <c r="L874" s="140"/>
      <c r="M874" s="141"/>
      <c r="N874" s="140"/>
      <c r="O874" s="140"/>
    </row>
    <row r="875" spans="1:15">
      <c r="A875" s="76"/>
      <c r="B875" s="140"/>
      <c r="C875" s="142"/>
      <c r="D875" s="142"/>
      <c r="E875" s="143"/>
      <c r="F875" s="142"/>
      <c r="G875" s="142"/>
      <c r="H875" s="142"/>
      <c r="I875" s="142"/>
      <c r="J875" s="142"/>
      <c r="K875" s="142"/>
      <c r="L875" s="140"/>
      <c r="M875" s="141"/>
      <c r="N875" s="140"/>
      <c r="O875" s="140"/>
    </row>
    <row r="876" spans="1:15">
      <c r="A876" s="76"/>
      <c r="B876" s="140"/>
      <c r="C876" s="142"/>
      <c r="D876" s="142"/>
      <c r="E876" s="143"/>
      <c r="F876" s="142"/>
      <c r="G876" s="142"/>
      <c r="H876" s="142"/>
      <c r="I876" s="142"/>
      <c r="J876" s="142"/>
      <c r="K876" s="142"/>
      <c r="L876" s="140"/>
      <c r="M876" s="141"/>
      <c r="N876" s="140"/>
      <c r="O876" s="140"/>
    </row>
    <row r="877" spans="1:15">
      <c r="A877" s="76"/>
      <c r="B877" s="140"/>
      <c r="C877" s="142"/>
      <c r="D877" s="142"/>
      <c r="E877" s="143"/>
      <c r="F877" s="142"/>
      <c r="G877" s="142"/>
      <c r="H877" s="142"/>
      <c r="I877" s="142"/>
      <c r="J877" s="142"/>
      <c r="K877" s="142"/>
      <c r="L877" s="140"/>
      <c r="M877" s="141"/>
      <c r="N877" s="140"/>
      <c r="O877" s="140"/>
    </row>
    <row r="878" spans="1:15">
      <c r="A878" s="76"/>
      <c r="B878" s="140"/>
      <c r="C878" s="142"/>
      <c r="D878" s="142"/>
      <c r="E878" s="143"/>
      <c r="F878" s="142"/>
      <c r="G878" s="142"/>
      <c r="H878" s="142"/>
      <c r="I878" s="142"/>
      <c r="J878" s="142"/>
      <c r="K878" s="142"/>
      <c r="L878" s="140"/>
      <c r="M878" s="141"/>
      <c r="N878" s="140"/>
      <c r="O878" s="140"/>
    </row>
    <row r="879" spans="1:15">
      <c r="A879" s="76"/>
      <c r="B879" s="140"/>
      <c r="C879" s="142"/>
      <c r="D879" s="142"/>
      <c r="E879" s="143"/>
      <c r="F879" s="142"/>
      <c r="G879" s="142"/>
      <c r="H879" s="142"/>
      <c r="I879" s="142"/>
      <c r="J879" s="142"/>
      <c r="K879" s="142"/>
      <c r="L879" s="140"/>
      <c r="M879" s="141"/>
      <c r="N879" s="140"/>
      <c r="O879" s="140"/>
    </row>
    <row r="880" spans="1:15">
      <c r="A880" s="76"/>
      <c r="B880" s="140"/>
      <c r="C880" s="142"/>
      <c r="D880" s="142"/>
      <c r="E880" s="143"/>
      <c r="F880" s="142"/>
      <c r="G880" s="142"/>
      <c r="H880" s="142"/>
      <c r="I880" s="142"/>
      <c r="J880" s="142"/>
      <c r="K880" s="142"/>
      <c r="L880" s="140"/>
      <c r="M880" s="141"/>
      <c r="N880" s="140"/>
      <c r="O880" s="140"/>
    </row>
    <row r="881" spans="1:15">
      <c r="A881" s="76"/>
      <c r="B881" s="140"/>
      <c r="C881" s="142"/>
      <c r="D881" s="142"/>
      <c r="E881" s="143"/>
      <c r="F881" s="142"/>
      <c r="G881" s="142"/>
      <c r="H881" s="142"/>
      <c r="I881" s="142"/>
      <c r="J881" s="142"/>
      <c r="K881" s="142"/>
      <c r="L881" s="140"/>
      <c r="M881" s="141"/>
      <c r="N881" s="140"/>
      <c r="O881" s="140"/>
    </row>
    <row r="882" spans="1:15">
      <c r="A882" s="76"/>
      <c r="B882" s="140"/>
      <c r="C882" s="142"/>
      <c r="D882" s="142"/>
      <c r="E882" s="143"/>
      <c r="F882" s="142"/>
      <c r="G882" s="142"/>
      <c r="H882" s="142"/>
      <c r="I882" s="142"/>
      <c r="J882" s="142"/>
      <c r="K882" s="142"/>
      <c r="L882" s="140"/>
      <c r="M882" s="141"/>
      <c r="N882" s="140"/>
      <c r="O882" s="140"/>
    </row>
    <row r="883" spans="1:15">
      <c r="A883" s="76"/>
      <c r="B883" s="140"/>
      <c r="C883" s="142"/>
      <c r="D883" s="142"/>
      <c r="E883" s="143"/>
      <c r="F883" s="142"/>
      <c r="G883" s="142"/>
      <c r="H883" s="142"/>
      <c r="I883" s="142"/>
      <c r="J883" s="142"/>
      <c r="K883" s="142"/>
      <c r="L883" s="140"/>
      <c r="M883" s="141"/>
      <c r="N883" s="140"/>
      <c r="O883" s="140"/>
    </row>
    <row r="884" spans="1:15">
      <c r="A884" s="76"/>
      <c r="B884" s="140"/>
      <c r="C884" s="142"/>
      <c r="D884" s="142"/>
      <c r="E884" s="143"/>
      <c r="F884" s="142"/>
      <c r="G884" s="142"/>
      <c r="H884" s="142"/>
      <c r="I884" s="142"/>
      <c r="J884" s="142"/>
      <c r="K884" s="142"/>
      <c r="L884" s="140"/>
      <c r="M884" s="141"/>
      <c r="N884" s="140"/>
      <c r="O884" s="140"/>
    </row>
    <row r="885" spans="1:15">
      <c r="A885" s="76"/>
      <c r="B885" s="140"/>
      <c r="C885" s="142"/>
      <c r="D885" s="142"/>
      <c r="E885" s="143"/>
      <c r="F885" s="142"/>
      <c r="G885" s="142"/>
      <c r="H885" s="142"/>
      <c r="I885" s="142"/>
      <c r="J885" s="142"/>
      <c r="K885" s="142"/>
      <c r="L885" s="140"/>
      <c r="M885" s="141"/>
      <c r="N885" s="140"/>
      <c r="O885" s="140"/>
    </row>
    <row r="886" spans="1:15">
      <c r="A886" s="76"/>
      <c r="B886" s="140"/>
      <c r="C886" s="142"/>
      <c r="D886" s="142"/>
      <c r="E886" s="143"/>
      <c r="F886" s="142"/>
      <c r="G886" s="142"/>
      <c r="H886" s="142"/>
      <c r="I886" s="142"/>
      <c r="J886" s="142"/>
      <c r="K886" s="142"/>
      <c r="L886" s="140"/>
      <c r="M886" s="141"/>
      <c r="N886" s="140"/>
      <c r="O886" s="140"/>
    </row>
    <row r="887" spans="1:15">
      <c r="A887" s="76"/>
      <c r="B887" s="140"/>
      <c r="C887" s="142"/>
      <c r="D887" s="142"/>
      <c r="E887" s="143"/>
      <c r="F887" s="142"/>
      <c r="G887" s="142"/>
      <c r="H887" s="142"/>
      <c r="I887" s="142"/>
      <c r="J887" s="142"/>
      <c r="K887" s="142"/>
      <c r="L887" s="140"/>
      <c r="M887" s="141"/>
      <c r="N887" s="140"/>
      <c r="O887" s="140"/>
    </row>
    <row r="888" spans="1:15">
      <c r="A888" s="76"/>
      <c r="B888" s="140"/>
      <c r="C888" s="142"/>
      <c r="D888" s="142"/>
      <c r="E888" s="143"/>
      <c r="F888" s="142"/>
      <c r="G888" s="142"/>
      <c r="H888" s="142"/>
      <c r="I888" s="142"/>
      <c r="J888" s="142"/>
      <c r="K888" s="142"/>
      <c r="L888" s="140"/>
      <c r="M888" s="141"/>
      <c r="N888" s="140"/>
      <c r="O888" s="140"/>
    </row>
    <row r="889" spans="1:15">
      <c r="A889" s="76"/>
      <c r="B889" s="140"/>
      <c r="C889" s="142"/>
      <c r="D889" s="142"/>
      <c r="E889" s="143"/>
      <c r="F889" s="142"/>
      <c r="G889" s="142"/>
      <c r="H889" s="142"/>
      <c r="I889" s="142"/>
      <c r="J889" s="142"/>
      <c r="K889" s="142"/>
      <c r="L889" s="140"/>
      <c r="M889" s="141"/>
      <c r="N889" s="140"/>
      <c r="O889" s="140"/>
    </row>
    <row r="890" spans="1:15">
      <c r="A890" s="76"/>
      <c r="B890" s="140"/>
      <c r="C890" s="142"/>
      <c r="D890" s="142"/>
      <c r="E890" s="143"/>
      <c r="F890" s="142"/>
      <c r="G890" s="142"/>
      <c r="H890" s="142"/>
      <c r="I890" s="142"/>
      <c r="J890" s="142"/>
      <c r="K890" s="142"/>
      <c r="L890" s="140"/>
      <c r="M890" s="141"/>
      <c r="N890" s="140"/>
      <c r="O890" s="140"/>
    </row>
    <row r="891" spans="1:15">
      <c r="A891" s="76"/>
      <c r="B891" s="140"/>
      <c r="C891" s="142"/>
      <c r="D891" s="142"/>
      <c r="E891" s="143"/>
      <c r="F891" s="142"/>
      <c r="G891" s="142"/>
      <c r="H891" s="142"/>
      <c r="I891" s="142"/>
      <c r="J891" s="142"/>
      <c r="K891" s="142"/>
      <c r="L891" s="140"/>
      <c r="M891" s="141"/>
      <c r="N891" s="140"/>
      <c r="O891" s="140"/>
    </row>
    <row r="892" spans="1:15">
      <c r="A892" s="76"/>
      <c r="B892" s="140"/>
      <c r="C892" s="142"/>
      <c r="D892" s="142"/>
      <c r="E892" s="143"/>
      <c r="F892" s="142"/>
      <c r="G892" s="142"/>
      <c r="H892" s="142"/>
      <c r="I892" s="142"/>
      <c r="J892" s="142"/>
      <c r="K892" s="142"/>
      <c r="L892" s="140"/>
      <c r="M892" s="141"/>
      <c r="N892" s="140"/>
      <c r="O892" s="140"/>
    </row>
    <row r="893" spans="1:15">
      <c r="A893" s="76"/>
      <c r="B893" s="140"/>
      <c r="C893" s="142"/>
      <c r="D893" s="142"/>
      <c r="E893" s="143"/>
      <c r="F893" s="142"/>
      <c r="G893" s="142"/>
      <c r="H893" s="142"/>
      <c r="I893" s="142"/>
      <c r="J893" s="142"/>
      <c r="K893" s="142"/>
      <c r="L893" s="140"/>
      <c r="M893" s="141"/>
      <c r="N893" s="140"/>
      <c r="O893" s="140"/>
    </row>
    <row r="894" spans="1:15">
      <c r="A894" s="76"/>
      <c r="B894" s="140"/>
      <c r="C894" s="142"/>
      <c r="D894" s="142"/>
      <c r="E894" s="143"/>
      <c r="F894" s="142"/>
      <c r="G894" s="142"/>
      <c r="H894" s="142"/>
      <c r="I894" s="142"/>
      <c r="J894" s="142"/>
      <c r="K894" s="142"/>
      <c r="L894" s="140"/>
      <c r="M894" s="141"/>
      <c r="N894" s="140"/>
      <c r="O894" s="140"/>
    </row>
    <row r="895" spans="1:15">
      <c r="A895" s="76"/>
      <c r="B895" s="140"/>
      <c r="C895" s="142"/>
      <c r="D895" s="142"/>
      <c r="E895" s="143"/>
      <c r="F895" s="142"/>
      <c r="G895" s="142"/>
      <c r="H895" s="142"/>
      <c r="I895" s="142"/>
      <c r="J895" s="142"/>
      <c r="K895" s="142"/>
      <c r="L895" s="140"/>
      <c r="M895" s="141"/>
      <c r="N895" s="140"/>
      <c r="O895" s="140"/>
    </row>
    <row r="896" spans="1:15">
      <c r="A896" s="76"/>
      <c r="B896" s="140"/>
      <c r="C896" s="142"/>
      <c r="D896" s="142"/>
      <c r="E896" s="143"/>
      <c r="F896" s="142"/>
      <c r="G896" s="142"/>
      <c r="H896" s="142"/>
      <c r="I896" s="142"/>
      <c r="J896" s="142"/>
      <c r="K896" s="142"/>
      <c r="L896" s="140"/>
      <c r="M896" s="141"/>
      <c r="N896" s="140"/>
      <c r="O896" s="140"/>
    </row>
    <row r="897" spans="1:15">
      <c r="A897" s="76"/>
      <c r="B897" s="140"/>
      <c r="C897" s="142"/>
      <c r="D897" s="142"/>
      <c r="E897" s="143"/>
      <c r="F897" s="142"/>
      <c r="G897" s="142"/>
      <c r="H897" s="142"/>
      <c r="I897" s="142"/>
      <c r="J897" s="142"/>
      <c r="K897" s="142"/>
      <c r="L897" s="140"/>
      <c r="M897" s="141"/>
      <c r="N897" s="140"/>
      <c r="O897" s="140"/>
    </row>
    <row r="898" spans="1:15">
      <c r="A898" s="76"/>
      <c r="B898" s="140"/>
      <c r="C898" s="142"/>
      <c r="D898" s="142"/>
      <c r="E898" s="143"/>
      <c r="F898" s="142"/>
      <c r="G898" s="142"/>
      <c r="H898" s="142"/>
      <c r="I898" s="142"/>
      <c r="J898" s="142"/>
      <c r="K898" s="142"/>
      <c r="L898" s="140"/>
      <c r="M898" s="141"/>
      <c r="N898" s="140"/>
      <c r="O898" s="140"/>
    </row>
    <row r="899" spans="1:15">
      <c r="A899" s="76"/>
      <c r="B899" s="140"/>
      <c r="C899" s="142"/>
      <c r="D899" s="142"/>
      <c r="E899" s="143"/>
      <c r="F899" s="142"/>
      <c r="G899" s="142"/>
      <c r="H899" s="142"/>
      <c r="I899" s="142"/>
      <c r="J899" s="142"/>
      <c r="K899" s="142"/>
      <c r="L899" s="140"/>
      <c r="M899" s="141"/>
      <c r="N899" s="140"/>
      <c r="O899" s="140"/>
    </row>
    <row r="900" spans="1:15">
      <c r="A900" s="76"/>
      <c r="B900" s="140"/>
      <c r="C900" s="142"/>
      <c r="D900" s="142"/>
      <c r="E900" s="143"/>
      <c r="F900" s="142"/>
      <c r="G900" s="142"/>
      <c r="H900" s="142"/>
      <c r="I900" s="142"/>
      <c r="J900" s="142"/>
      <c r="K900" s="142"/>
      <c r="L900" s="140"/>
      <c r="M900" s="141"/>
      <c r="N900" s="140"/>
      <c r="O900" s="140"/>
    </row>
    <row r="901" spans="1:15">
      <c r="A901" s="76"/>
      <c r="B901" s="140"/>
      <c r="C901" s="142"/>
      <c r="D901" s="142"/>
      <c r="E901" s="143"/>
      <c r="F901" s="142"/>
      <c r="G901" s="142"/>
      <c r="H901" s="142"/>
      <c r="I901" s="142"/>
      <c r="J901" s="142"/>
      <c r="K901" s="142"/>
      <c r="L901" s="140"/>
      <c r="M901" s="141"/>
      <c r="N901" s="140"/>
      <c r="O901" s="140"/>
    </row>
    <row r="902" spans="1:15">
      <c r="A902" s="76"/>
      <c r="B902" s="140"/>
      <c r="C902" s="142"/>
      <c r="D902" s="142"/>
      <c r="E902" s="143"/>
      <c r="F902" s="142"/>
      <c r="G902" s="142"/>
      <c r="H902" s="142"/>
      <c r="I902" s="142"/>
      <c r="J902" s="142"/>
      <c r="K902" s="142"/>
      <c r="L902" s="140"/>
      <c r="M902" s="141"/>
      <c r="N902" s="140"/>
      <c r="O902" s="140"/>
    </row>
    <row r="903" spans="1:15">
      <c r="A903" s="76"/>
      <c r="B903" s="140"/>
      <c r="C903" s="142"/>
      <c r="D903" s="142"/>
      <c r="E903" s="143"/>
      <c r="F903" s="142"/>
      <c r="G903" s="142"/>
      <c r="H903" s="142"/>
      <c r="I903" s="142"/>
      <c r="J903" s="142"/>
      <c r="K903" s="142"/>
      <c r="L903" s="140"/>
      <c r="M903" s="141"/>
      <c r="N903" s="140"/>
      <c r="O903" s="140"/>
    </row>
    <row r="904" spans="1:15">
      <c r="A904" s="76"/>
      <c r="B904" s="140"/>
      <c r="C904" s="142"/>
      <c r="D904" s="142"/>
      <c r="E904" s="143"/>
      <c r="F904" s="142"/>
      <c r="G904" s="142"/>
      <c r="H904" s="142"/>
      <c r="I904" s="142"/>
      <c r="J904" s="142"/>
      <c r="K904" s="142"/>
      <c r="L904" s="140"/>
      <c r="M904" s="141"/>
      <c r="N904" s="140"/>
      <c r="O904" s="140"/>
    </row>
    <row r="905" spans="1:15">
      <c r="A905" s="76"/>
      <c r="B905" s="140"/>
      <c r="C905" s="142"/>
      <c r="D905" s="142"/>
      <c r="E905" s="143"/>
      <c r="F905" s="142"/>
      <c r="G905" s="142"/>
      <c r="H905" s="142"/>
      <c r="I905" s="142"/>
      <c r="J905" s="142"/>
      <c r="K905" s="142"/>
      <c r="L905" s="140"/>
      <c r="M905" s="141"/>
      <c r="N905" s="140"/>
      <c r="O905" s="140"/>
    </row>
    <row r="906" spans="1:15">
      <c r="A906" s="76"/>
      <c r="B906" s="140"/>
      <c r="C906" s="142"/>
      <c r="D906" s="142"/>
      <c r="E906" s="143"/>
      <c r="F906" s="142"/>
      <c r="G906" s="142"/>
      <c r="H906" s="142"/>
      <c r="I906" s="142"/>
      <c r="J906" s="142"/>
      <c r="K906" s="142"/>
      <c r="L906" s="140"/>
      <c r="M906" s="141"/>
      <c r="N906" s="140"/>
      <c r="O906" s="140"/>
    </row>
    <row r="907" spans="1:15">
      <c r="A907" s="76"/>
      <c r="B907" s="140"/>
      <c r="C907" s="142"/>
      <c r="D907" s="142"/>
      <c r="E907" s="143"/>
      <c r="F907" s="142"/>
      <c r="G907" s="142"/>
      <c r="H907" s="142"/>
      <c r="I907" s="142"/>
      <c r="J907" s="142"/>
      <c r="K907" s="142"/>
      <c r="L907" s="140"/>
      <c r="M907" s="141"/>
      <c r="N907" s="140"/>
      <c r="O907" s="140"/>
    </row>
    <row r="908" spans="1:15">
      <c r="A908" s="76"/>
      <c r="B908" s="140"/>
      <c r="C908" s="142"/>
      <c r="D908" s="142"/>
      <c r="E908" s="143"/>
      <c r="F908" s="142"/>
      <c r="G908" s="142"/>
      <c r="H908" s="142"/>
      <c r="I908" s="142"/>
      <c r="J908" s="142"/>
      <c r="K908" s="142"/>
      <c r="L908" s="140"/>
      <c r="M908" s="141"/>
      <c r="N908" s="140"/>
      <c r="O908" s="140"/>
    </row>
    <row r="909" spans="1:15">
      <c r="A909" s="76"/>
      <c r="B909" s="140"/>
      <c r="C909" s="142"/>
      <c r="D909" s="142"/>
      <c r="E909" s="143"/>
      <c r="F909" s="142"/>
      <c r="G909" s="142"/>
      <c r="H909" s="142"/>
      <c r="I909" s="142"/>
      <c r="J909" s="142"/>
      <c r="K909" s="142"/>
      <c r="L909" s="140"/>
      <c r="M909" s="141"/>
      <c r="N909" s="140"/>
      <c r="O909" s="140"/>
    </row>
    <row r="910" spans="1:15">
      <c r="A910" s="76"/>
      <c r="B910" s="140"/>
      <c r="C910" s="142"/>
      <c r="D910" s="142"/>
      <c r="E910" s="143"/>
      <c r="F910" s="142"/>
      <c r="G910" s="142"/>
      <c r="H910" s="142"/>
      <c r="I910" s="142"/>
      <c r="J910" s="142"/>
      <c r="K910" s="142"/>
      <c r="L910" s="140"/>
      <c r="M910" s="141"/>
      <c r="N910" s="140"/>
      <c r="O910" s="140"/>
    </row>
    <row r="911" spans="1:15">
      <c r="A911" s="76"/>
      <c r="B911" s="140"/>
      <c r="C911" s="142"/>
      <c r="D911" s="142"/>
      <c r="E911" s="143"/>
      <c r="F911" s="142"/>
      <c r="G911" s="142"/>
      <c r="H911" s="142"/>
      <c r="I911" s="142"/>
      <c r="J911" s="142"/>
      <c r="K911" s="142"/>
      <c r="L911" s="140"/>
      <c r="M911" s="141"/>
      <c r="N911" s="140"/>
      <c r="O911" s="140"/>
    </row>
    <row r="912" spans="1:15">
      <c r="A912" s="76"/>
      <c r="B912" s="140"/>
      <c r="C912" s="142"/>
      <c r="D912" s="142"/>
      <c r="E912" s="143"/>
      <c r="F912" s="142"/>
      <c r="G912" s="142"/>
      <c r="H912" s="142"/>
      <c r="I912" s="142"/>
      <c r="J912" s="142"/>
      <c r="K912" s="142"/>
      <c r="L912" s="140"/>
      <c r="M912" s="141"/>
      <c r="N912" s="140"/>
      <c r="O912" s="140"/>
    </row>
    <row r="913" spans="1:15">
      <c r="A913" s="76"/>
      <c r="B913" s="140"/>
      <c r="C913" s="142"/>
      <c r="D913" s="142"/>
      <c r="E913" s="143"/>
      <c r="F913" s="142"/>
      <c r="G913" s="142"/>
      <c r="H913" s="142"/>
      <c r="I913" s="142"/>
      <c r="J913" s="142"/>
      <c r="K913" s="142"/>
      <c r="L913" s="140"/>
      <c r="M913" s="141"/>
      <c r="N913" s="140"/>
      <c r="O913" s="140"/>
    </row>
    <row r="914" spans="1:15">
      <c r="A914" s="76"/>
      <c r="B914" s="140"/>
      <c r="C914" s="142"/>
      <c r="D914" s="142"/>
      <c r="E914" s="143"/>
      <c r="F914" s="142"/>
      <c r="G914" s="142"/>
      <c r="H914" s="142"/>
      <c r="I914" s="142"/>
      <c r="J914" s="142"/>
      <c r="K914" s="142"/>
      <c r="L914" s="140"/>
      <c r="M914" s="141"/>
      <c r="N914" s="140"/>
      <c r="O914" s="140"/>
    </row>
    <row r="915" spans="1:15">
      <c r="A915" s="76"/>
      <c r="B915" s="140"/>
      <c r="C915" s="142"/>
      <c r="D915" s="142"/>
      <c r="E915" s="143"/>
      <c r="F915" s="142"/>
      <c r="G915" s="142"/>
      <c r="H915" s="142"/>
      <c r="I915" s="142"/>
      <c r="J915" s="142"/>
      <c r="K915" s="142"/>
      <c r="L915" s="140"/>
      <c r="M915" s="141"/>
      <c r="N915" s="140"/>
      <c r="O915" s="140"/>
    </row>
    <row r="916" spans="1:15">
      <c r="A916" s="76"/>
      <c r="B916" s="140"/>
      <c r="C916" s="142"/>
      <c r="D916" s="142"/>
      <c r="E916" s="143"/>
      <c r="F916" s="142"/>
      <c r="G916" s="142"/>
      <c r="H916" s="142"/>
      <c r="I916" s="142"/>
      <c r="J916" s="142"/>
      <c r="K916" s="142"/>
      <c r="L916" s="140"/>
      <c r="M916" s="141"/>
      <c r="N916" s="140"/>
      <c r="O916" s="140"/>
    </row>
    <row r="917" spans="1:15">
      <c r="A917" s="76"/>
      <c r="B917" s="140"/>
      <c r="C917" s="142"/>
      <c r="D917" s="142"/>
      <c r="E917" s="143"/>
      <c r="F917" s="142"/>
      <c r="G917" s="142"/>
      <c r="H917" s="142"/>
      <c r="I917" s="142"/>
      <c r="J917" s="142"/>
      <c r="K917" s="142"/>
      <c r="L917" s="140"/>
      <c r="M917" s="141"/>
      <c r="N917" s="140"/>
      <c r="O917" s="140"/>
    </row>
    <row r="918" spans="1:15">
      <c r="A918" s="76"/>
      <c r="B918" s="140"/>
      <c r="C918" s="142"/>
      <c r="D918" s="142"/>
      <c r="E918" s="143"/>
      <c r="F918" s="142"/>
      <c r="G918" s="142"/>
      <c r="H918" s="142"/>
      <c r="I918" s="142"/>
      <c r="J918" s="142"/>
      <c r="K918" s="142"/>
      <c r="L918" s="140"/>
      <c r="M918" s="141"/>
      <c r="N918" s="140"/>
      <c r="O918" s="140"/>
    </row>
    <row r="919" spans="1:15">
      <c r="A919" s="76"/>
      <c r="B919" s="140"/>
      <c r="C919" s="142"/>
      <c r="D919" s="142"/>
      <c r="E919" s="143"/>
      <c r="F919" s="142"/>
      <c r="G919" s="142"/>
      <c r="H919" s="142"/>
      <c r="I919" s="142"/>
      <c r="J919" s="142"/>
      <c r="K919" s="142"/>
      <c r="L919" s="140"/>
      <c r="M919" s="141"/>
      <c r="N919" s="140"/>
      <c r="O919" s="140"/>
    </row>
    <row r="920" spans="1:15">
      <c r="A920" s="76"/>
      <c r="B920" s="140"/>
      <c r="C920" s="142"/>
      <c r="D920" s="142"/>
      <c r="E920" s="143"/>
      <c r="F920" s="142"/>
      <c r="G920" s="142"/>
      <c r="H920" s="142"/>
      <c r="I920" s="142"/>
      <c r="J920" s="142"/>
      <c r="K920" s="142"/>
      <c r="L920" s="140"/>
      <c r="M920" s="141"/>
      <c r="N920" s="140"/>
      <c r="O920" s="140"/>
    </row>
    <row r="921" spans="1:15">
      <c r="A921" s="76"/>
      <c r="B921" s="140"/>
      <c r="C921" s="142"/>
      <c r="D921" s="142"/>
      <c r="E921" s="143"/>
      <c r="F921" s="142"/>
      <c r="G921" s="142"/>
      <c r="H921" s="142"/>
      <c r="I921" s="142"/>
      <c r="J921" s="142"/>
      <c r="K921" s="142"/>
      <c r="L921" s="140"/>
      <c r="M921" s="141"/>
      <c r="N921" s="140"/>
      <c r="O921" s="140"/>
    </row>
    <row r="922" spans="1:15">
      <c r="A922" s="76"/>
      <c r="B922" s="140"/>
      <c r="C922" s="142"/>
      <c r="D922" s="142"/>
      <c r="E922" s="143"/>
      <c r="F922" s="142"/>
      <c r="G922" s="142"/>
      <c r="H922" s="142"/>
      <c r="I922" s="142"/>
      <c r="J922" s="142"/>
      <c r="K922" s="142"/>
      <c r="L922" s="140"/>
      <c r="M922" s="141"/>
      <c r="N922" s="140"/>
      <c r="O922" s="140"/>
    </row>
    <row r="923" spans="1:15">
      <c r="A923" s="76"/>
      <c r="B923" s="140"/>
      <c r="C923" s="142"/>
      <c r="D923" s="142"/>
      <c r="E923" s="143"/>
      <c r="F923" s="142"/>
      <c r="G923" s="142"/>
      <c r="H923" s="142"/>
      <c r="I923" s="142"/>
      <c r="J923" s="142"/>
      <c r="K923" s="142"/>
      <c r="L923" s="140"/>
      <c r="M923" s="141"/>
      <c r="N923" s="140"/>
      <c r="O923" s="140"/>
    </row>
    <row r="924" spans="1:15">
      <c r="A924" s="76"/>
      <c r="B924" s="140"/>
      <c r="C924" s="142"/>
      <c r="D924" s="142"/>
      <c r="E924" s="143"/>
      <c r="F924" s="142"/>
      <c r="G924" s="142"/>
      <c r="H924" s="142"/>
      <c r="I924" s="142"/>
      <c r="J924" s="142"/>
      <c r="K924" s="142"/>
      <c r="L924" s="140"/>
      <c r="M924" s="141"/>
      <c r="N924" s="140"/>
      <c r="O924" s="140"/>
    </row>
    <row r="925" spans="1:15">
      <c r="A925" s="76"/>
      <c r="B925" s="140"/>
      <c r="C925" s="142"/>
      <c r="D925" s="142"/>
      <c r="E925" s="143"/>
      <c r="F925" s="142"/>
      <c r="G925" s="142"/>
      <c r="H925" s="142"/>
      <c r="I925" s="142"/>
      <c r="J925" s="142"/>
      <c r="K925" s="142"/>
      <c r="L925" s="140"/>
      <c r="M925" s="141"/>
      <c r="N925" s="140"/>
      <c r="O925" s="140"/>
    </row>
    <row r="926" spans="1:15">
      <c r="A926" s="76"/>
      <c r="B926" s="140"/>
      <c r="C926" s="142"/>
      <c r="D926" s="142"/>
      <c r="E926" s="143"/>
      <c r="F926" s="142"/>
      <c r="G926" s="142"/>
      <c r="H926" s="142"/>
      <c r="I926" s="142"/>
      <c r="J926" s="142"/>
      <c r="K926" s="142"/>
      <c r="L926" s="140"/>
      <c r="M926" s="141"/>
      <c r="N926" s="140"/>
      <c r="O926" s="140"/>
    </row>
    <row r="927" spans="1:15">
      <c r="A927" s="76"/>
      <c r="B927" s="140"/>
      <c r="C927" s="142"/>
      <c r="D927" s="142"/>
      <c r="E927" s="143"/>
      <c r="F927" s="142"/>
      <c r="G927" s="142"/>
      <c r="H927" s="142"/>
      <c r="I927" s="142"/>
      <c r="J927" s="142"/>
      <c r="K927" s="142"/>
      <c r="L927" s="140"/>
      <c r="M927" s="141"/>
      <c r="N927" s="140"/>
      <c r="O927" s="140"/>
    </row>
    <row r="928" spans="1:15">
      <c r="A928" s="76"/>
      <c r="B928" s="140"/>
      <c r="C928" s="142"/>
      <c r="D928" s="142"/>
      <c r="E928" s="143"/>
      <c r="F928" s="142"/>
      <c r="G928" s="142"/>
      <c r="H928" s="142"/>
      <c r="I928" s="142"/>
      <c r="J928" s="142"/>
      <c r="K928" s="142"/>
      <c r="L928" s="140"/>
      <c r="M928" s="141"/>
      <c r="N928" s="140"/>
      <c r="O928" s="140"/>
    </row>
    <row r="929" spans="1:15">
      <c r="A929" s="76"/>
      <c r="B929" s="140"/>
      <c r="C929" s="142"/>
      <c r="D929" s="142"/>
      <c r="E929" s="143"/>
      <c r="F929" s="142"/>
      <c r="G929" s="142"/>
      <c r="H929" s="142"/>
      <c r="I929" s="142"/>
      <c r="J929" s="142"/>
      <c r="K929" s="142"/>
      <c r="L929" s="140"/>
      <c r="M929" s="141"/>
      <c r="N929" s="140"/>
      <c r="O929" s="140"/>
    </row>
    <row r="930" spans="1:15">
      <c r="A930" s="76"/>
      <c r="B930" s="140"/>
      <c r="C930" s="142"/>
      <c r="D930" s="142"/>
      <c r="E930" s="143"/>
      <c r="F930" s="142"/>
      <c r="G930" s="142"/>
      <c r="H930" s="142"/>
      <c r="I930" s="142"/>
      <c r="J930" s="142"/>
      <c r="K930" s="142"/>
      <c r="L930" s="140"/>
      <c r="M930" s="141"/>
      <c r="N930" s="140"/>
      <c r="O930" s="140"/>
    </row>
    <row r="931" spans="1:15">
      <c r="A931" s="76"/>
      <c r="B931" s="140"/>
      <c r="C931" s="142"/>
      <c r="D931" s="142"/>
      <c r="E931" s="143"/>
      <c r="F931" s="142"/>
      <c r="G931" s="142"/>
      <c r="H931" s="142"/>
      <c r="I931" s="142"/>
      <c r="J931" s="142"/>
      <c r="K931" s="142"/>
      <c r="L931" s="140"/>
      <c r="M931" s="141"/>
      <c r="N931" s="140"/>
      <c r="O931" s="140"/>
    </row>
    <row r="932" spans="1:15">
      <c r="A932" s="76"/>
      <c r="B932" s="140"/>
      <c r="C932" s="142"/>
      <c r="D932" s="142"/>
      <c r="E932" s="143"/>
      <c r="F932" s="142"/>
      <c r="G932" s="142"/>
      <c r="H932" s="142"/>
      <c r="I932" s="142"/>
      <c r="J932" s="142"/>
      <c r="K932" s="142"/>
      <c r="L932" s="140"/>
      <c r="M932" s="141"/>
      <c r="N932" s="140"/>
      <c r="O932" s="140"/>
    </row>
    <row r="933" spans="1:15">
      <c r="A933" s="76"/>
      <c r="B933" s="140"/>
      <c r="C933" s="142"/>
      <c r="D933" s="142"/>
      <c r="E933" s="143"/>
      <c r="F933" s="142"/>
      <c r="G933" s="142"/>
      <c r="H933" s="142"/>
      <c r="I933" s="142"/>
      <c r="J933" s="142"/>
      <c r="K933" s="142"/>
      <c r="L933" s="140"/>
      <c r="M933" s="141"/>
      <c r="N933" s="140"/>
      <c r="O933" s="140"/>
    </row>
    <row r="934" spans="1:15">
      <c r="A934" s="76"/>
      <c r="B934" s="140"/>
      <c r="C934" s="142"/>
      <c r="D934" s="142"/>
      <c r="E934" s="143"/>
      <c r="F934" s="142"/>
      <c r="G934" s="142"/>
      <c r="H934" s="142"/>
      <c r="I934" s="142"/>
      <c r="J934" s="142"/>
      <c r="K934" s="142"/>
      <c r="L934" s="140"/>
      <c r="M934" s="141"/>
      <c r="N934" s="140"/>
      <c r="O934" s="140"/>
    </row>
    <row r="935" spans="1:15">
      <c r="A935" s="76"/>
      <c r="B935" s="140"/>
      <c r="C935" s="142"/>
      <c r="D935" s="142"/>
      <c r="E935" s="143"/>
      <c r="F935" s="142"/>
      <c r="G935" s="142"/>
      <c r="H935" s="142"/>
      <c r="I935" s="142"/>
      <c r="J935" s="142"/>
      <c r="K935" s="142"/>
      <c r="L935" s="140"/>
      <c r="M935" s="141"/>
      <c r="N935" s="140"/>
      <c r="O935" s="140"/>
    </row>
    <row r="936" spans="1:15">
      <c r="A936" s="76"/>
      <c r="B936" s="140"/>
      <c r="C936" s="142"/>
      <c r="D936" s="142"/>
      <c r="E936" s="143"/>
      <c r="F936" s="142"/>
      <c r="G936" s="142"/>
      <c r="H936" s="142"/>
      <c r="I936" s="142"/>
      <c r="J936" s="142"/>
      <c r="K936" s="142"/>
      <c r="L936" s="140"/>
      <c r="M936" s="141"/>
      <c r="N936" s="140"/>
      <c r="O936" s="140"/>
    </row>
    <row r="937" spans="1:15">
      <c r="A937" s="76"/>
      <c r="B937" s="140"/>
      <c r="C937" s="142"/>
      <c r="D937" s="142"/>
      <c r="E937" s="143"/>
      <c r="F937" s="142"/>
      <c r="G937" s="142"/>
      <c r="H937" s="142"/>
      <c r="I937" s="142"/>
      <c r="J937" s="142"/>
      <c r="K937" s="142"/>
      <c r="L937" s="140"/>
      <c r="M937" s="141"/>
      <c r="N937" s="140"/>
      <c r="O937" s="140"/>
    </row>
    <row r="938" spans="1:15">
      <c r="A938" s="76"/>
      <c r="B938" s="140"/>
      <c r="C938" s="142"/>
      <c r="D938" s="142"/>
      <c r="E938" s="143"/>
      <c r="F938" s="142"/>
      <c r="G938" s="142"/>
      <c r="H938" s="142"/>
      <c r="I938" s="142"/>
      <c r="J938" s="142"/>
      <c r="K938" s="142"/>
      <c r="L938" s="140"/>
      <c r="M938" s="141"/>
      <c r="N938" s="140"/>
      <c r="O938" s="140"/>
    </row>
    <row r="939" spans="1:15">
      <c r="N939" s="139"/>
      <c r="O939" s="139"/>
    </row>
  </sheetData>
  <mergeCells count="24">
    <mergeCell ref="A5:E5"/>
    <mergeCell ref="F5:J5"/>
    <mergeCell ref="K5:O5"/>
    <mergeCell ref="A1:O1"/>
    <mergeCell ref="A2:O2"/>
    <mergeCell ref="A3:O3"/>
    <mergeCell ref="A4:E4"/>
    <mergeCell ref="F4:J4"/>
    <mergeCell ref="K4:O4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  <mergeCell ref="J12:K12"/>
    <mergeCell ref="L12:L13"/>
    <mergeCell ref="M12:M13"/>
    <mergeCell ref="N12:N13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796E-D6C0-440E-81E0-54A5B164214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114+320</vt:lpstr>
      <vt:lpstr>BC.114+320</vt:lpstr>
      <vt:lpstr>SL.114+320</vt:lpstr>
      <vt:lpstr>Sheet1</vt:lpstr>
      <vt:lpstr>'114+320'!Print_Area</vt:lpstr>
      <vt:lpstr>'BC.114+320'!Print_Area</vt:lpstr>
      <vt:lpstr>'SL.114+320'!Print_Area</vt:lpstr>
      <vt:lpstr>'114+320'!Print_Titles</vt:lpstr>
      <vt:lpstr>'BC.114+320'!Print_Titles</vt:lpstr>
      <vt:lpstr>'SL.114+320'!Print_Titles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2025-07-23T00:45:27Z</dcterms:created>
  <dcterms:modified xsi:type="dcterms:W3CDTF">2025-07-28T13:18:18Z</dcterms:modified>
</cp:coreProperties>
</file>